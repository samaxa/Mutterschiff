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per.sharepoint.com/sites/StudienStandortEpe/Shared Documents/CO2 Zwischenspeicherung/Unterlagen von Sarah/Code/Kavernenrechner_2/"/>
    </mc:Choice>
  </mc:AlternateContent>
  <xr:revisionPtr revIDLastSave="12" documentId="11_506E41A410FC87FEA1A94E6AAC16542B68025E6D" xr6:coauthVersionLast="47" xr6:coauthVersionMax="47" xr10:uidLastSave="{87923548-3EFC-4D61-8F04-A1DA15FD2931}"/>
  <bookViews>
    <workbookView xWindow="-120" yWindow="-120" windowWidth="29040" windowHeight="15720" tabRatio="500" firstSheet="5" activeTab="9" xr2:uid="{00000000-000D-0000-FFFF-FFFF00000000}"/>
  </bookViews>
  <sheets>
    <sheet name="Anlagenkonzept" sheetId="1" r:id="rId1"/>
    <sheet name="Annahmen" sheetId="2" r:id="rId2"/>
    <sheet name="Berechnung" sheetId="3" r:id="rId3"/>
    <sheet name="Sensitivität &amp; Medienvergleich" sheetId="4" r:id="rId4"/>
    <sheet name="Arbeitsgas &amp; Regime" sheetId="5" r:id="rId5"/>
    <sheet name="Zyklus &amp; Inventar" sheetId="6" r:id="rId6"/>
    <sheet name="Einspeichern Stufen" sheetId="7" r:id="rId7"/>
    <sheet name="Ausspeichern Drossel" sheetId="8" r:id="rId8"/>
    <sheet name="Phasendiagramm" sheetId="9" r:id="rId9"/>
    <sheet name="p-h Diagramm" sheetId="10" r:id="rId10"/>
    <sheet name="Phasendiagramm gasförmig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5" l="1"/>
  <c r="E27" i="5"/>
  <c r="I26" i="5"/>
  <c r="E26" i="5"/>
  <c r="I25" i="5"/>
  <c r="E25" i="5"/>
  <c r="I24" i="5"/>
  <c r="E24" i="5"/>
  <c r="I23" i="5"/>
  <c r="E23" i="5"/>
  <c r="I22" i="5"/>
  <c r="E22" i="5"/>
  <c r="I21" i="5"/>
  <c r="E21" i="5"/>
  <c r="I20" i="5"/>
  <c r="E20" i="5"/>
  <c r="I19" i="5"/>
  <c r="E19" i="5"/>
  <c r="I18" i="5"/>
  <c r="E18" i="5"/>
  <c r="I17" i="5"/>
  <c r="E17" i="5"/>
  <c r="I16" i="5"/>
  <c r="E16" i="5"/>
  <c r="I15" i="5"/>
  <c r="E15" i="5"/>
  <c r="I14" i="5"/>
  <c r="E14" i="5"/>
  <c r="I13" i="5"/>
  <c r="E13" i="5"/>
  <c r="B44" i="3"/>
  <c r="B43" i="3"/>
  <c r="F32" i="3"/>
  <c r="B27" i="3"/>
  <c r="C27" i="3" s="1"/>
  <c r="E26" i="3"/>
  <c r="E25" i="3"/>
  <c r="B23" i="3"/>
  <c r="C23" i="3" s="1"/>
  <c r="E22" i="3"/>
  <c r="E21" i="3"/>
  <c r="B19" i="3"/>
  <c r="C19" i="3" s="1"/>
  <c r="E18" i="3"/>
  <c r="E17" i="3"/>
  <c r="E15" i="3"/>
  <c r="B15" i="3"/>
  <c r="C15" i="3" s="1"/>
  <c r="E14" i="3"/>
  <c r="B14" i="3"/>
  <c r="C14" i="3" s="1"/>
  <c r="E13" i="3"/>
  <c r="E11" i="3"/>
  <c r="B11" i="3"/>
  <c r="C11" i="3" s="1"/>
  <c r="E10" i="3"/>
  <c r="B10" i="3"/>
  <c r="C10" i="3" s="1"/>
  <c r="E9" i="3"/>
  <c r="E7" i="3"/>
  <c r="B7" i="3"/>
  <c r="C7" i="3" s="1"/>
  <c r="E6" i="3"/>
  <c r="B6" i="3"/>
  <c r="C6" i="3" s="1"/>
  <c r="F5" i="3"/>
  <c r="E5" i="3"/>
  <c r="F6" i="3" s="1"/>
  <c r="F7" i="3" s="1"/>
  <c r="F8" i="3" s="1"/>
  <c r="B14" i="2"/>
  <c r="B22" i="3" s="1"/>
  <c r="C22" i="3" s="1"/>
  <c r="E27" i="3" l="1"/>
  <c r="B8" i="3"/>
  <c r="C8" i="3" s="1"/>
  <c r="B12" i="3"/>
  <c r="C12" i="3" s="1"/>
  <c r="B16" i="3"/>
  <c r="C16" i="3" s="1"/>
  <c r="B20" i="3"/>
  <c r="C20" i="3" s="1"/>
  <c r="B24" i="3"/>
  <c r="C24" i="3" s="1"/>
  <c r="B28" i="3"/>
  <c r="C28" i="3" s="1"/>
  <c r="E19" i="3"/>
  <c r="E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E12" i="3"/>
  <c r="E16" i="3"/>
  <c r="E20" i="3"/>
  <c r="E24" i="3"/>
  <c r="E28" i="3"/>
  <c r="E23" i="3"/>
  <c r="B5" i="3"/>
  <c r="C5" i="3" s="1"/>
  <c r="B9" i="3"/>
  <c r="C9" i="3" s="1"/>
  <c r="B13" i="3"/>
  <c r="C13" i="3" s="1"/>
  <c r="B17" i="3"/>
  <c r="C17" i="3" s="1"/>
  <c r="B21" i="3"/>
  <c r="C21" i="3" s="1"/>
  <c r="B25" i="3"/>
  <c r="C25" i="3" s="1"/>
  <c r="B29" i="3"/>
  <c r="C29" i="3" s="1"/>
  <c r="B26" i="3"/>
  <c r="C26" i="3" s="1"/>
  <c r="B18" i="3"/>
  <c r="C18" i="3" s="1"/>
  <c r="F33" i="3" l="1"/>
  <c r="F31" i="3"/>
</calcChain>
</file>

<file path=xl/sharedStrings.xml><?xml version="1.0" encoding="utf-8"?>
<sst xmlns="http://schemas.openxmlformats.org/spreadsheetml/2006/main" count="668" uniqueCount="512">
  <si>
    <t>Anlagenkonzept: dualer Betrieb – dichte Phase (Hauptfall) und gasförmige Pipeline (Zusatzmodule)</t>
  </si>
  <si>
    <t>Alle Zustandspunkte aus co2_kaverne.py (CoolProp, Span-Wagner) – bei Änderung der Annahmen dort neu erzeugen. Szenario D beschreibt ZONE I; darunter siehe Zonentabelle unten.</t>
  </si>
  <si>
    <t>SZENARIO D – DICHTE PHASE (OGE-Pipeline 74–200 bar, 5–25 °C) – HAUPTFALL</t>
  </si>
  <si>
    <t>D1 Einspeichern</t>
  </si>
  <si>
    <t>Nr.</t>
  </si>
  <si>
    <t>Komponente / Ort</t>
  </si>
  <si>
    <t>p [bar]</t>
  </si>
  <si>
    <t>T [°C]</t>
  </si>
  <si>
    <t>Phase</t>
  </si>
  <si>
    <t>Anmerkung</t>
  </si>
  <si>
    <t>Anlieferung OGE-Fernleitung</t>
  </si>
  <si>
    <t>dicht (flüssig)</t>
  </si>
  <si>
    <t>Spec 74–200 bar / 5–25 °C</t>
  </si>
  <si>
    <t>nach Pumpe (mehrstufige Radialpumpe, η=0,8)</t>
  </si>
  <si>
    <t>w = 3.66 kJ/kg; P = 101–201 kW; einspeicherseitig kein Kühler</t>
  </si>
  <si>
    <t>Bohrloch abwärts – Übergang flüssig→überkritisch bei 533 m</t>
  </si>
  <si>
    <t>111→210</t>
  </si>
  <si>
    <t>18→51</t>
  </si>
  <si>
    <t>flüssig → überkritisch</t>
  </si>
  <si>
    <t>homogen, KEINE Phasengrenze</t>
  </si>
  <si>
    <t>Kaverne (unten)</t>
  </si>
  <si>
    <t>überkritisch</t>
  </si>
  <si>
    <t>Betriebsbereich 70–210 bar</t>
  </si>
  <si>
    <t>D2 Ausspeichern</t>
  </si>
  <si>
    <t>Kaverne</t>
  </si>
  <si>
    <t>identisch mit D1 – vorher inkonsistent (217 bar/56 °C)</t>
  </si>
  <si>
    <t>Bohrlochkopf</t>
  </si>
  <si>
    <t>AUSLEGUNG Nennrate (adiabat: h+g·z=konst.); Teillast bis ~15 °C</t>
  </si>
  <si>
    <t>nach Drossel (Regelventil, 1 Stufe)</t>
  </si>
  <si>
    <t>JT; über OGE-Spec (5–25 °C) → Nachkühler</t>
  </si>
  <si>
    <t>Nachkühler (Standard-Equipment)</t>
  </si>
  <si>
    <t>→ ≤25</t>
  </si>
  <si>
    <t>0.8–1.5 MW; hält OGE-Spec; bei Teillast ggf. Bypass</t>
  </si>
  <si>
    <t>Rücklieferung OGE-Fernleitung</t>
  </si>
  <si>
    <t>≤25</t>
  </si>
  <si>
    <t>in Spec; Ende der Ausspeicherung: Pumpe boostet</t>
  </si>
  <si>
    <t>→ ZONE I (pLCCS 167–210 bar): Bohrloch durchgehend dicht, Kopfdruck ≥ pkrit. Nur hier gilt Szenario D unverändert.</t>
  </si>
  <si>
    <t>→ ZONE II (pLCCS 137–167 bar): Kopf unterkritisch, CO2 bleibt aber flüssig (Case 1 im SMRI-Paper) – noch einphasig.</t>
  </si>
  <si>
    <t>→ ZONE III (pLCCS 70–137 bar): Zweiphasengebiet im oberen Bohrloch, instabile Schichtung (Case 2). Zusatzmodule aus Szenario G nötig.</t>
  </si>
  <si>
    <t>G1 Einspeichern (Verdichter-Modul → mündet in Kernstrang)</t>
  </si>
  <si>
    <t>Anlieferung Gas-Pipeline</t>
  </si>
  <si>
    <t>gasförmig</t>
  </si>
  <si>
    <t>Spec 25–35 bar / 5–25 °C</t>
  </si>
  <si>
    <t>nach Verdichterstufe 1 (η=0,8)</t>
  </si>
  <si>
    <t>r ≈ 1,63</t>
  </si>
  <si>
    <t>nach Zwischenkühler</t>
  </si>
  <si>
    <t>nach Verdichterstufe 2</t>
  </si>
  <si>
    <t>gasförmig (T&gt;Tk)</t>
  </si>
  <si>
    <t>nur bis knapp über pkrit!</t>
  </si>
  <si>
    <t>nach Nachkühler – VERFLÜSSIGUNG</t>
  </si>
  <si>
    <t>ρ = 777 kg/m³, homogen (p&gt;pkrit)</t>
  </si>
  <si>
    <t>gemeinsame Pumpe (Kernstrang)</t>
  </si>
  <si>
    <t>w = 4,9 kJ/kg – ab hier wie Szenario D</t>
  </si>
  <si>
    <t>G2 Ausspeichern (Vorwärmer-Modul)</t>
  </si>
  <si>
    <t>Auslegung wie D2; Teillast bis ~20 °C</t>
  </si>
  <si>
    <t>nach Vorwärmer 1</t>
  </si>
  <si>
    <t>von 41 °C; Leistung 3,7–7,5 MW</t>
  </si>
  <si>
    <t>nach Drossel 1</t>
  </si>
  <si>
    <t>10 K über Tsat</t>
  </si>
  <si>
    <t>nach Vorwärmer 2</t>
  </si>
  <si>
    <t>nach Drossel 2 → Gas-Pipeline</t>
  </si>
  <si>
    <t>in Spec 25–35 bar / 5–25 °C</t>
  </si>
  <si>
    <t>–</t>
  </si>
  <si>
    <t>VERGLEICH: ohne Vorwärmung direkt auf 30 bar</t>
  </si>
  <si>
    <t>ZWEIPHASIG q=0,21</t>
  </si>
  <si>
    <t>Tröpfchen, außerhalb Spec – nicht zulässig</t>
  </si>
  <si>
    <t>→ Einstufige Alternative: eine Vorwärmung auf 86,7 °C statt zwei moderater Stufen (75/46 °C). Energie identisch, Stufen entlasten die Heizflächen.</t>
  </si>
  <si>
    <t>→ In Szenario G werden die kritischen Grenzen gekreuzt: hier sind die Bohrloch-Phasenwechselpfade Case 1/2 (SMRI Fig. 6) und die</t>
  </si>
  <si>
    <t xml:space="preserve">   Messtechnik-/Inventarthemen des Niederdruckbereichs relevant (Kopfdruck ≠ Füllstandsindikator).</t>
  </si>
  <si>
    <t xml:space="preserve">Verunreinigungen (vgl. DVGW-Abbildung): reale CO2-Gemische haben ein aufgeweitetes Zweiphasen-Band statt einer Linie – </t>
  </si>
  <si>
    <t>Sicherheitszuschlag auf die 73,8-bar-Grenze einplanen; Zusammensetzungs-Spec bei OGE erfragen (Fragenkatalog Körber).</t>
  </si>
  <si>
    <t>AUSLEGUNG MIT VOLUMENSTROM 50.000–100.000 Nm³/h (Vorgabe Martina)</t>
  </si>
  <si>
    <t>Interpretation als Normvolumenstrom (CO2: 1,977 kg/m³ i.N.) → Massenstrom 99–198 t/h = 27,5–55 kg/s. Bitte mit Martina bestätigen.</t>
  </si>
  <si>
    <t>Größe</t>
  </si>
  <si>
    <t>bei 50.000 Nm³/h</t>
  </si>
  <si>
    <t>bei 100.000 Nm³/h</t>
  </si>
  <si>
    <t>Massenstrom</t>
  </si>
  <si>
    <t>27,5 kg/s (99 t/h)</t>
  </si>
  <si>
    <t>55 kg/s (198 t/h)</t>
  </si>
  <si>
    <t>aus Normdichte 1,977 kg/m³</t>
  </si>
  <si>
    <t>Betriebsvolumenstrom Pumpe (dicht)</t>
  </si>
  <si>
    <t>113 m³/h</t>
  </si>
  <si>
    <t>226 m³/h</t>
  </si>
  <si>
    <t>ρ ≈ 874 kg/m³ → API-610-Radialpumpe</t>
  </si>
  <si>
    <t>Pumpenleistung Sz. D (85→111 bar)</t>
  </si>
  <si>
    <t>102 kW</t>
  </si>
  <si>
    <t>203 kW</t>
  </si>
  <si>
    <t>w = 3,7 kJ/kg, η = 0,8</t>
  </si>
  <si>
    <t>Verdichterleistung Sz. G (30→80 bar)</t>
  </si>
  <si>
    <t>1,6 MW</t>
  </si>
  <si>
    <t>3,1 MW</t>
  </si>
  <si>
    <t>2 Stufen, w = 57 kJ/kg</t>
  </si>
  <si>
    <t>Pumpenleistung Sz. G (80→111 bar)</t>
  </si>
  <si>
    <t>135 kW</t>
  </si>
  <si>
    <t>269 kW</t>
  </si>
  <si>
    <t>gemeinsamer Kernstrang</t>
  </si>
  <si>
    <t>Vorwärmer 1 Sz. G (41→75 °C)</t>
  </si>
  <si>
    <t>3,7 MW</t>
  </si>
  <si>
    <t>7,5 MW</t>
  </si>
  <si>
    <t>ab Auslegungs-Ankunft 41 °C</t>
  </si>
  <si>
    <t>Vorwärmer 2 Sz. G (32→46 °C)</t>
  </si>
  <si>
    <t>0,7 MW</t>
  </si>
  <si>
    <t>1,5 MW</t>
  </si>
  <si>
    <t>Verweilzeit Bohrloch (Ausspeichern)</t>
  </si>
  <si>
    <t>~12 min</t>
  </si>
  <si>
    <t>~6 min</t>
  </si>
  <si>
    <t>7"-Tubing, v = 1,7–3,4 m/s</t>
  </si>
  <si>
    <t>Auslegungslogik Kopftemperatur:</t>
  </si>
  <si>
    <t>Bei 6–12 min Verweilzeit kaum Wärmeaustausch mit dem Gebirge → nahe adiabater Grenzfall: Ankunft am Kopf ~41 °C (statt 20 °C statisch).</t>
  </si>
  <si>
    <t>Auslegungsfall Sz. D: Drossel 120 bar/41 °C → 85 bar = 33,8 °C → Nachkühler ist Standard-Equipment (nicht optional).</t>
  </si>
  <si>
    <t>→ Sz. D braucht ausspeicherseitig einen NACHKÜHLER (auf ≤25 °C): 1,1–2,1 MW. Phase bleibt dicht – reines Spec-Thema, kein Phasenrisiko.</t>
  </si>
  <si>
    <t>Genaue Kopftemperatur zwischen den Grenzfällen (20/41 °C) erfordert ein transientes Bohrlochmodell (vgl. SMRI-Paper, offener Punkt).</t>
  </si>
  <si>
    <t>Einspeicherung CO2 in Salzkaverne – Druckbilanz der Gassäule</t>
  </si>
  <si>
    <t>Statische CO2-Säule in der Bohrung: der Druck steigt mit der Teufe durch das Eigengewicht (ρ·g·h).</t>
  </si>
  <si>
    <t>Frage: Welchen Kopfdruck braucht man oben, damit unten in der Kaverne der Zieldruck erreicht wird?</t>
  </si>
  <si>
    <t>Eingaben (blau = frei wählbar)</t>
  </si>
  <si>
    <t>Zieldruck Kaverne (unten)</t>
  </si>
  <si>
    <t>bar</t>
  </si>
  <si>
    <t>Teufe (Länge der Säule)</t>
  </si>
  <si>
    <t>m</t>
  </si>
  <si>
    <t>Gebirgstemperatur an Oberfläche (ungestört)</t>
  </si>
  <si>
    <t>°C</t>
  </si>
  <si>
    <t>≈ Jahresmittel; NICHT Lufttemperatur, NICHT Medium. SMRI-Paper nutzt 10 °C.</t>
  </si>
  <si>
    <t>Geothermischer Gradient</t>
  </si>
  <si>
    <t>°C/100 m</t>
  </si>
  <si>
    <t>Erdbeschleunigung</t>
  </si>
  <si>
    <t>m/s²</t>
  </si>
  <si>
    <t>Anzahl Tiefenschritte</t>
  </si>
  <si>
    <t>Abgeleitete Größen</t>
  </si>
  <si>
    <t>Schrittweite Δz</t>
  </si>
  <si>
    <t>Kopfdruck oben (iterativ bestimmt)</t>
  </si>
  <si>
    <t>↑ so gewählt, dass die Integration unten genau p_ziel erreicht (siehe Blatt 'Berechnung').</t>
  </si>
  <si>
    <t>Methode</t>
  </si>
  <si>
    <t>• Die Dichte von CO2 hängt von Druck und Temperatur ab – beide ändern sich mit der Teufe.</t>
  </si>
  <si>
    <t>• Daher wird dp/dz = ρ(p,T)·g schrittweise nach unten integriert, statt ρ·g·h mit festem ρ.</t>
  </si>
  <si>
    <t>• ρ pro Schritt stammt aus CoolProp (Zustandsgleichung Span-Wagner), Spalte 'Dichte' im Blatt 'Berechnung'.</t>
  </si>
  <si>
    <t>• Die Druckaufsummierung selbst erfolgt hier per Excel-Formel und ist Zeile für Zeile nachvollziehbar.</t>
  </si>
  <si>
    <t>Legende &amp; Quellen-Dokumentation (gilt für die gesamte Arbeitsmappe)</t>
  </si>
  <si>
    <t>Blaue Schrift</t>
  </si>
  <si>
    <t>eingetragener Zahlenwert: entweder freie Annahme ODER Stoffwert aus CoolProp – Herkunft steht jeweils in Anmerkung/Fußnote des Blatts</t>
  </si>
  <si>
    <t>Schwarze Schrift</t>
  </si>
  <si>
    <t>Excel-Formel, rechnet bei Änderung der Annahmen mit</t>
  </si>
  <si>
    <t>Gelbe Füllung</t>
  </si>
  <si>
    <t>frei änderbare Eingabe bzw. hervorgehobenes Schlüsselergebnis</t>
  </si>
  <si>
    <t>Stoffdaten-Quelle</t>
  </si>
  <si>
    <t>CoolProp (Open Source), Zustandsgleichung Span &amp; Wagner (1996) für CO2; CH4/H2: jeweilige Referenz-EOS in CoolProp</t>
  </si>
  <si>
    <t>CoolProp-Werte je Blatt (blau):</t>
  </si>
  <si>
    <t>• Berechnung: Spalte 'Dichte ρ' (Zeilen 5–29) sowie h- und T-Werte der 41-°C-Herleitung (Zeilen 42/45)</t>
  </si>
  <si>
    <t>• Sensitivität &amp; Medienvergleich: alle Kopfdrücke, Dichten und Profilwerte (CO2/CH4/H2)</t>
  </si>
  <si>
    <t>• Einspeichern Stufen / Ausspeichern Drossel: alle T-, h- und Phasenangaben der Prozesspfade</t>
  </si>
  <si>
    <t>• Phasendiagramm / p-h / gasförmig: Sättigungslinie, Dom, kritischer Punkt und alle Pfad-Datenpunkte</t>
  </si>
  <si>
    <t>Wichtige Begriffstrennung: 'Gebirgstemperatur Oberfläche' (15 °C, geothermisches Profil) und 'Anliefertemperatur Medium'</t>
  </si>
  <si>
    <t>(15 °C, aus OGE-Fenster 5–25 °C gewählt) sind UNABHÄNGIGE Annahmen mit zufällig gleichem Zahlenwert.</t>
  </si>
  <si>
    <t>Integration der Gassäule (von oben nach unten)</t>
  </si>
  <si>
    <t>Pro Zeile: T aus Gradient · ρ aus CoolProp · Δp = ρ·g·Δz · p_neu = p_alt + Δp</t>
  </si>
  <si>
    <t>Schritt</t>
  </si>
  <si>
    <t>Teufe z [m]</t>
  </si>
  <si>
    <t>Temperatur [°C]</t>
  </si>
  <si>
    <t>Dichte ρ [kg/m³]</t>
  </si>
  <si>
    <t>Δp = ρ·g·Δz [bar]</t>
  </si>
  <si>
    <t>Druck p [bar]</t>
  </si>
  <si>
    <t>Kontrolle:</t>
  </si>
  <si>
    <t>Druck unten =</t>
  </si>
  <si>
    <t>Zieldruck =</t>
  </si>
  <si>
    <t>Druckgewinn Säule =</t>
  </si>
  <si>
    <t>Der Kopfdruck (Blatt Annahmen, B15) ist so gewählt, dass 'Druck unten' = Zieldruck ist.</t>
  </si>
  <si>
    <t>Herleitung: Kopftemperatur beim Ausspeichern (adiabater Grenzfall, ~41 °C)</t>
  </si>
  <si>
    <t>Energiebilanz für stationäre, adiabate Strömung im Bohrloch (kinetische Energie vernachlässigt): h + g·z = konstant.</t>
  </si>
  <si>
    <t>D.h. beim Aufstieg um Δz sinkt die spezifische Enthalpie um g·Δz – das Gas 'bezahlt' den Höhengewinn aus seiner Enthalpie.</t>
  </si>
  <si>
    <t>Wert</t>
  </si>
  <si>
    <t>Einheit</t>
  </si>
  <si>
    <t>Quelle / Formel</t>
  </si>
  <si>
    <t>Zustand unten (Kaverne)</t>
  </si>
  <si>
    <t>217 bar / 56 °C</t>
  </si>
  <si>
    <t>Annahme: Kavernendruck bei Ausspeicherbeginn</t>
  </si>
  <si>
    <t>h unten = h(217 bar, 56 °C)</t>
  </si>
  <si>
    <t>kJ/kg</t>
  </si>
  <si>
    <t>CoolProp (Span-Wagner) – blauer Eingabewert</t>
  </si>
  <si>
    <t>g · Δz</t>
  </si>
  <si>
    <t>Formel: 9,81 m/s² · 1200 m = 11,77</t>
  </si>
  <si>
    <t>h oben = h unten − g·Δz</t>
  </si>
  <si>
    <t>Formel – wird unten gesetzt</t>
  </si>
  <si>
    <t>T am Kopf = T(120 bar, h oben)</t>
  </si>
  <si>
    <t>CoolProp-Rückrechnung – blauer Eingabewert</t>
  </si>
  <si>
    <t>Kontrolle: 311,20 − 11,77 = 299,43 kJ/kg → T(120 bar; 299,43 kJ/kg) = 41,0 °C. Die eingezeichnete Amber-Kurve</t>
  </si>
  <si>
    <t>im Blatt 'Phasendiagramm' (Spalten AQ/AR) ist dieselbe Bilanz schrittweise über 24 Tiefenschritte ausgewertet.</t>
  </si>
  <si>
    <t>Gegenstück langsamer Grenzfall: Gas folgt dem Gebirgsprofil → ~20 °C am Kopf (Pfad 'Bohrloch hoch', hellgrün).</t>
  </si>
  <si>
    <t>Reale Kopftemperatur liegt ratenabhängig dazwischen; exakt nur per transientem Bohrlochmodell (SMRI-Paper, offener Punkt).</t>
  </si>
  <si>
    <t>Teufenprofile: Temperatur, Druck und Dichte für drei Druckbereiche (Darstellung nach Buzogany &amp; Kruck 2022, Fig. 3)</t>
  </si>
  <si>
    <t>Eigene Berechnung mit CoolProp für UNSERE Kavernenannahmen (1200 m, 15 °C Oberfläche, 0,03 K/m). Statische Säule, dp/dz = ρ·g von der LCCS aufwärts integriert.</t>
  </si>
  <si>
    <t>Druckbereiche analog Quelle: pkrit = 73,8 bar als Grenze. Hoch = Kopfdruck ≥ pkrit · Grenzfall = Kopfdruck genau pkrit · Niedrig = pLCCS &lt; pkrit.</t>
  </si>
  <si>
    <t>→ Die drei Diagramme stehen rechts neben der Tabelle: Temperatur ab Spalte J, Druck ab Spalte R, Dichte ab Spalte Z.</t>
  </si>
  <si>
    <t>T geologisch [°C]</t>
  </si>
  <si>
    <t>p [bar] hoch (pLCCS 210)</t>
  </si>
  <si>
    <t>p [bar] Grenzfall (pLCCS 166,5)</t>
  </si>
  <si>
    <t>p [bar] niedrig (pLCCS 70)</t>
  </si>
  <si>
    <t>ρ [kg/m³] hoch</t>
  </si>
  <si>
    <t>ρ [kg/m³] Grenzfall</t>
  </si>
  <si>
    <t>ρ [kg/m³] niedrig</t>
  </si>
  <si>
    <t>Ergebnisse und Vergleich mit der Quelle</t>
  </si>
  <si>
    <t>Hochdruckbereich (pLCCS 210 bar):</t>
  </si>
  <si>
    <t>Kopfdruck 111 bar, Dichte 900 kg/m³ oben und 791 kg/m³ unten. Phasenwechsel flüssig → überkritisch bei ca. 550 m Teufe – homogen, ohne Materialsprung.</t>
  </si>
  <si>
    <t>Grenzfall (pLCCS 166,5 bar):</t>
  </si>
  <si>
    <t>Kopfdruck genau pkrit = 73,8 bar. Unterhalb dieses pLCCS wird der Bohrlochkopf unterkritisch. Quelle nennt für ihre Kaverne 167,9 bar – trotz anderer Teufe/Oberflächentemperatur nahezu identisch.</t>
  </si>
  <si>
    <t>Niederdruckbereich (pLCCS 70 bar):</t>
  </si>
  <si>
    <t>Gassäule statt Flüssigsäule: Dichte nur 159 kg/m³ am Kopf, dadurch fällt der Druck über die Teufe kaum (70 → 50,7 bar). Kopfdruck liegt nur 0,2 bar über der Sättigungslinie.</t>
  </si>
  <si>
    <t>Achtung Zweiphasengebiet:</t>
  </si>
  <si>
    <t>Mit unseren 15 °C Oberflächentemperatur bleibt die Säule knapp gasförmig. Mit 10 °C (Annahme der Quelle) entsteht ab ca. 225 m Teufe ein Nassdampfgebiet – Quelle nennt ca. 250 m. Der Niederdruckbereich ist also nur bei milden Temperaturen einphasig.</t>
  </si>
  <si>
    <t>Kritische Teufe:</t>
  </si>
  <si>
    <t>Die geologische Temperatur unterschreitet Tkrit = 31 °C bei 533 m (Quelle: 725 m, wegen deren 10 °C Oberflächentemperatur). Oberhalb dieser Teufe liegt CO2 flüssig statt überkritisch vor.</t>
  </si>
  <si>
    <t>Dichteverlauf:</t>
  </si>
  <si>
    <t>Bei den Hochdruckfällen nimmt die Dichte mit der Teufe AB (Temperaturanstieg überwiegt Druckanstieg) → potenziell instabile Schichtung und Konvektion, wie in der Quelle beschrieben.</t>
  </si>
  <si>
    <t>Quellenabgrenzung: Konzept der Druckbereiche, geothermischer Gradient (0,03 K/m) und Betriebsfenster nach Buzogany &amp; Kruck (2022);</t>
  </si>
  <si>
    <t>Berechnung, Zahlenwerte und Stoffdaten eigenständig mit CoolProp (Span &amp; Wagner) für unsere Kavernenannahmen erstellt.</t>
  </si>
  <si>
    <t>Sensitivität Teufe &amp; Medienvergleich: CO2 vs. Erdgas (CH4) vs. Wasserstoff (H2)</t>
  </si>
  <si>
    <t>Gleiche Rechnung (dp/dz = ρ·g integriert), gleiches Ziel (210 bar unten), gleiches Temperaturprofil – nur das Medium ändert sich.</t>
  </si>
  <si>
    <t>1) Benötigter Kopfdruck in Abhängigkeit der Teufe (Ziel: 210 bar unten)</t>
  </si>
  <si>
    <t>Teufe [m]</t>
  </si>
  <si>
    <t>Kopfdruck CO2 [bar]</t>
  </si>
  <si>
    <t>Kopfdruck CH4 [bar]</t>
  </si>
  <si>
    <t>Kopfdruck H2 [bar]</t>
  </si>
  <si>
    <t>Zieldruck unten [bar]</t>
  </si>
  <si>
    <t>CO2 profitiert massiv von der Teufe (−71 bar Kopfdruck zwischen 600 und 1600 m). CH4 kaum (−13 bar), H2 praktisch gar nicht (−1,4 bar).</t>
  </si>
  <si>
    <t>Je tiefer die Kaverne, desto größer der Vorteil der dichten CO2-Säule – für H2 ist die Teufe druckseitig fast irrelevant.</t>
  </si>
  <si>
    <t>2) Kennzahlen bei 1200 m Teufe</t>
  </si>
  <si>
    <t>Medium</t>
  </si>
  <si>
    <t>Kopfdruck [bar]</t>
  </si>
  <si>
    <t>Säulengewinn [bar]</t>
  </si>
  <si>
    <t>ρ Kopf [kg/m³]</t>
  </si>
  <si>
    <t>ρ unten [kg/m³]</t>
  </si>
  <si>
    <t>Übertagetechnik</t>
  </si>
  <si>
    <t>CO2 (dicht)</t>
  </si>
  <si>
    <t>Pumpe (85→111 bar)</t>
  </si>
  <si>
    <t>Erdgas (CH4)</t>
  </si>
  <si>
    <t>Verdichter bis ~200–230 bar</t>
  </si>
  <si>
    <t>Wasserstoff (H2)</t>
  </si>
  <si>
    <t>Verdichter bis ~210+ bar</t>
  </si>
  <si>
    <t>Erdgas/H2: Dichte unten &lt; oben (Temperaturanstieg überkompensiert Druckanstieg) → instabile Schichtung/Konvektion, vgl. SMRI-Paper.</t>
  </si>
  <si>
    <t>3) Druck- und Dichteprofile über die Teufe (1200 m, 24 Schritte à 50 m)</t>
  </si>
  <si>
    <t>CO2</t>
  </si>
  <si>
    <t>ρ [kg/m³]</t>
  </si>
  <si>
    <t>Arbeitsgas / Kissengas und die zwei Betriebsregime</t>
  </si>
  <si>
    <t>Methode: Massenbilanz im festen Kavernenvolumen. Inventar m = ρ(p,T) · V. Arbeitsgas = m(p_max) − m(p_min), Kissengas = m(p_min).</t>
  </si>
  <si>
    <t>WICHTIG: Bei CO2 NICHT über das Druckverhältnis rechnen! ρ ist nahe dem kritischen Punkt stark nichtlinear (73,8→80 bar: 295→586 kg/m³).</t>
  </si>
  <si>
    <t>Bei Erdgas wäre die Näherung 'Arbeitsgas ∝ Druckdifferenz' brauchbar – bei CO2 führt sie zu groben Fehlern.</t>
  </si>
  <si>
    <t>Eingaben</t>
  </si>
  <si>
    <t>Kavernenvolumen V</t>
  </si>
  <si>
    <t>m³</t>
  </si>
  <si>
    <t>Beispielwert nach Buzogany &amp; Kruck (2022)</t>
  </si>
  <si>
    <t>Maximaldruck p_max</t>
  </si>
  <si>
    <t>≈ 80 % des lithostatischen Drucks</t>
  </si>
  <si>
    <t>Temperatur isotherm</t>
  </si>
  <si>
    <t>vereinfachte Näherung</t>
  </si>
  <si>
    <t>T-Modell mit Abkühlung</t>
  </si>
  <si>
    <t>33,1 °C @ 77,6 bar … 55 °C @ 210 bar</t>
  </si>
  <si>
    <t>linear interpoliert aus der Simulation der Quelle</t>
  </si>
  <si>
    <t>pLCCS [bar]</t>
  </si>
  <si>
    <t>T isotherm [°C]</t>
  </si>
  <si>
    <t>Inventar [kt]</t>
  </si>
  <si>
    <t>Arbeitsgas ab hier [%]</t>
  </si>
  <si>
    <t>T mit Abkühlung [°C]</t>
  </si>
  <si>
    <t>Die drei möglichen Minimaldrücke im Vergleich</t>
  </si>
  <si>
    <t>Variante</t>
  </si>
  <si>
    <t>Kriterium</t>
  </si>
  <si>
    <t>p_min [bar]</t>
  </si>
  <si>
    <t>Arbeitsgas isotherm [%]</t>
  </si>
  <si>
    <t>Arbeitsgas mit Abkühlung [%]</t>
  </si>
  <si>
    <t>Bewertung</t>
  </si>
  <si>
    <t>A</t>
  </si>
  <si>
    <t>gesamtes Bohrloch bleibt dicht (Kopfdruck ≥ 73,8 bar)</t>
  </si>
  <si>
    <t>wirtschaftlich ausgeschlossen</t>
  </si>
  <si>
    <t>B</t>
  </si>
  <si>
    <t>nur die Kaverne bleibt überkritisch (pLCCS ≥ 73,8 bar)</t>
  </si>
  <si>
    <t>praktikabel; Phasenwechsel im Bohrloch werden in Kauf genommen</t>
  </si>
  <si>
    <t>C</t>
  </si>
  <si>
    <t>geomechanisches Minimum (Salzkriechen)</t>
  </si>
  <si>
    <t>untere Grenze aus dem Betriebsplan</t>
  </si>
  <si>
    <t>Kernaussage: Der Unterschied zwischen A und B ist NICHT geomechanisch, sondern eine Prozessentscheidung.</t>
  </si>
  <si>
    <t>Variante A würde nur ~2–8 % des Inventars nutzbar machen – der Preis dafür, dass im Bohrloch nirgends ein Phasenübergang auftritt.</t>
  </si>
  <si>
    <t>Variante B/C nutzt das Betriebsfenster aus und akzeptiert, dass der Bohrlochkopf im unteren Druckbereich unterkritisch wird.</t>
  </si>
  <si>
    <t>Daraus folgen ZWEI BETRIEBSREGIME – die Übertageanlage muss beide beherrschen</t>
  </si>
  <si>
    <t>Regime</t>
  </si>
  <si>
    <t>pLCCS-Bereich</t>
  </si>
  <si>
    <t>Zustand im Bohrloch</t>
  </si>
  <si>
    <t>Anlagentechnik</t>
  </si>
  <si>
    <t>Besonderheit</t>
  </si>
  <si>
    <t>I – dichter Betrieb</t>
  </si>
  <si>
    <t>166,5 – 210 bar</t>
  </si>
  <si>
    <t>durchgehend dicht/überkritisch, Kopfdruck ≥ 73,8 bar</t>
  </si>
  <si>
    <t>Pumpe + eine Drosselstufe (+ Nachkühler)</t>
  </si>
  <si>
    <t>thermodynamisch harmlos, Kopfdruck = Füllstandsindikator</t>
  </si>
  <si>
    <t>II – unterkritischer Kopf</t>
  </si>
  <si>
    <t>70 – 166,5 bar</t>
  </si>
  <si>
    <t>Kopf unterkritisch; Phasenwechsel im oberen Bohrloch (Case 1/2)</t>
  </si>
  <si>
    <t>zusätzlich Vorwärmung, mehrphasenfähige Messtechnik, ggf. Verdichter/Pumpe zum Boosten</t>
  </si>
  <si>
    <t>Kopfdruck sagt nichts mehr über den Füllstand → Inventar über Mengenbilanz</t>
  </si>
  <si>
    <t>Der überwiegende Teil des Arbeitsgases liegt in Regime II – deshalb ist es kein Sonderfall, sondern Normalbetrieb.</t>
  </si>
  <si>
    <t>Grenzen dieser Abschätzung (ehrlich)</t>
  </si>
  <si>
    <t>• Beide Spalten sind vereinfacht: isotherm ist zu optimistisch, das lineare T(p)-Modell ebenfalls (es bildet die Ratenabhängigkeit nicht ab).</t>
  </si>
  <si>
    <t>• Die Vollsimulation der Quelle liefert 68–78 % KISSENGAS, also nur 22–32 % Arbeitsgas – deutlich weniger als unsere 61–68 %.</t>
  </si>
  <si>
    <t>• Ursache: Beim Ausspeichern kühlt die Kaverne ab, das CO2 bleibt nahe dem kritischen Punkt dicht, und die max. Druckänderungsrate (6 bar/d) begrenzt zusätzlich.</t>
  </si>
  <si>
    <t>• Unsere Werte sind daher als OBERE Abschätzung zu lesen. Die Aussage 'Variante A ist wirtschaftlich ausgeschlossen' bleibt davon unberührt.</t>
  </si>
  <si>
    <t>• Für belastbare Arbeitsgaszahlen wäre eine transiente Kavernensimulation (wie PVT3 in der Quelle) nötig.</t>
  </si>
  <si>
    <t>KORREKTUR/VERFEINERUNG: Es sind DREI Zonen, nicht zwei</t>
  </si>
  <si>
    <t>Die Auswertung der statischen Säule über das gesamte Betriebsfenster zeigt eine Zwischenzone, in der der Kopf zwar unterkritisch ist, das CO2 aber flüssig bleibt.</t>
  </si>
  <si>
    <t>Zone</t>
  </si>
  <si>
    <t>entspricht SMRI-Paper</t>
  </si>
  <si>
    <t>I</t>
  </si>
  <si>
    <t>167 – 210</t>
  </si>
  <si>
    <t>≥ 73.8</t>
  </si>
  <si>
    <t>durchgehend dicht / überkritisch</t>
  </si>
  <si>
    <t>Hochdruckbereich</t>
  </si>
  <si>
    <t>Pumpe + 1 Drossel + Nachkühler</t>
  </si>
  <si>
    <t>II</t>
  </si>
  <si>
    <t>137 – 167</t>
  </si>
  <si>
    <t>51 – 73.8</t>
  </si>
  <si>
    <t>Kopf unterkritisch, CO2 bleibt FLÜSSIG</t>
  </si>
  <si>
    <t>Case 1 (Fig. 6)</t>
  </si>
  <si>
    <t>wie Zone I; Kopfdruck kein Füllstandsmaß mehr</t>
  </si>
  <si>
    <t>III</t>
  </si>
  <si>
    <t>70 – 137</t>
  </si>
  <si>
    <t>~51 – 51</t>
  </si>
  <si>
    <t>ZWEIPHASENGEBIET im oberen Bohrloch</t>
  </si>
  <si>
    <t>Case 2 / Niederdruckbereich</t>
  </si>
  <si>
    <t>+ Vorwärmung, mehrphasenfähige Messtechnik, Pumpe zum Boosten</t>
  </si>
  <si>
    <t>Grenze Zone II/III bei pLCCS ≈ 137 bar: ab hier erreicht die statische Säule die Sättigungslinie (bei ~105 m Teufe, mit sinkendem pLCCS immer tiefer).</t>
  </si>
  <si>
    <t>Wichtig: Im Zweiphasengebiet ist das einfache Säulenmodell nicht mehr gültig – dort entsteht die im Paper beschriebene instabile Schichtung mit Zirkulation</t>
  </si>
  <si>
    <t>(flüssiges CO2 sinkt ab, verdampft, steigt gasförmig auf, kondensiert wieder). Eine belastbare Aussage erfordert ein Mehrphasen-Bohrlochmodell.</t>
  </si>
  <si>
    <t>Konsequenz: Die Prozesspfade im Blatt 'Phasendiagramm' gelten für ZONE I. In Zone III sind Vorwärmung und mehrphasenfähige Messtechnik zwingend.</t>
  </si>
  <si>
    <t>Zyklussimulation und Inventarmessung</t>
  </si>
  <si>
    <t>Massen- und Energiebilanz der Kaverne über einen kompletten Zyklus (zyklus.py). Ergänzt die statischen Betrachtungen der übrigen Blätter.</t>
  </si>
  <si>
    <t>Modell: dm/dt = ṁ · dU/dt = ṁ·h + UA·(T_Gebirge − T_Kaverne). Zustand aus (ρ, u) via CoolProp. Vereinfacht: Kaverne ideal durchmischt, Bohrloch nicht modelliert.</t>
  </si>
  <si>
    <t>1) Einfluss der Ausspeicherrate — das zentrale Ergebnis</t>
  </si>
  <si>
    <t>Szenario</t>
  </si>
  <si>
    <t>Rate [kg/s]</t>
  </si>
  <si>
    <t>Dauer Ausspeicherung [d]</t>
  </si>
  <si>
    <t>T Kaverne am Ende [°C]</t>
  </si>
  <si>
    <t>Inventar min [kt]</t>
  </si>
  <si>
    <t>Arbeitsgas [%]</t>
  </si>
  <si>
    <t>Nennrate ~100 kNm³/h (55 kg/s)</t>
  </si>
  <si>
    <t>Maximalrate 6 bar/d (234 kg/s)</t>
  </si>
  <si>
    <t>Quelle (Maximalraten-Szenario): Kissengas 68–78 %, Kavernentemperatur am Ende 33,1 °C</t>
  </si>
  <si>
    <t>→ Langsameres Ausspeichern lässt dem Gebirge Zeit nachzuheizen. Die Kaverne bleibt wärmer, das CO2 weniger dicht,</t>
  </si>
  <si>
    <t xml:space="preserve">   dadurch kommt mehr Masse heraus: 74 % Arbeitsgas statt 50 %. Die Quelle vermutet genau diesen Effekt (Kap. 5).</t>
  </si>
  <si>
    <t>→ Für euren Fall günstig: Bei 50–100 kNm³/h liegt ihr weit unter der 6-bar/d-Grenze (die erlaubt bei 135 bar ~234 kg/s).</t>
  </si>
  <si>
    <t xml:space="preserve">   Die Ratengrenze bindet also gar nicht — begrenzend ist die Übertageanlage, nicht die Kaverne.</t>
  </si>
  <si>
    <t>→ Vorbehalt: Der Wärmeübergang UA ist eine Annahme. Unsere Werte liegen optimistischer als die Vollsimulation der Quelle.</t>
  </si>
  <si>
    <t>2) Inventarmessung — warum der Druck unterhalb p_krit versagt</t>
  </si>
  <si>
    <t>Zustand</t>
  </si>
  <si>
    <t>Druck</t>
  </si>
  <si>
    <t>Aussage über das Inventar</t>
  </si>
  <si>
    <t>Messverfahren</t>
  </si>
  <si>
    <t>einphasig (p &gt; 73,8 bar)</t>
  </si>
  <si>
    <t>eindeutig von ρ abhängig</t>
  </si>
  <si>
    <t>ρ = ρ(p,T) → Inventar = ρ·V exakt</t>
  </si>
  <si>
    <t>Druck + Temperatur genügen</t>
  </si>
  <si>
    <t>zweiphasig (p &lt; 73,8 bar)</t>
  </si>
  <si>
    <t>p = p_sat(T), nur temperaturabhängig</t>
  </si>
  <si>
    <t>KEINE — bei 20 °C/57,3 bar sind 126 bis 503 kt möglich</t>
  </si>
  <si>
    <t>Mengenbilanz oder Füllstandsmessung</t>
  </si>
  <si>
    <t>3) Messverfahren im Vergleich</t>
  </si>
  <si>
    <t>Verfahren</t>
  </si>
  <si>
    <t>Prinzip</t>
  </si>
  <si>
    <t>Stärke</t>
  </si>
  <si>
    <t>Schwäche</t>
  </si>
  <si>
    <t>Druckmessung am Kopf</t>
  </si>
  <si>
    <t>p → ρ → Inventar</t>
  </si>
  <si>
    <t>Standard bei Erdgas, einfach</t>
  </si>
  <si>
    <t>fällt im Zweiphasengebiet komplett aus</t>
  </si>
  <si>
    <t>Mengenbilanz (Coriolis)</t>
  </si>
  <si>
    <t>alle Ein-/Ausströme aufsummieren</t>
  </si>
  <si>
    <t>funktioniert in jedem Zustand</t>
  </si>
  <si>
    <t>Drift: ±0,5 % Messfehler ≈ ±0,4 kt je 30 d Dauerbetrieb</t>
  </si>
  <si>
    <t>Downhole p/T-Sensoren</t>
  </si>
  <si>
    <t>Zustand direkt in der Kaverne</t>
  </si>
  <si>
    <t>kein Bohrlochmodell nötig</t>
  </si>
  <si>
    <t>im Zweiphasengebiet ebenfalls nicht eindeutig</t>
  </si>
  <si>
    <t>Füllstands-/Echometrie</t>
  </si>
  <si>
    <t>Lage der Flüssigkeitsoberfläche</t>
  </si>
  <si>
    <t>liefert im Zweiphasengebiet die fehlende Größe</t>
  </si>
  <si>
    <t>Verfügbarkeit für CO2 laut Quelle offen</t>
  </si>
  <si>
    <t>Rückkalibrierung</t>
  </si>
  <si>
    <t>Mengenbilanz bei p &gt; p_krit zurücksetzen</t>
  </si>
  <si>
    <t>begrenzt die Drift auf einen Zyklus</t>
  </si>
  <si>
    <t>setzt voraus, dass die Kaverne regelmäßig überkritisch wird</t>
  </si>
  <si>
    <t>Empfehlung: Mengenbilanz als laufendes Verfahren, kombiniert mit Rückkalibrierung im überkritischen Zustand.</t>
  </si>
  <si>
    <t>Bei ±0,5 % Messgenauigkeit bleibt der Fehler mit ~0,07 % des Inventars unkritisch — Voraussetzung ist ein Zyklus, der regelmäßig über p_krit führt.</t>
  </si>
  <si>
    <t>4) Zeitreihe der Nennraten-Simulation (jeder 20. Schritt)</t>
  </si>
  <si>
    <t>t [d]</t>
  </si>
  <si>
    <t>Einspeichern ab OGE-Anlieferung (dichte Phase) – plus Vergleich gasförmige Anlieferung</t>
  </si>
  <si>
    <t xml:space="preserve"> </t>
  </si>
  <si>
    <t>Hauptfall: OGE liefert dicht an (80–90 bar, 5–25 °C) → nur PUMPE auf Kopfdruck nötig</t>
  </si>
  <si>
    <t>Anlieferdruck (OGE, dicht)</t>
  </si>
  <si>
    <t>Anliefertemperatur</t>
  </si>
  <si>
    <t>Kopfdruck Ziel (aus Blatt Annahmen)</t>
  </si>
  <si>
    <t>isentroper Wirkungsgrad Pumpe</t>
  </si>
  <si>
    <t>Austrittstemperatur Pumpe</t>
  </si>
  <si>
    <t>spezifische Pumparbeit</t>
  </si>
  <si>
    <t>Dichte am Eintritt</t>
  </si>
  <si>
    <t>kg/m³</t>
  </si>
  <si>
    <t>Phase durchgehend</t>
  </si>
  <si>
    <t>dicht (p&gt;pk)</t>
  </si>
  <si>
    <t>→ Verdichtung entfällt praktisch: dichte Phase wird GEPUMPT (874 kg/m³), nur +2,9 K. Einspeicherseitig kein Kühler; ausspeicherseitig Nachkühler bei Nennrate (s. Anlagenkonzept).</t>
  </si>
  <si>
    <t>Werte aus CoolProp; h-basiert mit η=0,8. Ankunft variiert im OGE-Fenster 80–90 bar / 5–25 °C – Ergebnis ändert sich nur marginal.</t>
  </si>
  <si>
    <t>Vergleichsfall: gasförmige Anlieferung 10 bar (illustrativ, z.B. Direktanschluss Abscheider)</t>
  </si>
  <si>
    <t>Stufe</t>
  </si>
  <si>
    <t>p_ein [bar]</t>
  </si>
  <si>
    <t>T_ein [°C]</t>
  </si>
  <si>
    <t>p_aus [bar]</t>
  </si>
  <si>
    <t>T_aus isentrop [°C]</t>
  </si>
  <si>
    <t>T_aus real (η=0,8) [°C]</t>
  </si>
  <si>
    <t>Phase Austritt</t>
  </si>
  <si>
    <t>Quellen!</t>
  </si>
  <si>
    <t>3 Stufen mit Zwischenkühlung auf 40 °C: max. 114 °C. EINSTUFIG läge der Austritt bei ~263 °C – nicht machbar.</t>
  </si>
  <si>
    <t>Dieser Fall zeigt, warum Pipeline-Anlieferung in dichter Phase die Verdichtung des Einspeicherpfads massiv vereinfacht.</t>
  </si>
  <si>
    <t>Ausspeichern: Szenario 1 Fernleitung (dicht) vs. Szenario 2 Gasnetz (40 bar)</t>
  </si>
  <si>
    <t>Szenario 1 (Hauptfall): Rücklieferung an OGE-Fernleitung – AUSLEGUNG: Ankunft 41 °C bei Nennrate 50–100 kNm³/h</t>
  </si>
  <si>
    <t>Druck [bar]</t>
  </si>
  <si>
    <t>Auslegungsfall: Drossel 120 bar/41 °C → 85 bar ergibt 33,8 °C (über OGE-Spec) → NACHKÜHLER auf ≤25 °C (1,1–2,1 MW).</t>
  </si>
  <si>
    <t>Weiterhin: EINE Drosselstufe, KEIN Vorwärmer – oberhalb pkrit = 73,8 bar existiert kein Zweiphasengebiet.</t>
  </si>
  <si>
    <t>Gegen Ende der Ausspeicherung (Kopfdruck &lt; ~85 bar) übernimmt eine Pumpe die Anhebung auf Fernleitungsdruck.</t>
  </si>
  <si>
    <t>Teillast-Grenzfall (sehr langsame Rate): Ankunft ~20 °C → Drossel endet bei 17,9 °C, Nachkühler im Bypass.</t>
  </si>
  <si>
    <t>Szenario 2 (Vergleich): Abgabe an Gasnetz/Verbraucher bei 40 bar – hier wird die 73,8-bar-Grenze gekreuzt</t>
  </si>
  <si>
    <t>A: T [°C] ohne Vorw.</t>
  </si>
  <si>
    <t>A: Phase</t>
  </si>
  <si>
    <t>A: Dampfanteil q</t>
  </si>
  <si>
    <t>B: T [°C] mit Vorw. 79 °C</t>
  </si>
  <si>
    <t>B: Phase</t>
  </si>
  <si>
    <t>nach Vorwärmer</t>
  </si>
  <si>
    <t>flüssig</t>
  </si>
  <si>
    <t>ZWEIPHASIG</t>
  </si>
  <si>
    <t>Ohne Vorwärmung: ab ~74 bar zweiphasig, Ende 5,3 °C mit q=0,12. Mit Vorwärmung auf 79 °C: einphasig gasförmig.</t>
  </si>
  <si>
    <t>Fazit: Vorwärmung/Stufen sind nur nötig, wenn UNTER den kritischen Druck entspannt wird – nicht im Fernleitungsfall.</t>
  </si>
  <si>
    <t>Phasendiagramm mit Prozesspfaden (Daten für das Diagramm)</t>
  </si>
  <si>
    <t>Sättigungslinie + kritischer Punkt aus CoolProp. Pfade aus den Blättern 'Einspeichern Stufen' und 'Ausspeichern Drossel'.</t>
  </si>
  <si>
    <t>Sättigung T</t>
  </si>
  <si>
    <t>Sättigung p</t>
  </si>
  <si>
    <t>Verdichtung T</t>
  </si>
  <si>
    <t>Verdichtung p</t>
  </si>
  <si>
    <t>Drossel A T</t>
  </si>
  <si>
    <t>Drossel A p</t>
  </si>
  <si>
    <t>Drossel B T</t>
  </si>
  <si>
    <t>Drossel B p</t>
  </si>
  <si>
    <t>krit. Punkt T</t>
  </si>
  <si>
    <t>krit. Punkt p</t>
  </si>
  <si>
    <t>einstufig T</t>
  </si>
  <si>
    <t>einstufig p</t>
  </si>
  <si>
    <t>Grenze T=31°C</t>
  </si>
  <si>
    <t>p</t>
  </si>
  <si>
    <t>Grenze p=73,8 bar T</t>
  </si>
  <si>
    <t>Pumpe T</t>
  </si>
  <si>
    <t>Pumpe p</t>
  </si>
  <si>
    <t>Sz1 T</t>
  </si>
  <si>
    <t>Sz1 p</t>
  </si>
  <si>
    <t>OGE-Fenster T</t>
  </si>
  <si>
    <t>OGE-Fenster p</t>
  </si>
  <si>
    <t>Kaverne T</t>
  </si>
  <si>
    <t>Kaverne p</t>
  </si>
  <si>
    <t>Bohrloch runter T</t>
  </si>
  <si>
    <t>Bohrloch hoch T</t>
  </si>
  <si>
    <t>Bohrloch hoch adiabat T</t>
  </si>
  <si>
    <t>Drossel warm T</t>
  </si>
  <si>
    <t>Zone III Bohrloch T</t>
  </si>
  <si>
    <t>Der geschlossene Kreislauf:</t>
  </si>
  <si>
    <t>OGE-Fenster → 1) Pumpe hoch auf 111 bar → 2) Bohrloch runter (Säule drückt auf ~208 bar, Gebirge wärmt auf ~54 °C) → KAVERNE (lila) →</t>
  </si>
  <si>
    <t>3) Bohrloch hoch (auf 120 bar am Kopf; Temperatur RATENABHÄNGIG: ~20 °C langsam / ~41 °C bei Nennrate) → 4) Drossel auf 85 bar → OGE-Fenster.</t>
  </si>
  <si>
    <t>Der gesamte Kreis bleibt über pkrit = 73,8 bar → durchgehend dichte Phase, kein Phasenübergang, kein Vorwärmer. Nachkühler nur bei warmer Ankunft (Spec-Einhaltung).</t>
  </si>
  <si>
    <t>Bohrlochpfade (gestrichelt) = statische Näherung: T folgt dem geothermischen Profil (langsame Raten). Bei hohen Raten weniger Wärmeaustausch,</t>
  </si>
  <si>
    <t>der Hoch-Pfad läge dann etwas kälter – bleibt aber ebenfalls über pkrit.</t>
  </si>
  <si>
    <t>AUSLEGUNGSFALL = amber (Nennrate, 41 °C am Kopf, Drossel → 33,8 °C → Nachkühler). Hellgrün/dunkelgrün = Teillast-Grenzfall (20 °C).</t>
  </si>
  <si>
    <t>Zonen-Hinweis:</t>
  </si>
  <si>
    <t>• Die durchgezogenen Pfade (Pumpe, Drossel) und die Bohrlochpfade gelten für ZONE I – volle Kaverne, pLCCS 167–210 bar.</t>
  </si>
  <si>
    <t>• Rot gestrichelt: Bohrlochprofil bei pLCCS 110 bar (ZONE III). Der Pfad läuft nach oben in die Sättigungslinie – ab dort Zweiphasengebiet.</t>
  </si>
  <si>
    <t>• Zone II (137–167 bar) liegt dazwischen: Kopf unterkritisch, aber noch einphasig flüssig (Case 1).</t>
  </si>
  <si>
    <t>• Details und Zonentabelle: Blatt 'Arbeitsgas &amp; Regime'.</t>
  </si>
  <si>
    <t>p-h-Diagramm: Nassdampfdom mit Prozesspfaden</t>
  </si>
  <si>
    <t>Klassische Ingenieursdarstellung: Drosselung = senkrechte Linie (h=konst). Alles INNERHALB des Doms = Zweiphasengebiet.</t>
  </si>
  <si>
    <t>Dom h</t>
  </si>
  <si>
    <t>Dom p</t>
  </si>
  <si>
    <t>3 Stufen h</t>
  </si>
  <si>
    <t>3 Stufen p</t>
  </si>
  <si>
    <t>einstufig h</t>
  </si>
  <si>
    <t>Drossel A h</t>
  </si>
  <si>
    <t>Drossel B h</t>
  </si>
  <si>
    <t>krit h</t>
  </si>
  <si>
    <t>krit p</t>
  </si>
  <si>
    <t>Pumpe h</t>
  </si>
  <si>
    <t>Sz1 h</t>
  </si>
  <si>
    <t>Fenster h</t>
  </si>
  <si>
    <t>Fenster p</t>
  </si>
  <si>
    <t>Kaverne h</t>
  </si>
  <si>
    <t>Drossel warm h</t>
  </si>
  <si>
    <t>Lesart (p-h):</t>
  </si>
  <si>
    <t>• OGE-Fall spielt sich komplett LINKS OBERHALB des Doms ab (dichte Phase, kleine h-Werte): Pumpe = kurzer Strich, Drossel Sz1 = kurze Senkrechte.</t>
  </si>
  <si>
    <t>• Sz2 (Gasnetz): orange Senkrechte läuft durch den Dom (q≈0,12), dunkelrot mit Vorwärmung rechts vorbei.</t>
  </si>
  <si>
    <t>• Δh der Pumpe: 3,7 kJ/kg – zum Vergleich braucht die 3-stufige Gasverdichtung ab 10 bar mehr als das 50-fache.</t>
  </si>
  <si>
    <t>Szenario: gasförmige Anlieferung und gasförmige Rücklieferung</t>
  </si>
  <si>
    <t>Einspeichern: 3-stufige Verdichtung ab 10 bar (vs. einstufig). Ausspeichern: Drossel unter pkrit – ohne vs. mit Vorwärmung.</t>
  </si>
  <si>
    <t>Datenreihen (aus CoolProp, Span-Wagner):</t>
  </si>
  <si>
    <t>Sättigung T [°C]</t>
  </si>
  <si>
    <t>Verdicht. 3 Stufen T</t>
  </si>
  <si>
    <t>Verdicht. einstufig T</t>
  </si>
  <si>
    <t>Drossel ohne Vorw. T</t>
  </si>
  <si>
    <t>Drossel mit Vorw. T</t>
  </si>
  <si>
    <t>Isotherme 31°C T</t>
  </si>
  <si>
    <t>Isobare 73,8 bar T</t>
  </si>
  <si>
    <t>Lesart:</t>
  </si>
  <si>
    <t>• Gasförmige Anlieferung (z.B. 10 bar): Verdichtung MUSS mehrstufig mit Zwischenkühlung erfolgen – einstufig (türkis) endet bei 263 °C.</t>
  </si>
  <si>
    <t>• Gasförmige Rücklieferung: Drossel kreuzt pkrit → ohne Vorwärmung (orange) klebt der Pfad an der Sättigungslinie (Nassdampf).</t>
  </si>
  <si>
    <t>• Mit Vorwärmung (dunkelrot) bleibt der Pfad rechts der Sättigungslinie; mehrstufig drosseln senkt die nötige Vorwärmtemperatur (s. Blatt 'Anlagenkonzept').</t>
  </si>
  <si>
    <t>• Alle Datenreihen oben auf diesem Blatt; Werte aus CoolProp (isentrope Stufen mit η=0,8 bzw. isenthalpe Drosselung).</t>
  </si>
  <si>
    <t>Ratenhinweis: Drosselpfade für kalte Ankunft (20 °C) gerechnet; bei Nennrate ~41 °C am Kopf sinkt der Vorwärmbedarf entsprechend.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</si>
</sst>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color rgb="FF007000"/>
      <name val="Arial"/>
      <charset val="1"/>
    </font>
    <font>
      <b/>
      <sz val="11"/>
      <color rgb="FFB26B00"/>
      <name val="Arial"/>
      <charset val="1"/>
    </font>
    <font>
      <b/>
      <sz val="11"/>
      <color rgb="FFC00000"/>
      <name val="Arial"/>
      <charset val="1"/>
    </font>
    <font>
      <b/>
      <sz val="11"/>
      <color rgb="FF0000FF"/>
      <name val="Arial"/>
      <charset val="1"/>
    </font>
    <font>
      <b/>
      <sz val="9"/>
      <color rgb="FFC00000"/>
      <name val="Arial"/>
      <charset val="1"/>
    </font>
    <font>
      <b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rgb="FFE1F5EE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AEEDA"/>
        <bgColor rgb="FFE1F5E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5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0" xfId="0" applyFont="1"/>
    <xf numFmtId="0" fontId="3" fillId="4" borderId="0" xfId="0" applyFont="1" applyFill="1"/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1" fillId="0" borderId="1" xfId="0" applyFont="1" applyBorder="1"/>
    <xf numFmtId="0" fontId="3" fillId="0" borderId="1" xfId="0" applyFont="1" applyBorder="1"/>
    <xf numFmtId="0" fontId="3" fillId="4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/>
    <xf numFmtId="0" fontId="12" fillId="0" borderId="0" xfId="0" applyFont="1"/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0" xfId="0" applyFont="1" applyFill="1"/>
    <xf numFmtId="0" fontId="7" fillId="0" borderId="0" xfId="0" applyFont="1"/>
    <xf numFmtId="0" fontId="1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7000"/>
      <rgbColor rgb="FF000080"/>
      <rgbColor rgb="FF639922"/>
      <rgbColor rgb="FF800080"/>
      <rgbColor rgb="FF1F77B4"/>
      <rgbColor rgb="FFBFBFBF"/>
      <rgbColor rgb="FF878787"/>
      <rgbColor rgb="FF7F77DD"/>
      <rgbColor rgb="FFC0504D"/>
      <rgbColor rgb="FFFAEEDA"/>
      <rgbColor rgb="FFE1F5EE"/>
      <rgbColor rgb="FF660066"/>
      <rgbColor rgb="FFD85A3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5DCAA5"/>
      <rgbColor rgb="FFCCFFFF"/>
      <rgbColor rgb="FFCCFFCC"/>
      <rgbColor rgb="FFFFFF99"/>
      <rgbColor rgb="FF85B7EB"/>
      <rgbColor rgb="FFFF99CC"/>
      <rgbColor rgb="FFB3B3B3"/>
      <rgbColor rgb="FFFFCC99"/>
      <rgbColor rgb="FF378ADD"/>
      <rgbColor rgb="FF17BECF"/>
      <rgbColor rgb="FF99CC00"/>
      <rgbColor rgb="FFFFCC00"/>
      <rgbColor rgb="FFEF9F27"/>
      <rgbColor rgb="FFFF7F0E"/>
      <rgbColor rgb="FF5F5E5A"/>
      <rgbColor rgb="FFA6A6A6"/>
      <rgbColor rgb="FF003366"/>
      <rgbColor rgb="FF1D9E75"/>
      <rgbColor rgb="FF003300"/>
      <rgbColor rgb="FF333300"/>
      <rgbColor rgb="FFB26B00"/>
      <rgbColor rgb="FF993366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Druckverlauf über die Teufe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CO2-Säule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Berechnung!$F$5:$F$29</c:f>
              <c:numCache>
                <c:formatCode>General</c:formatCode>
                <c:ptCount val="25"/>
                <c:pt idx="0">
                  <c:v>110.785393107011</c:v>
                </c:pt>
                <c:pt idx="1">
                  <c:v>115.200040257011</c:v>
                </c:pt>
                <c:pt idx="2">
                  <c:v>119.589819057011</c:v>
                </c:pt>
                <c:pt idx="3">
                  <c:v>123.954876657011</c:v>
                </c:pt>
                <c:pt idx="4">
                  <c:v>128.29536020701099</c:v>
                </c:pt>
                <c:pt idx="5">
                  <c:v>132.611465907011</c:v>
                </c:pt>
                <c:pt idx="6">
                  <c:v>136.903389957011</c:v>
                </c:pt>
                <c:pt idx="7">
                  <c:v>141.17132855701101</c:v>
                </c:pt>
                <c:pt idx="8">
                  <c:v>145.415477907011</c:v>
                </c:pt>
                <c:pt idx="9">
                  <c:v>149.63603420701099</c:v>
                </c:pt>
                <c:pt idx="10">
                  <c:v>153.83324270701098</c:v>
                </c:pt>
                <c:pt idx="11">
                  <c:v>158.00729960701099</c:v>
                </c:pt>
                <c:pt idx="12">
                  <c:v>162.158450157011</c:v>
                </c:pt>
                <c:pt idx="13">
                  <c:v>166.28698865701099</c:v>
                </c:pt>
                <c:pt idx="14">
                  <c:v>170.393111307011</c:v>
                </c:pt>
                <c:pt idx="15">
                  <c:v>174.47711240701099</c:v>
                </c:pt>
                <c:pt idx="16">
                  <c:v>178.53928625701099</c:v>
                </c:pt>
                <c:pt idx="17">
                  <c:v>182.57987810701098</c:v>
                </c:pt>
                <c:pt idx="18">
                  <c:v>186.59918225701099</c:v>
                </c:pt>
                <c:pt idx="19">
                  <c:v>190.597493007011</c:v>
                </c:pt>
                <c:pt idx="20">
                  <c:v>194.575055607011</c:v>
                </c:pt>
                <c:pt idx="21">
                  <c:v>198.532213407011</c:v>
                </c:pt>
                <c:pt idx="22">
                  <c:v>202.46926070701099</c:v>
                </c:pt>
                <c:pt idx="23">
                  <c:v>206.386540857011</c:v>
                </c:pt>
                <c:pt idx="24">
                  <c:v>210.28429910701101</c:v>
                </c:pt>
              </c:numCache>
            </c:numRef>
          </c:xVal>
          <c:yVal>
            <c:numRef>
              <c:f>Berechnung!$B$5:$B$29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20-44A2-AD54-C7123848E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09665"/>
        <c:axId val="50477091"/>
      </c:scatterChart>
      <c:valAx>
        <c:axId val="89609665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p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0477091"/>
        <c:crosses val="autoZero"/>
        <c:crossBetween val="midCat"/>
      </c:valAx>
      <c:valAx>
        <c:axId val="5047709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Teufe z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960966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Geologisches Temperaturprofil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 geologisch (15 °C + 3 °C/100 m)</c:v>
          </c:tx>
          <c:spPr>
            <a:ln w="21960">
              <a:solidFill>
                <a:srgbClr val="5F5E5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Berechnung!$B$58:$B$82</c:f>
              <c:numCache>
                <c:formatCode>General</c:formatCode>
                <c:ptCount val="25"/>
                <c:pt idx="0">
                  <c:v>15</c:v>
                </c:pt>
                <c:pt idx="1">
                  <c:v>16.5</c:v>
                </c:pt>
                <c:pt idx="2">
                  <c:v>18</c:v>
                </c:pt>
                <c:pt idx="3">
                  <c:v>19.5</c:v>
                </c:pt>
                <c:pt idx="4">
                  <c:v>21</c:v>
                </c:pt>
                <c:pt idx="5">
                  <c:v>22.5</c:v>
                </c:pt>
                <c:pt idx="6">
                  <c:v>24</c:v>
                </c:pt>
                <c:pt idx="7">
                  <c:v>25.5</c:v>
                </c:pt>
                <c:pt idx="8">
                  <c:v>27</c:v>
                </c:pt>
                <c:pt idx="9">
                  <c:v>28.5</c:v>
                </c:pt>
                <c:pt idx="10">
                  <c:v>30</c:v>
                </c:pt>
                <c:pt idx="11">
                  <c:v>31.5</c:v>
                </c:pt>
                <c:pt idx="12">
                  <c:v>33</c:v>
                </c:pt>
                <c:pt idx="13">
                  <c:v>34.5</c:v>
                </c:pt>
                <c:pt idx="14">
                  <c:v>36</c:v>
                </c:pt>
                <c:pt idx="15">
                  <c:v>37.5</c:v>
                </c:pt>
                <c:pt idx="16">
                  <c:v>39</c:v>
                </c:pt>
                <c:pt idx="17">
                  <c:v>40.5</c:v>
                </c:pt>
                <c:pt idx="18">
                  <c:v>42</c:v>
                </c:pt>
                <c:pt idx="19">
                  <c:v>43.5</c:v>
                </c:pt>
                <c:pt idx="20">
                  <c:v>45</c:v>
                </c:pt>
                <c:pt idx="21">
                  <c:v>46.5</c:v>
                </c:pt>
                <c:pt idx="22">
                  <c:v>48</c:v>
                </c:pt>
                <c:pt idx="23">
                  <c:v>49.5</c:v>
                </c:pt>
                <c:pt idx="24">
                  <c:v>51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2-43F4-A7C6-6CC99687D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5795"/>
        <c:axId val="62136199"/>
      </c:scatterChart>
      <c:valAx>
        <c:axId val="40995795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Temperatur [°C]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2136199"/>
        <c:crosses val="autoZero"/>
        <c:crossBetween val="midCat"/>
      </c:valAx>
      <c:valAx>
        <c:axId val="62136199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Teufe z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099579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Druck über die Teufe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pLCCS = 210 bar (hoch)</c:v>
          </c:tx>
          <c:spPr>
            <a:ln w="21960">
              <a:solidFill>
                <a:srgbClr val="1D9E75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Berechnung!$C$58:$C$82</c:f>
              <c:numCache>
                <c:formatCode>General</c:formatCode>
                <c:ptCount val="25"/>
                <c:pt idx="0">
                  <c:v>111</c:v>
                </c:pt>
                <c:pt idx="1">
                  <c:v>115.4</c:v>
                </c:pt>
                <c:pt idx="2">
                  <c:v>119.8</c:v>
                </c:pt>
                <c:pt idx="3">
                  <c:v>124.1</c:v>
                </c:pt>
                <c:pt idx="4">
                  <c:v>128.5</c:v>
                </c:pt>
                <c:pt idx="5">
                  <c:v>132.80000000000001</c:v>
                </c:pt>
                <c:pt idx="6">
                  <c:v>137</c:v>
                </c:pt>
                <c:pt idx="7">
                  <c:v>141.30000000000001</c:v>
                </c:pt>
                <c:pt idx="8">
                  <c:v>145.5</c:v>
                </c:pt>
                <c:pt idx="9">
                  <c:v>149.69999999999999</c:v>
                </c:pt>
                <c:pt idx="10">
                  <c:v>153.9</c:v>
                </c:pt>
                <c:pt idx="11">
                  <c:v>158</c:v>
                </c:pt>
                <c:pt idx="12">
                  <c:v>162.1</c:v>
                </c:pt>
                <c:pt idx="13">
                  <c:v>166.2</c:v>
                </c:pt>
                <c:pt idx="14">
                  <c:v>170.3</c:v>
                </c:pt>
                <c:pt idx="15">
                  <c:v>174.4</c:v>
                </c:pt>
                <c:pt idx="16">
                  <c:v>178.4</c:v>
                </c:pt>
                <c:pt idx="17">
                  <c:v>182.4</c:v>
                </c:pt>
                <c:pt idx="18">
                  <c:v>186.4</c:v>
                </c:pt>
                <c:pt idx="19">
                  <c:v>190.4</c:v>
                </c:pt>
                <c:pt idx="20">
                  <c:v>194.4</c:v>
                </c:pt>
                <c:pt idx="21">
                  <c:v>198.3</c:v>
                </c:pt>
                <c:pt idx="22">
                  <c:v>202.2</c:v>
                </c:pt>
                <c:pt idx="23">
                  <c:v>206.1</c:v>
                </c:pt>
                <c:pt idx="24">
                  <c:v>210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7C-46B0-9519-D9219BCECB91}"/>
            </c:ext>
          </c:extLst>
        </c:ser>
        <c:ser>
          <c:idx val="1"/>
          <c:order val="1"/>
          <c:tx>
            <c:v>pLCCS = 166,5 bar (Grenzfall)</c:v>
          </c:tx>
          <c:spPr>
            <a:ln w="21960">
              <a:solidFill>
                <a:srgbClr val="185FA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Berechnung!$D$58:$D$82</c:f>
              <c:numCache>
                <c:formatCode>General</c:formatCode>
                <c:ptCount val="25"/>
                <c:pt idx="0">
                  <c:v>73.8</c:v>
                </c:pt>
                <c:pt idx="1">
                  <c:v>78</c:v>
                </c:pt>
                <c:pt idx="2">
                  <c:v>82.2</c:v>
                </c:pt>
                <c:pt idx="3">
                  <c:v>86.3</c:v>
                </c:pt>
                <c:pt idx="4">
                  <c:v>90.4</c:v>
                </c:pt>
                <c:pt idx="5">
                  <c:v>94.5</c:v>
                </c:pt>
                <c:pt idx="6">
                  <c:v>98.5</c:v>
                </c:pt>
                <c:pt idx="7">
                  <c:v>102.5</c:v>
                </c:pt>
                <c:pt idx="8">
                  <c:v>106.5</c:v>
                </c:pt>
                <c:pt idx="9">
                  <c:v>110.4</c:v>
                </c:pt>
                <c:pt idx="10">
                  <c:v>114.4</c:v>
                </c:pt>
                <c:pt idx="11">
                  <c:v>118.2</c:v>
                </c:pt>
                <c:pt idx="12">
                  <c:v>122.1</c:v>
                </c:pt>
                <c:pt idx="13">
                  <c:v>126</c:v>
                </c:pt>
                <c:pt idx="14">
                  <c:v>129.80000000000001</c:v>
                </c:pt>
                <c:pt idx="15">
                  <c:v>133.6</c:v>
                </c:pt>
                <c:pt idx="16">
                  <c:v>137.30000000000001</c:v>
                </c:pt>
                <c:pt idx="17">
                  <c:v>141</c:v>
                </c:pt>
                <c:pt idx="18">
                  <c:v>144.80000000000001</c:v>
                </c:pt>
                <c:pt idx="19">
                  <c:v>148.4</c:v>
                </c:pt>
                <c:pt idx="20">
                  <c:v>152.1</c:v>
                </c:pt>
                <c:pt idx="21">
                  <c:v>155.69999999999999</c:v>
                </c:pt>
                <c:pt idx="22">
                  <c:v>159.30000000000001</c:v>
                </c:pt>
                <c:pt idx="23">
                  <c:v>162.9</c:v>
                </c:pt>
                <c:pt idx="24">
                  <c:v>166.5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7C-46B0-9519-D9219BCECB91}"/>
            </c:ext>
          </c:extLst>
        </c:ser>
        <c:ser>
          <c:idx val="2"/>
          <c:order val="2"/>
          <c:tx>
            <c:v>pLCCS = 70 bar (niedrig)</c:v>
          </c:tx>
          <c:spPr>
            <a:ln w="21960">
              <a:solidFill>
                <a:srgbClr val="D85A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Berechnung!$E$58:$E$82</c:f>
              <c:numCache>
                <c:formatCode>General</c:formatCode>
                <c:ptCount val="25"/>
                <c:pt idx="0">
                  <c:v>50.6</c:v>
                </c:pt>
                <c:pt idx="1">
                  <c:v>51.4</c:v>
                </c:pt>
                <c:pt idx="2">
                  <c:v>52.2</c:v>
                </c:pt>
                <c:pt idx="3">
                  <c:v>53</c:v>
                </c:pt>
                <c:pt idx="4">
                  <c:v>53.8</c:v>
                </c:pt>
                <c:pt idx="5">
                  <c:v>54.6</c:v>
                </c:pt>
                <c:pt idx="6">
                  <c:v>55.4</c:v>
                </c:pt>
                <c:pt idx="7">
                  <c:v>56.1</c:v>
                </c:pt>
                <c:pt idx="8">
                  <c:v>56.9</c:v>
                </c:pt>
                <c:pt idx="9">
                  <c:v>57.7</c:v>
                </c:pt>
                <c:pt idx="10">
                  <c:v>58.5</c:v>
                </c:pt>
                <c:pt idx="11">
                  <c:v>59.3</c:v>
                </c:pt>
                <c:pt idx="12">
                  <c:v>60.1</c:v>
                </c:pt>
                <c:pt idx="13">
                  <c:v>61</c:v>
                </c:pt>
                <c:pt idx="14">
                  <c:v>61.8</c:v>
                </c:pt>
                <c:pt idx="15">
                  <c:v>62.6</c:v>
                </c:pt>
                <c:pt idx="16">
                  <c:v>63.4</c:v>
                </c:pt>
                <c:pt idx="17">
                  <c:v>64.2</c:v>
                </c:pt>
                <c:pt idx="18">
                  <c:v>65</c:v>
                </c:pt>
                <c:pt idx="19">
                  <c:v>65.900000000000006</c:v>
                </c:pt>
                <c:pt idx="20">
                  <c:v>66.7</c:v>
                </c:pt>
                <c:pt idx="21">
                  <c:v>67.5</c:v>
                </c:pt>
                <c:pt idx="22">
                  <c:v>68.3</c:v>
                </c:pt>
                <c:pt idx="23">
                  <c:v>69.2</c:v>
                </c:pt>
                <c:pt idx="24">
                  <c:v>70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7C-46B0-9519-D9219BCEC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07147"/>
        <c:axId val="55739068"/>
      </c:scatterChart>
      <c:valAx>
        <c:axId val="76507147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p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55739068"/>
        <c:crosses val="autoZero"/>
        <c:crossBetween val="midCat"/>
      </c:valAx>
      <c:valAx>
        <c:axId val="55739068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Teufe z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650714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Dichte über die Teufe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pLCCS = 210 bar (hoch)</c:v>
          </c:tx>
          <c:spPr>
            <a:ln w="21960">
              <a:solidFill>
                <a:srgbClr val="1D9E75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Berechnung!$F$58:$F$82</c:f>
              <c:numCache>
                <c:formatCode>General</c:formatCode>
                <c:ptCount val="25"/>
                <c:pt idx="0">
                  <c:v>900.3</c:v>
                </c:pt>
                <c:pt idx="1">
                  <c:v>895.2</c:v>
                </c:pt>
                <c:pt idx="2">
                  <c:v>890.1</c:v>
                </c:pt>
                <c:pt idx="3">
                  <c:v>885.1</c:v>
                </c:pt>
                <c:pt idx="4">
                  <c:v>880.1</c:v>
                </c:pt>
                <c:pt idx="5">
                  <c:v>875.1</c:v>
                </c:pt>
                <c:pt idx="6">
                  <c:v>870.2</c:v>
                </c:pt>
                <c:pt idx="7">
                  <c:v>865.4</c:v>
                </c:pt>
                <c:pt idx="8">
                  <c:v>860.5</c:v>
                </c:pt>
                <c:pt idx="9">
                  <c:v>855.7</c:v>
                </c:pt>
                <c:pt idx="10">
                  <c:v>851</c:v>
                </c:pt>
                <c:pt idx="11">
                  <c:v>846.3</c:v>
                </c:pt>
                <c:pt idx="12">
                  <c:v>841.7</c:v>
                </c:pt>
                <c:pt idx="13">
                  <c:v>837.1</c:v>
                </c:pt>
                <c:pt idx="14">
                  <c:v>832.5</c:v>
                </c:pt>
                <c:pt idx="15">
                  <c:v>828.1</c:v>
                </c:pt>
                <c:pt idx="16">
                  <c:v>823.6</c:v>
                </c:pt>
                <c:pt idx="17">
                  <c:v>819.3</c:v>
                </c:pt>
                <c:pt idx="18">
                  <c:v>815</c:v>
                </c:pt>
                <c:pt idx="19">
                  <c:v>810.7</c:v>
                </c:pt>
                <c:pt idx="20">
                  <c:v>806.5</c:v>
                </c:pt>
                <c:pt idx="21">
                  <c:v>802.4</c:v>
                </c:pt>
                <c:pt idx="22">
                  <c:v>798.4</c:v>
                </c:pt>
                <c:pt idx="23">
                  <c:v>794.4</c:v>
                </c:pt>
                <c:pt idx="24">
                  <c:v>790.4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D-4E4C-AFCD-646A1848E64C}"/>
            </c:ext>
          </c:extLst>
        </c:ser>
        <c:ser>
          <c:idx val="1"/>
          <c:order val="1"/>
          <c:tx>
            <c:v>pLCCS = 166,5 bar (Grenzfall)</c:v>
          </c:tx>
          <c:spPr>
            <a:ln w="21960">
              <a:solidFill>
                <a:srgbClr val="185FA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Berechnung!$G$58:$G$82</c:f>
              <c:numCache>
                <c:formatCode>General</c:formatCode>
                <c:ptCount val="25"/>
                <c:pt idx="0">
                  <c:v>860.5</c:v>
                </c:pt>
                <c:pt idx="1">
                  <c:v>854.2</c:v>
                </c:pt>
                <c:pt idx="2">
                  <c:v>848</c:v>
                </c:pt>
                <c:pt idx="3">
                  <c:v>841.8</c:v>
                </c:pt>
                <c:pt idx="4">
                  <c:v>835.7</c:v>
                </c:pt>
                <c:pt idx="5">
                  <c:v>829.6</c:v>
                </c:pt>
                <c:pt idx="6">
                  <c:v>823.5</c:v>
                </c:pt>
                <c:pt idx="7">
                  <c:v>817.5</c:v>
                </c:pt>
                <c:pt idx="8">
                  <c:v>811.5</c:v>
                </c:pt>
                <c:pt idx="9">
                  <c:v>805.6</c:v>
                </c:pt>
                <c:pt idx="10">
                  <c:v>799.8</c:v>
                </c:pt>
                <c:pt idx="11">
                  <c:v>794</c:v>
                </c:pt>
                <c:pt idx="12">
                  <c:v>788.3</c:v>
                </c:pt>
                <c:pt idx="13">
                  <c:v>782.7</c:v>
                </c:pt>
                <c:pt idx="14">
                  <c:v>777.2</c:v>
                </c:pt>
                <c:pt idx="15">
                  <c:v>771.8</c:v>
                </c:pt>
                <c:pt idx="16">
                  <c:v>766.4</c:v>
                </c:pt>
                <c:pt idx="17">
                  <c:v>761.2</c:v>
                </c:pt>
                <c:pt idx="18">
                  <c:v>756</c:v>
                </c:pt>
                <c:pt idx="19">
                  <c:v>751</c:v>
                </c:pt>
                <c:pt idx="20">
                  <c:v>746</c:v>
                </c:pt>
                <c:pt idx="21">
                  <c:v>741.1</c:v>
                </c:pt>
                <c:pt idx="22">
                  <c:v>736.4</c:v>
                </c:pt>
                <c:pt idx="23">
                  <c:v>731.7</c:v>
                </c:pt>
                <c:pt idx="24">
                  <c:v>727.2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2D-4E4C-AFCD-646A1848E64C}"/>
            </c:ext>
          </c:extLst>
        </c:ser>
        <c:ser>
          <c:idx val="2"/>
          <c:order val="2"/>
          <c:tx>
            <c:v>pLCCS = 70 bar (niedrig)</c:v>
          </c:tx>
          <c:spPr>
            <a:ln w="21960">
              <a:solidFill>
                <a:srgbClr val="D85A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Berechnung!$H$58:$H$82</c:f>
              <c:numCache>
                <c:formatCode>General</c:formatCode>
                <c:ptCount val="25"/>
                <c:pt idx="0">
                  <c:v>158.9</c:v>
                </c:pt>
                <c:pt idx="1">
                  <c:v>159.19999999999999</c:v>
                </c:pt>
                <c:pt idx="2">
                  <c:v>159.6</c:v>
                </c:pt>
                <c:pt idx="3">
                  <c:v>160</c:v>
                </c:pt>
                <c:pt idx="4">
                  <c:v>160.4</c:v>
                </c:pt>
                <c:pt idx="5">
                  <c:v>160.80000000000001</c:v>
                </c:pt>
                <c:pt idx="6">
                  <c:v>161.30000000000001</c:v>
                </c:pt>
                <c:pt idx="7">
                  <c:v>161.69999999999999</c:v>
                </c:pt>
                <c:pt idx="8">
                  <c:v>162.19999999999999</c:v>
                </c:pt>
                <c:pt idx="9">
                  <c:v>162.69999999999999</c:v>
                </c:pt>
                <c:pt idx="10">
                  <c:v>163.19999999999999</c:v>
                </c:pt>
                <c:pt idx="11">
                  <c:v>163.6</c:v>
                </c:pt>
                <c:pt idx="12">
                  <c:v>164.1</c:v>
                </c:pt>
                <c:pt idx="13">
                  <c:v>164.6</c:v>
                </c:pt>
                <c:pt idx="14">
                  <c:v>165.1</c:v>
                </c:pt>
                <c:pt idx="15">
                  <c:v>165.6</c:v>
                </c:pt>
                <c:pt idx="16">
                  <c:v>166.1</c:v>
                </c:pt>
                <c:pt idx="17">
                  <c:v>166.6</c:v>
                </c:pt>
                <c:pt idx="18">
                  <c:v>167.1</c:v>
                </c:pt>
                <c:pt idx="19">
                  <c:v>167.6</c:v>
                </c:pt>
                <c:pt idx="20">
                  <c:v>168.1</c:v>
                </c:pt>
                <c:pt idx="21">
                  <c:v>168.6</c:v>
                </c:pt>
                <c:pt idx="22">
                  <c:v>169.1</c:v>
                </c:pt>
                <c:pt idx="23">
                  <c:v>169.6</c:v>
                </c:pt>
                <c:pt idx="24">
                  <c:v>170.1</c:v>
                </c:pt>
              </c:numCache>
            </c:numRef>
          </c:xVal>
          <c:yVal>
            <c:numRef>
              <c:f>Berechnung!$A$58:$A$82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2D-4E4C-AFCD-646A1848E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22233"/>
        <c:axId val="82790956"/>
      </c:scatterChart>
      <c:valAx>
        <c:axId val="38622233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Dichte 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ρ [</a:t>
                </a: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kg/m³]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82790956"/>
        <c:crosses val="autoZero"/>
        <c:crossBetween val="midCat"/>
      </c:valAx>
      <c:valAx>
        <c:axId val="82790956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Teufe z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3862223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Kopfdruck vs. Teufe (Ziel 210 bar unten)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CO2 (dicht)</c:v>
          </c:tx>
          <c:spPr>
            <a:ln w="2412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'Sensitivität &amp; Medienvergleich'!$A$6:$A$11</c:f>
              <c:numCache>
                <c:formatCode>General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'Sensitivität &amp; Medienvergleich'!$B$6:$B$11</c:f>
              <c:numCache>
                <c:formatCode>General</c:formatCode>
                <c:ptCount val="6"/>
                <c:pt idx="0">
                  <c:v>156.5</c:v>
                </c:pt>
                <c:pt idx="1">
                  <c:v>140.30000000000001</c:v>
                </c:pt>
                <c:pt idx="2">
                  <c:v>125</c:v>
                </c:pt>
                <c:pt idx="3">
                  <c:v>110.8</c:v>
                </c:pt>
                <c:pt idx="4">
                  <c:v>97.6</c:v>
                </c:pt>
                <c:pt idx="5">
                  <c:v>85.7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4C3-8B07-6BEBD260EDEA}"/>
            </c:ext>
          </c:extLst>
        </c:ser>
        <c:ser>
          <c:idx val="1"/>
          <c:order val="1"/>
          <c:tx>
            <c:v>Erdgas (CH4)</c:v>
          </c:tx>
          <c:spPr>
            <a:ln w="24120">
              <a:solidFill>
                <a:srgbClr val="D85A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'Sensitivität &amp; Medienvergleich'!$A$6:$A$11</c:f>
              <c:numCache>
                <c:formatCode>General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'Sensitivität &amp; Medienvergleich'!$C$6:$C$11</c:f>
              <c:numCache>
                <c:formatCode>General</c:formatCode>
                <c:ptCount val="6"/>
                <c:pt idx="0">
                  <c:v>200.5</c:v>
                </c:pt>
                <c:pt idx="1">
                  <c:v>197.6</c:v>
                </c:pt>
                <c:pt idx="2">
                  <c:v>194.9</c:v>
                </c:pt>
                <c:pt idx="3">
                  <c:v>192.2</c:v>
                </c:pt>
                <c:pt idx="4">
                  <c:v>189.7</c:v>
                </c:pt>
                <c:pt idx="5">
                  <c:v>187.3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9D-44C3-8B07-6BEBD260EDEA}"/>
            </c:ext>
          </c:extLst>
        </c:ser>
        <c:ser>
          <c:idx val="2"/>
          <c:order val="2"/>
          <c:tx>
            <c:v>Wasserstoff (H2)</c:v>
          </c:tx>
          <c:spPr>
            <a:ln w="24120">
              <a:solidFill>
                <a:srgbClr val="7F77D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'Sensitivität &amp; Medienvergleich'!$A$6:$A$11</c:f>
              <c:numCache>
                <c:formatCode>General</c:formatCode>
                <c:ptCount val="6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  <c:pt idx="5">
                  <c:v>1600</c:v>
                </c:pt>
              </c:numCache>
            </c:numRef>
          </c:xVal>
          <c:yVal>
            <c:numRef>
              <c:f>'Sensitivität &amp; Medienvergleich'!$D$6:$D$11</c:f>
              <c:numCache>
                <c:formatCode>General</c:formatCode>
                <c:ptCount val="6"/>
                <c:pt idx="0">
                  <c:v>209.1</c:v>
                </c:pt>
                <c:pt idx="1">
                  <c:v>208.8</c:v>
                </c:pt>
                <c:pt idx="2">
                  <c:v>208.5</c:v>
                </c:pt>
                <c:pt idx="3">
                  <c:v>208.3</c:v>
                </c:pt>
                <c:pt idx="4">
                  <c:v>208</c:v>
                </c:pt>
                <c:pt idx="5">
                  <c:v>207.7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9D-44C3-8B07-6BEBD260E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12702"/>
        <c:axId val="4023838"/>
      </c:scatterChart>
      <c:valAx>
        <c:axId val="46612702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Teufe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023838"/>
        <c:crosses val="autoZero"/>
        <c:crossBetween val="midCat"/>
      </c:valAx>
      <c:valAx>
        <c:axId val="40238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Kopfdruck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661270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Druckverlauf über die Teufe (Ziel 210 bar @ 1200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CO2 (dicht)</c:v>
          </c:tx>
          <c:spPr>
            <a:ln w="2412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'Sensitivität &amp; Medienvergleich'!$B$27:$B$51</c:f>
              <c:numCache>
                <c:formatCode>General</c:formatCode>
                <c:ptCount val="25"/>
                <c:pt idx="0">
                  <c:v>110.8</c:v>
                </c:pt>
                <c:pt idx="1">
                  <c:v>115.2</c:v>
                </c:pt>
                <c:pt idx="2">
                  <c:v>119.6</c:v>
                </c:pt>
                <c:pt idx="3">
                  <c:v>124</c:v>
                </c:pt>
                <c:pt idx="4">
                  <c:v>128.30000000000001</c:v>
                </c:pt>
                <c:pt idx="5">
                  <c:v>132.6</c:v>
                </c:pt>
                <c:pt idx="6">
                  <c:v>136.9</c:v>
                </c:pt>
                <c:pt idx="7">
                  <c:v>141.19999999999999</c:v>
                </c:pt>
                <c:pt idx="8">
                  <c:v>145.4</c:v>
                </c:pt>
                <c:pt idx="9">
                  <c:v>149.6</c:v>
                </c:pt>
                <c:pt idx="10">
                  <c:v>153.80000000000001</c:v>
                </c:pt>
                <c:pt idx="11">
                  <c:v>158</c:v>
                </c:pt>
                <c:pt idx="12">
                  <c:v>162.19999999999999</c:v>
                </c:pt>
                <c:pt idx="13">
                  <c:v>166.3</c:v>
                </c:pt>
                <c:pt idx="14">
                  <c:v>170.4</c:v>
                </c:pt>
                <c:pt idx="15">
                  <c:v>174.5</c:v>
                </c:pt>
                <c:pt idx="16">
                  <c:v>178.5</c:v>
                </c:pt>
                <c:pt idx="17">
                  <c:v>182.6</c:v>
                </c:pt>
                <c:pt idx="18">
                  <c:v>186.6</c:v>
                </c:pt>
                <c:pt idx="19">
                  <c:v>190.6</c:v>
                </c:pt>
                <c:pt idx="20">
                  <c:v>194.6</c:v>
                </c:pt>
                <c:pt idx="21">
                  <c:v>198.5</c:v>
                </c:pt>
                <c:pt idx="22">
                  <c:v>202.5</c:v>
                </c:pt>
                <c:pt idx="23">
                  <c:v>206.4</c:v>
                </c:pt>
                <c:pt idx="24">
                  <c:v>210.3</c:v>
                </c:pt>
              </c:numCache>
            </c:numRef>
          </c:xVal>
          <c:yVal>
            <c:numRef>
              <c:f>'Sensitivität &amp; Medienvergleich'!$A$27:$A$51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3-4924-B872-5242E54808AE}"/>
            </c:ext>
          </c:extLst>
        </c:ser>
        <c:ser>
          <c:idx val="1"/>
          <c:order val="1"/>
          <c:tx>
            <c:v>Erdgas (CH4)</c:v>
          </c:tx>
          <c:spPr>
            <a:ln w="24120">
              <a:solidFill>
                <a:srgbClr val="D85A3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'Sensitivität &amp; Medienvergleich'!$F$27:$F$51</c:f>
              <c:numCache>
                <c:formatCode>General</c:formatCode>
                <c:ptCount val="25"/>
                <c:pt idx="0">
                  <c:v>192.2</c:v>
                </c:pt>
                <c:pt idx="1">
                  <c:v>193</c:v>
                </c:pt>
                <c:pt idx="2">
                  <c:v>193.8</c:v>
                </c:pt>
                <c:pt idx="3">
                  <c:v>194.6</c:v>
                </c:pt>
                <c:pt idx="4">
                  <c:v>195.4</c:v>
                </c:pt>
                <c:pt idx="5">
                  <c:v>196.2</c:v>
                </c:pt>
                <c:pt idx="6">
                  <c:v>196.9</c:v>
                </c:pt>
                <c:pt idx="7">
                  <c:v>197.7</c:v>
                </c:pt>
                <c:pt idx="8">
                  <c:v>198.5</c:v>
                </c:pt>
                <c:pt idx="9">
                  <c:v>199.2</c:v>
                </c:pt>
                <c:pt idx="10">
                  <c:v>200</c:v>
                </c:pt>
                <c:pt idx="11">
                  <c:v>200.7</c:v>
                </c:pt>
                <c:pt idx="12">
                  <c:v>201.4</c:v>
                </c:pt>
                <c:pt idx="13">
                  <c:v>202.2</c:v>
                </c:pt>
                <c:pt idx="14">
                  <c:v>202.9</c:v>
                </c:pt>
                <c:pt idx="15">
                  <c:v>203.7</c:v>
                </c:pt>
                <c:pt idx="16">
                  <c:v>204.4</c:v>
                </c:pt>
                <c:pt idx="17">
                  <c:v>205.1</c:v>
                </c:pt>
                <c:pt idx="18">
                  <c:v>205.8</c:v>
                </c:pt>
                <c:pt idx="19">
                  <c:v>206.5</c:v>
                </c:pt>
                <c:pt idx="20">
                  <c:v>207.2</c:v>
                </c:pt>
                <c:pt idx="21">
                  <c:v>208</c:v>
                </c:pt>
                <c:pt idx="22">
                  <c:v>208.7</c:v>
                </c:pt>
                <c:pt idx="23">
                  <c:v>209.4</c:v>
                </c:pt>
                <c:pt idx="24">
                  <c:v>210.1</c:v>
                </c:pt>
              </c:numCache>
            </c:numRef>
          </c:xVal>
          <c:yVal>
            <c:numRef>
              <c:f>'Sensitivität &amp; Medienvergleich'!$E$27:$E$51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93-4924-B872-5242E54808AE}"/>
            </c:ext>
          </c:extLst>
        </c:ser>
        <c:ser>
          <c:idx val="2"/>
          <c:order val="2"/>
          <c:tx>
            <c:v>Wasserstoff (H2)</c:v>
          </c:tx>
          <c:spPr>
            <a:ln w="24120">
              <a:solidFill>
                <a:srgbClr val="7F77D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'Sensitivität &amp; Medienvergleich'!$J$27:$J$51</c:f>
              <c:numCache>
                <c:formatCode>General</c:formatCode>
                <c:ptCount val="25"/>
                <c:pt idx="0">
                  <c:v>208.3</c:v>
                </c:pt>
                <c:pt idx="1">
                  <c:v>208.3</c:v>
                </c:pt>
                <c:pt idx="2">
                  <c:v>208.4</c:v>
                </c:pt>
                <c:pt idx="3">
                  <c:v>208.5</c:v>
                </c:pt>
                <c:pt idx="4">
                  <c:v>208.6</c:v>
                </c:pt>
                <c:pt idx="5">
                  <c:v>208.6</c:v>
                </c:pt>
                <c:pt idx="6">
                  <c:v>208.7</c:v>
                </c:pt>
                <c:pt idx="7">
                  <c:v>208.8</c:v>
                </c:pt>
                <c:pt idx="8">
                  <c:v>208.9</c:v>
                </c:pt>
                <c:pt idx="9">
                  <c:v>208.9</c:v>
                </c:pt>
                <c:pt idx="10">
                  <c:v>209</c:v>
                </c:pt>
                <c:pt idx="11">
                  <c:v>209.1</c:v>
                </c:pt>
                <c:pt idx="12">
                  <c:v>209.2</c:v>
                </c:pt>
                <c:pt idx="13">
                  <c:v>209.2</c:v>
                </c:pt>
                <c:pt idx="14">
                  <c:v>209.3</c:v>
                </c:pt>
                <c:pt idx="15">
                  <c:v>209.4</c:v>
                </c:pt>
                <c:pt idx="16">
                  <c:v>209.4</c:v>
                </c:pt>
                <c:pt idx="17">
                  <c:v>209.5</c:v>
                </c:pt>
                <c:pt idx="18">
                  <c:v>209.6</c:v>
                </c:pt>
                <c:pt idx="19">
                  <c:v>209.7</c:v>
                </c:pt>
                <c:pt idx="20">
                  <c:v>209.7</c:v>
                </c:pt>
                <c:pt idx="21">
                  <c:v>209.8</c:v>
                </c:pt>
                <c:pt idx="22">
                  <c:v>209.9</c:v>
                </c:pt>
                <c:pt idx="23">
                  <c:v>209.9</c:v>
                </c:pt>
                <c:pt idx="24">
                  <c:v>210</c:v>
                </c:pt>
              </c:numCache>
            </c:numRef>
          </c:xVal>
          <c:yVal>
            <c:numRef>
              <c:f>'Sensitivität &amp; Medienvergleich'!$I$27:$I$51</c:f>
              <c:numCache>
                <c:formatCode>General</c:formatCode>
                <c:ptCount val="2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1150</c:v>
                </c:pt>
                <c:pt idx="24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93-4924-B872-5242E5480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7534"/>
        <c:axId val="9693150"/>
      </c:scatterChart>
      <c:valAx>
        <c:axId val="27257534"/>
        <c:scaling>
          <c:orientation val="minMax"/>
        </c:scaling>
        <c:delete val="0"/>
        <c:axPos val="t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p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9693150"/>
        <c:crosses val="autoZero"/>
        <c:crossBetween val="midCat"/>
      </c:valAx>
      <c:valAx>
        <c:axId val="9693150"/>
        <c:scaling>
          <c:orientation val="maxMin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Teufe z [m]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72575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Inventar über Kavernendruck – Arbeitsgas ist die Differenz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isotherm 50 °C (obere Abschätzung)</c:v>
          </c:tx>
          <c:spPr>
            <a:ln w="24120">
              <a:solidFill>
                <a:srgbClr val="1D9E7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'Arbeitsgas &amp; Regime'!$A$13:$A$27</c:f>
              <c:numCache>
                <c:formatCode>General</c:formatCode>
                <c:ptCount val="15"/>
                <c:pt idx="0">
                  <c:v>70</c:v>
                </c:pt>
                <c:pt idx="1">
                  <c:v>73.8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166.5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</c:numCache>
            </c:numRef>
          </c:xVal>
          <c:yVal>
            <c:numRef>
              <c:f>'Arbeitsgas &amp; Regime'!$D$13:$D$27</c:f>
              <c:numCache>
                <c:formatCode>General</c:formatCode>
                <c:ptCount val="15"/>
                <c:pt idx="0">
                  <c:v>111.8</c:v>
                </c:pt>
                <c:pt idx="1">
                  <c:v>122.5</c:v>
                </c:pt>
                <c:pt idx="2">
                  <c:v>142.5</c:v>
                </c:pt>
                <c:pt idx="3">
                  <c:v>185.2</c:v>
                </c:pt>
                <c:pt idx="4">
                  <c:v>249.8</c:v>
                </c:pt>
                <c:pt idx="5">
                  <c:v>326.7</c:v>
                </c:pt>
                <c:pt idx="6">
                  <c:v>380.1</c:v>
                </c:pt>
                <c:pt idx="7">
                  <c:v>413.5</c:v>
                </c:pt>
                <c:pt idx="8">
                  <c:v>436.9</c:v>
                </c:pt>
                <c:pt idx="9">
                  <c:v>454.8</c:v>
                </c:pt>
                <c:pt idx="10">
                  <c:v>477.5</c:v>
                </c:pt>
                <c:pt idx="11">
                  <c:v>492.1</c:v>
                </c:pt>
                <c:pt idx="12">
                  <c:v>501.4</c:v>
                </c:pt>
                <c:pt idx="13">
                  <c:v>509.8</c:v>
                </c:pt>
                <c:pt idx="14">
                  <c:v>517.4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08-4A52-97CE-67D23B956DC4}"/>
            </c:ext>
          </c:extLst>
        </c:ser>
        <c:ser>
          <c:idx val="1"/>
          <c:order val="1"/>
          <c:tx>
            <c:v>mit Abkühlung (realitätsnäher)</c:v>
          </c:tx>
          <c:spPr>
            <a:ln w="24120">
              <a:solidFill>
                <a:srgbClr val="185F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'Arbeitsgas &amp; Regime'!$A$13:$A$27</c:f>
              <c:numCache>
                <c:formatCode>General</c:formatCode>
                <c:ptCount val="15"/>
                <c:pt idx="0">
                  <c:v>70</c:v>
                </c:pt>
                <c:pt idx="1">
                  <c:v>73.8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166.5</c:v>
                </c:pt>
                <c:pt idx="11">
                  <c:v>180</c:v>
                </c:pt>
                <c:pt idx="12">
                  <c:v>190</c:v>
                </c:pt>
                <c:pt idx="13">
                  <c:v>200</c:v>
                </c:pt>
                <c:pt idx="14">
                  <c:v>210</c:v>
                </c:pt>
              </c:numCache>
            </c:numRef>
          </c:xVal>
          <c:yVal>
            <c:numRef>
              <c:f>'Arbeitsgas &amp; Regime'!$H$13:$H$27</c:f>
              <c:numCache>
                <c:formatCode>General</c:formatCode>
                <c:ptCount val="15"/>
                <c:pt idx="0">
                  <c:v>158</c:v>
                </c:pt>
                <c:pt idx="1">
                  <c:v>192.1</c:v>
                </c:pt>
                <c:pt idx="2">
                  <c:v>381.1</c:v>
                </c:pt>
                <c:pt idx="3">
                  <c:v>428.2</c:v>
                </c:pt>
                <c:pt idx="4">
                  <c:v>446.2</c:v>
                </c:pt>
                <c:pt idx="5">
                  <c:v>457.5</c:v>
                </c:pt>
                <c:pt idx="6">
                  <c:v>465.7</c:v>
                </c:pt>
                <c:pt idx="7">
                  <c:v>472.2</c:v>
                </c:pt>
                <c:pt idx="8">
                  <c:v>477.5</c:v>
                </c:pt>
                <c:pt idx="9">
                  <c:v>481.9</c:v>
                </c:pt>
                <c:pt idx="10">
                  <c:v>487.9</c:v>
                </c:pt>
                <c:pt idx="11">
                  <c:v>492</c:v>
                </c:pt>
                <c:pt idx="12">
                  <c:v>494.6</c:v>
                </c:pt>
                <c:pt idx="13">
                  <c:v>497</c:v>
                </c:pt>
                <c:pt idx="14">
                  <c:v>499.1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08-4A52-97CE-67D23B956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82128"/>
        <c:axId val="46820798"/>
      </c:scatterChart>
      <c:valAx>
        <c:axId val="3018212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pLCCS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46820798"/>
        <c:crosses val="autoZero"/>
        <c:crossBetween val="midCat"/>
      </c:valAx>
      <c:valAx>
        <c:axId val="468207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Inventar [kt]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3018212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Zyklus: Druck und Inventar über die Zeit (Nennrate)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Kavernendruck [bar]</c:v>
          </c:tx>
          <c:spPr>
            <a:ln w="24120">
              <a:solidFill>
                <a:srgbClr val="185F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'Zyklus &amp; Inventar'!$A$35:$A$1360</c:f>
              <c:numCache>
                <c:formatCode>General</c:formatCode>
                <c:ptCount val="13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56.79</c:v>
                </c:pt>
                <c:pt idx="285">
                  <c:v>56.99</c:v>
                </c:pt>
                <c:pt idx="286">
                  <c:v>57.19</c:v>
                </c:pt>
                <c:pt idx="287">
                  <c:v>57.39</c:v>
                </c:pt>
                <c:pt idx="288">
                  <c:v>57.59</c:v>
                </c:pt>
                <c:pt idx="289">
                  <c:v>57.79</c:v>
                </c:pt>
                <c:pt idx="290">
                  <c:v>57.99</c:v>
                </c:pt>
                <c:pt idx="291">
                  <c:v>58.19</c:v>
                </c:pt>
                <c:pt idx="292">
                  <c:v>58.39</c:v>
                </c:pt>
                <c:pt idx="293">
                  <c:v>58.59</c:v>
                </c:pt>
                <c:pt idx="294">
                  <c:v>58.79</c:v>
                </c:pt>
                <c:pt idx="295">
                  <c:v>58.99</c:v>
                </c:pt>
                <c:pt idx="296">
                  <c:v>59.19</c:v>
                </c:pt>
                <c:pt idx="297">
                  <c:v>59.39</c:v>
                </c:pt>
                <c:pt idx="298">
                  <c:v>59.59</c:v>
                </c:pt>
                <c:pt idx="299">
                  <c:v>59.79</c:v>
                </c:pt>
                <c:pt idx="300">
                  <c:v>59.99</c:v>
                </c:pt>
                <c:pt idx="301">
                  <c:v>60.19</c:v>
                </c:pt>
                <c:pt idx="302">
                  <c:v>60.39</c:v>
                </c:pt>
                <c:pt idx="303">
                  <c:v>60.59</c:v>
                </c:pt>
                <c:pt idx="304">
                  <c:v>60.79</c:v>
                </c:pt>
                <c:pt idx="305">
                  <c:v>60.99</c:v>
                </c:pt>
                <c:pt idx="306">
                  <c:v>61.19</c:v>
                </c:pt>
                <c:pt idx="307">
                  <c:v>61.39</c:v>
                </c:pt>
                <c:pt idx="308">
                  <c:v>61.59</c:v>
                </c:pt>
                <c:pt idx="309">
                  <c:v>61.79</c:v>
                </c:pt>
                <c:pt idx="310">
                  <c:v>61.99</c:v>
                </c:pt>
                <c:pt idx="311">
                  <c:v>62.19</c:v>
                </c:pt>
                <c:pt idx="312">
                  <c:v>62.39</c:v>
                </c:pt>
                <c:pt idx="313">
                  <c:v>62.59</c:v>
                </c:pt>
                <c:pt idx="314">
                  <c:v>62.79</c:v>
                </c:pt>
                <c:pt idx="315">
                  <c:v>62.99</c:v>
                </c:pt>
                <c:pt idx="316">
                  <c:v>63.19</c:v>
                </c:pt>
                <c:pt idx="317">
                  <c:v>63.39</c:v>
                </c:pt>
                <c:pt idx="318">
                  <c:v>63.59</c:v>
                </c:pt>
                <c:pt idx="319">
                  <c:v>63.79</c:v>
                </c:pt>
                <c:pt idx="320">
                  <c:v>63.99</c:v>
                </c:pt>
                <c:pt idx="321">
                  <c:v>64.19</c:v>
                </c:pt>
                <c:pt idx="322">
                  <c:v>64.39</c:v>
                </c:pt>
                <c:pt idx="323">
                  <c:v>64.59</c:v>
                </c:pt>
                <c:pt idx="324">
                  <c:v>64.790000000000006</c:v>
                </c:pt>
                <c:pt idx="325">
                  <c:v>64.989999999999995</c:v>
                </c:pt>
                <c:pt idx="326">
                  <c:v>65.19</c:v>
                </c:pt>
                <c:pt idx="327">
                  <c:v>65.39</c:v>
                </c:pt>
                <c:pt idx="328">
                  <c:v>65.59</c:v>
                </c:pt>
                <c:pt idx="329">
                  <c:v>65.790000000000006</c:v>
                </c:pt>
                <c:pt idx="330">
                  <c:v>65.989999999999995</c:v>
                </c:pt>
                <c:pt idx="331">
                  <c:v>66.19</c:v>
                </c:pt>
                <c:pt idx="332">
                  <c:v>66.39</c:v>
                </c:pt>
                <c:pt idx="333">
                  <c:v>66.59</c:v>
                </c:pt>
                <c:pt idx="334">
                  <c:v>66.790000000000006</c:v>
                </c:pt>
                <c:pt idx="335">
                  <c:v>66.989999999999995</c:v>
                </c:pt>
                <c:pt idx="336">
                  <c:v>67.19</c:v>
                </c:pt>
                <c:pt idx="337">
                  <c:v>67.39</c:v>
                </c:pt>
                <c:pt idx="338">
                  <c:v>67.59</c:v>
                </c:pt>
                <c:pt idx="339">
                  <c:v>67.790000000000006</c:v>
                </c:pt>
                <c:pt idx="340">
                  <c:v>67.989999999999995</c:v>
                </c:pt>
                <c:pt idx="341">
                  <c:v>68.19</c:v>
                </c:pt>
                <c:pt idx="342">
                  <c:v>68.39</c:v>
                </c:pt>
                <c:pt idx="343">
                  <c:v>68.59</c:v>
                </c:pt>
                <c:pt idx="344">
                  <c:v>68.790000000000006</c:v>
                </c:pt>
                <c:pt idx="345">
                  <c:v>68.989999999999995</c:v>
                </c:pt>
                <c:pt idx="346">
                  <c:v>69.19</c:v>
                </c:pt>
                <c:pt idx="347">
                  <c:v>69.39</c:v>
                </c:pt>
                <c:pt idx="348">
                  <c:v>69.59</c:v>
                </c:pt>
                <c:pt idx="349">
                  <c:v>69.790000000000006</c:v>
                </c:pt>
                <c:pt idx="350">
                  <c:v>69.989999999999995</c:v>
                </c:pt>
                <c:pt idx="351">
                  <c:v>70.19</c:v>
                </c:pt>
                <c:pt idx="352">
                  <c:v>70.39</c:v>
                </c:pt>
                <c:pt idx="353">
                  <c:v>70.59</c:v>
                </c:pt>
                <c:pt idx="354">
                  <c:v>70.790000000000006</c:v>
                </c:pt>
                <c:pt idx="355">
                  <c:v>70.989999999999995</c:v>
                </c:pt>
                <c:pt idx="356">
                  <c:v>71.19</c:v>
                </c:pt>
                <c:pt idx="357">
                  <c:v>71.39</c:v>
                </c:pt>
                <c:pt idx="358">
                  <c:v>71.59</c:v>
                </c:pt>
                <c:pt idx="359">
                  <c:v>71.790000000000006</c:v>
                </c:pt>
                <c:pt idx="360">
                  <c:v>71.989999999999995</c:v>
                </c:pt>
                <c:pt idx="361">
                  <c:v>72.19</c:v>
                </c:pt>
                <c:pt idx="362">
                  <c:v>72.39</c:v>
                </c:pt>
                <c:pt idx="363">
                  <c:v>72.59</c:v>
                </c:pt>
                <c:pt idx="364">
                  <c:v>72.790000000000006</c:v>
                </c:pt>
                <c:pt idx="365">
                  <c:v>72.989999999999995</c:v>
                </c:pt>
                <c:pt idx="366">
                  <c:v>73.19</c:v>
                </c:pt>
                <c:pt idx="367">
                  <c:v>73.39</c:v>
                </c:pt>
                <c:pt idx="368">
                  <c:v>73.59</c:v>
                </c:pt>
                <c:pt idx="369">
                  <c:v>73.790000000000006</c:v>
                </c:pt>
                <c:pt idx="370">
                  <c:v>73.989999999999995</c:v>
                </c:pt>
                <c:pt idx="371">
                  <c:v>74.19</c:v>
                </c:pt>
                <c:pt idx="372">
                  <c:v>74.39</c:v>
                </c:pt>
                <c:pt idx="373">
                  <c:v>74.59</c:v>
                </c:pt>
                <c:pt idx="374">
                  <c:v>74.790000000000006</c:v>
                </c:pt>
                <c:pt idx="375">
                  <c:v>74.989999999999995</c:v>
                </c:pt>
                <c:pt idx="376">
                  <c:v>75.19</c:v>
                </c:pt>
                <c:pt idx="377">
                  <c:v>75.39</c:v>
                </c:pt>
                <c:pt idx="378">
                  <c:v>75.59</c:v>
                </c:pt>
                <c:pt idx="379">
                  <c:v>75.790000000000006</c:v>
                </c:pt>
                <c:pt idx="380">
                  <c:v>75.989999999999995</c:v>
                </c:pt>
                <c:pt idx="381">
                  <c:v>76.19</c:v>
                </c:pt>
                <c:pt idx="382">
                  <c:v>76.39</c:v>
                </c:pt>
                <c:pt idx="383">
                  <c:v>76.59</c:v>
                </c:pt>
                <c:pt idx="384">
                  <c:v>76.790000000000006</c:v>
                </c:pt>
                <c:pt idx="385">
                  <c:v>76.989999999999995</c:v>
                </c:pt>
                <c:pt idx="386">
                  <c:v>77.19</c:v>
                </c:pt>
                <c:pt idx="387">
                  <c:v>77.39</c:v>
                </c:pt>
                <c:pt idx="388">
                  <c:v>77.59</c:v>
                </c:pt>
                <c:pt idx="389">
                  <c:v>77.790000000000006</c:v>
                </c:pt>
                <c:pt idx="390">
                  <c:v>77.989999999999995</c:v>
                </c:pt>
                <c:pt idx="391">
                  <c:v>78.19</c:v>
                </c:pt>
                <c:pt idx="392">
                  <c:v>78.39</c:v>
                </c:pt>
                <c:pt idx="393">
                  <c:v>78.58</c:v>
                </c:pt>
                <c:pt idx="394">
                  <c:v>78.78</c:v>
                </c:pt>
                <c:pt idx="395">
                  <c:v>78.98</c:v>
                </c:pt>
                <c:pt idx="396">
                  <c:v>79.180000000000007</c:v>
                </c:pt>
                <c:pt idx="397">
                  <c:v>79.38</c:v>
                </c:pt>
                <c:pt idx="398">
                  <c:v>79.58</c:v>
                </c:pt>
                <c:pt idx="399">
                  <c:v>79.78</c:v>
                </c:pt>
                <c:pt idx="400">
                  <c:v>79.98</c:v>
                </c:pt>
                <c:pt idx="401">
                  <c:v>80.180000000000007</c:v>
                </c:pt>
                <c:pt idx="402">
                  <c:v>80.38</c:v>
                </c:pt>
                <c:pt idx="403">
                  <c:v>80.58</c:v>
                </c:pt>
                <c:pt idx="404">
                  <c:v>80.78</c:v>
                </c:pt>
                <c:pt idx="405">
                  <c:v>80.98</c:v>
                </c:pt>
                <c:pt idx="406">
                  <c:v>81.180000000000007</c:v>
                </c:pt>
                <c:pt idx="407">
                  <c:v>81.38</c:v>
                </c:pt>
                <c:pt idx="408">
                  <c:v>81.58</c:v>
                </c:pt>
                <c:pt idx="409">
                  <c:v>81.78</c:v>
                </c:pt>
                <c:pt idx="410">
                  <c:v>81.98</c:v>
                </c:pt>
                <c:pt idx="411">
                  <c:v>82.18</c:v>
                </c:pt>
                <c:pt idx="412">
                  <c:v>82.38</c:v>
                </c:pt>
                <c:pt idx="413">
                  <c:v>82.58</c:v>
                </c:pt>
                <c:pt idx="414">
                  <c:v>82.78</c:v>
                </c:pt>
                <c:pt idx="415">
                  <c:v>82.98</c:v>
                </c:pt>
                <c:pt idx="416">
                  <c:v>83.18</c:v>
                </c:pt>
                <c:pt idx="417">
                  <c:v>83.38</c:v>
                </c:pt>
                <c:pt idx="418">
                  <c:v>83.58</c:v>
                </c:pt>
                <c:pt idx="419">
                  <c:v>83.78</c:v>
                </c:pt>
                <c:pt idx="420">
                  <c:v>83.98</c:v>
                </c:pt>
                <c:pt idx="421">
                  <c:v>84.18</c:v>
                </c:pt>
                <c:pt idx="422">
                  <c:v>84.38</c:v>
                </c:pt>
                <c:pt idx="423">
                  <c:v>84.58</c:v>
                </c:pt>
                <c:pt idx="424">
                  <c:v>84.78</c:v>
                </c:pt>
                <c:pt idx="425">
                  <c:v>84.98</c:v>
                </c:pt>
                <c:pt idx="426">
                  <c:v>85.18</c:v>
                </c:pt>
                <c:pt idx="427">
                  <c:v>85.38</c:v>
                </c:pt>
                <c:pt idx="428">
                  <c:v>85.58</c:v>
                </c:pt>
                <c:pt idx="429">
                  <c:v>85.78</c:v>
                </c:pt>
                <c:pt idx="430">
                  <c:v>85.98</c:v>
                </c:pt>
                <c:pt idx="431">
                  <c:v>86.18</c:v>
                </c:pt>
                <c:pt idx="432">
                  <c:v>86.38</c:v>
                </c:pt>
                <c:pt idx="433">
                  <c:v>86.58</c:v>
                </c:pt>
                <c:pt idx="434">
                  <c:v>86.78</c:v>
                </c:pt>
                <c:pt idx="435">
                  <c:v>86.98</c:v>
                </c:pt>
                <c:pt idx="436">
                  <c:v>87.18</c:v>
                </c:pt>
                <c:pt idx="437">
                  <c:v>87.38</c:v>
                </c:pt>
                <c:pt idx="438">
                  <c:v>87.58</c:v>
                </c:pt>
                <c:pt idx="439">
                  <c:v>87.78</c:v>
                </c:pt>
                <c:pt idx="440">
                  <c:v>87.98</c:v>
                </c:pt>
                <c:pt idx="441">
                  <c:v>88.18</c:v>
                </c:pt>
                <c:pt idx="442">
                  <c:v>88.38</c:v>
                </c:pt>
                <c:pt idx="443">
                  <c:v>88.58</c:v>
                </c:pt>
                <c:pt idx="444">
                  <c:v>88.78</c:v>
                </c:pt>
                <c:pt idx="445">
                  <c:v>88.98</c:v>
                </c:pt>
                <c:pt idx="446">
                  <c:v>89.18</c:v>
                </c:pt>
                <c:pt idx="447">
                  <c:v>89.38</c:v>
                </c:pt>
                <c:pt idx="448">
                  <c:v>89.58</c:v>
                </c:pt>
                <c:pt idx="449">
                  <c:v>89.78</c:v>
                </c:pt>
                <c:pt idx="450">
                  <c:v>89.98</c:v>
                </c:pt>
                <c:pt idx="451">
                  <c:v>90.18</c:v>
                </c:pt>
                <c:pt idx="452">
                  <c:v>90.38</c:v>
                </c:pt>
                <c:pt idx="453">
                  <c:v>90.58</c:v>
                </c:pt>
                <c:pt idx="454">
                  <c:v>90.78</c:v>
                </c:pt>
                <c:pt idx="455">
                  <c:v>90.98</c:v>
                </c:pt>
                <c:pt idx="456">
                  <c:v>91.18</c:v>
                </c:pt>
                <c:pt idx="457">
                  <c:v>91.38</c:v>
                </c:pt>
                <c:pt idx="458">
                  <c:v>91.58</c:v>
                </c:pt>
                <c:pt idx="459">
                  <c:v>91.78</c:v>
                </c:pt>
                <c:pt idx="460">
                  <c:v>91.98</c:v>
                </c:pt>
                <c:pt idx="461">
                  <c:v>92.18</c:v>
                </c:pt>
                <c:pt idx="462">
                  <c:v>92.38</c:v>
                </c:pt>
                <c:pt idx="463">
                  <c:v>92.58</c:v>
                </c:pt>
                <c:pt idx="464">
                  <c:v>92.78</c:v>
                </c:pt>
                <c:pt idx="465">
                  <c:v>92.98</c:v>
                </c:pt>
                <c:pt idx="466">
                  <c:v>93.18</c:v>
                </c:pt>
                <c:pt idx="467">
                  <c:v>93.38</c:v>
                </c:pt>
                <c:pt idx="468">
                  <c:v>93.58</c:v>
                </c:pt>
                <c:pt idx="469">
                  <c:v>93.78</c:v>
                </c:pt>
                <c:pt idx="470">
                  <c:v>93.98</c:v>
                </c:pt>
                <c:pt idx="471">
                  <c:v>94.18</c:v>
                </c:pt>
                <c:pt idx="472">
                  <c:v>94.38</c:v>
                </c:pt>
                <c:pt idx="473">
                  <c:v>94.58</c:v>
                </c:pt>
                <c:pt idx="474">
                  <c:v>94.78</c:v>
                </c:pt>
                <c:pt idx="475">
                  <c:v>94.98</c:v>
                </c:pt>
                <c:pt idx="476">
                  <c:v>95.18</c:v>
                </c:pt>
                <c:pt idx="477">
                  <c:v>95.38</c:v>
                </c:pt>
                <c:pt idx="478">
                  <c:v>95.58</c:v>
                </c:pt>
                <c:pt idx="479">
                  <c:v>95.78</c:v>
                </c:pt>
                <c:pt idx="480">
                  <c:v>95.98</c:v>
                </c:pt>
                <c:pt idx="481">
                  <c:v>96.18</c:v>
                </c:pt>
                <c:pt idx="482">
                  <c:v>96.38</c:v>
                </c:pt>
                <c:pt idx="483">
                  <c:v>96.58</c:v>
                </c:pt>
                <c:pt idx="484">
                  <c:v>96.78</c:v>
                </c:pt>
                <c:pt idx="485">
                  <c:v>96.98</c:v>
                </c:pt>
                <c:pt idx="486">
                  <c:v>97.18</c:v>
                </c:pt>
                <c:pt idx="487">
                  <c:v>97.38</c:v>
                </c:pt>
                <c:pt idx="488">
                  <c:v>97.58</c:v>
                </c:pt>
                <c:pt idx="489">
                  <c:v>97.78</c:v>
                </c:pt>
                <c:pt idx="490">
                  <c:v>97.98</c:v>
                </c:pt>
                <c:pt idx="491">
                  <c:v>98.18</c:v>
                </c:pt>
                <c:pt idx="492">
                  <c:v>98.38</c:v>
                </c:pt>
                <c:pt idx="493">
                  <c:v>98.58</c:v>
                </c:pt>
                <c:pt idx="494">
                  <c:v>98.78</c:v>
                </c:pt>
                <c:pt idx="495">
                  <c:v>98.98</c:v>
                </c:pt>
                <c:pt idx="496">
                  <c:v>99.18</c:v>
                </c:pt>
                <c:pt idx="497">
                  <c:v>99.38</c:v>
                </c:pt>
                <c:pt idx="498">
                  <c:v>99.58</c:v>
                </c:pt>
                <c:pt idx="499">
                  <c:v>99.78</c:v>
                </c:pt>
                <c:pt idx="500">
                  <c:v>99.98</c:v>
                </c:pt>
                <c:pt idx="501">
                  <c:v>100.18</c:v>
                </c:pt>
                <c:pt idx="502">
                  <c:v>100.38</c:v>
                </c:pt>
                <c:pt idx="503">
                  <c:v>100.58</c:v>
                </c:pt>
                <c:pt idx="504">
                  <c:v>100.78</c:v>
                </c:pt>
                <c:pt idx="505">
                  <c:v>100.98</c:v>
                </c:pt>
                <c:pt idx="506">
                  <c:v>101.18</c:v>
                </c:pt>
                <c:pt idx="507">
                  <c:v>101.38</c:v>
                </c:pt>
                <c:pt idx="508">
                  <c:v>101.58</c:v>
                </c:pt>
                <c:pt idx="509">
                  <c:v>101.78</c:v>
                </c:pt>
                <c:pt idx="510">
                  <c:v>101.98</c:v>
                </c:pt>
                <c:pt idx="511">
                  <c:v>102.18</c:v>
                </c:pt>
                <c:pt idx="512">
                  <c:v>102.38</c:v>
                </c:pt>
                <c:pt idx="513">
                  <c:v>102.58</c:v>
                </c:pt>
                <c:pt idx="514">
                  <c:v>102.78</c:v>
                </c:pt>
                <c:pt idx="515">
                  <c:v>102.98</c:v>
                </c:pt>
                <c:pt idx="516">
                  <c:v>103.18</c:v>
                </c:pt>
                <c:pt idx="517">
                  <c:v>103.38</c:v>
                </c:pt>
                <c:pt idx="518">
                  <c:v>103.58</c:v>
                </c:pt>
                <c:pt idx="519">
                  <c:v>103.78</c:v>
                </c:pt>
                <c:pt idx="520">
                  <c:v>103.98</c:v>
                </c:pt>
                <c:pt idx="521">
                  <c:v>104.18</c:v>
                </c:pt>
                <c:pt idx="522">
                  <c:v>104.38</c:v>
                </c:pt>
                <c:pt idx="523">
                  <c:v>104.58</c:v>
                </c:pt>
                <c:pt idx="524">
                  <c:v>104.78</c:v>
                </c:pt>
                <c:pt idx="525">
                  <c:v>104.98</c:v>
                </c:pt>
                <c:pt idx="526">
                  <c:v>105.18</c:v>
                </c:pt>
                <c:pt idx="527">
                  <c:v>105.38</c:v>
                </c:pt>
                <c:pt idx="528">
                  <c:v>105.58</c:v>
                </c:pt>
                <c:pt idx="529">
                  <c:v>105.78</c:v>
                </c:pt>
                <c:pt idx="530">
                  <c:v>105.98</c:v>
                </c:pt>
                <c:pt idx="531">
                  <c:v>106.18</c:v>
                </c:pt>
                <c:pt idx="532">
                  <c:v>106.38</c:v>
                </c:pt>
                <c:pt idx="533">
                  <c:v>106.58</c:v>
                </c:pt>
                <c:pt idx="534">
                  <c:v>106.78</c:v>
                </c:pt>
                <c:pt idx="535">
                  <c:v>106.98</c:v>
                </c:pt>
                <c:pt idx="536">
                  <c:v>107.18</c:v>
                </c:pt>
                <c:pt idx="537">
                  <c:v>107.38</c:v>
                </c:pt>
                <c:pt idx="538">
                  <c:v>107.58</c:v>
                </c:pt>
                <c:pt idx="539">
                  <c:v>107.78</c:v>
                </c:pt>
                <c:pt idx="540">
                  <c:v>107.98</c:v>
                </c:pt>
                <c:pt idx="541">
                  <c:v>108.18</c:v>
                </c:pt>
                <c:pt idx="542">
                  <c:v>108.38</c:v>
                </c:pt>
                <c:pt idx="543">
                  <c:v>108.58</c:v>
                </c:pt>
                <c:pt idx="544">
                  <c:v>108.78</c:v>
                </c:pt>
                <c:pt idx="545">
                  <c:v>108.98</c:v>
                </c:pt>
                <c:pt idx="546">
                  <c:v>109.18</c:v>
                </c:pt>
                <c:pt idx="547">
                  <c:v>109.38</c:v>
                </c:pt>
                <c:pt idx="548">
                  <c:v>109.58</c:v>
                </c:pt>
                <c:pt idx="549">
                  <c:v>109.78</c:v>
                </c:pt>
                <c:pt idx="550">
                  <c:v>109.98</c:v>
                </c:pt>
                <c:pt idx="551">
                  <c:v>110.18</c:v>
                </c:pt>
                <c:pt idx="552">
                  <c:v>110.38</c:v>
                </c:pt>
                <c:pt idx="553">
                  <c:v>110.58</c:v>
                </c:pt>
                <c:pt idx="554">
                  <c:v>110.78</c:v>
                </c:pt>
                <c:pt idx="555">
                  <c:v>110.98</c:v>
                </c:pt>
                <c:pt idx="556">
                  <c:v>111.18</c:v>
                </c:pt>
                <c:pt idx="557">
                  <c:v>111.38</c:v>
                </c:pt>
                <c:pt idx="558">
                  <c:v>111.58</c:v>
                </c:pt>
                <c:pt idx="559">
                  <c:v>111.78</c:v>
                </c:pt>
                <c:pt idx="560">
                  <c:v>111.98</c:v>
                </c:pt>
                <c:pt idx="561">
                  <c:v>112.18</c:v>
                </c:pt>
                <c:pt idx="562">
                  <c:v>112.38</c:v>
                </c:pt>
                <c:pt idx="563">
                  <c:v>112.58</c:v>
                </c:pt>
                <c:pt idx="564">
                  <c:v>112.78</c:v>
                </c:pt>
                <c:pt idx="565">
                  <c:v>112.98</c:v>
                </c:pt>
                <c:pt idx="566">
                  <c:v>113.18</c:v>
                </c:pt>
                <c:pt idx="567">
                  <c:v>113.38</c:v>
                </c:pt>
                <c:pt idx="568">
                  <c:v>113.58</c:v>
                </c:pt>
                <c:pt idx="569">
                  <c:v>113.78</c:v>
                </c:pt>
                <c:pt idx="570">
                  <c:v>113.98</c:v>
                </c:pt>
                <c:pt idx="571">
                  <c:v>114.18</c:v>
                </c:pt>
                <c:pt idx="572">
                  <c:v>114.38</c:v>
                </c:pt>
                <c:pt idx="573">
                  <c:v>114.58</c:v>
                </c:pt>
                <c:pt idx="574">
                  <c:v>114.78</c:v>
                </c:pt>
                <c:pt idx="575">
                  <c:v>114.98</c:v>
                </c:pt>
                <c:pt idx="576">
                  <c:v>115.18</c:v>
                </c:pt>
                <c:pt idx="577">
                  <c:v>115.38</c:v>
                </c:pt>
                <c:pt idx="578">
                  <c:v>115.58</c:v>
                </c:pt>
                <c:pt idx="579">
                  <c:v>115.78</c:v>
                </c:pt>
                <c:pt idx="580">
                  <c:v>115.98</c:v>
                </c:pt>
                <c:pt idx="581">
                  <c:v>116.18</c:v>
                </c:pt>
                <c:pt idx="582">
                  <c:v>116.38</c:v>
                </c:pt>
                <c:pt idx="583">
                  <c:v>116.58</c:v>
                </c:pt>
                <c:pt idx="584">
                  <c:v>116.78</c:v>
                </c:pt>
                <c:pt idx="585">
                  <c:v>116.98</c:v>
                </c:pt>
                <c:pt idx="586">
                  <c:v>117.18</c:v>
                </c:pt>
                <c:pt idx="587">
                  <c:v>117.38</c:v>
                </c:pt>
                <c:pt idx="588">
                  <c:v>117.58</c:v>
                </c:pt>
                <c:pt idx="589">
                  <c:v>117.78</c:v>
                </c:pt>
                <c:pt idx="590">
                  <c:v>117.98</c:v>
                </c:pt>
                <c:pt idx="591">
                  <c:v>118.18</c:v>
                </c:pt>
                <c:pt idx="592">
                  <c:v>118.38</c:v>
                </c:pt>
                <c:pt idx="593">
                  <c:v>118.58</c:v>
                </c:pt>
                <c:pt idx="594">
                  <c:v>118.78</c:v>
                </c:pt>
                <c:pt idx="595">
                  <c:v>118.98</c:v>
                </c:pt>
                <c:pt idx="596">
                  <c:v>119.18</c:v>
                </c:pt>
                <c:pt idx="597">
                  <c:v>119.38</c:v>
                </c:pt>
                <c:pt idx="598">
                  <c:v>119.58</c:v>
                </c:pt>
                <c:pt idx="599">
                  <c:v>119.78</c:v>
                </c:pt>
                <c:pt idx="600">
                  <c:v>119.98</c:v>
                </c:pt>
                <c:pt idx="601">
                  <c:v>120.18</c:v>
                </c:pt>
                <c:pt idx="602">
                  <c:v>120.38</c:v>
                </c:pt>
                <c:pt idx="603">
                  <c:v>120.58</c:v>
                </c:pt>
                <c:pt idx="604">
                  <c:v>120.78</c:v>
                </c:pt>
                <c:pt idx="605">
                  <c:v>120.98</c:v>
                </c:pt>
                <c:pt idx="606">
                  <c:v>121.18</c:v>
                </c:pt>
                <c:pt idx="607">
                  <c:v>121.38</c:v>
                </c:pt>
                <c:pt idx="608">
                  <c:v>121.58</c:v>
                </c:pt>
                <c:pt idx="609">
                  <c:v>121.78</c:v>
                </c:pt>
                <c:pt idx="610">
                  <c:v>121.98</c:v>
                </c:pt>
                <c:pt idx="611">
                  <c:v>122.18</c:v>
                </c:pt>
                <c:pt idx="612">
                  <c:v>122.38</c:v>
                </c:pt>
                <c:pt idx="613">
                  <c:v>122.58</c:v>
                </c:pt>
                <c:pt idx="614">
                  <c:v>122.78</c:v>
                </c:pt>
                <c:pt idx="615">
                  <c:v>122.98</c:v>
                </c:pt>
                <c:pt idx="616">
                  <c:v>123.18</c:v>
                </c:pt>
                <c:pt idx="617">
                  <c:v>123.38</c:v>
                </c:pt>
                <c:pt idx="618">
                  <c:v>123.58</c:v>
                </c:pt>
                <c:pt idx="619">
                  <c:v>123.78</c:v>
                </c:pt>
                <c:pt idx="620">
                  <c:v>123.98</c:v>
                </c:pt>
                <c:pt idx="621">
                  <c:v>124.18</c:v>
                </c:pt>
                <c:pt idx="622">
                  <c:v>124.38</c:v>
                </c:pt>
                <c:pt idx="623">
                  <c:v>124.58</c:v>
                </c:pt>
                <c:pt idx="624">
                  <c:v>124.78</c:v>
                </c:pt>
                <c:pt idx="625">
                  <c:v>124.98</c:v>
                </c:pt>
                <c:pt idx="626">
                  <c:v>125.18</c:v>
                </c:pt>
                <c:pt idx="627">
                  <c:v>125.38</c:v>
                </c:pt>
                <c:pt idx="628">
                  <c:v>125.58</c:v>
                </c:pt>
                <c:pt idx="629">
                  <c:v>125.78</c:v>
                </c:pt>
                <c:pt idx="630">
                  <c:v>125.98</c:v>
                </c:pt>
                <c:pt idx="631">
                  <c:v>126.18</c:v>
                </c:pt>
                <c:pt idx="632">
                  <c:v>126.38</c:v>
                </c:pt>
                <c:pt idx="633">
                  <c:v>126.58</c:v>
                </c:pt>
                <c:pt idx="634">
                  <c:v>126.78</c:v>
                </c:pt>
                <c:pt idx="635">
                  <c:v>126.98</c:v>
                </c:pt>
                <c:pt idx="636">
                  <c:v>127.18</c:v>
                </c:pt>
                <c:pt idx="637">
                  <c:v>127.38</c:v>
                </c:pt>
                <c:pt idx="638">
                  <c:v>127.58</c:v>
                </c:pt>
                <c:pt idx="639">
                  <c:v>127.78</c:v>
                </c:pt>
                <c:pt idx="640">
                  <c:v>127.98</c:v>
                </c:pt>
                <c:pt idx="641">
                  <c:v>128.18</c:v>
                </c:pt>
                <c:pt idx="642">
                  <c:v>128.38</c:v>
                </c:pt>
                <c:pt idx="643">
                  <c:v>128.58000000000001</c:v>
                </c:pt>
                <c:pt idx="644">
                  <c:v>128.78</c:v>
                </c:pt>
                <c:pt idx="645">
                  <c:v>128.97999999999999</c:v>
                </c:pt>
                <c:pt idx="646">
                  <c:v>129.18</c:v>
                </c:pt>
                <c:pt idx="647">
                  <c:v>129.38</c:v>
                </c:pt>
                <c:pt idx="648">
                  <c:v>129.58000000000001</c:v>
                </c:pt>
                <c:pt idx="649">
                  <c:v>129.78</c:v>
                </c:pt>
                <c:pt idx="650">
                  <c:v>129.97999999999999</c:v>
                </c:pt>
                <c:pt idx="651">
                  <c:v>130.18</c:v>
                </c:pt>
                <c:pt idx="652">
                  <c:v>130.38</c:v>
                </c:pt>
                <c:pt idx="653">
                  <c:v>130.58000000000001</c:v>
                </c:pt>
                <c:pt idx="654">
                  <c:v>130.78</c:v>
                </c:pt>
                <c:pt idx="655">
                  <c:v>130.97999999999999</c:v>
                </c:pt>
                <c:pt idx="656">
                  <c:v>131.18</c:v>
                </c:pt>
                <c:pt idx="657">
                  <c:v>131.38</c:v>
                </c:pt>
                <c:pt idx="658">
                  <c:v>131.58000000000001</c:v>
                </c:pt>
                <c:pt idx="659">
                  <c:v>131.78</c:v>
                </c:pt>
                <c:pt idx="660">
                  <c:v>131.97999999999999</c:v>
                </c:pt>
                <c:pt idx="661">
                  <c:v>132.18</c:v>
                </c:pt>
                <c:pt idx="662">
                  <c:v>132.38</c:v>
                </c:pt>
                <c:pt idx="663">
                  <c:v>132.58000000000001</c:v>
                </c:pt>
                <c:pt idx="664">
                  <c:v>132.78</c:v>
                </c:pt>
                <c:pt idx="665">
                  <c:v>132.97999999999999</c:v>
                </c:pt>
                <c:pt idx="666">
                  <c:v>133.18</c:v>
                </c:pt>
                <c:pt idx="667">
                  <c:v>133.38</c:v>
                </c:pt>
                <c:pt idx="668">
                  <c:v>133.58000000000001</c:v>
                </c:pt>
                <c:pt idx="669">
                  <c:v>133.78</c:v>
                </c:pt>
                <c:pt idx="670">
                  <c:v>133.97999999999999</c:v>
                </c:pt>
                <c:pt idx="671">
                  <c:v>134.18</c:v>
                </c:pt>
                <c:pt idx="672">
                  <c:v>134.38</c:v>
                </c:pt>
                <c:pt idx="673">
                  <c:v>134.58000000000001</c:v>
                </c:pt>
                <c:pt idx="674">
                  <c:v>134.78</c:v>
                </c:pt>
                <c:pt idx="675">
                  <c:v>134.97999999999999</c:v>
                </c:pt>
                <c:pt idx="676">
                  <c:v>135.18</c:v>
                </c:pt>
                <c:pt idx="677">
                  <c:v>135.38</c:v>
                </c:pt>
                <c:pt idx="678">
                  <c:v>135.58000000000001</c:v>
                </c:pt>
                <c:pt idx="679">
                  <c:v>135.78</c:v>
                </c:pt>
                <c:pt idx="680">
                  <c:v>135.97999999999999</c:v>
                </c:pt>
                <c:pt idx="681">
                  <c:v>136.18</c:v>
                </c:pt>
                <c:pt idx="682">
                  <c:v>136.38</c:v>
                </c:pt>
                <c:pt idx="683">
                  <c:v>136.58000000000001</c:v>
                </c:pt>
                <c:pt idx="684">
                  <c:v>136.78</c:v>
                </c:pt>
                <c:pt idx="685">
                  <c:v>136.97999999999999</c:v>
                </c:pt>
                <c:pt idx="686">
                  <c:v>137.18</c:v>
                </c:pt>
                <c:pt idx="687">
                  <c:v>137.38</c:v>
                </c:pt>
                <c:pt idx="688">
                  <c:v>137.58000000000001</c:v>
                </c:pt>
                <c:pt idx="689">
                  <c:v>137.78</c:v>
                </c:pt>
                <c:pt idx="690">
                  <c:v>137.97999999999999</c:v>
                </c:pt>
                <c:pt idx="691">
                  <c:v>138.18</c:v>
                </c:pt>
                <c:pt idx="692">
                  <c:v>138.38</c:v>
                </c:pt>
                <c:pt idx="693">
                  <c:v>138.58000000000001</c:v>
                </c:pt>
                <c:pt idx="694">
                  <c:v>138.78</c:v>
                </c:pt>
                <c:pt idx="695">
                  <c:v>138.97999999999999</c:v>
                </c:pt>
                <c:pt idx="696">
                  <c:v>139.18</c:v>
                </c:pt>
                <c:pt idx="697">
                  <c:v>139.38</c:v>
                </c:pt>
                <c:pt idx="698">
                  <c:v>139.58000000000001</c:v>
                </c:pt>
                <c:pt idx="699">
                  <c:v>139.78</c:v>
                </c:pt>
                <c:pt idx="700">
                  <c:v>139.97999999999999</c:v>
                </c:pt>
                <c:pt idx="701">
                  <c:v>140.18</c:v>
                </c:pt>
                <c:pt idx="702">
                  <c:v>140.38</c:v>
                </c:pt>
                <c:pt idx="703">
                  <c:v>140.58000000000001</c:v>
                </c:pt>
                <c:pt idx="704">
                  <c:v>140.78</c:v>
                </c:pt>
                <c:pt idx="705">
                  <c:v>140.97999999999999</c:v>
                </c:pt>
                <c:pt idx="706">
                  <c:v>141.18</c:v>
                </c:pt>
                <c:pt idx="707">
                  <c:v>141.38</c:v>
                </c:pt>
                <c:pt idx="708">
                  <c:v>141.58000000000001</c:v>
                </c:pt>
                <c:pt idx="709">
                  <c:v>141.78</c:v>
                </c:pt>
                <c:pt idx="710">
                  <c:v>141.97999999999999</c:v>
                </c:pt>
                <c:pt idx="711">
                  <c:v>142.18</c:v>
                </c:pt>
                <c:pt idx="712">
                  <c:v>142.38</c:v>
                </c:pt>
                <c:pt idx="713">
                  <c:v>142.58000000000001</c:v>
                </c:pt>
                <c:pt idx="714">
                  <c:v>142.78</c:v>
                </c:pt>
                <c:pt idx="715">
                  <c:v>142.97999999999999</c:v>
                </c:pt>
                <c:pt idx="716">
                  <c:v>143.18</c:v>
                </c:pt>
                <c:pt idx="717">
                  <c:v>143.38</c:v>
                </c:pt>
                <c:pt idx="718">
                  <c:v>143.58000000000001</c:v>
                </c:pt>
                <c:pt idx="719">
                  <c:v>143.78</c:v>
                </c:pt>
                <c:pt idx="720">
                  <c:v>143.97999999999999</c:v>
                </c:pt>
                <c:pt idx="721">
                  <c:v>144.18</c:v>
                </c:pt>
                <c:pt idx="722">
                  <c:v>144.38</c:v>
                </c:pt>
                <c:pt idx="723">
                  <c:v>144.58000000000001</c:v>
                </c:pt>
                <c:pt idx="724">
                  <c:v>144.78</c:v>
                </c:pt>
                <c:pt idx="725">
                  <c:v>144.97999999999999</c:v>
                </c:pt>
                <c:pt idx="726">
                  <c:v>145.18</c:v>
                </c:pt>
                <c:pt idx="727">
                  <c:v>145.38</c:v>
                </c:pt>
                <c:pt idx="728">
                  <c:v>145.58000000000001</c:v>
                </c:pt>
                <c:pt idx="729">
                  <c:v>145.78</c:v>
                </c:pt>
                <c:pt idx="730">
                  <c:v>145.97999999999999</c:v>
                </c:pt>
                <c:pt idx="731">
                  <c:v>146.18</c:v>
                </c:pt>
                <c:pt idx="732">
                  <c:v>146.38</c:v>
                </c:pt>
                <c:pt idx="733">
                  <c:v>146.58000000000001</c:v>
                </c:pt>
                <c:pt idx="734">
                  <c:v>146.78</c:v>
                </c:pt>
                <c:pt idx="735">
                  <c:v>146.97999999999999</c:v>
                </c:pt>
                <c:pt idx="736">
                  <c:v>147.18</c:v>
                </c:pt>
                <c:pt idx="737">
                  <c:v>147.38</c:v>
                </c:pt>
                <c:pt idx="738">
                  <c:v>147.58000000000001</c:v>
                </c:pt>
                <c:pt idx="739">
                  <c:v>147.78</c:v>
                </c:pt>
                <c:pt idx="740">
                  <c:v>147.97999999999999</c:v>
                </c:pt>
                <c:pt idx="741">
                  <c:v>148.18</c:v>
                </c:pt>
                <c:pt idx="742">
                  <c:v>148.38</c:v>
                </c:pt>
                <c:pt idx="743">
                  <c:v>148.58000000000001</c:v>
                </c:pt>
                <c:pt idx="744">
                  <c:v>148.78</c:v>
                </c:pt>
                <c:pt idx="745">
                  <c:v>148.97999999999999</c:v>
                </c:pt>
                <c:pt idx="746">
                  <c:v>149.18</c:v>
                </c:pt>
                <c:pt idx="747">
                  <c:v>149.38</c:v>
                </c:pt>
                <c:pt idx="748">
                  <c:v>149.58000000000001</c:v>
                </c:pt>
                <c:pt idx="749">
                  <c:v>149.78</c:v>
                </c:pt>
                <c:pt idx="750">
                  <c:v>149.97999999999999</c:v>
                </c:pt>
                <c:pt idx="751">
                  <c:v>150.16999999999999</c:v>
                </c:pt>
                <c:pt idx="752">
                  <c:v>150.37</c:v>
                </c:pt>
                <c:pt idx="753">
                  <c:v>150.57</c:v>
                </c:pt>
                <c:pt idx="754">
                  <c:v>150.77000000000001</c:v>
                </c:pt>
                <c:pt idx="755">
                  <c:v>150.97</c:v>
                </c:pt>
                <c:pt idx="756">
                  <c:v>151.16999999999999</c:v>
                </c:pt>
                <c:pt idx="757">
                  <c:v>151.37</c:v>
                </c:pt>
                <c:pt idx="758">
                  <c:v>151.57</c:v>
                </c:pt>
                <c:pt idx="759">
                  <c:v>151.77000000000001</c:v>
                </c:pt>
                <c:pt idx="760">
                  <c:v>151.97</c:v>
                </c:pt>
                <c:pt idx="761">
                  <c:v>152.16999999999999</c:v>
                </c:pt>
                <c:pt idx="762">
                  <c:v>152.37</c:v>
                </c:pt>
                <c:pt idx="763">
                  <c:v>152.57</c:v>
                </c:pt>
                <c:pt idx="764">
                  <c:v>152.77000000000001</c:v>
                </c:pt>
                <c:pt idx="765">
                  <c:v>152.97</c:v>
                </c:pt>
                <c:pt idx="766">
                  <c:v>153.16999999999999</c:v>
                </c:pt>
                <c:pt idx="767">
                  <c:v>153.37</c:v>
                </c:pt>
                <c:pt idx="768">
                  <c:v>153.57</c:v>
                </c:pt>
                <c:pt idx="769">
                  <c:v>153.77000000000001</c:v>
                </c:pt>
                <c:pt idx="770">
                  <c:v>153.97</c:v>
                </c:pt>
                <c:pt idx="771">
                  <c:v>154.16999999999999</c:v>
                </c:pt>
                <c:pt idx="772">
                  <c:v>154.37</c:v>
                </c:pt>
                <c:pt idx="773">
                  <c:v>154.57</c:v>
                </c:pt>
                <c:pt idx="774">
                  <c:v>154.77000000000001</c:v>
                </c:pt>
                <c:pt idx="775">
                  <c:v>154.97</c:v>
                </c:pt>
                <c:pt idx="776">
                  <c:v>155.16999999999999</c:v>
                </c:pt>
                <c:pt idx="777">
                  <c:v>155.37</c:v>
                </c:pt>
                <c:pt idx="778">
                  <c:v>155.57</c:v>
                </c:pt>
                <c:pt idx="779">
                  <c:v>155.77000000000001</c:v>
                </c:pt>
                <c:pt idx="780">
                  <c:v>155.97</c:v>
                </c:pt>
                <c:pt idx="781">
                  <c:v>156.16999999999999</c:v>
                </c:pt>
                <c:pt idx="782">
                  <c:v>156.37</c:v>
                </c:pt>
                <c:pt idx="783">
                  <c:v>156.57</c:v>
                </c:pt>
                <c:pt idx="784">
                  <c:v>156.77000000000001</c:v>
                </c:pt>
                <c:pt idx="785">
                  <c:v>156.97</c:v>
                </c:pt>
                <c:pt idx="786">
                  <c:v>157.16999999999999</c:v>
                </c:pt>
                <c:pt idx="787">
                  <c:v>157.37</c:v>
                </c:pt>
                <c:pt idx="788">
                  <c:v>157.57</c:v>
                </c:pt>
                <c:pt idx="789">
                  <c:v>157.77000000000001</c:v>
                </c:pt>
                <c:pt idx="790">
                  <c:v>157.97</c:v>
                </c:pt>
                <c:pt idx="791">
                  <c:v>158.16999999999999</c:v>
                </c:pt>
                <c:pt idx="792">
                  <c:v>158.37</c:v>
                </c:pt>
                <c:pt idx="793">
                  <c:v>158.57</c:v>
                </c:pt>
                <c:pt idx="794">
                  <c:v>158.77000000000001</c:v>
                </c:pt>
                <c:pt idx="795">
                  <c:v>158.97</c:v>
                </c:pt>
                <c:pt idx="796">
                  <c:v>159.16999999999999</c:v>
                </c:pt>
                <c:pt idx="797">
                  <c:v>159.37</c:v>
                </c:pt>
                <c:pt idx="798">
                  <c:v>159.57</c:v>
                </c:pt>
                <c:pt idx="799">
                  <c:v>159.77000000000001</c:v>
                </c:pt>
                <c:pt idx="800">
                  <c:v>159.97</c:v>
                </c:pt>
                <c:pt idx="801">
                  <c:v>160.16999999999999</c:v>
                </c:pt>
                <c:pt idx="802">
                  <c:v>160.37</c:v>
                </c:pt>
                <c:pt idx="803">
                  <c:v>160.57</c:v>
                </c:pt>
                <c:pt idx="804">
                  <c:v>160.77000000000001</c:v>
                </c:pt>
                <c:pt idx="805">
                  <c:v>160.97</c:v>
                </c:pt>
                <c:pt idx="806">
                  <c:v>161.16999999999999</c:v>
                </c:pt>
                <c:pt idx="807">
                  <c:v>161.37</c:v>
                </c:pt>
                <c:pt idx="808">
                  <c:v>161.57</c:v>
                </c:pt>
                <c:pt idx="809">
                  <c:v>161.77000000000001</c:v>
                </c:pt>
                <c:pt idx="810">
                  <c:v>161.97</c:v>
                </c:pt>
                <c:pt idx="811">
                  <c:v>162.16999999999999</c:v>
                </c:pt>
                <c:pt idx="812">
                  <c:v>162.37</c:v>
                </c:pt>
                <c:pt idx="813">
                  <c:v>162.57</c:v>
                </c:pt>
                <c:pt idx="814">
                  <c:v>162.77000000000001</c:v>
                </c:pt>
                <c:pt idx="815">
                  <c:v>162.97</c:v>
                </c:pt>
                <c:pt idx="816">
                  <c:v>163.16999999999999</c:v>
                </c:pt>
                <c:pt idx="817">
                  <c:v>163.37</c:v>
                </c:pt>
                <c:pt idx="818">
                  <c:v>163.57</c:v>
                </c:pt>
                <c:pt idx="819">
                  <c:v>163.77000000000001</c:v>
                </c:pt>
                <c:pt idx="820">
                  <c:v>163.97</c:v>
                </c:pt>
                <c:pt idx="821">
                  <c:v>164.17</c:v>
                </c:pt>
                <c:pt idx="822">
                  <c:v>164.37</c:v>
                </c:pt>
                <c:pt idx="823">
                  <c:v>164.57</c:v>
                </c:pt>
                <c:pt idx="824">
                  <c:v>164.77</c:v>
                </c:pt>
                <c:pt idx="825">
                  <c:v>164.97</c:v>
                </c:pt>
                <c:pt idx="826">
                  <c:v>165.17</c:v>
                </c:pt>
                <c:pt idx="827">
                  <c:v>165.37</c:v>
                </c:pt>
                <c:pt idx="828">
                  <c:v>165.57</c:v>
                </c:pt>
                <c:pt idx="829">
                  <c:v>165.77</c:v>
                </c:pt>
                <c:pt idx="830">
                  <c:v>165.97</c:v>
                </c:pt>
                <c:pt idx="831">
                  <c:v>166.17</c:v>
                </c:pt>
                <c:pt idx="832">
                  <c:v>166.37</c:v>
                </c:pt>
                <c:pt idx="833">
                  <c:v>166.57</c:v>
                </c:pt>
                <c:pt idx="834">
                  <c:v>166.77</c:v>
                </c:pt>
                <c:pt idx="835">
                  <c:v>166.97</c:v>
                </c:pt>
                <c:pt idx="836">
                  <c:v>167.17</c:v>
                </c:pt>
                <c:pt idx="837">
                  <c:v>167.37</c:v>
                </c:pt>
                <c:pt idx="838">
                  <c:v>167.57</c:v>
                </c:pt>
                <c:pt idx="839">
                  <c:v>167.77</c:v>
                </c:pt>
                <c:pt idx="840">
                  <c:v>167.97</c:v>
                </c:pt>
                <c:pt idx="841">
                  <c:v>168.17</c:v>
                </c:pt>
                <c:pt idx="842">
                  <c:v>168.37</c:v>
                </c:pt>
                <c:pt idx="843">
                  <c:v>168.57</c:v>
                </c:pt>
                <c:pt idx="844">
                  <c:v>168.77</c:v>
                </c:pt>
                <c:pt idx="845">
                  <c:v>168.97</c:v>
                </c:pt>
                <c:pt idx="846">
                  <c:v>169.17</c:v>
                </c:pt>
                <c:pt idx="847">
                  <c:v>169.37</c:v>
                </c:pt>
                <c:pt idx="848">
                  <c:v>169.57</c:v>
                </c:pt>
                <c:pt idx="849">
                  <c:v>169.77</c:v>
                </c:pt>
                <c:pt idx="850">
                  <c:v>169.97</c:v>
                </c:pt>
                <c:pt idx="851">
                  <c:v>170.17</c:v>
                </c:pt>
                <c:pt idx="852">
                  <c:v>170.37</c:v>
                </c:pt>
                <c:pt idx="853">
                  <c:v>170.57</c:v>
                </c:pt>
                <c:pt idx="854">
                  <c:v>170.77</c:v>
                </c:pt>
                <c:pt idx="855">
                  <c:v>170.97</c:v>
                </c:pt>
                <c:pt idx="856">
                  <c:v>171.17</c:v>
                </c:pt>
                <c:pt idx="857">
                  <c:v>171.37</c:v>
                </c:pt>
                <c:pt idx="858">
                  <c:v>171.57</c:v>
                </c:pt>
                <c:pt idx="859">
                  <c:v>171.76</c:v>
                </c:pt>
                <c:pt idx="860">
                  <c:v>171.96</c:v>
                </c:pt>
                <c:pt idx="861">
                  <c:v>172.16</c:v>
                </c:pt>
                <c:pt idx="862">
                  <c:v>172.36</c:v>
                </c:pt>
                <c:pt idx="863">
                  <c:v>172.56</c:v>
                </c:pt>
                <c:pt idx="864">
                  <c:v>172.76</c:v>
                </c:pt>
                <c:pt idx="865">
                  <c:v>172.96</c:v>
                </c:pt>
                <c:pt idx="866">
                  <c:v>173.16</c:v>
                </c:pt>
                <c:pt idx="867">
                  <c:v>173.36</c:v>
                </c:pt>
                <c:pt idx="868">
                  <c:v>173.56</c:v>
                </c:pt>
                <c:pt idx="869">
                  <c:v>173.76</c:v>
                </c:pt>
                <c:pt idx="870">
                  <c:v>173.96</c:v>
                </c:pt>
                <c:pt idx="871">
                  <c:v>174.16</c:v>
                </c:pt>
                <c:pt idx="872">
                  <c:v>174.36</c:v>
                </c:pt>
                <c:pt idx="873">
                  <c:v>174.56</c:v>
                </c:pt>
                <c:pt idx="874">
                  <c:v>174.76</c:v>
                </c:pt>
                <c:pt idx="875">
                  <c:v>174.96</c:v>
                </c:pt>
                <c:pt idx="876">
                  <c:v>175.16</c:v>
                </c:pt>
                <c:pt idx="877">
                  <c:v>175.36</c:v>
                </c:pt>
                <c:pt idx="878">
                  <c:v>175.56</c:v>
                </c:pt>
                <c:pt idx="879">
                  <c:v>175.76</c:v>
                </c:pt>
                <c:pt idx="880">
                  <c:v>175.96</c:v>
                </c:pt>
                <c:pt idx="881">
                  <c:v>176.16</c:v>
                </c:pt>
                <c:pt idx="882">
                  <c:v>176.36</c:v>
                </c:pt>
                <c:pt idx="883">
                  <c:v>176.56</c:v>
                </c:pt>
                <c:pt idx="884">
                  <c:v>176.76</c:v>
                </c:pt>
                <c:pt idx="885">
                  <c:v>176.96</c:v>
                </c:pt>
                <c:pt idx="886">
                  <c:v>177.16</c:v>
                </c:pt>
                <c:pt idx="887">
                  <c:v>177.36</c:v>
                </c:pt>
                <c:pt idx="888">
                  <c:v>177.56</c:v>
                </c:pt>
                <c:pt idx="889">
                  <c:v>177.76</c:v>
                </c:pt>
                <c:pt idx="890">
                  <c:v>177.96</c:v>
                </c:pt>
                <c:pt idx="891">
                  <c:v>178.16</c:v>
                </c:pt>
                <c:pt idx="892">
                  <c:v>178.36</c:v>
                </c:pt>
                <c:pt idx="893">
                  <c:v>178.56</c:v>
                </c:pt>
                <c:pt idx="894">
                  <c:v>178.76</c:v>
                </c:pt>
                <c:pt idx="895">
                  <c:v>178.96</c:v>
                </c:pt>
                <c:pt idx="896">
                  <c:v>179.16</c:v>
                </c:pt>
                <c:pt idx="897">
                  <c:v>179.36</c:v>
                </c:pt>
                <c:pt idx="898">
                  <c:v>179.56</c:v>
                </c:pt>
                <c:pt idx="899">
                  <c:v>179.76</c:v>
                </c:pt>
                <c:pt idx="900">
                  <c:v>179.96</c:v>
                </c:pt>
                <c:pt idx="901">
                  <c:v>180.16</c:v>
                </c:pt>
                <c:pt idx="902">
                  <c:v>180.36</c:v>
                </c:pt>
                <c:pt idx="903">
                  <c:v>180.56</c:v>
                </c:pt>
                <c:pt idx="904">
                  <c:v>180.76</c:v>
                </c:pt>
                <c:pt idx="905">
                  <c:v>180.96</c:v>
                </c:pt>
                <c:pt idx="906">
                  <c:v>181.16</c:v>
                </c:pt>
                <c:pt idx="907">
                  <c:v>181.36</c:v>
                </c:pt>
                <c:pt idx="908">
                  <c:v>181.56</c:v>
                </c:pt>
                <c:pt idx="909">
                  <c:v>181.76</c:v>
                </c:pt>
                <c:pt idx="910">
                  <c:v>181.96</c:v>
                </c:pt>
                <c:pt idx="911">
                  <c:v>182.16</c:v>
                </c:pt>
                <c:pt idx="912">
                  <c:v>182.36</c:v>
                </c:pt>
                <c:pt idx="913">
                  <c:v>182.56</c:v>
                </c:pt>
                <c:pt idx="914">
                  <c:v>182.76</c:v>
                </c:pt>
                <c:pt idx="915">
                  <c:v>182.96</c:v>
                </c:pt>
                <c:pt idx="916">
                  <c:v>183.16</c:v>
                </c:pt>
                <c:pt idx="917">
                  <c:v>183.36</c:v>
                </c:pt>
                <c:pt idx="918">
                  <c:v>183.56</c:v>
                </c:pt>
                <c:pt idx="919">
                  <c:v>183.76</c:v>
                </c:pt>
                <c:pt idx="920">
                  <c:v>183.96</c:v>
                </c:pt>
                <c:pt idx="921">
                  <c:v>184.16</c:v>
                </c:pt>
                <c:pt idx="922">
                  <c:v>184.36</c:v>
                </c:pt>
                <c:pt idx="923">
                  <c:v>184.56</c:v>
                </c:pt>
                <c:pt idx="924">
                  <c:v>184.76</c:v>
                </c:pt>
                <c:pt idx="925">
                  <c:v>184.96</c:v>
                </c:pt>
                <c:pt idx="926">
                  <c:v>185.16</c:v>
                </c:pt>
                <c:pt idx="927">
                  <c:v>185.36</c:v>
                </c:pt>
                <c:pt idx="928">
                  <c:v>185.56</c:v>
                </c:pt>
                <c:pt idx="929">
                  <c:v>185.76</c:v>
                </c:pt>
                <c:pt idx="930">
                  <c:v>185.96</c:v>
                </c:pt>
                <c:pt idx="931">
                  <c:v>186.16</c:v>
                </c:pt>
                <c:pt idx="932">
                  <c:v>186.36</c:v>
                </c:pt>
                <c:pt idx="933">
                  <c:v>186.56</c:v>
                </c:pt>
                <c:pt idx="934">
                  <c:v>186.76</c:v>
                </c:pt>
                <c:pt idx="935">
                  <c:v>186.96</c:v>
                </c:pt>
                <c:pt idx="936">
                  <c:v>187.16</c:v>
                </c:pt>
                <c:pt idx="937">
                  <c:v>187.36</c:v>
                </c:pt>
                <c:pt idx="938">
                  <c:v>187.56</c:v>
                </c:pt>
                <c:pt idx="939">
                  <c:v>187.76</c:v>
                </c:pt>
                <c:pt idx="940">
                  <c:v>187.96</c:v>
                </c:pt>
                <c:pt idx="941">
                  <c:v>188.16</c:v>
                </c:pt>
                <c:pt idx="942">
                  <c:v>188.36</c:v>
                </c:pt>
                <c:pt idx="943">
                  <c:v>188.56</c:v>
                </c:pt>
                <c:pt idx="944">
                  <c:v>188.76</c:v>
                </c:pt>
                <c:pt idx="945">
                  <c:v>188.96</c:v>
                </c:pt>
                <c:pt idx="946">
                  <c:v>189.16</c:v>
                </c:pt>
                <c:pt idx="947">
                  <c:v>189.36</c:v>
                </c:pt>
                <c:pt idx="948">
                  <c:v>189.56</c:v>
                </c:pt>
                <c:pt idx="949">
                  <c:v>189.76</c:v>
                </c:pt>
                <c:pt idx="950">
                  <c:v>189.96</c:v>
                </c:pt>
                <c:pt idx="951">
                  <c:v>190.16</c:v>
                </c:pt>
                <c:pt idx="952">
                  <c:v>190.36</c:v>
                </c:pt>
                <c:pt idx="953">
                  <c:v>190.56</c:v>
                </c:pt>
                <c:pt idx="954">
                  <c:v>190.76</c:v>
                </c:pt>
                <c:pt idx="955">
                  <c:v>190.96</c:v>
                </c:pt>
                <c:pt idx="956">
                  <c:v>191.16</c:v>
                </c:pt>
                <c:pt idx="957">
                  <c:v>191.36</c:v>
                </c:pt>
                <c:pt idx="958">
                  <c:v>191.56</c:v>
                </c:pt>
                <c:pt idx="959">
                  <c:v>191.76</c:v>
                </c:pt>
                <c:pt idx="960">
                  <c:v>191.96</c:v>
                </c:pt>
                <c:pt idx="961">
                  <c:v>192.16</c:v>
                </c:pt>
                <c:pt idx="962">
                  <c:v>192.36</c:v>
                </c:pt>
                <c:pt idx="963">
                  <c:v>192.56</c:v>
                </c:pt>
                <c:pt idx="964">
                  <c:v>192.76</c:v>
                </c:pt>
                <c:pt idx="965">
                  <c:v>192.96</c:v>
                </c:pt>
                <c:pt idx="966">
                  <c:v>193.16</c:v>
                </c:pt>
                <c:pt idx="967">
                  <c:v>193.36</c:v>
                </c:pt>
                <c:pt idx="968">
                  <c:v>193.56</c:v>
                </c:pt>
                <c:pt idx="969">
                  <c:v>193.76</c:v>
                </c:pt>
                <c:pt idx="970">
                  <c:v>193.96</c:v>
                </c:pt>
                <c:pt idx="971">
                  <c:v>194.16</c:v>
                </c:pt>
                <c:pt idx="972">
                  <c:v>194.36</c:v>
                </c:pt>
                <c:pt idx="973">
                  <c:v>194.56</c:v>
                </c:pt>
                <c:pt idx="974">
                  <c:v>194.76</c:v>
                </c:pt>
                <c:pt idx="975">
                  <c:v>194.96</c:v>
                </c:pt>
                <c:pt idx="976">
                  <c:v>195.16</c:v>
                </c:pt>
                <c:pt idx="977">
                  <c:v>195.36</c:v>
                </c:pt>
                <c:pt idx="978">
                  <c:v>195.56</c:v>
                </c:pt>
                <c:pt idx="979">
                  <c:v>195.76</c:v>
                </c:pt>
                <c:pt idx="980">
                  <c:v>195.96</c:v>
                </c:pt>
                <c:pt idx="981">
                  <c:v>196.16</c:v>
                </c:pt>
                <c:pt idx="982">
                  <c:v>196.36</c:v>
                </c:pt>
                <c:pt idx="983">
                  <c:v>196.56</c:v>
                </c:pt>
                <c:pt idx="984">
                  <c:v>196.76</c:v>
                </c:pt>
                <c:pt idx="985">
                  <c:v>196.96</c:v>
                </c:pt>
                <c:pt idx="986">
                  <c:v>197.16</c:v>
                </c:pt>
                <c:pt idx="987">
                  <c:v>197.36</c:v>
                </c:pt>
                <c:pt idx="988">
                  <c:v>197.56</c:v>
                </c:pt>
                <c:pt idx="989">
                  <c:v>197.76</c:v>
                </c:pt>
                <c:pt idx="990">
                  <c:v>197.96</c:v>
                </c:pt>
                <c:pt idx="991">
                  <c:v>198.16</c:v>
                </c:pt>
                <c:pt idx="992">
                  <c:v>198.36</c:v>
                </c:pt>
                <c:pt idx="993">
                  <c:v>198.56</c:v>
                </c:pt>
                <c:pt idx="994">
                  <c:v>198.76</c:v>
                </c:pt>
                <c:pt idx="995">
                  <c:v>198.96</c:v>
                </c:pt>
                <c:pt idx="996">
                  <c:v>199.16</c:v>
                </c:pt>
                <c:pt idx="997">
                  <c:v>199.36</c:v>
                </c:pt>
                <c:pt idx="998">
                  <c:v>199.56</c:v>
                </c:pt>
                <c:pt idx="999">
                  <c:v>199.76</c:v>
                </c:pt>
                <c:pt idx="1000">
                  <c:v>199.96</c:v>
                </c:pt>
                <c:pt idx="1001">
                  <c:v>200.16</c:v>
                </c:pt>
                <c:pt idx="1002">
                  <c:v>200.36</c:v>
                </c:pt>
                <c:pt idx="1003">
                  <c:v>200.56</c:v>
                </c:pt>
                <c:pt idx="1004">
                  <c:v>200.76</c:v>
                </c:pt>
                <c:pt idx="1005">
                  <c:v>200.96</c:v>
                </c:pt>
                <c:pt idx="1006">
                  <c:v>201.16</c:v>
                </c:pt>
                <c:pt idx="1007">
                  <c:v>201.36</c:v>
                </c:pt>
                <c:pt idx="1008">
                  <c:v>201.56</c:v>
                </c:pt>
                <c:pt idx="1009">
                  <c:v>201.76</c:v>
                </c:pt>
                <c:pt idx="1010">
                  <c:v>201.96</c:v>
                </c:pt>
                <c:pt idx="1011">
                  <c:v>202.16</c:v>
                </c:pt>
                <c:pt idx="1012">
                  <c:v>202.36</c:v>
                </c:pt>
                <c:pt idx="1013">
                  <c:v>202.56</c:v>
                </c:pt>
                <c:pt idx="1014">
                  <c:v>202.76</c:v>
                </c:pt>
                <c:pt idx="1015">
                  <c:v>202.96</c:v>
                </c:pt>
                <c:pt idx="1016">
                  <c:v>203.16</c:v>
                </c:pt>
                <c:pt idx="1017">
                  <c:v>203.36</c:v>
                </c:pt>
                <c:pt idx="1018">
                  <c:v>203.56</c:v>
                </c:pt>
                <c:pt idx="1019">
                  <c:v>203.76</c:v>
                </c:pt>
                <c:pt idx="1020">
                  <c:v>203.96</c:v>
                </c:pt>
                <c:pt idx="1021">
                  <c:v>204.16</c:v>
                </c:pt>
                <c:pt idx="1022">
                  <c:v>204.36</c:v>
                </c:pt>
                <c:pt idx="1023">
                  <c:v>204.56</c:v>
                </c:pt>
                <c:pt idx="1024">
                  <c:v>204.76</c:v>
                </c:pt>
                <c:pt idx="1025">
                  <c:v>204.96</c:v>
                </c:pt>
                <c:pt idx="1026">
                  <c:v>205.16</c:v>
                </c:pt>
                <c:pt idx="1027">
                  <c:v>205.36</c:v>
                </c:pt>
                <c:pt idx="1028">
                  <c:v>205.56</c:v>
                </c:pt>
                <c:pt idx="1029">
                  <c:v>205.76</c:v>
                </c:pt>
                <c:pt idx="1030">
                  <c:v>205.96</c:v>
                </c:pt>
                <c:pt idx="1031">
                  <c:v>206.16</c:v>
                </c:pt>
                <c:pt idx="1032">
                  <c:v>206.36</c:v>
                </c:pt>
                <c:pt idx="1033">
                  <c:v>206.56</c:v>
                </c:pt>
                <c:pt idx="1034">
                  <c:v>206.76</c:v>
                </c:pt>
                <c:pt idx="1035">
                  <c:v>206.96</c:v>
                </c:pt>
                <c:pt idx="1036">
                  <c:v>207.16</c:v>
                </c:pt>
                <c:pt idx="1037">
                  <c:v>207.36</c:v>
                </c:pt>
                <c:pt idx="1038">
                  <c:v>207.56</c:v>
                </c:pt>
                <c:pt idx="1039">
                  <c:v>207.76</c:v>
                </c:pt>
                <c:pt idx="1040">
                  <c:v>207.96</c:v>
                </c:pt>
                <c:pt idx="1041">
                  <c:v>208.16</c:v>
                </c:pt>
                <c:pt idx="1042">
                  <c:v>208.36</c:v>
                </c:pt>
                <c:pt idx="1043">
                  <c:v>208.56</c:v>
                </c:pt>
                <c:pt idx="1044">
                  <c:v>208.76</c:v>
                </c:pt>
                <c:pt idx="1045">
                  <c:v>208.96</c:v>
                </c:pt>
                <c:pt idx="1046">
                  <c:v>209.16</c:v>
                </c:pt>
                <c:pt idx="1047">
                  <c:v>209.36</c:v>
                </c:pt>
                <c:pt idx="1048">
                  <c:v>209.56</c:v>
                </c:pt>
                <c:pt idx="1049">
                  <c:v>209.76</c:v>
                </c:pt>
                <c:pt idx="1050">
                  <c:v>209.96</c:v>
                </c:pt>
                <c:pt idx="1051">
                  <c:v>210.16</c:v>
                </c:pt>
                <c:pt idx="1052">
                  <c:v>210.36</c:v>
                </c:pt>
                <c:pt idx="1053">
                  <c:v>210.56</c:v>
                </c:pt>
                <c:pt idx="1054">
                  <c:v>210.76</c:v>
                </c:pt>
                <c:pt idx="1055">
                  <c:v>210.96</c:v>
                </c:pt>
                <c:pt idx="1056">
                  <c:v>211.16</c:v>
                </c:pt>
                <c:pt idx="1057">
                  <c:v>211.36</c:v>
                </c:pt>
                <c:pt idx="1058">
                  <c:v>211.56</c:v>
                </c:pt>
                <c:pt idx="1059">
                  <c:v>211.76</c:v>
                </c:pt>
                <c:pt idx="1060">
                  <c:v>211.96</c:v>
                </c:pt>
                <c:pt idx="1061">
                  <c:v>212.16</c:v>
                </c:pt>
                <c:pt idx="1062">
                  <c:v>212.36</c:v>
                </c:pt>
                <c:pt idx="1063">
                  <c:v>212.56</c:v>
                </c:pt>
                <c:pt idx="1064">
                  <c:v>212.76</c:v>
                </c:pt>
                <c:pt idx="1065">
                  <c:v>212.96</c:v>
                </c:pt>
                <c:pt idx="1066">
                  <c:v>213.16</c:v>
                </c:pt>
                <c:pt idx="1067">
                  <c:v>213.36</c:v>
                </c:pt>
                <c:pt idx="1068">
                  <c:v>213.56</c:v>
                </c:pt>
                <c:pt idx="1069">
                  <c:v>213.76</c:v>
                </c:pt>
                <c:pt idx="1070">
                  <c:v>213.96</c:v>
                </c:pt>
                <c:pt idx="1071">
                  <c:v>214.16</c:v>
                </c:pt>
                <c:pt idx="1072">
                  <c:v>214.36</c:v>
                </c:pt>
                <c:pt idx="1073">
                  <c:v>214.56</c:v>
                </c:pt>
                <c:pt idx="1074">
                  <c:v>214.76</c:v>
                </c:pt>
                <c:pt idx="1075">
                  <c:v>214.96</c:v>
                </c:pt>
                <c:pt idx="1076">
                  <c:v>215.16</c:v>
                </c:pt>
                <c:pt idx="1077">
                  <c:v>215.36</c:v>
                </c:pt>
                <c:pt idx="1078">
                  <c:v>215.56</c:v>
                </c:pt>
                <c:pt idx="1079">
                  <c:v>215.76</c:v>
                </c:pt>
                <c:pt idx="1080">
                  <c:v>215.96</c:v>
                </c:pt>
                <c:pt idx="1081">
                  <c:v>216.16</c:v>
                </c:pt>
                <c:pt idx="1082">
                  <c:v>216.36</c:v>
                </c:pt>
                <c:pt idx="1083">
                  <c:v>216.56</c:v>
                </c:pt>
                <c:pt idx="1084">
                  <c:v>216.76</c:v>
                </c:pt>
                <c:pt idx="1085">
                  <c:v>216.96</c:v>
                </c:pt>
                <c:pt idx="1086">
                  <c:v>217.16</c:v>
                </c:pt>
                <c:pt idx="1087">
                  <c:v>217.36</c:v>
                </c:pt>
                <c:pt idx="1088">
                  <c:v>217.56</c:v>
                </c:pt>
                <c:pt idx="1089">
                  <c:v>217.76</c:v>
                </c:pt>
                <c:pt idx="1090">
                  <c:v>217.96</c:v>
                </c:pt>
                <c:pt idx="1091">
                  <c:v>218.16</c:v>
                </c:pt>
                <c:pt idx="1092">
                  <c:v>218.36</c:v>
                </c:pt>
                <c:pt idx="1093">
                  <c:v>218.56</c:v>
                </c:pt>
                <c:pt idx="1094">
                  <c:v>218.76</c:v>
                </c:pt>
                <c:pt idx="1095">
                  <c:v>218.96</c:v>
                </c:pt>
                <c:pt idx="1096">
                  <c:v>219.16</c:v>
                </c:pt>
                <c:pt idx="1097">
                  <c:v>219.36</c:v>
                </c:pt>
                <c:pt idx="1098">
                  <c:v>219.56</c:v>
                </c:pt>
                <c:pt idx="1099">
                  <c:v>219.76</c:v>
                </c:pt>
                <c:pt idx="1100">
                  <c:v>219.96</c:v>
                </c:pt>
                <c:pt idx="1101">
                  <c:v>220.16</c:v>
                </c:pt>
                <c:pt idx="1102">
                  <c:v>220.36</c:v>
                </c:pt>
                <c:pt idx="1103">
                  <c:v>220.56</c:v>
                </c:pt>
                <c:pt idx="1104">
                  <c:v>220.76</c:v>
                </c:pt>
                <c:pt idx="1105">
                  <c:v>220.96</c:v>
                </c:pt>
                <c:pt idx="1106">
                  <c:v>221.16</c:v>
                </c:pt>
                <c:pt idx="1107">
                  <c:v>221.36</c:v>
                </c:pt>
                <c:pt idx="1108">
                  <c:v>221.56</c:v>
                </c:pt>
                <c:pt idx="1109">
                  <c:v>221.76</c:v>
                </c:pt>
                <c:pt idx="1110">
                  <c:v>221.96</c:v>
                </c:pt>
                <c:pt idx="1111">
                  <c:v>222.16</c:v>
                </c:pt>
                <c:pt idx="1112">
                  <c:v>222.36</c:v>
                </c:pt>
                <c:pt idx="1113">
                  <c:v>222.56</c:v>
                </c:pt>
                <c:pt idx="1114">
                  <c:v>222.76</c:v>
                </c:pt>
                <c:pt idx="1115">
                  <c:v>222.96</c:v>
                </c:pt>
                <c:pt idx="1116">
                  <c:v>223.16</c:v>
                </c:pt>
                <c:pt idx="1117">
                  <c:v>223.36</c:v>
                </c:pt>
                <c:pt idx="1118">
                  <c:v>223.56</c:v>
                </c:pt>
                <c:pt idx="1119">
                  <c:v>223.76</c:v>
                </c:pt>
                <c:pt idx="1120">
                  <c:v>223.96</c:v>
                </c:pt>
                <c:pt idx="1121">
                  <c:v>224.16</c:v>
                </c:pt>
                <c:pt idx="1122">
                  <c:v>224.36</c:v>
                </c:pt>
                <c:pt idx="1123">
                  <c:v>224.56</c:v>
                </c:pt>
                <c:pt idx="1124">
                  <c:v>224.76</c:v>
                </c:pt>
                <c:pt idx="1125">
                  <c:v>224.96</c:v>
                </c:pt>
                <c:pt idx="1126">
                  <c:v>225.16</c:v>
                </c:pt>
                <c:pt idx="1127">
                  <c:v>225.36</c:v>
                </c:pt>
                <c:pt idx="1128">
                  <c:v>225.56</c:v>
                </c:pt>
                <c:pt idx="1129">
                  <c:v>225.76</c:v>
                </c:pt>
                <c:pt idx="1130">
                  <c:v>225.96</c:v>
                </c:pt>
                <c:pt idx="1131">
                  <c:v>226.16</c:v>
                </c:pt>
                <c:pt idx="1132">
                  <c:v>226.36</c:v>
                </c:pt>
                <c:pt idx="1133">
                  <c:v>226.56</c:v>
                </c:pt>
                <c:pt idx="1134">
                  <c:v>226.76</c:v>
                </c:pt>
                <c:pt idx="1135">
                  <c:v>226.96</c:v>
                </c:pt>
                <c:pt idx="1136">
                  <c:v>227.16</c:v>
                </c:pt>
                <c:pt idx="1137">
                  <c:v>227.36</c:v>
                </c:pt>
                <c:pt idx="1138">
                  <c:v>227.56</c:v>
                </c:pt>
                <c:pt idx="1139">
                  <c:v>227.76</c:v>
                </c:pt>
                <c:pt idx="1140">
                  <c:v>227.96</c:v>
                </c:pt>
                <c:pt idx="1141">
                  <c:v>228.16</c:v>
                </c:pt>
                <c:pt idx="1142">
                  <c:v>228.36</c:v>
                </c:pt>
                <c:pt idx="1143">
                  <c:v>228.56</c:v>
                </c:pt>
                <c:pt idx="1144">
                  <c:v>228.76</c:v>
                </c:pt>
                <c:pt idx="1145">
                  <c:v>228.96</c:v>
                </c:pt>
                <c:pt idx="1146">
                  <c:v>229.16</c:v>
                </c:pt>
                <c:pt idx="1147">
                  <c:v>229.36</c:v>
                </c:pt>
                <c:pt idx="1148">
                  <c:v>229.56</c:v>
                </c:pt>
                <c:pt idx="1149">
                  <c:v>229.76</c:v>
                </c:pt>
                <c:pt idx="1150">
                  <c:v>229.96</c:v>
                </c:pt>
                <c:pt idx="1151">
                  <c:v>230.16</c:v>
                </c:pt>
                <c:pt idx="1152">
                  <c:v>230.36</c:v>
                </c:pt>
                <c:pt idx="1153">
                  <c:v>230.56</c:v>
                </c:pt>
                <c:pt idx="1154">
                  <c:v>230.76</c:v>
                </c:pt>
                <c:pt idx="1155">
                  <c:v>230.96</c:v>
                </c:pt>
                <c:pt idx="1156">
                  <c:v>231.16</c:v>
                </c:pt>
                <c:pt idx="1157">
                  <c:v>231.36</c:v>
                </c:pt>
                <c:pt idx="1158">
                  <c:v>231.56</c:v>
                </c:pt>
                <c:pt idx="1159">
                  <c:v>231.76</c:v>
                </c:pt>
                <c:pt idx="1160">
                  <c:v>231.96</c:v>
                </c:pt>
                <c:pt idx="1161">
                  <c:v>232.16</c:v>
                </c:pt>
                <c:pt idx="1162">
                  <c:v>232.36</c:v>
                </c:pt>
                <c:pt idx="1163">
                  <c:v>232.56</c:v>
                </c:pt>
                <c:pt idx="1164">
                  <c:v>232.76</c:v>
                </c:pt>
                <c:pt idx="1165">
                  <c:v>232.96</c:v>
                </c:pt>
                <c:pt idx="1166">
                  <c:v>233.16</c:v>
                </c:pt>
                <c:pt idx="1167">
                  <c:v>233.36</c:v>
                </c:pt>
                <c:pt idx="1168">
                  <c:v>233.56</c:v>
                </c:pt>
                <c:pt idx="1169">
                  <c:v>233.76</c:v>
                </c:pt>
                <c:pt idx="1170">
                  <c:v>233.96</c:v>
                </c:pt>
                <c:pt idx="1171">
                  <c:v>234.16</c:v>
                </c:pt>
                <c:pt idx="1172">
                  <c:v>234.36</c:v>
                </c:pt>
                <c:pt idx="1173">
                  <c:v>234.56</c:v>
                </c:pt>
                <c:pt idx="1174">
                  <c:v>234.76</c:v>
                </c:pt>
                <c:pt idx="1175">
                  <c:v>234.96</c:v>
                </c:pt>
                <c:pt idx="1176">
                  <c:v>235.16</c:v>
                </c:pt>
                <c:pt idx="1177">
                  <c:v>235.36</c:v>
                </c:pt>
                <c:pt idx="1178">
                  <c:v>235.56</c:v>
                </c:pt>
                <c:pt idx="1179">
                  <c:v>235.76</c:v>
                </c:pt>
                <c:pt idx="1180">
                  <c:v>235.96</c:v>
                </c:pt>
                <c:pt idx="1181">
                  <c:v>236.16</c:v>
                </c:pt>
                <c:pt idx="1182">
                  <c:v>236.36</c:v>
                </c:pt>
                <c:pt idx="1183">
                  <c:v>236.56</c:v>
                </c:pt>
                <c:pt idx="1184">
                  <c:v>236.76</c:v>
                </c:pt>
                <c:pt idx="1185">
                  <c:v>236.96</c:v>
                </c:pt>
                <c:pt idx="1186">
                  <c:v>237.16</c:v>
                </c:pt>
                <c:pt idx="1187">
                  <c:v>237.36</c:v>
                </c:pt>
                <c:pt idx="1188">
                  <c:v>237.56</c:v>
                </c:pt>
                <c:pt idx="1189">
                  <c:v>237.76</c:v>
                </c:pt>
                <c:pt idx="1190">
                  <c:v>237.96</c:v>
                </c:pt>
                <c:pt idx="1191">
                  <c:v>238.16</c:v>
                </c:pt>
                <c:pt idx="1192">
                  <c:v>238.36</c:v>
                </c:pt>
                <c:pt idx="1193">
                  <c:v>238.56</c:v>
                </c:pt>
                <c:pt idx="1194">
                  <c:v>238.76</c:v>
                </c:pt>
                <c:pt idx="1195">
                  <c:v>238.96</c:v>
                </c:pt>
                <c:pt idx="1196">
                  <c:v>239.16</c:v>
                </c:pt>
                <c:pt idx="1197">
                  <c:v>239.36</c:v>
                </c:pt>
                <c:pt idx="1198">
                  <c:v>239.56</c:v>
                </c:pt>
                <c:pt idx="1199">
                  <c:v>239.76</c:v>
                </c:pt>
                <c:pt idx="1200">
                  <c:v>239.96</c:v>
                </c:pt>
                <c:pt idx="1201">
                  <c:v>240.16</c:v>
                </c:pt>
                <c:pt idx="1202">
                  <c:v>240.36</c:v>
                </c:pt>
                <c:pt idx="1203">
                  <c:v>240.56</c:v>
                </c:pt>
                <c:pt idx="1204">
                  <c:v>240.76</c:v>
                </c:pt>
                <c:pt idx="1205">
                  <c:v>240.96</c:v>
                </c:pt>
                <c:pt idx="1206">
                  <c:v>241.16</c:v>
                </c:pt>
                <c:pt idx="1207">
                  <c:v>241.36</c:v>
                </c:pt>
                <c:pt idx="1208">
                  <c:v>241.56</c:v>
                </c:pt>
                <c:pt idx="1209">
                  <c:v>241.76</c:v>
                </c:pt>
                <c:pt idx="1210">
                  <c:v>241.96</c:v>
                </c:pt>
                <c:pt idx="1211">
                  <c:v>242.16</c:v>
                </c:pt>
                <c:pt idx="1212">
                  <c:v>242.36</c:v>
                </c:pt>
                <c:pt idx="1213">
                  <c:v>242.56</c:v>
                </c:pt>
                <c:pt idx="1214">
                  <c:v>242.76</c:v>
                </c:pt>
                <c:pt idx="1215">
                  <c:v>242.96</c:v>
                </c:pt>
                <c:pt idx="1216">
                  <c:v>243.16</c:v>
                </c:pt>
                <c:pt idx="1217">
                  <c:v>243.36</c:v>
                </c:pt>
                <c:pt idx="1218">
                  <c:v>243.56</c:v>
                </c:pt>
                <c:pt idx="1219">
                  <c:v>243.76</c:v>
                </c:pt>
                <c:pt idx="1220">
                  <c:v>243.96</c:v>
                </c:pt>
                <c:pt idx="1221">
                  <c:v>244.16</c:v>
                </c:pt>
                <c:pt idx="1222">
                  <c:v>244.36</c:v>
                </c:pt>
                <c:pt idx="1223">
                  <c:v>244.56</c:v>
                </c:pt>
                <c:pt idx="1224">
                  <c:v>244.76</c:v>
                </c:pt>
                <c:pt idx="1225">
                  <c:v>244.96</c:v>
                </c:pt>
                <c:pt idx="1226">
                  <c:v>245.15</c:v>
                </c:pt>
                <c:pt idx="1227">
                  <c:v>245.35</c:v>
                </c:pt>
                <c:pt idx="1228">
                  <c:v>245.55</c:v>
                </c:pt>
                <c:pt idx="1229">
                  <c:v>245.75</c:v>
                </c:pt>
                <c:pt idx="1230">
                  <c:v>245.95</c:v>
                </c:pt>
                <c:pt idx="1231">
                  <c:v>246.15</c:v>
                </c:pt>
                <c:pt idx="1232">
                  <c:v>246.35</c:v>
                </c:pt>
                <c:pt idx="1233">
                  <c:v>246.55</c:v>
                </c:pt>
                <c:pt idx="1234">
                  <c:v>246.75</c:v>
                </c:pt>
                <c:pt idx="1235">
                  <c:v>246.95</c:v>
                </c:pt>
                <c:pt idx="1236">
                  <c:v>247.15</c:v>
                </c:pt>
                <c:pt idx="1237">
                  <c:v>247.35</c:v>
                </c:pt>
                <c:pt idx="1238">
                  <c:v>247.55</c:v>
                </c:pt>
                <c:pt idx="1239">
                  <c:v>247.75</c:v>
                </c:pt>
                <c:pt idx="1240">
                  <c:v>247.95</c:v>
                </c:pt>
                <c:pt idx="1241">
                  <c:v>248.15</c:v>
                </c:pt>
                <c:pt idx="1242">
                  <c:v>248.35</c:v>
                </c:pt>
                <c:pt idx="1243">
                  <c:v>248.55</c:v>
                </c:pt>
                <c:pt idx="1244">
                  <c:v>248.75</c:v>
                </c:pt>
                <c:pt idx="1245">
                  <c:v>248.95</c:v>
                </c:pt>
                <c:pt idx="1246">
                  <c:v>249.15</c:v>
                </c:pt>
                <c:pt idx="1247">
                  <c:v>249.35</c:v>
                </c:pt>
                <c:pt idx="1248">
                  <c:v>249.55</c:v>
                </c:pt>
                <c:pt idx="1249">
                  <c:v>249.75</c:v>
                </c:pt>
                <c:pt idx="1250">
                  <c:v>249.95</c:v>
                </c:pt>
                <c:pt idx="1251">
                  <c:v>250.15</c:v>
                </c:pt>
                <c:pt idx="1252">
                  <c:v>250.35</c:v>
                </c:pt>
                <c:pt idx="1253">
                  <c:v>250.55</c:v>
                </c:pt>
                <c:pt idx="1254">
                  <c:v>250.75</c:v>
                </c:pt>
                <c:pt idx="1255">
                  <c:v>250.95</c:v>
                </c:pt>
                <c:pt idx="1256">
                  <c:v>251.15</c:v>
                </c:pt>
                <c:pt idx="1257">
                  <c:v>251.35</c:v>
                </c:pt>
                <c:pt idx="1258">
                  <c:v>251.55</c:v>
                </c:pt>
                <c:pt idx="1259">
                  <c:v>251.75</c:v>
                </c:pt>
                <c:pt idx="1260">
                  <c:v>251.95</c:v>
                </c:pt>
                <c:pt idx="1261">
                  <c:v>252.15</c:v>
                </c:pt>
                <c:pt idx="1262">
                  <c:v>252.35</c:v>
                </c:pt>
                <c:pt idx="1263">
                  <c:v>252.55</c:v>
                </c:pt>
                <c:pt idx="1264">
                  <c:v>252.75</c:v>
                </c:pt>
                <c:pt idx="1265">
                  <c:v>252.95</c:v>
                </c:pt>
                <c:pt idx="1266">
                  <c:v>253.15</c:v>
                </c:pt>
                <c:pt idx="1267">
                  <c:v>253.35</c:v>
                </c:pt>
                <c:pt idx="1268">
                  <c:v>253.55</c:v>
                </c:pt>
                <c:pt idx="1269">
                  <c:v>253.75</c:v>
                </c:pt>
                <c:pt idx="1270">
                  <c:v>253.95</c:v>
                </c:pt>
                <c:pt idx="1271">
                  <c:v>254.15</c:v>
                </c:pt>
                <c:pt idx="1272">
                  <c:v>254.35</c:v>
                </c:pt>
                <c:pt idx="1273">
                  <c:v>254.55</c:v>
                </c:pt>
                <c:pt idx="1274">
                  <c:v>254.75</c:v>
                </c:pt>
                <c:pt idx="1275">
                  <c:v>254.95</c:v>
                </c:pt>
                <c:pt idx="1276">
                  <c:v>255.15</c:v>
                </c:pt>
                <c:pt idx="1277">
                  <c:v>255.35</c:v>
                </c:pt>
                <c:pt idx="1278">
                  <c:v>255.55</c:v>
                </c:pt>
                <c:pt idx="1279">
                  <c:v>255.75</c:v>
                </c:pt>
                <c:pt idx="1280">
                  <c:v>255.95</c:v>
                </c:pt>
                <c:pt idx="1281">
                  <c:v>256.14999999999998</c:v>
                </c:pt>
                <c:pt idx="1282">
                  <c:v>256.35000000000002</c:v>
                </c:pt>
                <c:pt idx="1283">
                  <c:v>256.55</c:v>
                </c:pt>
                <c:pt idx="1284">
                  <c:v>256.75</c:v>
                </c:pt>
                <c:pt idx="1285">
                  <c:v>256.95</c:v>
                </c:pt>
                <c:pt idx="1286">
                  <c:v>257.14999999999998</c:v>
                </c:pt>
                <c:pt idx="1287">
                  <c:v>257.35000000000002</c:v>
                </c:pt>
                <c:pt idx="1288">
                  <c:v>257.55</c:v>
                </c:pt>
                <c:pt idx="1289">
                  <c:v>257.75</c:v>
                </c:pt>
                <c:pt idx="1290">
                  <c:v>257.95</c:v>
                </c:pt>
                <c:pt idx="1291">
                  <c:v>258.14999999999998</c:v>
                </c:pt>
                <c:pt idx="1292">
                  <c:v>258.35000000000002</c:v>
                </c:pt>
                <c:pt idx="1293">
                  <c:v>258.55</c:v>
                </c:pt>
                <c:pt idx="1294">
                  <c:v>258.75</c:v>
                </c:pt>
                <c:pt idx="1295">
                  <c:v>258.95</c:v>
                </c:pt>
                <c:pt idx="1296">
                  <c:v>259.14999999999998</c:v>
                </c:pt>
                <c:pt idx="1297">
                  <c:v>259.35000000000002</c:v>
                </c:pt>
                <c:pt idx="1298">
                  <c:v>259.55</c:v>
                </c:pt>
                <c:pt idx="1299">
                  <c:v>259.75</c:v>
                </c:pt>
                <c:pt idx="1300">
                  <c:v>259.95</c:v>
                </c:pt>
                <c:pt idx="1301">
                  <c:v>260.14999999999998</c:v>
                </c:pt>
                <c:pt idx="1302">
                  <c:v>260.35000000000002</c:v>
                </c:pt>
                <c:pt idx="1303">
                  <c:v>260.55</c:v>
                </c:pt>
                <c:pt idx="1304">
                  <c:v>260.75</c:v>
                </c:pt>
                <c:pt idx="1305">
                  <c:v>260.95</c:v>
                </c:pt>
                <c:pt idx="1306">
                  <c:v>261.14999999999998</c:v>
                </c:pt>
                <c:pt idx="1307">
                  <c:v>261.35000000000002</c:v>
                </c:pt>
                <c:pt idx="1308">
                  <c:v>261.55</c:v>
                </c:pt>
                <c:pt idx="1309">
                  <c:v>261.75</c:v>
                </c:pt>
                <c:pt idx="1310">
                  <c:v>261.95</c:v>
                </c:pt>
                <c:pt idx="1311">
                  <c:v>262.14999999999998</c:v>
                </c:pt>
                <c:pt idx="1312">
                  <c:v>262.35000000000002</c:v>
                </c:pt>
                <c:pt idx="1313">
                  <c:v>262.55</c:v>
                </c:pt>
                <c:pt idx="1314">
                  <c:v>262.75</c:v>
                </c:pt>
                <c:pt idx="1315">
                  <c:v>262.95</c:v>
                </c:pt>
                <c:pt idx="1316">
                  <c:v>263.14999999999998</c:v>
                </c:pt>
                <c:pt idx="1317">
                  <c:v>263.35000000000002</c:v>
                </c:pt>
                <c:pt idx="1318">
                  <c:v>263.55</c:v>
                </c:pt>
                <c:pt idx="1319">
                  <c:v>263.75</c:v>
                </c:pt>
                <c:pt idx="1320">
                  <c:v>263.95</c:v>
                </c:pt>
                <c:pt idx="1321">
                  <c:v>264.14999999999998</c:v>
                </c:pt>
                <c:pt idx="1322">
                  <c:v>264.35000000000002</c:v>
                </c:pt>
                <c:pt idx="1323">
                  <c:v>264.55</c:v>
                </c:pt>
                <c:pt idx="1324">
                  <c:v>264.75</c:v>
                </c:pt>
                <c:pt idx="1325">
                  <c:v>264.95</c:v>
                </c:pt>
              </c:numCache>
            </c:numRef>
          </c:xVal>
          <c:yVal>
            <c:numRef>
              <c:f>'Zyklus &amp; Inventar'!$B$35:$B$1360</c:f>
              <c:numCache>
                <c:formatCode>General</c:formatCode>
                <c:ptCount val="1326"/>
                <c:pt idx="0">
                  <c:v>135</c:v>
                </c:pt>
                <c:pt idx="1">
                  <c:v>133.80000000000001</c:v>
                </c:pt>
                <c:pt idx="2">
                  <c:v>132.6</c:v>
                </c:pt>
                <c:pt idx="3">
                  <c:v>131.4</c:v>
                </c:pt>
                <c:pt idx="4">
                  <c:v>130.30000000000001</c:v>
                </c:pt>
                <c:pt idx="5">
                  <c:v>129.19999999999999</c:v>
                </c:pt>
                <c:pt idx="6">
                  <c:v>128.19999999999999</c:v>
                </c:pt>
                <c:pt idx="7">
                  <c:v>127.1</c:v>
                </c:pt>
                <c:pt idx="8">
                  <c:v>126.1</c:v>
                </c:pt>
                <c:pt idx="9">
                  <c:v>125.2</c:v>
                </c:pt>
                <c:pt idx="10">
                  <c:v>124.2</c:v>
                </c:pt>
                <c:pt idx="11">
                  <c:v>123.3</c:v>
                </c:pt>
                <c:pt idx="12">
                  <c:v>122.4</c:v>
                </c:pt>
                <c:pt idx="13">
                  <c:v>121.6</c:v>
                </c:pt>
                <c:pt idx="14">
                  <c:v>120.7</c:v>
                </c:pt>
                <c:pt idx="15">
                  <c:v>119.9</c:v>
                </c:pt>
                <c:pt idx="16">
                  <c:v>119.1</c:v>
                </c:pt>
                <c:pt idx="17">
                  <c:v>118.4</c:v>
                </c:pt>
                <c:pt idx="18">
                  <c:v>117.6</c:v>
                </c:pt>
                <c:pt idx="19">
                  <c:v>116.9</c:v>
                </c:pt>
                <c:pt idx="20">
                  <c:v>116.2</c:v>
                </c:pt>
                <c:pt idx="21">
                  <c:v>115.6</c:v>
                </c:pt>
                <c:pt idx="22">
                  <c:v>114.9</c:v>
                </c:pt>
                <c:pt idx="23">
                  <c:v>114.3</c:v>
                </c:pt>
                <c:pt idx="24">
                  <c:v>113.7</c:v>
                </c:pt>
                <c:pt idx="25">
                  <c:v>113.1</c:v>
                </c:pt>
                <c:pt idx="26">
                  <c:v>112.5</c:v>
                </c:pt>
                <c:pt idx="27">
                  <c:v>111.9</c:v>
                </c:pt>
                <c:pt idx="28">
                  <c:v>111.4</c:v>
                </c:pt>
                <c:pt idx="29">
                  <c:v>110.9</c:v>
                </c:pt>
                <c:pt idx="30">
                  <c:v>110.3</c:v>
                </c:pt>
                <c:pt idx="31">
                  <c:v>109.8</c:v>
                </c:pt>
                <c:pt idx="32">
                  <c:v>109.4</c:v>
                </c:pt>
                <c:pt idx="33">
                  <c:v>108.9</c:v>
                </c:pt>
                <c:pt idx="34">
                  <c:v>108.4</c:v>
                </c:pt>
                <c:pt idx="35">
                  <c:v>108</c:v>
                </c:pt>
                <c:pt idx="36">
                  <c:v>107.6</c:v>
                </c:pt>
                <c:pt idx="37">
                  <c:v>107.2</c:v>
                </c:pt>
                <c:pt idx="38">
                  <c:v>106.8</c:v>
                </c:pt>
                <c:pt idx="39">
                  <c:v>106.4</c:v>
                </c:pt>
                <c:pt idx="40">
                  <c:v>106</c:v>
                </c:pt>
                <c:pt idx="41">
                  <c:v>105.6</c:v>
                </c:pt>
                <c:pt idx="42">
                  <c:v>105.3</c:v>
                </c:pt>
                <c:pt idx="43">
                  <c:v>104.9</c:v>
                </c:pt>
                <c:pt idx="44">
                  <c:v>104.6</c:v>
                </c:pt>
                <c:pt idx="45">
                  <c:v>104.2</c:v>
                </c:pt>
                <c:pt idx="46">
                  <c:v>103.9</c:v>
                </c:pt>
                <c:pt idx="47">
                  <c:v>103.6</c:v>
                </c:pt>
                <c:pt idx="48">
                  <c:v>103.3</c:v>
                </c:pt>
                <c:pt idx="49">
                  <c:v>103</c:v>
                </c:pt>
                <c:pt idx="50">
                  <c:v>102.7</c:v>
                </c:pt>
                <c:pt idx="51">
                  <c:v>102.5</c:v>
                </c:pt>
                <c:pt idx="52">
                  <c:v>102.2</c:v>
                </c:pt>
                <c:pt idx="53">
                  <c:v>101.9</c:v>
                </c:pt>
                <c:pt idx="54">
                  <c:v>101.7</c:v>
                </c:pt>
                <c:pt idx="55">
                  <c:v>101.4</c:v>
                </c:pt>
                <c:pt idx="56">
                  <c:v>101.2</c:v>
                </c:pt>
                <c:pt idx="57">
                  <c:v>100.9</c:v>
                </c:pt>
                <c:pt idx="58">
                  <c:v>100.7</c:v>
                </c:pt>
                <c:pt idx="59">
                  <c:v>100.5</c:v>
                </c:pt>
                <c:pt idx="60">
                  <c:v>100.3</c:v>
                </c:pt>
                <c:pt idx="61">
                  <c:v>100.1</c:v>
                </c:pt>
                <c:pt idx="62">
                  <c:v>99.9</c:v>
                </c:pt>
                <c:pt idx="63">
                  <c:v>99.7</c:v>
                </c:pt>
                <c:pt idx="64">
                  <c:v>99.5</c:v>
                </c:pt>
                <c:pt idx="65">
                  <c:v>99.3</c:v>
                </c:pt>
                <c:pt idx="66">
                  <c:v>99.1</c:v>
                </c:pt>
                <c:pt idx="67">
                  <c:v>98.9</c:v>
                </c:pt>
                <c:pt idx="68">
                  <c:v>98.7</c:v>
                </c:pt>
                <c:pt idx="69">
                  <c:v>98.6</c:v>
                </c:pt>
                <c:pt idx="70">
                  <c:v>98.4</c:v>
                </c:pt>
                <c:pt idx="71">
                  <c:v>98.2</c:v>
                </c:pt>
                <c:pt idx="72">
                  <c:v>98.1</c:v>
                </c:pt>
                <c:pt idx="73">
                  <c:v>97.9</c:v>
                </c:pt>
                <c:pt idx="74">
                  <c:v>97.8</c:v>
                </c:pt>
                <c:pt idx="75">
                  <c:v>97.6</c:v>
                </c:pt>
                <c:pt idx="76">
                  <c:v>97.5</c:v>
                </c:pt>
                <c:pt idx="77">
                  <c:v>97.3</c:v>
                </c:pt>
                <c:pt idx="78">
                  <c:v>97.2</c:v>
                </c:pt>
                <c:pt idx="79">
                  <c:v>97</c:v>
                </c:pt>
                <c:pt idx="80">
                  <c:v>96.9</c:v>
                </c:pt>
                <c:pt idx="81">
                  <c:v>96.8</c:v>
                </c:pt>
                <c:pt idx="82">
                  <c:v>96.6</c:v>
                </c:pt>
                <c:pt idx="83">
                  <c:v>96.5</c:v>
                </c:pt>
                <c:pt idx="84">
                  <c:v>96.4</c:v>
                </c:pt>
                <c:pt idx="85">
                  <c:v>96.3</c:v>
                </c:pt>
                <c:pt idx="86">
                  <c:v>96.2</c:v>
                </c:pt>
                <c:pt idx="87">
                  <c:v>96</c:v>
                </c:pt>
                <c:pt idx="88">
                  <c:v>95.9</c:v>
                </c:pt>
                <c:pt idx="89">
                  <c:v>95.8</c:v>
                </c:pt>
                <c:pt idx="90">
                  <c:v>95.7</c:v>
                </c:pt>
                <c:pt idx="91">
                  <c:v>95.6</c:v>
                </c:pt>
                <c:pt idx="92">
                  <c:v>95.5</c:v>
                </c:pt>
                <c:pt idx="93">
                  <c:v>95.4</c:v>
                </c:pt>
                <c:pt idx="94">
                  <c:v>95.3</c:v>
                </c:pt>
                <c:pt idx="95">
                  <c:v>95.2</c:v>
                </c:pt>
                <c:pt idx="96">
                  <c:v>95.1</c:v>
                </c:pt>
                <c:pt idx="97">
                  <c:v>95</c:v>
                </c:pt>
                <c:pt idx="98">
                  <c:v>94.9</c:v>
                </c:pt>
                <c:pt idx="99">
                  <c:v>94.8</c:v>
                </c:pt>
                <c:pt idx="100">
                  <c:v>94.7</c:v>
                </c:pt>
                <c:pt idx="101">
                  <c:v>94.6</c:v>
                </c:pt>
                <c:pt idx="102">
                  <c:v>94.5</c:v>
                </c:pt>
                <c:pt idx="103">
                  <c:v>94.4</c:v>
                </c:pt>
                <c:pt idx="104">
                  <c:v>94.3</c:v>
                </c:pt>
                <c:pt idx="105">
                  <c:v>94.2</c:v>
                </c:pt>
                <c:pt idx="106">
                  <c:v>94.2</c:v>
                </c:pt>
                <c:pt idx="107">
                  <c:v>94.1</c:v>
                </c:pt>
                <c:pt idx="108">
                  <c:v>94</c:v>
                </c:pt>
                <c:pt idx="109">
                  <c:v>93.9</c:v>
                </c:pt>
                <c:pt idx="110">
                  <c:v>93.8</c:v>
                </c:pt>
                <c:pt idx="111">
                  <c:v>93.7</c:v>
                </c:pt>
                <c:pt idx="112">
                  <c:v>93.7</c:v>
                </c:pt>
                <c:pt idx="113">
                  <c:v>93.6</c:v>
                </c:pt>
                <c:pt idx="114">
                  <c:v>93.5</c:v>
                </c:pt>
                <c:pt idx="115">
                  <c:v>93.4</c:v>
                </c:pt>
                <c:pt idx="116">
                  <c:v>93.3</c:v>
                </c:pt>
                <c:pt idx="117">
                  <c:v>93.3</c:v>
                </c:pt>
                <c:pt idx="118">
                  <c:v>93.2</c:v>
                </c:pt>
                <c:pt idx="119">
                  <c:v>93.1</c:v>
                </c:pt>
                <c:pt idx="120">
                  <c:v>93</c:v>
                </c:pt>
                <c:pt idx="121">
                  <c:v>93</c:v>
                </c:pt>
                <c:pt idx="122">
                  <c:v>92.9</c:v>
                </c:pt>
                <c:pt idx="123">
                  <c:v>92.8</c:v>
                </c:pt>
                <c:pt idx="124">
                  <c:v>92.7</c:v>
                </c:pt>
                <c:pt idx="125">
                  <c:v>92.7</c:v>
                </c:pt>
                <c:pt idx="126">
                  <c:v>92.6</c:v>
                </c:pt>
                <c:pt idx="127">
                  <c:v>92.5</c:v>
                </c:pt>
                <c:pt idx="128">
                  <c:v>92.4</c:v>
                </c:pt>
                <c:pt idx="129">
                  <c:v>92.4</c:v>
                </c:pt>
                <c:pt idx="130">
                  <c:v>92.3</c:v>
                </c:pt>
                <c:pt idx="131">
                  <c:v>92.2</c:v>
                </c:pt>
                <c:pt idx="132">
                  <c:v>92.1</c:v>
                </c:pt>
                <c:pt idx="133">
                  <c:v>92.1</c:v>
                </c:pt>
                <c:pt idx="134">
                  <c:v>92</c:v>
                </c:pt>
                <c:pt idx="135">
                  <c:v>91.9</c:v>
                </c:pt>
                <c:pt idx="136">
                  <c:v>91.9</c:v>
                </c:pt>
                <c:pt idx="137">
                  <c:v>91.8</c:v>
                </c:pt>
                <c:pt idx="138">
                  <c:v>91.7</c:v>
                </c:pt>
                <c:pt idx="139">
                  <c:v>91.6</c:v>
                </c:pt>
                <c:pt idx="140">
                  <c:v>91.6</c:v>
                </c:pt>
                <c:pt idx="141">
                  <c:v>91.5</c:v>
                </c:pt>
                <c:pt idx="142">
                  <c:v>91.4</c:v>
                </c:pt>
                <c:pt idx="143">
                  <c:v>91.3</c:v>
                </c:pt>
                <c:pt idx="144">
                  <c:v>91.3</c:v>
                </c:pt>
                <c:pt idx="145">
                  <c:v>91.2</c:v>
                </c:pt>
                <c:pt idx="146">
                  <c:v>91.1</c:v>
                </c:pt>
                <c:pt idx="147">
                  <c:v>91</c:v>
                </c:pt>
                <c:pt idx="148">
                  <c:v>91</c:v>
                </c:pt>
                <c:pt idx="149">
                  <c:v>90.9</c:v>
                </c:pt>
                <c:pt idx="150">
                  <c:v>90.8</c:v>
                </c:pt>
                <c:pt idx="151">
                  <c:v>90.7</c:v>
                </c:pt>
                <c:pt idx="152">
                  <c:v>90.7</c:v>
                </c:pt>
                <c:pt idx="153">
                  <c:v>90.6</c:v>
                </c:pt>
                <c:pt idx="154">
                  <c:v>90.5</c:v>
                </c:pt>
                <c:pt idx="155">
                  <c:v>90.4</c:v>
                </c:pt>
                <c:pt idx="156">
                  <c:v>90.4</c:v>
                </c:pt>
                <c:pt idx="157">
                  <c:v>90.3</c:v>
                </c:pt>
                <c:pt idx="158">
                  <c:v>90.2</c:v>
                </c:pt>
                <c:pt idx="159">
                  <c:v>90.1</c:v>
                </c:pt>
                <c:pt idx="160">
                  <c:v>90</c:v>
                </c:pt>
                <c:pt idx="161">
                  <c:v>90</c:v>
                </c:pt>
                <c:pt idx="162">
                  <c:v>89.9</c:v>
                </c:pt>
                <c:pt idx="163">
                  <c:v>89.8</c:v>
                </c:pt>
                <c:pt idx="164">
                  <c:v>89.7</c:v>
                </c:pt>
                <c:pt idx="165">
                  <c:v>89.6</c:v>
                </c:pt>
                <c:pt idx="166">
                  <c:v>89.5</c:v>
                </c:pt>
                <c:pt idx="167">
                  <c:v>89.5</c:v>
                </c:pt>
                <c:pt idx="168">
                  <c:v>89.4</c:v>
                </c:pt>
                <c:pt idx="169">
                  <c:v>89.3</c:v>
                </c:pt>
                <c:pt idx="170">
                  <c:v>89.2</c:v>
                </c:pt>
                <c:pt idx="171">
                  <c:v>89.1</c:v>
                </c:pt>
                <c:pt idx="172">
                  <c:v>89</c:v>
                </c:pt>
                <c:pt idx="173">
                  <c:v>88.9</c:v>
                </c:pt>
                <c:pt idx="174">
                  <c:v>88.8</c:v>
                </c:pt>
                <c:pt idx="175">
                  <c:v>88.8</c:v>
                </c:pt>
                <c:pt idx="176">
                  <c:v>88.7</c:v>
                </c:pt>
                <c:pt idx="177">
                  <c:v>88.6</c:v>
                </c:pt>
                <c:pt idx="178">
                  <c:v>88.5</c:v>
                </c:pt>
                <c:pt idx="179">
                  <c:v>88.4</c:v>
                </c:pt>
                <c:pt idx="180">
                  <c:v>88.3</c:v>
                </c:pt>
                <c:pt idx="181">
                  <c:v>88.2</c:v>
                </c:pt>
                <c:pt idx="182">
                  <c:v>88.1</c:v>
                </c:pt>
                <c:pt idx="183">
                  <c:v>88</c:v>
                </c:pt>
                <c:pt idx="184">
                  <c:v>87.9</c:v>
                </c:pt>
                <c:pt idx="185">
                  <c:v>87.8</c:v>
                </c:pt>
                <c:pt idx="186">
                  <c:v>87.7</c:v>
                </c:pt>
                <c:pt idx="187">
                  <c:v>87.6</c:v>
                </c:pt>
                <c:pt idx="188">
                  <c:v>87.5</c:v>
                </c:pt>
                <c:pt idx="189">
                  <c:v>87.4</c:v>
                </c:pt>
                <c:pt idx="190">
                  <c:v>87.3</c:v>
                </c:pt>
                <c:pt idx="191">
                  <c:v>87.2</c:v>
                </c:pt>
                <c:pt idx="192">
                  <c:v>87.1</c:v>
                </c:pt>
                <c:pt idx="193">
                  <c:v>87</c:v>
                </c:pt>
                <c:pt idx="194">
                  <c:v>86.9</c:v>
                </c:pt>
                <c:pt idx="195">
                  <c:v>86.8</c:v>
                </c:pt>
                <c:pt idx="196">
                  <c:v>86.7</c:v>
                </c:pt>
                <c:pt idx="197">
                  <c:v>86.6</c:v>
                </c:pt>
                <c:pt idx="198">
                  <c:v>86.4</c:v>
                </c:pt>
                <c:pt idx="199">
                  <c:v>86.3</c:v>
                </c:pt>
                <c:pt idx="200">
                  <c:v>86.2</c:v>
                </c:pt>
                <c:pt idx="201">
                  <c:v>86.1</c:v>
                </c:pt>
                <c:pt idx="202">
                  <c:v>86</c:v>
                </c:pt>
                <c:pt idx="203">
                  <c:v>85.9</c:v>
                </c:pt>
                <c:pt idx="204">
                  <c:v>85.7</c:v>
                </c:pt>
                <c:pt idx="205">
                  <c:v>85.6</c:v>
                </c:pt>
                <c:pt idx="206">
                  <c:v>85.5</c:v>
                </c:pt>
                <c:pt idx="207">
                  <c:v>85.4</c:v>
                </c:pt>
                <c:pt idx="208">
                  <c:v>85.2</c:v>
                </c:pt>
                <c:pt idx="209">
                  <c:v>85.1</c:v>
                </c:pt>
                <c:pt idx="210">
                  <c:v>85</c:v>
                </c:pt>
                <c:pt idx="211">
                  <c:v>84.9</c:v>
                </c:pt>
                <c:pt idx="212">
                  <c:v>84.7</c:v>
                </c:pt>
                <c:pt idx="213">
                  <c:v>84.6</c:v>
                </c:pt>
                <c:pt idx="214">
                  <c:v>84.5</c:v>
                </c:pt>
                <c:pt idx="215">
                  <c:v>84.3</c:v>
                </c:pt>
                <c:pt idx="216">
                  <c:v>84.2</c:v>
                </c:pt>
                <c:pt idx="217">
                  <c:v>84</c:v>
                </c:pt>
                <c:pt idx="218">
                  <c:v>83.9</c:v>
                </c:pt>
                <c:pt idx="219">
                  <c:v>83.8</c:v>
                </c:pt>
                <c:pt idx="220">
                  <c:v>83.6</c:v>
                </c:pt>
                <c:pt idx="221">
                  <c:v>83.5</c:v>
                </c:pt>
                <c:pt idx="222">
                  <c:v>83.3</c:v>
                </c:pt>
                <c:pt idx="223">
                  <c:v>83.2</c:v>
                </c:pt>
                <c:pt idx="224">
                  <c:v>83</c:v>
                </c:pt>
                <c:pt idx="225">
                  <c:v>82.9</c:v>
                </c:pt>
                <c:pt idx="226">
                  <c:v>82.7</c:v>
                </c:pt>
                <c:pt idx="227">
                  <c:v>82.6</c:v>
                </c:pt>
                <c:pt idx="228">
                  <c:v>82.4</c:v>
                </c:pt>
                <c:pt idx="229">
                  <c:v>82.2</c:v>
                </c:pt>
                <c:pt idx="230">
                  <c:v>82.1</c:v>
                </c:pt>
                <c:pt idx="231">
                  <c:v>81.900000000000006</c:v>
                </c:pt>
                <c:pt idx="232">
                  <c:v>81.8</c:v>
                </c:pt>
                <c:pt idx="233">
                  <c:v>81.599999999999994</c:v>
                </c:pt>
                <c:pt idx="234">
                  <c:v>81.400000000000006</c:v>
                </c:pt>
                <c:pt idx="235">
                  <c:v>81.3</c:v>
                </c:pt>
                <c:pt idx="236">
                  <c:v>81.099999999999994</c:v>
                </c:pt>
                <c:pt idx="237">
                  <c:v>80.900000000000006</c:v>
                </c:pt>
                <c:pt idx="238">
                  <c:v>80.7</c:v>
                </c:pt>
                <c:pt idx="239">
                  <c:v>80.5</c:v>
                </c:pt>
                <c:pt idx="240">
                  <c:v>80.400000000000006</c:v>
                </c:pt>
                <c:pt idx="241">
                  <c:v>80.2</c:v>
                </c:pt>
                <c:pt idx="242">
                  <c:v>80</c:v>
                </c:pt>
                <c:pt idx="243">
                  <c:v>79.8</c:v>
                </c:pt>
                <c:pt idx="244">
                  <c:v>79.599999999999994</c:v>
                </c:pt>
                <c:pt idx="245">
                  <c:v>79.400000000000006</c:v>
                </c:pt>
                <c:pt idx="246">
                  <c:v>79.2</c:v>
                </c:pt>
                <c:pt idx="247">
                  <c:v>79</c:v>
                </c:pt>
                <c:pt idx="248">
                  <c:v>78.8</c:v>
                </c:pt>
                <c:pt idx="249">
                  <c:v>78.599999999999994</c:v>
                </c:pt>
                <c:pt idx="250">
                  <c:v>78.400000000000006</c:v>
                </c:pt>
                <c:pt idx="251">
                  <c:v>78.2</c:v>
                </c:pt>
                <c:pt idx="252">
                  <c:v>78</c:v>
                </c:pt>
                <c:pt idx="253">
                  <c:v>77.8</c:v>
                </c:pt>
                <c:pt idx="254">
                  <c:v>77.599999999999994</c:v>
                </c:pt>
                <c:pt idx="255">
                  <c:v>77.400000000000006</c:v>
                </c:pt>
                <c:pt idx="256">
                  <c:v>77.2</c:v>
                </c:pt>
                <c:pt idx="257">
                  <c:v>76.900000000000006</c:v>
                </c:pt>
                <c:pt idx="258">
                  <c:v>76.7</c:v>
                </c:pt>
                <c:pt idx="259">
                  <c:v>76.5</c:v>
                </c:pt>
                <c:pt idx="260">
                  <c:v>76.3</c:v>
                </c:pt>
                <c:pt idx="261">
                  <c:v>76</c:v>
                </c:pt>
                <c:pt idx="262">
                  <c:v>75.8</c:v>
                </c:pt>
                <c:pt idx="263">
                  <c:v>75.599999999999994</c:v>
                </c:pt>
                <c:pt idx="264">
                  <c:v>75.3</c:v>
                </c:pt>
                <c:pt idx="265">
                  <c:v>75.099999999999994</c:v>
                </c:pt>
                <c:pt idx="266">
                  <c:v>74.8</c:v>
                </c:pt>
                <c:pt idx="267">
                  <c:v>74.599999999999994</c:v>
                </c:pt>
                <c:pt idx="268">
                  <c:v>74.3</c:v>
                </c:pt>
                <c:pt idx="269">
                  <c:v>74.099999999999994</c:v>
                </c:pt>
                <c:pt idx="270">
                  <c:v>73.8</c:v>
                </c:pt>
                <c:pt idx="271">
                  <c:v>73.599999999999994</c:v>
                </c:pt>
                <c:pt idx="272">
                  <c:v>73.3</c:v>
                </c:pt>
                <c:pt idx="273">
                  <c:v>73</c:v>
                </c:pt>
                <c:pt idx="274">
                  <c:v>72.8</c:v>
                </c:pt>
                <c:pt idx="275">
                  <c:v>72.5</c:v>
                </c:pt>
                <c:pt idx="276">
                  <c:v>72.2</c:v>
                </c:pt>
                <c:pt idx="277">
                  <c:v>71.900000000000006</c:v>
                </c:pt>
                <c:pt idx="278">
                  <c:v>71.7</c:v>
                </c:pt>
                <c:pt idx="279">
                  <c:v>71.400000000000006</c:v>
                </c:pt>
                <c:pt idx="280">
                  <c:v>71.099999999999994</c:v>
                </c:pt>
                <c:pt idx="281">
                  <c:v>70.8</c:v>
                </c:pt>
                <c:pt idx="282">
                  <c:v>70.5</c:v>
                </c:pt>
                <c:pt idx="283">
                  <c:v>70.2</c:v>
                </c:pt>
                <c:pt idx="284">
                  <c:v>70.099999999999994</c:v>
                </c:pt>
                <c:pt idx="285">
                  <c:v>70.5</c:v>
                </c:pt>
                <c:pt idx="286">
                  <c:v>70.900000000000006</c:v>
                </c:pt>
                <c:pt idx="287">
                  <c:v>71.2</c:v>
                </c:pt>
                <c:pt idx="288">
                  <c:v>71.5</c:v>
                </c:pt>
                <c:pt idx="289">
                  <c:v>71.8</c:v>
                </c:pt>
                <c:pt idx="290">
                  <c:v>72.099999999999994</c:v>
                </c:pt>
                <c:pt idx="291">
                  <c:v>72.400000000000006</c:v>
                </c:pt>
                <c:pt idx="292">
                  <c:v>72.599999999999994</c:v>
                </c:pt>
                <c:pt idx="293">
                  <c:v>72.8</c:v>
                </c:pt>
                <c:pt idx="294">
                  <c:v>73</c:v>
                </c:pt>
                <c:pt idx="295">
                  <c:v>73.099999999999994</c:v>
                </c:pt>
                <c:pt idx="296">
                  <c:v>73.3</c:v>
                </c:pt>
                <c:pt idx="297">
                  <c:v>73.400000000000006</c:v>
                </c:pt>
                <c:pt idx="298">
                  <c:v>73.599999999999994</c:v>
                </c:pt>
                <c:pt idx="299">
                  <c:v>73.7</c:v>
                </c:pt>
                <c:pt idx="300">
                  <c:v>73.8</c:v>
                </c:pt>
                <c:pt idx="301">
                  <c:v>73.900000000000006</c:v>
                </c:pt>
                <c:pt idx="302">
                  <c:v>74</c:v>
                </c:pt>
                <c:pt idx="303">
                  <c:v>74.099999999999994</c:v>
                </c:pt>
                <c:pt idx="304">
                  <c:v>74.099999999999994</c:v>
                </c:pt>
                <c:pt idx="305">
                  <c:v>74.2</c:v>
                </c:pt>
                <c:pt idx="306">
                  <c:v>74.3</c:v>
                </c:pt>
                <c:pt idx="307">
                  <c:v>74.3</c:v>
                </c:pt>
                <c:pt idx="308">
                  <c:v>74.400000000000006</c:v>
                </c:pt>
                <c:pt idx="309">
                  <c:v>74.400000000000006</c:v>
                </c:pt>
                <c:pt idx="310">
                  <c:v>74.5</c:v>
                </c:pt>
                <c:pt idx="311">
                  <c:v>74.5</c:v>
                </c:pt>
                <c:pt idx="312">
                  <c:v>74.599999999999994</c:v>
                </c:pt>
                <c:pt idx="313">
                  <c:v>74.599999999999994</c:v>
                </c:pt>
                <c:pt idx="314">
                  <c:v>74.599999999999994</c:v>
                </c:pt>
                <c:pt idx="315">
                  <c:v>74.599999999999994</c:v>
                </c:pt>
                <c:pt idx="316">
                  <c:v>74.7</c:v>
                </c:pt>
                <c:pt idx="317">
                  <c:v>74.7</c:v>
                </c:pt>
                <c:pt idx="318">
                  <c:v>74.7</c:v>
                </c:pt>
                <c:pt idx="319">
                  <c:v>74.7</c:v>
                </c:pt>
                <c:pt idx="320">
                  <c:v>74.7</c:v>
                </c:pt>
                <c:pt idx="321">
                  <c:v>74.8</c:v>
                </c:pt>
                <c:pt idx="322">
                  <c:v>74.8</c:v>
                </c:pt>
                <c:pt idx="323">
                  <c:v>74.8</c:v>
                </c:pt>
                <c:pt idx="324">
                  <c:v>74.8</c:v>
                </c:pt>
                <c:pt idx="325">
                  <c:v>74.8</c:v>
                </c:pt>
                <c:pt idx="326">
                  <c:v>74.8</c:v>
                </c:pt>
                <c:pt idx="327">
                  <c:v>74.8</c:v>
                </c:pt>
                <c:pt idx="328">
                  <c:v>74.8</c:v>
                </c:pt>
                <c:pt idx="329">
                  <c:v>74.8</c:v>
                </c:pt>
                <c:pt idx="330">
                  <c:v>74.8</c:v>
                </c:pt>
                <c:pt idx="331">
                  <c:v>74.900000000000006</c:v>
                </c:pt>
                <c:pt idx="332">
                  <c:v>74.900000000000006</c:v>
                </c:pt>
                <c:pt idx="333">
                  <c:v>74.900000000000006</c:v>
                </c:pt>
                <c:pt idx="334">
                  <c:v>74.900000000000006</c:v>
                </c:pt>
                <c:pt idx="335">
                  <c:v>74.900000000000006</c:v>
                </c:pt>
                <c:pt idx="336">
                  <c:v>74.900000000000006</c:v>
                </c:pt>
                <c:pt idx="337">
                  <c:v>74.900000000000006</c:v>
                </c:pt>
                <c:pt idx="338">
                  <c:v>74.900000000000006</c:v>
                </c:pt>
                <c:pt idx="339">
                  <c:v>74.900000000000006</c:v>
                </c:pt>
                <c:pt idx="340">
                  <c:v>74.900000000000006</c:v>
                </c:pt>
                <c:pt idx="341">
                  <c:v>74.900000000000006</c:v>
                </c:pt>
                <c:pt idx="342">
                  <c:v>74.900000000000006</c:v>
                </c:pt>
                <c:pt idx="343">
                  <c:v>74.900000000000006</c:v>
                </c:pt>
                <c:pt idx="344">
                  <c:v>74.900000000000006</c:v>
                </c:pt>
                <c:pt idx="345">
                  <c:v>74.900000000000006</c:v>
                </c:pt>
                <c:pt idx="346">
                  <c:v>74.900000000000006</c:v>
                </c:pt>
                <c:pt idx="347">
                  <c:v>74.900000000000006</c:v>
                </c:pt>
                <c:pt idx="348">
                  <c:v>74.900000000000006</c:v>
                </c:pt>
                <c:pt idx="349">
                  <c:v>74.900000000000006</c:v>
                </c:pt>
                <c:pt idx="350">
                  <c:v>74.900000000000006</c:v>
                </c:pt>
                <c:pt idx="351">
                  <c:v>74.900000000000006</c:v>
                </c:pt>
                <c:pt idx="352">
                  <c:v>74.900000000000006</c:v>
                </c:pt>
                <c:pt idx="353">
                  <c:v>74.900000000000006</c:v>
                </c:pt>
                <c:pt idx="354">
                  <c:v>74.900000000000006</c:v>
                </c:pt>
                <c:pt idx="355">
                  <c:v>74.900000000000006</c:v>
                </c:pt>
                <c:pt idx="356">
                  <c:v>74.900000000000006</c:v>
                </c:pt>
                <c:pt idx="357">
                  <c:v>74.900000000000006</c:v>
                </c:pt>
                <c:pt idx="358">
                  <c:v>74.900000000000006</c:v>
                </c:pt>
                <c:pt idx="359">
                  <c:v>74.900000000000006</c:v>
                </c:pt>
                <c:pt idx="360">
                  <c:v>74.900000000000006</c:v>
                </c:pt>
                <c:pt idx="361">
                  <c:v>74.900000000000006</c:v>
                </c:pt>
                <c:pt idx="362">
                  <c:v>74.900000000000006</c:v>
                </c:pt>
                <c:pt idx="363">
                  <c:v>74.900000000000006</c:v>
                </c:pt>
                <c:pt idx="364">
                  <c:v>74.900000000000006</c:v>
                </c:pt>
                <c:pt idx="365">
                  <c:v>74.900000000000006</c:v>
                </c:pt>
                <c:pt idx="366">
                  <c:v>74.900000000000006</c:v>
                </c:pt>
                <c:pt idx="367">
                  <c:v>74.900000000000006</c:v>
                </c:pt>
                <c:pt idx="368">
                  <c:v>74.900000000000006</c:v>
                </c:pt>
                <c:pt idx="369">
                  <c:v>74.900000000000006</c:v>
                </c:pt>
                <c:pt idx="370">
                  <c:v>74.900000000000006</c:v>
                </c:pt>
                <c:pt idx="371">
                  <c:v>74.900000000000006</c:v>
                </c:pt>
                <c:pt idx="372">
                  <c:v>74.900000000000006</c:v>
                </c:pt>
                <c:pt idx="373">
                  <c:v>74.900000000000006</c:v>
                </c:pt>
                <c:pt idx="374">
                  <c:v>74.900000000000006</c:v>
                </c:pt>
                <c:pt idx="375">
                  <c:v>74.900000000000006</c:v>
                </c:pt>
                <c:pt idx="376">
                  <c:v>74.900000000000006</c:v>
                </c:pt>
                <c:pt idx="377">
                  <c:v>74.900000000000006</c:v>
                </c:pt>
                <c:pt idx="378">
                  <c:v>74.900000000000006</c:v>
                </c:pt>
                <c:pt idx="379">
                  <c:v>74.900000000000006</c:v>
                </c:pt>
                <c:pt idx="380">
                  <c:v>74.900000000000006</c:v>
                </c:pt>
                <c:pt idx="381">
                  <c:v>74.900000000000006</c:v>
                </c:pt>
                <c:pt idx="382">
                  <c:v>74.900000000000006</c:v>
                </c:pt>
                <c:pt idx="383">
                  <c:v>74.900000000000006</c:v>
                </c:pt>
                <c:pt idx="384">
                  <c:v>74.900000000000006</c:v>
                </c:pt>
                <c:pt idx="385">
                  <c:v>74.900000000000006</c:v>
                </c:pt>
                <c:pt idx="386">
                  <c:v>74.900000000000006</c:v>
                </c:pt>
                <c:pt idx="387">
                  <c:v>74.900000000000006</c:v>
                </c:pt>
                <c:pt idx="388">
                  <c:v>74.900000000000006</c:v>
                </c:pt>
                <c:pt idx="389">
                  <c:v>74.900000000000006</c:v>
                </c:pt>
                <c:pt idx="390">
                  <c:v>74.900000000000006</c:v>
                </c:pt>
                <c:pt idx="391">
                  <c:v>74.900000000000006</c:v>
                </c:pt>
                <c:pt idx="392">
                  <c:v>74.900000000000006</c:v>
                </c:pt>
                <c:pt idx="393">
                  <c:v>74.900000000000006</c:v>
                </c:pt>
                <c:pt idx="394">
                  <c:v>75</c:v>
                </c:pt>
                <c:pt idx="395">
                  <c:v>75.099999999999994</c:v>
                </c:pt>
                <c:pt idx="396">
                  <c:v>75.2</c:v>
                </c:pt>
                <c:pt idx="397">
                  <c:v>75.3</c:v>
                </c:pt>
                <c:pt idx="398">
                  <c:v>75.5</c:v>
                </c:pt>
                <c:pt idx="399">
                  <c:v>75.599999999999994</c:v>
                </c:pt>
                <c:pt idx="400">
                  <c:v>75.8</c:v>
                </c:pt>
                <c:pt idx="401">
                  <c:v>76</c:v>
                </c:pt>
                <c:pt idx="402">
                  <c:v>76.099999999999994</c:v>
                </c:pt>
                <c:pt idx="403">
                  <c:v>76.3</c:v>
                </c:pt>
                <c:pt idx="404">
                  <c:v>76.599999999999994</c:v>
                </c:pt>
                <c:pt idx="405">
                  <c:v>76.8</c:v>
                </c:pt>
                <c:pt idx="406">
                  <c:v>77</c:v>
                </c:pt>
                <c:pt idx="407">
                  <c:v>77.2</c:v>
                </c:pt>
                <c:pt idx="408">
                  <c:v>77.5</c:v>
                </c:pt>
                <c:pt idx="409">
                  <c:v>77.7</c:v>
                </c:pt>
                <c:pt idx="410">
                  <c:v>77.900000000000006</c:v>
                </c:pt>
                <c:pt idx="411">
                  <c:v>78.2</c:v>
                </c:pt>
                <c:pt idx="412">
                  <c:v>78.400000000000006</c:v>
                </c:pt>
                <c:pt idx="413">
                  <c:v>78.7</c:v>
                </c:pt>
                <c:pt idx="414">
                  <c:v>78.900000000000006</c:v>
                </c:pt>
                <c:pt idx="415">
                  <c:v>79.2</c:v>
                </c:pt>
                <c:pt idx="416">
                  <c:v>79.400000000000006</c:v>
                </c:pt>
                <c:pt idx="417">
                  <c:v>79.7</c:v>
                </c:pt>
                <c:pt idx="418">
                  <c:v>79.900000000000006</c:v>
                </c:pt>
                <c:pt idx="419">
                  <c:v>80.2</c:v>
                </c:pt>
                <c:pt idx="420">
                  <c:v>80.400000000000006</c:v>
                </c:pt>
                <c:pt idx="421">
                  <c:v>80.7</c:v>
                </c:pt>
                <c:pt idx="422">
                  <c:v>80.900000000000006</c:v>
                </c:pt>
                <c:pt idx="423">
                  <c:v>81.2</c:v>
                </c:pt>
                <c:pt idx="424">
                  <c:v>81.400000000000006</c:v>
                </c:pt>
                <c:pt idx="425">
                  <c:v>81.7</c:v>
                </c:pt>
                <c:pt idx="426">
                  <c:v>82</c:v>
                </c:pt>
                <c:pt idx="427">
                  <c:v>82.2</c:v>
                </c:pt>
                <c:pt idx="428">
                  <c:v>82.5</c:v>
                </c:pt>
                <c:pt idx="429">
                  <c:v>82.7</c:v>
                </c:pt>
                <c:pt idx="430">
                  <c:v>83</c:v>
                </c:pt>
                <c:pt idx="431">
                  <c:v>83.2</c:v>
                </c:pt>
                <c:pt idx="432">
                  <c:v>83.5</c:v>
                </c:pt>
                <c:pt idx="433">
                  <c:v>83.7</c:v>
                </c:pt>
                <c:pt idx="434">
                  <c:v>84</c:v>
                </c:pt>
                <c:pt idx="435">
                  <c:v>84.2</c:v>
                </c:pt>
                <c:pt idx="436">
                  <c:v>84.5</c:v>
                </c:pt>
                <c:pt idx="437">
                  <c:v>84.7</c:v>
                </c:pt>
                <c:pt idx="438">
                  <c:v>85</c:v>
                </c:pt>
                <c:pt idx="439">
                  <c:v>85.2</c:v>
                </c:pt>
                <c:pt idx="440">
                  <c:v>85.5</c:v>
                </c:pt>
                <c:pt idx="441">
                  <c:v>85.7</c:v>
                </c:pt>
                <c:pt idx="442">
                  <c:v>85.9</c:v>
                </c:pt>
                <c:pt idx="443">
                  <c:v>86.2</c:v>
                </c:pt>
                <c:pt idx="444">
                  <c:v>86.4</c:v>
                </c:pt>
                <c:pt idx="445">
                  <c:v>86.7</c:v>
                </c:pt>
                <c:pt idx="446">
                  <c:v>86.9</c:v>
                </c:pt>
                <c:pt idx="447">
                  <c:v>87.2</c:v>
                </c:pt>
                <c:pt idx="448">
                  <c:v>87.4</c:v>
                </c:pt>
                <c:pt idx="449">
                  <c:v>87.6</c:v>
                </c:pt>
                <c:pt idx="450">
                  <c:v>87.9</c:v>
                </c:pt>
                <c:pt idx="451">
                  <c:v>88.1</c:v>
                </c:pt>
                <c:pt idx="452">
                  <c:v>88.3</c:v>
                </c:pt>
                <c:pt idx="453">
                  <c:v>88.6</c:v>
                </c:pt>
                <c:pt idx="454">
                  <c:v>88.8</c:v>
                </c:pt>
                <c:pt idx="455">
                  <c:v>89</c:v>
                </c:pt>
                <c:pt idx="456">
                  <c:v>89.3</c:v>
                </c:pt>
                <c:pt idx="457">
                  <c:v>89.5</c:v>
                </c:pt>
                <c:pt idx="458">
                  <c:v>89.7</c:v>
                </c:pt>
                <c:pt idx="459">
                  <c:v>89.9</c:v>
                </c:pt>
                <c:pt idx="460">
                  <c:v>90.2</c:v>
                </c:pt>
                <c:pt idx="461">
                  <c:v>90.4</c:v>
                </c:pt>
                <c:pt idx="462">
                  <c:v>90.6</c:v>
                </c:pt>
                <c:pt idx="463">
                  <c:v>90.8</c:v>
                </c:pt>
                <c:pt idx="464">
                  <c:v>91.1</c:v>
                </c:pt>
                <c:pt idx="465">
                  <c:v>91.3</c:v>
                </c:pt>
                <c:pt idx="466">
                  <c:v>91.5</c:v>
                </c:pt>
                <c:pt idx="467">
                  <c:v>91.7</c:v>
                </c:pt>
                <c:pt idx="468">
                  <c:v>92</c:v>
                </c:pt>
                <c:pt idx="469">
                  <c:v>92.2</c:v>
                </c:pt>
                <c:pt idx="470">
                  <c:v>92.4</c:v>
                </c:pt>
                <c:pt idx="471">
                  <c:v>92.6</c:v>
                </c:pt>
                <c:pt idx="472">
                  <c:v>92.8</c:v>
                </c:pt>
                <c:pt idx="473">
                  <c:v>93</c:v>
                </c:pt>
                <c:pt idx="474">
                  <c:v>93.3</c:v>
                </c:pt>
                <c:pt idx="475">
                  <c:v>93.5</c:v>
                </c:pt>
                <c:pt idx="476">
                  <c:v>93.7</c:v>
                </c:pt>
                <c:pt idx="477">
                  <c:v>93.9</c:v>
                </c:pt>
                <c:pt idx="478">
                  <c:v>94.1</c:v>
                </c:pt>
                <c:pt idx="479">
                  <c:v>94.3</c:v>
                </c:pt>
                <c:pt idx="480">
                  <c:v>94.5</c:v>
                </c:pt>
                <c:pt idx="481">
                  <c:v>94.8</c:v>
                </c:pt>
                <c:pt idx="482">
                  <c:v>95</c:v>
                </c:pt>
                <c:pt idx="483">
                  <c:v>95.2</c:v>
                </c:pt>
                <c:pt idx="484">
                  <c:v>95.4</c:v>
                </c:pt>
                <c:pt idx="485">
                  <c:v>95.6</c:v>
                </c:pt>
                <c:pt idx="486">
                  <c:v>95.8</c:v>
                </c:pt>
                <c:pt idx="487">
                  <c:v>96</c:v>
                </c:pt>
                <c:pt idx="488">
                  <c:v>96.2</c:v>
                </c:pt>
                <c:pt idx="489">
                  <c:v>96.4</c:v>
                </c:pt>
                <c:pt idx="490">
                  <c:v>96.6</c:v>
                </c:pt>
                <c:pt idx="491">
                  <c:v>96.8</c:v>
                </c:pt>
                <c:pt idx="492">
                  <c:v>97</c:v>
                </c:pt>
                <c:pt idx="493">
                  <c:v>97.3</c:v>
                </c:pt>
                <c:pt idx="494">
                  <c:v>97.5</c:v>
                </c:pt>
                <c:pt idx="495">
                  <c:v>97.7</c:v>
                </c:pt>
                <c:pt idx="496">
                  <c:v>97.9</c:v>
                </c:pt>
                <c:pt idx="497">
                  <c:v>98.1</c:v>
                </c:pt>
                <c:pt idx="498">
                  <c:v>98.3</c:v>
                </c:pt>
                <c:pt idx="499">
                  <c:v>98.5</c:v>
                </c:pt>
                <c:pt idx="500">
                  <c:v>98.7</c:v>
                </c:pt>
                <c:pt idx="501">
                  <c:v>98.9</c:v>
                </c:pt>
                <c:pt idx="502">
                  <c:v>99.1</c:v>
                </c:pt>
                <c:pt idx="503">
                  <c:v>99.3</c:v>
                </c:pt>
                <c:pt idx="504">
                  <c:v>99.5</c:v>
                </c:pt>
                <c:pt idx="505">
                  <c:v>99.7</c:v>
                </c:pt>
                <c:pt idx="506">
                  <c:v>99.9</c:v>
                </c:pt>
                <c:pt idx="507">
                  <c:v>100.1</c:v>
                </c:pt>
                <c:pt idx="508">
                  <c:v>100.3</c:v>
                </c:pt>
                <c:pt idx="509">
                  <c:v>100.5</c:v>
                </c:pt>
                <c:pt idx="510">
                  <c:v>100.7</c:v>
                </c:pt>
                <c:pt idx="511">
                  <c:v>100.9</c:v>
                </c:pt>
                <c:pt idx="512">
                  <c:v>101.1</c:v>
                </c:pt>
                <c:pt idx="513">
                  <c:v>101.3</c:v>
                </c:pt>
                <c:pt idx="514">
                  <c:v>101.5</c:v>
                </c:pt>
                <c:pt idx="515">
                  <c:v>101.7</c:v>
                </c:pt>
                <c:pt idx="516">
                  <c:v>101.9</c:v>
                </c:pt>
                <c:pt idx="517">
                  <c:v>102.1</c:v>
                </c:pt>
                <c:pt idx="518">
                  <c:v>102.3</c:v>
                </c:pt>
                <c:pt idx="519">
                  <c:v>102.5</c:v>
                </c:pt>
                <c:pt idx="520">
                  <c:v>102.7</c:v>
                </c:pt>
                <c:pt idx="521">
                  <c:v>102.9</c:v>
                </c:pt>
                <c:pt idx="522">
                  <c:v>103.1</c:v>
                </c:pt>
                <c:pt idx="523">
                  <c:v>103.3</c:v>
                </c:pt>
                <c:pt idx="524">
                  <c:v>103.5</c:v>
                </c:pt>
                <c:pt idx="525">
                  <c:v>103.7</c:v>
                </c:pt>
                <c:pt idx="526">
                  <c:v>103.9</c:v>
                </c:pt>
                <c:pt idx="527">
                  <c:v>104.1</c:v>
                </c:pt>
                <c:pt idx="528">
                  <c:v>104.3</c:v>
                </c:pt>
                <c:pt idx="529">
                  <c:v>104.5</c:v>
                </c:pt>
                <c:pt idx="530">
                  <c:v>104.7</c:v>
                </c:pt>
                <c:pt idx="531">
                  <c:v>104.9</c:v>
                </c:pt>
                <c:pt idx="532">
                  <c:v>105.1</c:v>
                </c:pt>
                <c:pt idx="533">
                  <c:v>105.3</c:v>
                </c:pt>
                <c:pt idx="534">
                  <c:v>105.5</c:v>
                </c:pt>
                <c:pt idx="535">
                  <c:v>105.7</c:v>
                </c:pt>
                <c:pt idx="536">
                  <c:v>105.9</c:v>
                </c:pt>
                <c:pt idx="537">
                  <c:v>106.1</c:v>
                </c:pt>
                <c:pt idx="538">
                  <c:v>106.3</c:v>
                </c:pt>
                <c:pt idx="539">
                  <c:v>106.5</c:v>
                </c:pt>
                <c:pt idx="540">
                  <c:v>106.7</c:v>
                </c:pt>
                <c:pt idx="541">
                  <c:v>106.9</c:v>
                </c:pt>
                <c:pt idx="542">
                  <c:v>107.1</c:v>
                </c:pt>
                <c:pt idx="543">
                  <c:v>107.3</c:v>
                </c:pt>
                <c:pt idx="544">
                  <c:v>107.5</c:v>
                </c:pt>
                <c:pt idx="545">
                  <c:v>107.7</c:v>
                </c:pt>
                <c:pt idx="546">
                  <c:v>107.9</c:v>
                </c:pt>
                <c:pt idx="547">
                  <c:v>108.1</c:v>
                </c:pt>
                <c:pt idx="548">
                  <c:v>108.3</c:v>
                </c:pt>
                <c:pt idx="549">
                  <c:v>108.5</c:v>
                </c:pt>
                <c:pt idx="550">
                  <c:v>108.7</c:v>
                </c:pt>
                <c:pt idx="551">
                  <c:v>108.9</c:v>
                </c:pt>
                <c:pt idx="552">
                  <c:v>109.1</c:v>
                </c:pt>
                <c:pt idx="553">
                  <c:v>109.3</c:v>
                </c:pt>
                <c:pt idx="554">
                  <c:v>109.5</c:v>
                </c:pt>
                <c:pt idx="555">
                  <c:v>109.7</c:v>
                </c:pt>
                <c:pt idx="556">
                  <c:v>110</c:v>
                </c:pt>
                <c:pt idx="557">
                  <c:v>110.2</c:v>
                </c:pt>
                <c:pt idx="558">
                  <c:v>110.4</c:v>
                </c:pt>
                <c:pt idx="559">
                  <c:v>110.6</c:v>
                </c:pt>
                <c:pt idx="560">
                  <c:v>110.8</c:v>
                </c:pt>
                <c:pt idx="561">
                  <c:v>111</c:v>
                </c:pt>
                <c:pt idx="562">
                  <c:v>111.2</c:v>
                </c:pt>
                <c:pt idx="563">
                  <c:v>111.4</c:v>
                </c:pt>
                <c:pt idx="564">
                  <c:v>111.6</c:v>
                </c:pt>
                <c:pt idx="565">
                  <c:v>111.9</c:v>
                </c:pt>
                <c:pt idx="566">
                  <c:v>112.1</c:v>
                </c:pt>
                <c:pt idx="567">
                  <c:v>112.3</c:v>
                </c:pt>
                <c:pt idx="568">
                  <c:v>112.5</c:v>
                </c:pt>
                <c:pt idx="569">
                  <c:v>112.7</c:v>
                </c:pt>
                <c:pt idx="570">
                  <c:v>112.9</c:v>
                </c:pt>
                <c:pt idx="571">
                  <c:v>113.2</c:v>
                </c:pt>
                <c:pt idx="572">
                  <c:v>113.4</c:v>
                </c:pt>
                <c:pt idx="573">
                  <c:v>113.6</c:v>
                </c:pt>
                <c:pt idx="574">
                  <c:v>113.8</c:v>
                </c:pt>
                <c:pt idx="575">
                  <c:v>114</c:v>
                </c:pt>
                <c:pt idx="576">
                  <c:v>114.3</c:v>
                </c:pt>
                <c:pt idx="577">
                  <c:v>114.5</c:v>
                </c:pt>
                <c:pt idx="578">
                  <c:v>114.7</c:v>
                </c:pt>
                <c:pt idx="579">
                  <c:v>114.9</c:v>
                </c:pt>
                <c:pt idx="580">
                  <c:v>115.2</c:v>
                </c:pt>
                <c:pt idx="581">
                  <c:v>115.4</c:v>
                </c:pt>
                <c:pt idx="582">
                  <c:v>115.6</c:v>
                </c:pt>
                <c:pt idx="583">
                  <c:v>115.9</c:v>
                </c:pt>
                <c:pt idx="584">
                  <c:v>116.1</c:v>
                </c:pt>
                <c:pt idx="585">
                  <c:v>116.3</c:v>
                </c:pt>
                <c:pt idx="586">
                  <c:v>116.5</c:v>
                </c:pt>
                <c:pt idx="587">
                  <c:v>116.8</c:v>
                </c:pt>
                <c:pt idx="588">
                  <c:v>117</c:v>
                </c:pt>
                <c:pt idx="589">
                  <c:v>117.3</c:v>
                </c:pt>
                <c:pt idx="590">
                  <c:v>117.5</c:v>
                </c:pt>
                <c:pt idx="591">
                  <c:v>117.7</c:v>
                </c:pt>
                <c:pt idx="592">
                  <c:v>118</c:v>
                </c:pt>
                <c:pt idx="593">
                  <c:v>118.2</c:v>
                </c:pt>
                <c:pt idx="594">
                  <c:v>118.5</c:v>
                </c:pt>
                <c:pt idx="595">
                  <c:v>118.7</c:v>
                </c:pt>
                <c:pt idx="596">
                  <c:v>119</c:v>
                </c:pt>
                <c:pt idx="597">
                  <c:v>119.2</c:v>
                </c:pt>
                <c:pt idx="598">
                  <c:v>119.5</c:v>
                </c:pt>
                <c:pt idx="599">
                  <c:v>119.7</c:v>
                </c:pt>
                <c:pt idx="600">
                  <c:v>120</c:v>
                </c:pt>
                <c:pt idx="601">
                  <c:v>120.2</c:v>
                </c:pt>
                <c:pt idx="602">
                  <c:v>120.5</c:v>
                </c:pt>
                <c:pt idx="603">
                  <c:v>120.7</c:v>
                </c:pt>
                <c:pt idx="604">
                  <c:v>121</c:v>
                </c:pt>
                <c:pt idx="605">
                  <c:v>121.2</c:v>
                </c:pt>
                <c:pt idx="606">
                  <c:v>121.5</c:v>
                </c:pt>
                <c:pt idx="607">
                  <c:v>121.8</c:v>
                </c:pt>
                <c:pt idx="608">
                  <c:v>122</c:v>
                </c:pt>
                <c:pt idx="609">
                  <c:v>122.3</c:v>
                </c:pt>
                <c:pt idx="610">
                  <c:v>122.6</c:v>
                </c:pt>
                <c:pt idx="611">
                  <c:v>122.9</c:v>
                </c:pt>
                <c:pt idx="612">
                  <c:v>123.1</c:v>
                </c:pt>
                <c:pt idx="613">
                  <c:v>123.4</c:v>
                </c:pt>
                <c:pt idx="614">
                  <c:v>123.7</c:v>
                </c:pt>
                <c:pt idx="615">
                  <c:v>124</c:v>
                </c:pt>
                <c:pt idx="616">
                  <c:v>124.2</c:v>
                </c:pt>
                <c:pt idx="617">
                  <c:v>124.5</c:v>
                </c:pt>
                <c:pt idx="618">
                  <c:v>124.8</c:v>
                </c:pt>
                <c:pt idx="619">
                  <c:v>125.1</c:v>
                </c:pt>
                <c:pt idx="620">
                  <c:v>125.4</c:v>
                </c:pt>
                <c:pt idx="621">
                  <c:v>125.7</c:v>
                </c:pt>
                <c:pt idx="622">
                  <c:v>126</c:v>
                </c:pt>
                <c:pt idx="623">
                  <c:v>126.3</c:v>
                </c:pt>
                <c:pt idx="624">
                  <c:v>126.6</c:v>
                </c:pt>
                <c:pt idx="625">
                  <c:v>126.9</c:v>
                </c:pt>
                <c:pt idx="626">
                  <c:v>127.2</c:v>
                </c:pt>
                <c:pt idx="627">
                  <c:v>127.5</c:v>
                </c:pt>
                <c:pt idx="628">
                  <c:v>127.8</c:v>
                </c:pt>
                <c:pt idx="629">
                  <c:v>128.1</c:v>
                </c:pt>
                <c:pt idx="630">
                  <c:v>128.4</c:v>
                </c:pt>
                <c:pt idx="631">
                  <c:v>128.69999999999999</c:v>
                </c:pt>
                <c:pt idx="632">
                  <c:v>129</c:v>
                </c:pt>
                <c:pt idx="633">
                  <c:v>129.4</c:v>
                </c:pt>
                <c:pt idx="634">
                  <c:v>129.69999999999999</c:v>
                </c:pt>
                <c:pt idx="635">
                  <c:v>130</c:v>
                </c:pt>
                <c:pt idx="636">
                  <c:v>130.30000000000001</c:v>
                </c:pt>
                <c:pt idx="637">
                  <c:v>130.69999999999999</c:v>
                </c:pt>
                <c:pt idx="638">
                  <c:v>131</c:v>
                </c:pt>
                <c:pt idx="639">
                  <c:v>131.4</c:v>
                </c:pt>
                <c:pt idx="640">
                  <c:v>131.69999999999999</c:v>
                </c:pt>
                <c:pt idx="641">
                  <c:v>132</c:v>
                </c:pt>
                <c:pt idx="642">
                  <c:v>132.4</c:v>
                </c:pt>
                <c:pt idx="643">
                  <c:v>132.69999999999999</c:v>
                </c:pt>
                <c:pt idx="644">
                  <c:v>133.1</c:v>
                </c:pt>
                <c:pt idx="645">
                  <c:v>133.4</c:v>
                </c:pt>
                <c:pt idx="646">
                  <c:v>133.80000000000001</c:v>
                </c:pt>
                <c:pt idx="647">
                  <c:v>134.19999999999999</c:v>
                </c:pt>
                <c:pt idx="648">
                  <c:v>134.5</c:v>
                </c:pt>
                <c:pt idx="649">
                  <c:v>134.9</c:v>
                </c:pt>
                <c:pt idx="650">
                  <c:v>135.30000000000001</c:v>
                </c:pt>
                <c:pt idx="651">
                  <c:v>135.6</c:v>
                </c:pt>
                <c:pt idx="652">
                  <c:v>136</c:v>
                </c:pt>
                <c:pt idx="653">
                  <c:v>136.4</c:v>
                </c:pt>
                <c:pt idx="654">
                  <c:v>136.80000000000001</c:v>
                </c:pt>
                <c:pt idx="655">
                  <c:v>137.19999999999999</c:v>
                </c:pt>
                <c:pt idx="656">
                  <c:v>137.6</c:v>
                </c:pt>
                <c:pt idx="657">
                  <c:v>138</c:v>
                </c:pt>
                <c:pt idx="658">
                  <c:v>138.4</c:v>
                </c:pt>
                <c:pt idx="659">
                  <c:v>138.80000000000001</c:v>
                </c:pt>
                <c:pt idx="660">
                  <c:v>139.19999999999999</c:v>
                </c:pt>
                <c:pt idx="661">
                  <c:v>139.6</c:v>
                </c:pt>
                <c:pt idx="662">
                  <c:v>140</c:v>
                </c:pt>
                <c:pt idx="663">
                  <c:v>140.4</c:v>
                </c:pt>
                <c:pt idx="664">
                  <c:v>140.9</c:v>
                </c:pt>
                <c:pt idx="665">
                  <c:v>141.30000000000001</c:v>
                </c:pt>
                <c:pt idx="666">
                  <c:v>141.69999999999999</c:v>
                </c:pt>
                <c:pt idx="667">
                  <c:v>142.19999999999999</c:v>
                </c:pt>
                <c:pt idx="668">
                  <c:v>142.6</c:v>
                </c:pt>
                <c:pt idx="669">
                  <c:v>143</c:v>
                </c:pt>
                <c:pt idx="670">
                  <c:v>143.5</c:v>
                </c:pt>
                <c:pt idx="671">
                  <c:v>143.9</c:v>
                </c:pt>
                <c:pt idx="672">
                  <c:v>144.4</c:v>
                </c:pt>
                <c:pt idx="673">
                  <c:v>144.9</c:v>
                </c:pt>
                <c:pt idx="674">
                  <c:v>145.30000000000001</c:v>
                </c:pt>
                <c:pt idx="675">
                  <c:v>145.80000000000001</c:v>
                </c:pt>
                <c:pt idx="676">
                  <c:v>146.30000000000001</c:v>
                </c:pt>
                <c:pt idx="677">
                  <c:v>146.80000000000001</c:v>
                </c:pt>
                <c:pt idx="678">
                  <c:v>147.19999999999999</c:v>
                </c:pt>
                <c:pt idx="679">
                  <c:v>147.69999999999999</c:v>
                </c:pt>
                <c:pt idx="680">
                  <c:v>148.19999999999999</c:v>
                </c:pt>
                <c:pt idx="681">
                  <c:v>148.69999999999999</c:v>
                </c:pt>
                <c:pt idx="682">
                  <c:v>149.19999999999999</c:v>
                </c:pt>
                <c:pt idx="683">
                  <c:v>149.69999999999999</c:v>
                </c:pt>
                <c:pt idx="684">
                  <c:v>150.30000000000001</c:v>
                </c:pt>
                <c:pt idx="685">
                  <c:v>150.80000000000001</c:v>
                </c:pt>
                <c:pt idx="686">
                  <c:v>151.30000000000001</c:v>
                </c:pt>
                <c:pt idx="687">
                  <c:v>151.80000000000001</c:v>
                </c:pt>
                <c:pt idx="688">
                  <c:v>152.4</c:v>
                </c:pt>
                <c:pt idx="689">
                  <c:v>152.9</c:v>
                </c:pt>
                <c:pt idx="690">
                  <c:v>153.5</c:v>
                </c:pt>
                <c:pt idx="691">
                  <c:v>154</c:v>
                </c:pt>
                <c:pt idx="692">
                  <c:v>154.6</c:v>
                </c:pt>
                <c:pt idx="693">
                  <c:v>155.19999999999999</c:v>
                </c:pt>
                <c:pt idx="694">
                  <c:v>155.69999999999999</c:v>
                </c:pt>
                <c:pt idx="695">
                  <c:v>156.30000000000001</c:v>
                </c:pt>
                <c:pt idx="696">
                  <c:v>156.9</c:v>
                </c:pt>
                <c:pt idx="697">
                  <c:v>157.5</c:v>
                </c:pt>
                <c:pt idx="698">
                  <c:v>158.1</c:v>
                </c:pt>
                <c:pt idx="699">
                  <c:v>158.69999999999999</c:v>
                </c:pt>
                <c:pt idx="700">
                  <c:v>159.30000000000001</c:v>
                </c:pt>
                <c:pt idx="701">
                  <c:v>159.9</c:v>
                </c:pt>
                <c:pt idx="702">
                  <c:v>160.5</c:v>
                </c:pt>
                <c:pt idx="703">
                  <c:v>161.19999999999999</c:v>
                </c:pt>
                <c:pt idx="704">
                  <c:v>161.80000000000001</c:v>
                </c:pt>
                <c:pt idx="705">
                  <c:v>162.4</c:v>
                </c:pt>
                <c:pt idx="706">
                  <c:v>163.1</c:v>
                </c:pt>
                <c:pt idx="707">
                  <c:v>163.69999999999999</c:v>
                </c:pt>
                <c:pt idx="708">
                  <c:v>164.4</c:v>
                </c:pt>
                <c:pt idx="709">
                  <c:v>165.1</c:v>
                </c:pt>
                <c:pt idx="710">
                  <c:v>165.7</c:v>
                </c:pt>
                <c:pt idx="711">
                  <c:v>166.4</c:v>
                </c:pt>
                <c:pt idx="712">
                  <c:v>167.1</c:v>
                </c:pt>
                <c:pt idx="713">
                  <c:v>167.8</c:v>
                </c:pt>
                <c:pt idx="714">
                  <c:v>168.5</c:v>
                </c:pt>
                <c:pt idx="715">
                  <c:v>169.2</c:v>
                </c:pt>
                <c:pt idx="716">
                  <c:v>169.9</c:v>
                </c:pt>
                <c:pt idx="717">
                  <c:v>170.7</c:v>
                </c:pt>
                <c:pt idx="718">
                  <c:v>171.4</c:v>
                </c:pt>
                <c:pt idx="719">
                  <c:v>172.2</c:v>
                </c:pt>
                <c:pt idx="720">
                  <c:v>172.9</c:v>
                </c:pt>
                <c:pt idx="721">
                  <c:v>173.7</c:v>
                </c:pt>
                <c:pt idx="722">
                  <c:v>174.4</c:v>
                </c:pt>
                <c:pt idx="723">
                  <c:v>175.2</c:v>
                </c:pt>
                <c:pt idx="724">
                  <c:v>176</c:v>
                </c:pt>
                <c:pt idx="725">
                  <c:v>176.8</c:v>
                </c:pt>
                <c:pt idx="726">
                  <c:v>177.6</c:v>
                </c:pt>
                <c:pt idx="727">
                  <c:v>178.4</c:v>
                </c:pt>
                <c:pt idx="728">
                  <c:v>179.2</c:v>
                </c:pt>
                <c:pt idx="729">
                  <c:v>180</c:v>
                </c:pt>
                <c:pt idx="730">
                  <c:v>180.9</c:v>
                </c:pt>
                <c:pt idx="731">
                  <c:v>181.7</c:v>
                </c:pt>
                <c:pt idx="732">
                  <c:v>182.6</c:v>
                </c:pt>
                <c:pt idx="733">
                  <c:v>183.4</c:v>
                </c:pt>
                <c:pt idx="734">
                  <c:v>184.3</c:v>
                </c:pt>
                <c:pt idx="735">
                  <c:v>185.2</c:v>
                </c:pt>
                <c:pt idx="736">
                  <c:v>186.1</c:v>
                </c:pt>
                <c:pt idx="737">
                  <c:v>187</c:v>
                </c:pt>
                <c:pt idx="738">
                  <c:v>187.9</c:v>
                </c:pt>
                <c:pt idx="739">
                  <c:v>188.8</c:v>
                </c:pt>
                <c:pt idx="740">
                  <c:v>189.7</c:v>
                </c:pt>
                <c:pt idx="741">
                  <c:v>190.7</c:v>
                </c:pt>
                <c:pt idx="742">
                  <c:v>191.6</c:v>
                </c:pt>
                <c:pt idx="743">
                  <c:v>192.6</c:v>
                </c:pt>
                <c:pt idx="744">
                  <c:v>193.6</c:v>
                </c:pt>
                <c:pt idx="745">
                  <c:v>194.5</c:v>
                </c:pt>
                <c:pt idx="746">
                  <c:v>195.5</c:v>
                </c:pt>
                <c:pt idx="747">
                  <c:v>196.5</c:v>
                </c:pt>
                <c:pt idx="748">
                  <c:v>197.5</c:v>
                </c:pt>
                <c:pt idx="749">
                  <c:v>198.6</c:v>
                </c:pt>
                <c:pt idx="750">
                  <c:v>199.6</c:v>
                </c:pt>
                <c:pt idx="751">
                  <c:v>199.6</c:v>
                </c:pt>
                <c:pt idx="752">
                  <c:v>199</c:v>
                </c:pt>
                <c:pt idx="753">
                  <c:v>198.4</c:v>
                </c:pt>
                <c:pt idx="754">
                  <c:v>197.8</c:v>
                </c:pt>
                <c:pt idx="755">
                  <c:v>197.2</c:v>
                </c:pt>
                <c:pt idx="756">
                  <c:v>196.6</c:v>
                </c:pt>
                <c:pt idx="757">
                  <c:v>196</c:v>
                </c:pt>
                <c:pt idx="758">
                  <c:v>195.5</c:v>
                </c:pt>
                <c:pt idx="759">
                  <c:v>194.9</c:v>
                </c:pt>
                <c:pt idx="760">
                  <c:v>194.4</c:v>
                </c:pt>
                <c:pt idx="761">
                  <c:v>193.9</c:v>
                </c:pt>
                <c:pt idx="762">
                  <c:v>193.4</c:v>
                </c:pt>
                <c:pt idx="763">
                  <c:v>192.9</c:v>
                </c:pt>
                <c:pt idx="764">
                  <c:v>192.4</c:v>
                </c:pt>
                <c:pt idx="765">
                  <c:v>191.9</c:v>
                </c:pt>
                <c:pt idx="766">
                  <c:v>191.4</c:v>
                </c:pt>
                <c:pt idx="767">
                  <c:v>191</c:v>
                </c:pt>
                <c:pt idx="768">
                  <c:v>190.5</c:v>
                </c:pt>
                <c:pt idx="769">
                  <c:v>190.1</c:v>
                </c:pt>
                <c:pt idx="770">
                  <c:v>189.7</c:v>
                </c:pt>
                <c:pt idx="771">
                  <c:v>189.3</c:v>
                </c:pt>
                <c:pt idx="772">
                  <c:v>188.9</c:v>
                </c:pt>
                <c:pt idx="773">
                  <c:v>188.5</c:v>
                </c:pt>
                <c:pt idx="774">
                  <c:v>188.1</c:v>
                </c:pt>
                <c:pt idx="775">
                  <c:v>187.7</c:v>
                </c:pt>
                <c:pt idx="776">
                  <c:v>187.3</c:v>
                </c:pt>
                <c:pt idx="777">
                  <c:v>187</c:v>
                </c:pt>
                <c:pt idx="778">
                  <c:v>186.6</c:v>
                </c:pt>
                <c:pt idx="779">
                  <c:v>186.3</c:v>
                </c:pt>
                <c:pt idx="780">
                  <c:v>185.9</c:v>
                </c:pt>
                <c:pt idx="781">
                  <c:v>185.6</c:v>
                </c:pt>
                <c:pt idx="782">
                  <c:v>185.3</c:v>
                </c:pt>
                <c:pt idx="783">
                  <c:v>185</c:v>
                </c:pt>
                <c:pt idx="784">
                  <c:v>184.6</c:v>
                </c:pt>
                <c:pt idx="785">
                  <c:v>184.3</c:v>
                </c:pt>
                <c:pt idx="786">
                  <c:v>184</c:v>
                </c:pt>
                <c:pt idx="787">
                  <c:v>183.8</c:v>
                </c:pt>
                <c:pt idx="788">
                  <c:v>183.5</c:v>
                </c:pt>
                <c:pt idx="789">
                  <c:v>183.2</c:v>
                </c:pt>
                <c:pt idx="790">
                  <c:v>182.9</c:v>
                </c:pt>
                <c:pt idx="791">
                  <c:v>182.7</c:v>
                </c:pt>
                <c:pt idx="792">
                  <c:v>182.4</c:v>
                </c:pt>
                <c:pt idx="793">
                  <c:v>182.1</c:v>
                </c:pt>
                <c:pt idx="794">
                  <c:v>181.9</c:v>
                </c:pt>
                <c:pt idx="795">
                  <c:v>181.7</c:v>
                </c:pt>
                <c:pt idx="796">
                  <c:v>181.4</c:v>
                </c:pt>
                <c:pt idx="797">
                  <c:v>181.2</c:v>
                </c:pt>
                <c:pt idx="798">
                  <c:v>181</c:v>
                </c:pt>
                <c:pt idx="799">
                  <c:v>180.7</c:v>
                </c:pt>
                <c:pt idx="800">
                  <c:v>180.5</c:v>
                </c:pt>
                <c:pt idx="801">
                  <c:v>180.3</c:v>
                </c:pt>
                <c:pt idx="802">
                  <c:v>180.1</c:v>
                </c:pt>
                <c:pt idx="803">
                  <c:v>179.9</c:v>
                </c:pt>
                <c:pt idx="804">
                  <c:v>179.7</c:v>
                </c:pt>
                <c:pt idx="805">
                  <c:v>179.5</c:v>
                </c:pt>
                <c:pt idx="806">
                  <c:v>179.3</c:v>
                </c:pt>
                <c:pt idx="807">
                  <c:v>179.1</c:v>
                </c:pt>
                <c:pt idx="808">
                  <c:v>179</c:v>
                </c:pt>
                <c:pt idx="809">
                  <c:v>178.8</c:v>
                </c:pt>
                <c:pt idx="810">
                  <c:v>178.6</c:v>
                </c:pt>
                <c:pt idx="811">
                  <c:v>178.4</c:v>
                </c:pt>
                <c:pt idx="812">
                  <c:v>178.3</c:v>
                </c:pt>
                <c:pt idx="813">
                  <c:v>178.1</c:v>
                </c:pt>
                <c:pt idx="814">
                  <c:v>177.9</c:v>
                </c:pt>
                <c:pt idx="815">
                  <c:v>177.8</c:v>
                </c:pt>
                <c:pt idx="816">
                  <c:v>177.6</c:v>
                </c:pt>
                <c:pt idx="817">
                  <c:v>177.5</c:v>
                </c:pt>
                <c:pt idx="818">
                  <c:v>177.3</c:v>
                </c:pt>
                <c:pt idx="819">
                  <c:v>177.2</c:v>
                </c:pt>
                <c:pt idx="820">
                  <c:v>177.1</c:v>
                </c:pt>
                <c:pt idx="821">
                  <c:v>176.9</c:v>
                </c:pt>
                <c:pt idx="822">
                  <c:v>176.8</c:v>
                </c:pt>
                <c:pt idx="823">
                  <c:v>176.7</c:v>
                </c:pt>
                <c:pt idx="824">
                  <c:v>176.5</c:v>
                </c:pt>
                <c:pt idx="825">
                  <c:v>176.4</c:v>
                </c:pt>
                <c:pt idx="826">
                  <c:v>176.3</c:v>
                </c:pt>
                <c:pt idx="827">
                  <c:v>176.2</c:v>
                </c:pt>
                <c:pt idx="828">
                  <c:v>176.1</c:v>
                </c:pt>
                <c:pt idx="829">
                  <c:v>175.9</c:v>
                </c:pt>
                <c:pt idx="830">
                  <c:v>175.8</c:v>
                </c:pt>
                <c:pt idx="831">
                  <c:v>175.7</c:v>
                </c:pt>
                <c:pt idx="832">
                  <c:v>175.6</c:v>
                </c:pt>
                <c:pt idx="833">
                  <c:v>175.5</c:v>
                </c:pt>
                <c:pt idx="834">
                  <c:v>175.4</c:v>
                </c:pt>
                <c:pt idx="835">
                  <c:v>175.3</c:v>
                </c:pt>
                <c:pt idx="836">
                  <c:v>175.2</c:v>
                </c:pt>
                <c:pt idx="837">
                  <c:v>175.1</c:v>
                </c:pt>
                <c:pt idx="838">
                  <c:v>175</c:v>
                </c:pt>
                <c:pt idx="839">
                  <c:v>174.9</c:v>
                </c:pt>
                <c:pt idx="840">
                  <c:v>174.8</c:v>
                </c:pt>
                <c:pt idx="841">
                  <c:v>174.8</c:v>
                </c:pt>
                <c:pt idx="842">
                  <c:v>174.7</c:v>
                </c:pt>
                <c:pt idx="843">
                  <c:v>174.6</c:v>
                </c:pt>
                <c:pt idx="844">
                  <c:v>174.5</c:v>
                </c:pt>
                <c:pt idx="845">
                  <c:v>174.4</c:v>
                </c:pt>
                <c:pt idx="846">
                  <c:v>174.3</c:v>
                </c:pt>
                <c:pt idx="847">
                  <c:v>174.3</c:v>
                </c:pt>
                <c:pt idx="848">
                  <c:v>174.2</c:v>
                </c:pt>
                <c:pt idx="849">
                  <c:v>174.1</c:v>
                </c:pt>
                <c:pt idx="850">
                  <c:v>174</c:v>
                </c:pt>
                <c:pt idx="851">
                  <c:v>174</c:v>
                </c:pt>
                <c:pt idx="852">
                  <c:v>173.9</c:v>
                </c:pt>
                <c:pt idx="853">
                  <c:v>173.8</c:v>
                </c:pt>
                <c:pt idx="854">
                  <c:v>173.8</c:v>
                </c:pt>
                <c:pt idx="855">
                  <c:v>173.7</c:v>
                </c:pt>
                <c:pt idx="856">
                  <c:v>173.7</c:v>
                </c:pt>
                <c:pt idx="857">
                  <c:v>173.6</c:v>
                </c:pt>
                <c:pt idx="858">
                  <c:v>173.5</c:v>
                </c:pt>
                <c:pt idx="859">
                  <c:v>173.3</c:v>
                </c:pt>
                <c:pt idx="860">
                  <c:v>172.1</c:v>
                </c:pt>
                <c:pt idx="861">
                  <c:v>170.9</c:v>
                </c:pt>
                <c:pt idx="862">
                  <c:v>169.7</c:v>
                </c:pt>
                <c:pt idx="863">
                  <c:v>168.5</c:v>
                </c:pt>
                <c:pt idx="864">
                  <c:v>167.3</c:v>
                </c:pt>
                <c:pt idx="865">
                  <c:v>166.1</c:v>
                </c:pt>
                <c:pt idx="866">
                  <c:v>164.9</c:v>
                </c:pt>
                <c:pt idx="867">
                  <c:v>163.69999999999999</c:v>
                </c:pt>
                <c:pt idx="868">
                  <c:v>162.6</c:v>
                </c:pt>
                <c:pt idx="869">
                  <c:v>161.4</c:v>
                </c:pt>
                <c:pt idx="870">
                  <c:v>160.30000000000001</c:v>
                </c:pt>
                <c:pt idx="871">
                  <c:v>159.1</c:v>
                </c:pt>
                <c:pt idx="872">
                  <c:v>158</c:v>
                </c:pt>
                <c:pt idx="873">
                  <c:v>156.80000000000001</c:v>
                </c:pt>
                <c:pt idx="874">
                  <c:v>155.69999999999999</c:v>
                </c:pt>
                <c:pt idx="875">
                  <c:v>154.5</c:v>
                </c:pt>
                <c:pt idx="876">
                  <c:v>153.4</c:v>
                </c:pt>
                <c:pt idx="877">
                  <c:v>152.30000000000001</c:v>
                </c:pt>
                <c:pt idx="878">
                  <c:v>151.1</c:v>
                </c:pt>
                <c:pt idx="879">
                  <c:v>150</c:v>
                </c:pt>
                <c:pt idx="880">
                  <c:v>148.80000000000001</c:v>
                </c:pt>
                <c:pt idx="881">
                  <c:v>147.69999999999999</c:v>
                </c:pt>
                <c:pt idx="882">
                  <c:v>146.6</c:v>
                </c:pt>
                <c:pt idx="883">
                  <c:v>145.4</c:v>
                </c:pt>
                <c:pt idx="884">
                  <c:v>144.30000000000001</c:v>
                </c:pt>
                <c:pt idx="885">
                  <c:v>143.1</c:v>
                </c:pt>
                <c:pt idx="886">
                  <c:v>142</c:v>
                </c:pt>
                <c:pt idx="887">
                  <c:v>140.80000000000001</c:v>
                </c:pt>
                <c:pt idx="888">
                  <c:v>139.6</c:v>
                </c:pt>
                <c:pt idx="889">
                  <c:v>138.4</c:v>
                </c:pt>
                <c:pt idx="890">
                  <c:v>137.19999999999999</c:v>
                </c:pt>
                <c:pt idx="891">
                  <c:v>136.1</c:v>
                </c:pt>
                <c:pt idx="892">
                  <c:v>134.9</c:v>
                </c:pt>
                <c:pt idx="893">
                  <c:v>133.80000000000001</c:v>
                </c:pt>
                <c:pt idx="894">
                  <c:v>132.69999999999999</c:v>
                </c:pt>
                <c:pt idx="895">
                  <c:v>131.6</c:v>
                </c:pt>
                <c:pt idx="896">
                  <c:v>130.6</c:v>
                </c:pt>
                <c:pt idx="897">
                  <c:v>129.6</c:v>
                </c:pt>
                <c:pt idx="898">
                  <c:v>128.6</c:v>
                </c:pt>
                <c:pt idx="899">
                  <c:v>127.7</c:v>
                </c:pt>
                <c:pt idx="900">
                  <c:v>126.7</c:v>
                </c:pt>
                <c:pt idx="901">
                  <c:v>125.9</c:v>
                </c:pt>
                <c:pt idx="902">
                  <c:v>125</c:v>
                </c:pt>
                <c:pt idx="903">
                  <c:v>124.1</c:v>
                </c:pt>
                <c:pt idx="904">
                  <c:v>123.3</c:v>
                </c:pt>
                <c:pt idx="905">
                  <c:v>122.5</c:v>
                </c:pt>
                <c:pt idx="906">
                  <c:v>121.7</c:v>
                </c:pt>
                <c:pt idx="907">
                  <c:v>121</c:v>
                </c:pt>
                <c:pt idx="908">
                  <c:v>120.2</c:v>
                </c:pt>
                <c:pt idx="909">
                  <c:v>119.5</c:v>
                </c:pt>
                <c:pt idx="910">
                  <c:v>118.8</c:v>
                </c:pt>
                <c:pt idx="911">
                  <c:v>118.2</c:v>
                </c:pt>
                <c:pt idx="912">
                  <c:v>117.5</c:v>
                </c:pt>
                <c:pt idx="913">
                  <c:v>116.9</c:v>
                </c:pt>
                <c:pt idx="914">
                  <c:v>116.2</c:v>
                </c:pt>
                <c:pt idx="915">
                  <c:v>115.6</c:v>
                </c:pt>
                <c:pt idx="916">
                  <c:v>115</c:v>
                </c:pt>
                <c:pt idx="917">
                  <c:v>114.5</c:v>
                </c:pt>
                <c:pt idx="918">
                  <c:v>113.9</c:v>
                </c:pt>
                <c:pt idx="919">
                  <c:v>113.4</c:v>
                </c:pt>
                <c:pt idx="920">
                  <c:v>112.9</c:v>
                </c:pt>
                <c:pt idx="921">
                  <c:v>112.4</c:v>
                </c:pt>
                <c:pt idx="922">
                  <c:v>111.9</c:v>
                </c:pt>
                <c:pt idx="923">
                  <c:v>111.4</c:v>
                </c:pt>
                <c:pt idx="924">
                  <c:v>110.9</c:v>
                </c:pt>
                <c:pt idx="925">
                  <c:v>110.5</c:v>
                </c:pt>
                <c:pt idx="926">
                  <c:v>110</c:v>
                </c:pt>
                <c:pt idx="927">
                  <c:v>109.6</c:v>
                </c:pt>
                <c:pt idx="928">
                  <c:v>109.2</c:v>
                </c:pt>
                <c:pt idx="929">
                  <c:v>108.8</c:v>
                </c:pt>
                <c:pt idx="930">
                  <c:v>108.4</c:v>
                </c:pt>
                <c:pt idx="931">
                  <c:v>108</c:v>
                </c:pt>
                <c:pt idx="932">
                  <c:v>107.6</c:v>
                </c:pt>
                <c:pt idx="933">
                  <c:v>107.2</c:v>
                </c:pt>
                <c:pt idx="934">
                  <c:v>106.9</c:v>
                </c:pt>
                <c:pt idx="935">
                  <c:v>106.5</c:v>
                </c:pt>
                <c:pt idx="936">
                  <c:v>106.2</c:v>
                </c:pt>
                <c:pt idx="937">
                  <c:v>105.9</c:v>
                </c:pt>
                <c:pt idx="938">
                  <c:v>105.6</c:v>
                </c:pt>
                <c:pt idx="939">
                  <c:v>105.3</c:v>
                </c:pt>
                <c:pt idx="940">
                  <c:v>105</c:v>
                </c:pt>
                <c:pt idx="941">
                  <c:v>104.7</c:v>
                </c:pt>
                <c:pt idx="942">
                  <c:v>104.4</c:v>
                </c:pt>
                <c:pt idx="943">
                  <c:v>104.1</c:v>
                </c:pt>
                <c:pt idx="944">
                  <c:v>103.9</c:v>
                </c:pt>
                <c:pt idx="945">
                  <c:v>103.6</c:v>
                </c:pt>
                <c:pt idx="946">
                  <c:v>103.3</c:v>
                </c:pt>
                <c:pt idx="947">
                  <c:v>103.1</c:v>
                </c:pt>
                <c:pt idx="948">
                  <c:v>102.9</c:v>
                </c:pt>
                <c:pt idx="949">
                  <c:v>102.6</c:v>
                </c:pt>
                <c:pt idx="950">
                  <c:v>102.4</c:v>
                </c:pt>
                <c:pt idx="951">
                  <c:v>102.2</c:v>
                </c:pt>
                <c:pt idx="952">
                  <c:v>102</c:v>
                </c:pt>
                <c:pt idx="953">
                  <c:v>101.8</c:v>
                </c:pt>
                <c:pt idx="954">
                  <c:v>101.6</c:v>
                </c:pt>
                <c:pt idx="955">
                  <c:v>101.4</c:v>
                </c:pt>
                <c:pt idx="956">
                  <c:v>101.2</c:v>
                </c:pt>
                <c:pt idx="957">
                  <c:v>101</c:v>
                </c:pt>
                <c:pt idx="958">
                  <c:v>100.8</c:v>
                </c:pt>
                <c:pt idx="959">
                  <c:v>100.6</c:v>
                </c:pt>
                <c:pt idx="960">
                  <c:v>100.4</c:v>
                </c:pt>
                <c:pt idx="961">
                  <c:v>100.3</c:v>
                </c:pt>
                <c:pt idx="962">
                  <c:v>100.1</c:v>
                </c:pt>
                <c:pt idx="963">
                  <c:v>99.9</c:v>
                </c:pt>
                <c:pt idx="964">
                  <c:v>99.8</c:v>
                </c:pt>
                <c:pt idx="965">
                  <c:v>99.6</c:v>
                </c:pt>
                <c:pt idx="966">
                  <c:v>99.5</c:v>
                </c:pt>
                <c:pt idx="967">
                  <c:v>99.3</c:v>
                </c:pt>
                <c:pt idx="968">
                  <c:v>99.2</c:v>
                </c:pt>
                <c:pt idx="969">
                  <c:v>99.1</c:v>
                </c:pt>
                <c:pt idx="970">
                  <c:v>98.9</c:v>
                </c:pt>
                <c:pt idx="971">
                  <c:v>98.8</c:v>
                </c:pt>
                <c:pt idx="972">
                  <c:v>98.7</c:v>
                </c:pt>
                <c:pt idx="973">
                  <c:v>98.5</c:v>
                </c:pt>
                <c:pt idx="974">
                  <c:v>98.4</c:v>
                </c:pt>
                <c:pt idx="975">
                  <c:v>98.3</c:v>
                </c:pt>
                <c:pt idx="976">
                  <c:v>98.2</c:v>
                </c:pt>
                <c:pt idx="977">
                  <c:v>98.1</c:v>
                </c:pt>
                <c:pt idx="978">
                  <c:v>98</c:v>
                </c:pt>
                <c:pt idx="979">
                  <c:v>97.9</c:v>
                </c:pt>
                <c:pt idx="980">
                  <c:v>97.7</c:v>
                </c:pt>
                <c:pt idx="981">
                  <c:v>97.6</c:v>
                </c:pt>
                <c:pt idx="982">
                  <c:v>97.5</c:v>
                </c:pt>
                <c:pt idx="983">
                  <c:v>97.4</c:v>
                </c:pt>
                <c:pt idx="984">
                  <c:v>97.3</c:v>
                </c:pt>
                <c:pt idx="985">
                  <c:v>97.2</c:v>
                </c:pt>
                <c:pt idx="986">
                  <c:v>97.2</c:v>
                </c:pt>
                <c:pt idx="987">
                  <c:v>97.1</c:v>
                </c:pt>
                <c:pt idx="988">
                  <c:v>97</c:v>
                </c:pt>
                <c:pt idx="989">
                  <c:v>96.9</c:v>
                </c:pt>
                <c:pt idx="990">
                  <c:v>96.8</c:v>
                </c:pt>
                <c:pt idx="991">
                  <c:v>96.7</c:v>
                </c:pt>
                <c:pt idx="992">
                  <c:v>96.6</c:v>
                </c:pt>
                <c:pt idx="993">
                  <c:v>96.5</c:v>
                </c:pt>
                <c:pt idx="994">
                  <c:v>96.5</c:v>
                </c:pt>
                <c:pt idx="995">
                  <c:v>96.4</c:v>
                </c:pt>
                <c:pt idx="996">
                  <c:v>96.3</c:v>
                </c:pt>
                <c:pt idx="997">
                  <c:v>96.2</c:v>
                </c:pt>
                <c:pt idx="998">
                  <c:v>96.2</c:v>
                </c:pt>
                <c:pt idx="999">
                  <c:v>96.1</c:v>
                </c:pt>
                <c:pt idx="1000">
                  <c:v>96</c:v>
                </c:pt>
                <c:pt idx="1001">
                  <c:v>95.9</c:v>
                </c:pt>
                <c:pt idx="1002">
                  <c:v>95.9</c:v>
                </c:pt>
                <c:pt idx="1003">
                  <c:v>95.8</c:v>
                </c:pt>
                <c:pt idx="1004">
                  <c:v>95.7</c:v>
                </c:pt>
                <c:pt idx="1005">
                  <c:v>95.7</c:v>
                </c:pt>
                <c:pt idx="1006">
                  <c:v>95.6</c:v>
                </c:pt>
                <c:pt idx="1007">
                  <c:v>95.5</c:v>
                </c:pt>
                <c:pt idx="1008">
                  <c:v>95.5</c:v>
                </c:pt>
                <c:pt idx="1009">
                  <c:v>95.4</c:v>
                </c:pt>
                <c:pt idx="1010">
                  <c:v>95.3</c:v>
                </c:pt>
                <c:pt idx="1011">
                  <c:v>95.3</c:v>
                </c:pt>
                <c:pt idx="1012">
                  <c:v>95.2</c:v>
                </c:pt>
                <c:pt idx="1013">
                  <c:v>95.1</c:v>
                </c:pt>
                <c:pt idx="1014">
                  <c:v>95.1</c:v>
                </c:pt>
                <c:pt idx="1015">
                  <c:v>95</c:v>
                </c:pt>
                <c:pt idx="1016">
                  <c:v>95</c:v>
                </c:pt>
                <c:pt idx="1017">
                  <c:v>94.9</c:v>
                </c:pt>
                <c:pt idx="1018">
                  <c:v>94.8</c:v>
                </c:pt>
                <c:pt idx="1019">
                  <c:v>94.8</c:v>
                </c:pt>
                <c:pt idx="1020">
                  <c:v>94.7</c:v>
                </c:pt>
                <c:pt idx="1021">
                  <c:v>94.7</c:v>
                </c:pt>
                <c:pt idx="1022">
                  <c:v>94.6</c:v>
                </c:pt>
                <c:pt idx="1023">
                  <c:v>94.6</c:v>
                </c:pt>
                <c:pt idx="1024">
                  <c:v>94.5</c:v>
                </c:pt>
                <c:pt idx="1025">
                  <c:v>94.4</c:v>
                </c:pt>
                <c:pt idx="1026">
                  <c:v>94.4</c:v>
                </c:pt>
                <c:pt idx="1027">
                  <c:v>94.3</c:v>
                </c:pt>
                <c:pt idx="1028">
                  <c:v>94.3</c:v>
                </c:pt>
                <c:pt idx="1029">
                  <c:v>94.2</c:v>
                </c:pt>
                <c:pt idx="1030">
                  <c:v>94.2</c:v>
                </c:pt>
                <c:pt idx="1031">
                  <c:v>94.1</c:v>
                </c:pt>
                <c:pt idx="1032">
                  <c:v>94.1</c:v>
                </c:pt>
                <c:pt idx="1033">
                  <c:v>94</c:v>
                </c:pt>
                <c:pt idx="1034">
                  <c:v>94</c:v>
                </c:pt>
                <c:pt idx="1035">
                  <c:v>93.9</c:v>
                </c:pt>
                <c:pt idx="1036">
                  <c:v>93.8</c:v>
                </c:pt>
                <c:pt idx="1037">
                  <c:v>93.8</c:v>
                </c:pt>
                <c:pt idx="1038">
                  <c:v>93.7</c:v>
                </c:pt>
                <c:pt idx="1039">
                  <c:v>93.7</c:v>
                </c:pt>
                <c:pt idx="1040">
                  <c:v>93.6</c:v>
                </c:pt>
                <c:pt idx="1041">
                  <c:v>93.6</c:v>
                </c:pt>
                <c:pt idx="1042">
                  <c:v>93.5</c:v>
                </c:pt>
                <c:pt idx="1043">
                  <c:v>93.5</c:v>
                </c:pt>
                <c:pt idx="1044">
                  <c:v>93.4</c:v>
                </c:pt>
                <c:pt idx="1045">
                  <c:v>93.4</c:v>
                </c:pt>
                <c:pt idx="1046">
                  <c:v>93.3</c:v>
                </c:pt>
                <c:pt idx="1047">
                  <c:v>93.3</c:v>
                </c:pt>
                <c:pt idx="1048">
                  <c:v>93.2</c:v>
                </c:pt>
                <c:pt idx="1049">
                  <c:v>93.2</c:v>
                </c:pt>
                <c:pt idx="1050">
                  <c:v>93.1</c:v>
                </c:pt>
                <c:pt idx="1051">
                  <c:v>93</c:v>
                </c:pt>
                <c:pt idx="1052">
                  <c:v>93</c:v>
                </c:pt>
                <c:pt idx="1053">
                  <c:v>92.9</c:v>
                </c:pt>
                <c:pt idx="1054">
                  <c:v>92.9</c:v>
                </c:pt>
                <c:pt idx="1055">
                  <c:v>92.8</c:v>
                </c:pt>
                <c:pt idx="1056">
                  <c:v>92.8</c:v>
                </c:pt>
                <c:pt idx="1057">
                  <c:v>92.7</c:v>
                </c:pt>
                <c:pt idx="1058">
                  <c:v>92.7</c:v>
                </c:pt>
                <c:pt idx="1059">
                  <c:v>92.6</c:v>
                </c:pt>
                <c:pt idx="1060">
                  <c:v>92.6</c:v>
                </c:pt>
                <c:pt idx="1061">
                  <c:v>92.5</c:v>
                </c:pt>
                <c:pt idx="1062">
                  <c:v>92.5</c:v>
                </c:pt>
                <c:pt idx="1063">
                  <c:v>92.4</c:v>
                </c:pt>
                <c:pt idx="1064">
                  <c:v>92.3</c:v>
                </c:pt>
                <c:pt idx="1065">
                  <c:v>92.3</c:v>
                </c:pt>
                <c:pt idx="1066">
                  <c:v>92.2</c:v>
                </c:pt>
                <c:pt idx="1067">
                  <c:v>92.2</c:v>
                </c:pt>
                <c:pt idx="1068">
                  <c:v>92.1</c:v>
                </c:pt>
                <c:pt idx="1069">
                  <c:v>92.1</c:v>
                </c:pt>
                <c:pt idx="1070">
                  <c:v>92</c:v>
                </c:pt>
                <c:pt idx="1071">
                  <c:v>91.9</c:v>
                </c:pt>
                <c:pt idx="1072">
                  <c:v>91.9</c:v>
                </c:pt>
                <c:pt idx="1073">
                  <c:v>91.8</c:v>
                </c:pt>
                <c:pt idx="1074">
                  <c:v>91.8</c:v>
                </c:pt>
                <c:pt idx="1075">
                  <c:v>91.7</c:v>
                </c:pt>
                <c:pt idx="1076">
                  <c:v>91.6</c:v>
                </c:pt>
                <c:pt idx="1077">
                  <c:v>91.6</c:v>
                </c:pt>
                <c:pt idx="1078">
                  <c:v>91.5</c:v>
                </c:pt>
                <c:pt idx="1079">
                  <c:v>91.5</c:v>
                </c:pt>
                <c:pt idx="1080">
                  <c:v>91.4</c:v>
                </c:pt>
                <c:pt idx="1081">
                  <c:v>91.3</c:v>
                </c:pt>
                <c:pt idx="1082">
                  <c:v>91.3</c:v>
                </c:pt>
                <c:pt idx="1083">
                  <c:v>91.2</c:v>
                </c:pt>
                <c:pt idx="1084">
                  <c:v>91.1</c:v>
                </c:pt>
                <c:pt idx="1085">
                  <c:v>91.1</c:v>
                </c:pt>
                <c:pt idx="1086">
                  <c:v>91</c:v>
                </c:pt>
                <c:pt idx="1087">
                  <c:v>91</c:v>
                </c:pt>
                <c:pt idx="1088">
                  <c:v>90.9</c:v>
                </c:pt>
                <c:pt idx="1089">
                  <c:v>90.8</c:v>
                </c:pt>
                <c:pt idx="1090">
                  <c:v>90.8</c:v>
                </c:pt>
                <c:pt idx="1091">
                  <c:v>90.7</c:v>
                </c:pt>
                <c:pt idx="1092">
                  <c:v>90.6</c:v>
                </c:pt>
                <c:pt idx="1093">
                  <c:v>90.5</c:v>
                </c:pt>
                <c:pt idx="1094">
                  <c:v>90.5</c:v>
                </c:pt>
                <c:pt idx="1095">
                  <c:v>90.4</c:v>
                </c:pt>
                <c:pt idx="1096">
                  <c:v>90.3</c:v>
                </c:pt>
                <c:pt idx="1097">
                  <c:v>90.3</c:v>
                </c:pt>
                <c:pt idx="1098">
                  <c:v>90.2</c:v>
                </c:pt>
                <c:pt idx="1099">
                  <c:v>90.1</c:v>
                </c:pt>
                <c:pt idx="1100">
                  <c:v>90</c:v>
                </c:pt>
                <c:pt idx="1101">
                  <c:v>90</c:v>
                </c:pt>
                <c:pt idx="1102">
                  <c:v>89.9</c:v>
                </c:pt>
                <c:pt idx="1103">
                  <c:v>89.8</c:v>
                </c:pt>
                <c:pt idx="1104">
                  <c:v>89.7</c:v>
                </c:pt>
                <c:pt idx="1105">
                  <c:v>89.7</c:v>
                </c:pt>
                <c:pt idx="1106">
                  <c:v>89.6</c:v>
                </c:pt>
                <c:pt idx="1107">
                  <c:v>89.5</c:v>
                </c:pt>
                <c:pt idx="1108">
                  <c:v>89.4</c:v>
                </c:pt>
                <c:pt idx="1109">
                  <c:v>89.3</c:v>
                </c:pt>
                <c:pt idx="1110">
                  <c:v>89.3</c:v>
                </c:pt>
                <c:pt idx="1111">
                  <c:v>89.2</c:v>
                </c:pt>
                <c:pt idx="1112">
                  <c:v>89.1</c:v>
                </c:pt>
                <c:pt idx="1113">
                  <c:v>89</c:v>
                </c:pt>
                <c:pt idx="1114">
                  <c:v>88.9</c:v>
                </c:pt>
                <c:pt idx="1115">
                  <c:v>88.8</c:v>
                </c:pt>
                <c:pt idx="1116">
                  <c:v>88.8</c:v>
                </c:pt>
                <c:pt idx="1117">
                  <c:v>88.7</c:v>
                </c:pt>
                <c:pt idx="1118">
                  <c:v>88.6</c:v>
                </c:pt>
                <c:pt idx="1119">
                  <c:v>88.5</c:v>
                </c:pt>
                <c:pt idx="1120">
                  <c:v>88.4</c:v>
                </c:pt>
                <c:pt idx="1121">
                  <c:v>88.3</c:v>
                </c:pt>
                <c:pt idx="1122">
                  <c:v>88.2</c:v>
                </c:pt>
                <c:pt idx="1123">
                  <c:v>88.1</c:v>
                </c:pt>
                <c:pt idx="1124">
                  <c:v>88</c:v>
                </c:pt>
                <c:pt idx="1125">
                  <c:v>87.9</c:v>
                </c:pt>
                <c:pt idx="1126">
                  <c:v>87.8</c:v>
                </c:pt>
                <c:pt idx="1127">
                  <c:v>87.7</c:v>
                </c:pt>
                <c:pt idx="1128">
                  <c:v>87.6</c:v>
                </c:pt>
                <c:pt idx="1129">
                  <c:v>87.6</c:v>
                </c:pt>
                <c:pt idx="1130">
                  <c:v>87.5</c:v>
                </c:pt>
                <c:pt idx="1131">
                  <c:v>87.3</c:v>
                </c:pt>
                <c:pt idx="1132">
                  <c:v>87.2</c:v>
                </c:pt>
                <c:pt idx="1133">
                  <c:v>87.1</c:v>
                </c:pt>
                <c:pt idx="1134">
                  <c:v>87</c:v>
                </c:pt>
                <c:pt idx="1135">
                  <c:v>86.9</c:v>
                </c:pt>
                <c:pt idx="1136">
                  <c:v>86.8</c:v>
                </c:pt>
                <c:pt idx="1137">
                  <c:v>86.7</c:v>
                </c:pt>
                <c:pt idx="1138">
                  <c:v>86.6</c:v>
                </c:pt>
                <c:pt idx="1139">
                  <c:v>86.5</c:v>
                </c:pt>
                <c:pt idx="1140">
                  <c:v>86.4</c:v>
                </c:pt>
                <c:pt idx="1141">
                  <c:v>86.3</c:v>
                </c:pt>
                <c:pt idx="1142">
                  <c:v>86.2</c:v>
                </c:pt>
                <c:pt idx="1143">
                  <c:v>86</c:v>
                </c:pt>
                <c:pt idx="1144">
                  <c:v>85.9</c:v>
                </c:pt>
                <c:pt idx="1145">
                  <c:v>85.8</c:v>
                </c:pt>
                <c:pt idx="1146">
                  <c:v>85.7</c:v>
                </c:pt>
                <c:pt idx="1147">
                  <c:v>85.6</c:v>
                </c:pt>
                <c:pt idx="1148">
                  <c:v>85.4</c:v>
                </c:pt>
                <c:pt idx="1149">
                  <c:v>85.3</c:v>
                </c:pt>
                <c:pt idx="1150">
                  <c:v>85.2</c:v>
                </c:pt>
                <c:pt idx="1151">
                  <c:v>85.1</c:v>
                </c:pt>
                <c:pt idx="1152">
                  <c:v>84.9</c:v>
                </c:pt>
                <c:pt idx="1153">
                  <c:v>84.8</c:v>
                </c:pt>
                <c:pt idx="1154">
                  <c:v>84.7</c:v>
                </c:pt>
                <c:pt idx="1155">
                  <c:v>84.5</c:v>
                </c:pt>
                <c:pt idx="1156">
                  <c:v>84.4</c:v>
                </c:pt>
                <c:pt idx="1157">
                  <c:v>84.3</c:v>
                </c:pt>
                <c:pt idx="1158">
                  <c:v>84.1</c:v>
                </c:pt>
                <c:pt idx="1159">
                  <c:v>84</c:v>
                </c:pt>
                <c:pt idx="1160">
                  <c:v>83.9</c:v>
                </c:pt>
                <c:pt idx="1161">
                  <c:v>83.7</c:v>
                </c:pt>
                <c:pt idx="1162">
                  <c:v>83.6</c:v>
                </c:pt>
                <c:pt idx="1163">
                  <c:v>83.4</c:v>
                </c:pt>
                <c:pt idx="1164">
                  <c:v>83.3</c:v>
                </c:pt>
                <c:pt idx="1165">
                  <c:v>83.1</c:v>
                </c:pt>
                <c:pt idx="1166">
                  <c:v>83</c:v>
                </c:pt>
                <c:pt idx="1167">
                  <c:v>82.8</c:v>
                </c:pt>
                <c:pt idx="1168">
                  <c:v>82.7</c:v>
                </c:pt>
                <c:pt idx="1169">
                  <c:v>82.5</c:v>
                </c:pt>
                <c:pt idx="1170">
                  <c:v>82.4</c:v>
                </c:pt>
                <c:pt idx="1171">
                  <c:v>82.2</c:v>
                </c:pt>
                <c:pt idx="1172">
                  <c:v>82</c:v>
                </c:pt>
                <c:pt idx="1173">
                  <c:v>81.900000000000006</c:v>
                </c:pt>
                <c:pt idx="1174">
                  <c:v>81.7</c:v>
                </c:pt>
                <c:pt idx="1175">
                  <c:v>81.5</c:v>
                </c:pt>
                <c:pt idx="1176">
                  <c:v>81.400000000000006</c:v>
                </c:pt>
                <c:pt idx="1177">
                  <c:v>81.2</c:v>
                </c:pt>
                <c:pt idx="1178">
                  <c:v>81</c:v>
                </c:pt>
                <c:pt idx="1179">
                  <c:v>80.8</c:v>
                </c:pt>
                <c:pt idx="1180">
                  <c:v>80.7</c:v>
                </c:pt>
                <c:pt idx="1181">
                  <c:v>80.5</c:v>
                </c:pt>
                <c:pt idx="1182">
                  <c:v>80.3</c:v>
                </c:pt>
                <c:pt idx="1183">
                  <c:v>80.099999999999994</c:v>
                </c:pt>
                <c:pt idx="1184">
                  <c:v>79.900000000000006</c:v>
                </c:pt>
                <c:pt idx="1185">
                  <c:v>79.7</c:v>
                </c:pt>
                <c:pt idx="1186">
                  <c:v>79.599999999999994</c:v>
                </c:pt>
                <c:pt idx="1187">
                  <c:v>79.400000000000006</c:v>
                </c:pt>
                <c:pt idx="1188">
                  <c:v>79.2</c:v>
                </c:pt>
                <c:pt idx="1189">
                  <c:v>79</c:v>
                </c:pt>
                <c:pt idx="1190">
                  <c:v>78.8</c:v>
                </c:pt>
                <c:pt idx="1191">
                  <c:v>78.599999999999994</c:v>
                </c:pt>
                <c:pt idx="1192">
                  <c:v>78.400000000000006</c:v>
                </c:pt>
                <c:pt idx="1193">
                  <c:v>78.2</c:v>
                </c:pt>
                <c:pt idx="1194">
                  <c:v>77.900000000000006</c:v>
                </c:pt>
                <c:pt idx="1195">
                  <c:v>77.7</c:v>
                </c:pt>
                <c:pt idx="1196">
                  <c:v>77.5</c:v>
                </c:pt>
                <c:pt idx="1197">
                  <c:v>77.3</c:v>
                </c:pt>
                <c:pt idx="1198">
                  <c:v>77.099999999999994</c:v>
                </c:pt>
                <c:pt idx="1199">
                  <c:v>76.900000000000006</c:v>
                </c:pt>
                <c:pt idx="1200">
                  <c:v>76.599999999999994</c:v>
                </c:pt>
                <c:pt idx="1201">
                  <c:v>76.400000000000006</c:v>
                </c:pt>
                <c:pt idx="1202">
                  <c:v>76.2</c:v>
                </c:pt>
                <c:pt idx="1203">
                  <c:v>76</c:v>
                </c:pt>
                <c:pt idx="1204">
                  <c:v>75.7</c:v>
                </c:pt>
                <c:pt idx="1205">
                  <c:v>75.5</c:v>
                </c:pt>
                <c:pt idx="1206">
                  <c:v>75.2</c:v>
                </c:pt>
                <c:pt idx="1207">
                  <c:v>75</c:v>
                </c:pt>
                <c:pt idx="1208">
                  <c:v>74.8</c:v>
                </c:pt>
                <c:pt idx="1209">
                  <c:v>74.5</c:v>
                </c:pt>
                <c:pt idx="1210">
                  <c:v>74.3</c:v>
                </c:pt>
                <c:pt idx="1211">
                  <c:v>74</c:v>
                </c:pt>
                <c:pt idx="1212">
                  <c:v>73.7</c:v>
                </c:pt>
                <c:pt idx="1213">
                  <c:v>73.5</c:v>
                </c:pt>
                <c:pt idx="1214">
                  <c:v>73.2</c:v>
                </c:pt>
                <c:pt idx="1215">
                  <c:v>73</c:v>
                </c:pt>
                <c:pt idx="1216">
                  <c:v>72.7</c:v>
                </c:pt>
                <c:pt idx="1217">
                  <c:v>72.400000000000006</c:v>
                </c:pt>
                <c:pt idx="1218">
                  <c:v>72.099999999999994</c:v>
                </c:pt>
                <c:pt idx="1219">
                  <c:v>71.900000000000006</c:v>
                </c:pt>
                <c:pt idx="1220">
                  <c:v>71.599999999999994</c:v>
                </c:pt>
                <c:pt idx="1221">
                  <c:v>71.3</c:v>
                </c:pt>
                <c:pt idx="1222">
                  <c:v>71</c:v>
                </c:pt>
                <c:pt idx="1223">
                  <c:v>70.7</c:v>
                </c:pt>
                <c:pt idx="1224">
                  <c:v>70.400000000000006</c:v>
                </c:pt>
                <c:pt idx="1225">
                  <c:v>70.099999999999994</c:v>
                </c:pt>
                <c:pt idx="1226">
                  <c:v>70.2</c:v>
                </c:pt>
                <c:pt idx="1227">
                  <c:v>70.599999999999994</c:v>
                </c:pt>
                <c:pt idx="1228">
                  <c:v>71</c:v>
                </c:pt>
                <c:pt idx="1229">
                  <c:v>71.3</c:v>
                </c:pt>
                <c:pt idx="1230">
                  <c:v>71.599999999999994</c:v>
                </c:pt>
                <c:pt idx="1231">
                  <c:v>71.900000000000006</c:v>
                </c:pt>
                <c:pt idx="1232">
                  <c:v>72.2</c:v>
                </c:pt>
                <c:pt idx="1233">
                  <c:v>72.400000000000006</c:v>
                </c:pt>
                <c:pt idx="1234">
                  <c:v>72.599999999999994</c:v>
                </c:pt>
                <c:pt idx="1235">
                  <c:v>72.8</c:v>
                </c:pt>
                <c:pt idx="1236">
                  <c:v>73</c:v>
                </c:pt>
                <c:pt idx="1237">
                  <c:v>73.2</c:v>
                </c:pt>
                <c:pt idx="1238">
                  <c:v>73.3</c:v>
                </c:pt>
                <c:pt idx="1239">
                  <c:v>73.5</c:v>
                </c:pt>
                <c:pt idx="1240">
                  <c:v>73.599999999999994</c:v>
                </c:pt>
                <c:pt idx="1241">
                  <c:v>73.7</c:v>
                </c:pt>
                <c:pt idx="1242">
                  <c:v>73.8</c:v>
                </c:pt>
                <c:pt idx="1243">
                  <c:v>73.900000000000006</c:v>
                </c:pt>
                <c:pt idx="1244">
                  <c:v>74</c:v>
                </c:pt>
                <c:pt idx="1245">
                  <c:v>74.099999999999994</c:v>
                </c:pt>
                <c:pt idx="1246">
                  <c:v>74.2</c:v>
                </c:pt>
                <c:pt idx="1247">
                  <c:v>74.2</c:v>
                </c:pt>
                <c:pt idx="1248">
                  <c:v>74.3</c:v>
                </c:pt>
                <c:pt idx="1249">
                  <c:v>74.400000000000006</c:v>
                </c:pt>
                <c:pt idx="1250">
                  <c:v>74.400000000000006</c:v>
                </c:pt>
                <c:pt idx="1251">
                  <c:v>74.400000000000006</c:v>
                </c:pt>
                <c:pt idx="1252">
                  <c:v>74.5</c:v>
                </c:pt>
                <c:pt idx="1253">
                  <c:v>74.5</c:v>
                </c:pt>
                <c:pt idx="1254">
                  <c:v>74.599999999999994</c:v>
                </c:pt>
                <c:pt idx="1255">
                  <c:v>74.599999999999994</c:v>
                </c:pt>
                <c:pt idx="1256">
                  <c:v>74.599999999999994</c:v>
                </c:pt>
                <c:pt idx="1257">
                  <c:v>74.599999999999994</c:v>
                </c:pt>
                <c:pt idx="1258">
                  <c:v>74.7</c:v>
                </c:pt>
                <c:pt idx="1259">
                  <c:v>74.7</c:v>
                </c:pt>
                <c:pt idx="1260">
                  <c:v>74.7</c:v>
                </c:pt>
                <c:pt idx="1261">
                  <c:v>74.7</c:v>
                </c:pt>
                <c:pt idx="1262">
                  <c:v>74.7</c:v>
                </c:pt>
                <c:pt idx="1263">
                  <c:v>74.8</c:v>
                </c:pt>
                <c:pt idx="1264">
                  <c:v>74.8</c:v>
                </c:pt>
                <c:pt idx="1265">
                  <c:v>74.8</c:v>
                </c:pt>
                <c:pt idx="1266">
                  <c:v>74.8</c:v>
                </c:pt>
                <c:pt idx="1267">
                  <c:v>74.8</c:v>
                </c:pt>
                <c:pt idx="1268">
                  <c:v>74.8</c:v>
                </c:pt>
                <c:pt idx="1269">
                  <c:v>74.8</c:v>
                </c:pt>
                <c:pt idx="1270">
                  <c:v>74.8</c:v>
                </c:pt>
                <c:pt idx="1271">
                  <c:v>74.8</c:v>
                </c:pt>
                <c:pt idx="1272">
                  <c:v>74.900000000000006</c:v>
                </c:pt>
                <c:pt idx="1273">
                  <c:v>74.900000000000006</c:v>
                </c:pt>
                <c:pt idx="1274">
                  <c:v>74.900000000000006</c:v>
                </c:pt>
                <c:pt idx="1275">
                  <c:v>74.900000000000006</c:v>
                </c:pt>
                <c:pt idx="1276">
                  <c:v>74.900000000000006</c:v>
                </c:pt>
                <c:pt idx="1277">
                  <c:v>74.900000000000006</c:v>
                </c:pt>
                <c:pt idx="1278">
                  <c:v>74.900000000000006</c:v>
                </c:pt>
                <c:pt idx="1279">
                  <c:v>74.900000000000006</c:v>
                </c:pt>
                <c:pt idx="1280">
                  <c:v>74.900000000000006</c:v>
                </c:pt>
                <c:pt idx="1281">
                  <c:v>74.900000000000006</c:v>
                </c:pt>
                <c:pt idx="1282">
                  <c:v>74.900000000000006</c:v>
                </c:pt>
                <c:pt idx="1283">
                  <c:v>74.900000000000006</c:v>
                </c:pt>
                <c:pt idx="1284">
                  <c:v>74.900000000000006</c:v>
                </c:pt>
                <c:pt idx="1285">
                  <c:v>74.900000000000006</c:v>
                </c:pt>
                <c:pt idx="1286">
                  <c:v>74.900000000000006</c:v>
                </c:pt>
                <c:pt idx="1287">
                  <c:v>74.900000000000006</c:v>
                </c:pt>
                <c:pt idx="1288">
                  <c:v>74.900000000000006</c:v>
                </c:pt>
                <c:pt idx="1289">
                  <c:v>74.900000000000006</c:v>
                </c:pt>
                <c:pt idx="1290">
                  <c:v>74.900000000000006</c:v>
                </c:pt>
                <c:pt idx="1291">
                  <c:v>74.900000000000006</c:v>
                </c:pt>
                <c:pt idx="1292">
                  <c:v>74.900000000000006</c:v>
                </c:pt>
                <c:pt idx="1293">
                  <c:v>74.900000000000006</c:v>
                </c:pt>
                <c:pt idx="1294">
                  <c:v>74.900000000000006</c:v>
                </c:pt>
                <c:pt idx="1295">
                  <c:v>74.900000000000006</c:v>
                </c:pt>
                <c:pt idx="1296">
                  <c:v>74.900000000000006</c:v>
                </c:pt>
                <c:pt idx="1297">
                  <c:v>74.900000000000006</c:v>
                </c:pt>
                <c:pt idx="1298">
                  <c:v>74.900000000000006</c:v>
                </c:pt>
                <c:pt idx="1299">
                  <c:v>74.900000000000006</c:v>
                </c:pt>
                <c:pt idx="1300">
                  <c:v>74.900000000000006</c:v>
                </c:pt>
                <c:pt idx="1301">
                  <c:v>74.900000000000006</c:v>
                </c:pt>
                <c:pt idx="1302">
                  <c:v>74.900000000000006</c:v>
                </c:pt>
                <c:pt idx="1303">
                  <c:v>74.900000000000006</c:v>
                </c:pt>
                <c:pt idx="1304">
                  <c:v>74.900000000000006</c:v>
                </c:pt>
                <c:pt idx="1305">
                  <c:v>74.900000000000006</c:v>
                </c:pt>
                <c:pt idx="1306">
                  <c:v>74.900000000000006</c:v>
                </c:pt>
                <c:pt idx="1307">
                  <c:v>74.900000000000006</c:v>
                </c:pt>
                <c:pt idx="1308">
                  <c:v>74.900000000000006</c:v>
                </c:pt>
                <c:pt idx="1309">
                  <c:v>74.900000000000006</c:v>
                </c:pt>
                <c:pt idx="1310">
                  <c:v>74.900000000000006</c:v>
                </c:pt>
                <c:pt idx="1311">
                  <c:v>74.900000000000006</c:v>
                </c:pt>
                <c:pt idx="1312">
                  <c:v>74.900000000000006</c:v>
                </c:pt>
                <c:pt idx="1313">
                  <c:v>74.900000000000006</c:v>
                </c:pt>
                <c:pt idx="1314">
                  <c:v>74.900000000000006</c:v>
                </c:pt>
                <c:pt idx="1315">
                  <c:v>74.900000000000006</c:v>
                </c:pt>
                <c:pt idx="1316">
                  <c:v>74.900000000000006</c:v>
                </c:pt>
                <c:pt idx="1317">
                  <c:v>74.900000000000006</c:v>
                </c:pt>
                <c:pt idx="1318">
                  <c:v>74.900000000000006</c:v>
                </c:pt>
                <c:pt idx="1319">
                  <c:v>74.900000000000006</c:v>
                </c:pt>
                <c:pt idx="1320">
                  <c:v>74.900000000000006</c:v>
                </c:pt>
                <c:pt idx="1321">
                  <c:v>74.900000000000006</c:v>
                </c:pt>
                <c:pt idx="1322">
                  <c:v>74.900000000000006</c:v>
                </c:pt>
                <c:pt idx="1323">
                  <c:v>74.900000000000006</c:v>
                </c:pt>
                <c:pt idx="1324">
                  <c:v>74.900000000000006</c:v>
                </c:pt>
                <c:pt idx="1325">
                  <c:v>74.900000000000006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E2-4BAE-B466-E0553DA9DAAF}"/>
            </c:ext>
          </c:extLst>
        </c:ser>
        <c:ser>
          <c:idx val="1"/>
          <c:order val="1"/>
          <c:tx>
            <c:v>Inventar [kt]</c:v>
          </c:tx>
          <c:spPr>
            <a:ln w="2412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'Zyklus &amp; Inventar'!$A$35:$A$1360</c:f>
              <c:numCache>
                <c:formatCode>General</c:formatCode>
                <c:ptCount val="13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56.79</c:v>
                </c:pt>
                <c:pt idx="285">
                  <c:v>56.99</c:v>
                </c:pt>
                <c:pt idx="286">
                  <c:v>57.19</c:v>
                </c:pt>
                <c:pt idx="287">
                  <c:v>57.39</c:v>
                </c:pt>
                <c:pt idx="288">
                  <c:v>57.59</c:v>
                </c:pt>
                <c:pt idx="289">
                  <c:v>57.79</c:v>
                </c:pt>
                <c:pt idx="290">
                  <c:v>57.99</c:v>
                </c:pt>
                <c:pt idx="291">
                  <c:v>58.19</c:v>
                </c:pt>
                <c:pt idx="292">
                  <c:v>58.39</c:v>
                </c:pt>
                <c:pt idx="293">
                  <c:v>58.59</c:v>
                </c:pt>
                <c:pt idx="294">
                  <c:v>58.79</c:v>
                </c:pt>
                <c:pt idx="295">
                  <c:v>58.99</c:v>
                </c:pt>
                <c:pt idx="296">
                  <c:v>59.19</c:v>
                </c:pt>
                <c:pt idx="297">
                  <c:v>59.39</c:v>
                </c:pt>
                <c:pt idx="298">
                  <c:v>59.59</c:v>
                </c:pt>
                <c:pt idx="299">
                  <c:v>59.79</c:v>
                </c:pt>
                <c:pt idx="300">
                  <c:v>59.99</c:v>
                </c:pt>
                <c:pt idx="301">
                  <c:v>60.19</c:v>
                </c:pt>
                <c:pt idx="302">
                  <c:v>60.39</c:v>
                </c:pt>
                <c:pt idx="303">
                  <c:v>60.59</c:v>
                </c:pt>
                <c:pt idx="304">
                  <c:v>60.79</c:v>
                </c:pt>
                <c:pt idx="305">
                  <c:v>60.99</c:v>
                </c:pt>
                <c:pt idx="306">
                  <c:v>61.19</c:v>
                </c:pt>
                <c:pt idx="307">
                  <c:v>61.39</c:v>
                </c:pt>
                <c:pt idx="308">
                  <c:v>61.59</c:v>
                </c:pt>
                <c:pt idx="309">
                  <c:v>61.79</c:v>
                </c:pt>
                <c:pt idx="310">
                  <c:v>61.99</c:v>
                </c:pt>
                <c:pt idx="311">
                  <c:v>62.19</c:v>
                </c:pt>
                <c:pt idx="312">
                  <c:v>62.39</c:v>
                </c:pt>
                <c:pt idx="313">
                  <c:v>62.59</c:v>
                </c:pt>
                <c:pt idx="314">
                  <c:v>62.79</c:v>
                </c:pt>
                <c:pt idx="315">
                  <c:v>62.99</c:v>
                </c:pt>
                <c:pt idx="316">
                  <c:v>63.19</c:v>
                </c:pt>
                <c:pt idx="317">
                  <c:v>63.39</c:v>
                </c:pt>
                <c:pt idx="318">
                  <c:v>63.59</c:v>
                </c:pt>
                <c:pt idx="319">
                  <c:v>63.79</c:v>
                </c:pt>
                <c:pt idx="320">
                  <c:v>63.99</c:v>
                </c:pt>
                <c:pt idx="321">
                  <c:v>64.19</c:v>
                </c:pt>
                <c:pt idx="322">
                  <c:v>64.39</c:v>
                </c:pt>
                <c:pt idx="323">
                  <c:v>64.59</c:v>
                </c:pt>
                <c:pt idx="324">
                  <c:v>64.790000000000006</c:v>
                </c:pt>
                <c:pt idx="325">
                  <c:v>64.989999999999995</c:v>
                </c:pt>
                <c:pt idx="326">
                  <c:v>65.19</c:v>
                </c:pt>
                <c:pt idx="327">
                  <c:v>65.39</c:v>
                </c:pt>
                <c:pt idx="328">
                  <c:v>65.59</c:v>
                </c:pt>
                <c:pt idx="329">
                  <c:v>65.790000000000006</c:v>
                </c:pt>
                <c:pt idx="330">
                  <c:v>65.989999999999995</c:v>
                </c:pt>
                <c:pt idx="331">
                  <c:v>66.19</c:v>
                </c:pt>
                <c:pt idx="332">
                  <c:v>66.39</c:v>
                </c:pt>
                <c:pt idx="333">
                  <c:v>66.59</c:v>
                </c:pt>
                <c:pt idx="334">
                  <c:v>66.790000000000006</c:v>
                </c:pt>
                <c:pt idx="335">
                  <c:v>66.989999999999995</c:v>
                </c:pt>
                <c:pt idx="336">
                  <c:v>67.19</c:v>
                </c:pt>
                <c:pt idx="337">
                  <c:v>67.39</c:v>
                </c:pt>
                <c:pt idx="338">
                  <c:v>67.59</c:v>
                </c:pt>
                <c:pt idx="339">
                  <c:v>67.790000000000006</c:v>
                </c:pt>
                <c:pt idx="340">
                  <c:v>67.989999999999995</c:v>
                </c:pt>
                <c:pt idx="341">
                  <c:v>68.19</c:v>
                </c:pt>
                <c:pt idx="342">
                  <c:v>68.39</c:v>
                </c:pt>
                <c:pt idx="343">
                  <c:v>68.59</c:v>
                </c:pt>
                <c:pt idx="344">
                  <c:v>68.790000000000006</c:v>
                </c:pt>
                <c:pt idx="345">
                  <c:v>68.989999999999995</c:v>
                </c:pt>
                <c:pt idx="346">
                  <c:v>69.19</c:v>
                </c:pt>
                <c:pt idx="347">
                  <c:v>69.39</c:v>
                </c:pt>
                <c:pt idx="348">
                  <c:v>69.59</c:v>
                </c:pt>
                <c:pt idx="349">
                  <c:v>69.790000000000006</c:v>
                </c:pt>
                <c:pt idx="350">
                  <c:v>69.989999999999995</c:v>
                </c:pt>
                <c:pt idx="351">
                  <c:v>70.19</c:v>
                </c:pt>
                <c:pt idx="352">
                  <c:v>70.39</c:v>
                </c:pt>
                <c:pt idx="353">
                  <c:v>70.59</c:v>
                </c:pt>
                <c:pt idx="354">
                  <c:v>70.790000000000006</c:v>
                </c:pt>
                <c:pt idx="355">
                  <c:v>70.989999999999995</c:v>
                </c:pt>
                <c:pt idx="356">
                  <c:v>71.19</c:v>
                </c:pt>
                <c:pt idx="357">
                  <c:v>71.39</c:v>
                </c:pt>
                <c:pt idx="358">
                  <c:v>71.59</c:v>
                </c:pt>
                <c:pt idx="359">
                  <c:v>71.790000000000006</c:v>
                </c:pt>
                <c:pt idx="360">
                  <c:v>71.989999999999995</c:v>
                </c:pt>
                <c:pt idx="361">
                  <c:v>72.19</c:v>
                </c:pt>
                <c:pt idx="362">
                  <c:v>72.39</c:v>
                </c:pt>
                <c:pt idx="363">
                  <c:v>72.59</c:v>
                </c:pt>
                <c:pt idx="364">
                  <c:v>72.790000000000006</c:v>
                </c:pt>
                <c:pt idx="365">
                  <c:v>72.989999999999995</c:v>
                </c:pt>
                <c:pt idx="366">
                  <c:v>73.19</c:v>
                </c:pt>
                <c:pt idx="367">
                  <c:v>73.39</c:v>
                </c:pt>
                <c:pt idx="368">
                  <c:v>73.59</c:v>
                </c:pt>
                <c:pt idx="369">
                  <c:v>73.790000000000006</c:v>
                </c:pt>
                <c:pt idx="370">
                  <c:v>73.989999999999995</c:v>
                </c:pt>
                <c:pt idx="371">
                  <c:v>74.19</c:v>
                </c:pt>
                <c:pt idx="372">
                  <c:v>74.39</c:v>
                </c:pt>
                <c:pt idx="373">
                  <c:v>74.59</c:v>
                </c:pt>
                <c:pt idx="374">
                  <c:v>74.790000000000006</c:v>
                </c:pt>
                <c:pt idx="375">
                  <c:v>74.989999999999995</c:v>
                </c:pt>
                <c:pt idx="376">
                  <c:v>75.19</c:v>
                </c:pt>
                <c:pt idx="377">
                  <c:v>75.39</c:v>
                </c:pt>
                <c:pt idx="378">
                  <c:v>75.59</c:v>
                </c:pt>
                <c:pt idx="379">
                  <c:v>75.790000000000006</c:v>
                </c:pt>
                <c:pt idx="380">
                  <c:v>75.989999999999995</c:v>
                </c:pt>
                <c:pt idx="381">
                  <c:v>76.19</c:v>
                </c:pt>
                <c:pt idx="382">
                  <c:v>76.39</c:v>
                </c:pt>
                <c:pt idx="383">
                  <c:v>76.59</c:v>
                </c:pt>
                <c:pt idx="384">
                  <c:v>76.790000000000006</c:v>
                </c:pt>
                <c:pt idx="385">
                  <c:v>76.989999999999995</c:v>
                </c:pt>
                <c:pt idx="386">
                  <c:v>77.19</c:v>
                </c:pt>
                <c:pt idx="387">
                  <c:v>77.39</c:v>
                </c:pt>
                <c:pt idx="388">
                  <c:v>77.59</c:v>
                </c:pt>
                <c:pt idx="389">
                  <c:v>77.790000000000006</c:v>
                </c:pt>
                <c:pt idx="390">
                  <c:v>77.989999999999995</c:v>
                </c:pt>
                <c:pt idx="391">
                  <c:v>78.19</c:v>
                </c:pt>
                <c:pt idx="392">
                  <c:v>78.39</c:v>
                </c:pt>
                <c:pt idx="393">
                  <c:v>78.58</c:v>
                </c:pt>
                <c:pt idx="394">
                  <c:v>78.78</c:v>
                </c:pt>
                <c:pt idx="395">
                  <c:v>78.98</c:v>
                </c:pt>
                <c:pt idx="396">
                  <c:v>79.180000000000007</c:v>
                </c:pt>
                <c:pt idx="397">
                  <c:v>79.38</c:v>
                </c:pt>
                <c:pt idx="398">
                  <c:v>79.58</c:v>
                </c:pt>
                <c:pt idx="399">
                  <c:v>79.78</c:v>
                </c:pt>
                <c:pt idx="400">
                  <c:v>79.98</c:v>
                </c:pt>
                <c:pt idx="401">
                  <c:v>80.180000000000007</c:v>
                </c:pt>
                <c:pt idx="402">
                  <c:v>80.38</c:v>
                </c:pt>
                <c:pt idx="403">
                  <c:v>80.58</c:v>
                </c:pt>
                <c:pt idx="404">
                  <c:v>80.78</c:v>
                </c:pt>
                <c:pt idx="405">
                  <c:v>80.98</c:v>
                </c:pt>
                <c:pt idx="406">
                  <c:v>81.180000000000007</c:v>
                </c:pt>
                <c:pt idx="407">
                  <c:v>81.38</c:v>
                </c:pt>
                <c:pt idx="408">
                  <c:v>81.58</c:v>
                </c:pt>
                <c:pt idx="409">
                  <c:v>81.78</c:v>
                </c:pt>
                <c:pt idx="410">
                  <c:v>81.98</c:v>
                </c:pt>
                <c:pt idx="411">
                  <c:v>82.18</c:v>
                </c:pt>
                <c:pt idx="412">
                  <c:v>82.38</c:v>
                </c:pt>
                <c:pt idx="413">
                  <c:v>82.58</c:v>
                </c:pt>
                <c:pt idx="414">
                  <c:v>82.78</c:v>
                </c:pt>
                <c:pt idx="415">
                  <c:v>82.98</c:v>
                </c:pt>
                <c:pt idx="416">
                  <c:v>83.18</c:v>
                </c:pt>
                <c:pt idx="417">
                  <c:v>83.38</c:v>
                </c:pt>
                <c:pt idx="418">
                  <c:v>83.58</c:v>
                </c:pt>
                <c:pt idx="419">
                  <c:v>83.78</c:v>
                </c:pt>
                <c:pt idx="420">
                  <c:v>83.98</c:v>
                </c:pt>
                <c:pt idx="421">
                  <c:v>84.18</c:v>
                </c:pt>
                <c:pt idx="422">
                  <c:v>84.38</c:v>
                </c:pt>
                <c:pt idx="423">
                  <c:v>84.58</c:v>
                </c:pt>
                <c:pt idx="424">
                  <c:v>84.78</c:v>
                </c:pt>
                <c:pt idx="425">
                  <c:v>84.98</c:v>
                </c:pt>
                <c:pt idx="426">
                  <c:v>85.18</c:v>
                </c:pt>
                <c:pt idx="427">
                  <c:v>85.38</c:v>
                </c:pt>
                <c:pt idx="428">
                  <c:v>85.58</c:v>
                </c:pt>
                <c:pt idx="429">
                  <c:v>85.78</c:v>
                </c:pt>
                <c:pt idx="430">
                  <c:v>85.98</c:v>
                </c:pt>
                <c:pt idx="431">
                  <c:v>86.18</c:v>
                </c:pt>
                <c:pt idx="432">
                  <c:v>86.38</c:v>
                </c:pt>
                <c:pt idx="433">
                  <c:v>86.58</c:v>
                </c:pt>
                <c:pt idx="434">
                  <c:v>86.78</c:v>
                </c:pt>
                <c:pt idx="435">
                  <c:v>86.98</c:v>
                </c:pt>
                <c:pt idx="436">
                  <c:v>87.18</c:v>
                </c:pt>
                <c:pt idx="437">
                  <c:v>87.38</c:v>
                </c:pt>
                <c:pt idx="438">
                  <c:v>87.58</c:v>
                </c:pt>
                <c:pt idx="439">
                  <c:v>87.78</c:v>
                </c:pt>
                <c:pt idx="440">
                  <c:v>87.98</c:v>
                </c:pt>
                <c:pt idx="441">
                  <c:v>88.18</c:v>
                </c:pt>
                <c:pt idx="442">
                  <c:v>88.38</c:v>
                </c:pt>
                <c:pt idx="443">
                  <c:v>88.58</c:v>
                </c:pt>
                <c:pt idx="444">
                  <c:v>88.78</c:v>
                </c:pt>
                <c:pt idx="445">
                  <c:v>88.98</c:v>
                </c:pt>
                <c:pt idx="446">
                  <c:v>89.18</c:v>
                </c:pt>
                <c:pt idx="447">
                  <c:v>89.38</c:v>
                </c:pt>
                <c:pt idx="448">
                  <c:v>89.58</c:v>
                </c:pt>
                <c:pt idx="449">
                  <c:v>89.78</c:v>
                </c:pt>
                <c:pt idx="450">
                  <c:v>89.98</c:v>
                </c:pt>
                <c:pt idx="451">
                  <c:v>90.18</c:v>
                </c:pt>
                <c:pt idx="452">
                  <c:v>90.38</c:v>
                </c:pt>
                <c:pt idx="453">
                  <c:v>90.58</c:v>
                </c:pt>
                <c:pt idx="454">
                  <c:v>90.78</c:v>
                </c:pt>
                <c:pt idx="455">
                  <c:v>90.98</c:v>
                </c:pt>
                <c:pt idx="456">
                  <c:v>91.18</c:v>
                </c:pt>
                <c:pt idx="457">
                  <c:v>91.38</c:v>
                </c:pt>
                <c:pt idx="458">
                  <c:v>91.58</c:v>
                </c:pt>
                <c:pt idx="459">
                  <c:v>91.78</c:v>
                </c:pt>
                <c:pt idx="460">
                  <c:v>91.98</c:v>
                </c:pt>
                <c:pt idx="461">
                  <c:v>92.18</c:v>
                </c:pt>
                <c:pt idx="462">
                  <c:v>92.38</c:v>
                </c:pt>
                <c:pt idx="463">
                  <c:v>92.58</c:v>
                </c:pt>
                <c:pt idx="464">
                  <c:v>92.78</c:v>
                </c:pt>
                <c:pt idx="465">
                  <c:v>92.98</c:v>
                </c:pt>
                <c:pt idx="466">
                  <c:v>93.18</c:v>
                </c:pt>
                <c:pt idx="467">
                  <c:v>93.38</c:v>
                </c:pt>
                <c:pt idx="468">
                  <c:v>93.58</c:v>
                </c:pt>
                <c:pt idx="469">
                  <c:v>93.78</c:v>
                </c:pt>
                <c:pt idx="470">
                  <c:v>93.98</c:v>
                </c:pt>
                <c:pt idx="471">
                  <c:v>94.18</c:v>
                </c:pt>
                <c:pt idx="472">
                  <c:v>94.38</c:v>
                </c:pt>
                <c:pt idx="473">
                  <c:v>94.58</c:v>
                </c:pt>
                <c:pt idx="474">
                  <c:v>94.78</c:v>
                </c:pt>
                <c:pt idx="475">
                  <c:v>94.98</c:v>
                </c:pt>
                <c:pt idx="476">
                  <c:v>95.18</c:v>
                </c:pt>
                <c:pt idx="477">
                  <c:v>95.38</c:v>
                </c:pt>
                <c:pt idx="478">
                  <c:v>95.58</c:v>
                </c:pt>
                <c:pt idx="479">
                  <c:v>95.78</c:v>
                </c:pt>
                <c:pt idx="480">
                  <c:v>95.98</c:v>
                </c:pt>
                <c:pt idx="481">
                  <c:v>96.18</c:v>
                </c:pt>
                <c:pt idx="482">
                  <c:v>96.38</c:v>
                </c:pt>
                <c:pt idx="483">
                  <c:v>96.58</c:v>
                </c:pt>
                <c:pt idx="484">
                  <c:v>96.78</c:v>
                </c:pt>
                <c:pt idx="485">
                  <c:v>96.98</c:v>
                </c:pt>
                <c:pt idx="486">
                  <c:v>97.18</c:v>
                </c:pt>
                <c:pt idx="487">
                  <c:v>97.38</c:v>
                </c:pt>
                <c:pt idx="488">
                  <c:v>97.58</c:v>
                </c:pt>
                <c:pt idx="489">
                  <c:v>97.78</c:v>
                </c:pt>
                <c:pt idx="490">
                  <c:v>97.98</c:v>
                </c:pt>
                <c:pt idx="491">
                  <c:v>98.18</c:v>
                </c:pt>
                <c:pt idx="492">
                  <c:v>98.38</c:v>
                </c:pt>
                <c:pt idx="493">
                  <c:v>98.58</c:v>
                </c:pt>
                <c:pt idx="494">
                  <c:v>98.78</c:v>
                </c:pt>
                <c:pt idx="495">
                  <c:v>98.98</c:v>
                </c:pt>
                <c:pt idx="496">
                  <c:v>99.18</c:v>
                </c:pt>
                <c:pt idx="497">
                  <c:v>99.38</c:v>
                </c:pt>
                <c:pt idx="498">
                  <c:v>99.58</c:v>
                </c:pt>
                <c:pt idx="499">
                  <c:v>99.78</c:v>
                </c:pt>
                <c:pt idx="500">
                  <c:v>99.98</c:v>
                </c:pt>
                <c:pt idx="501">
                  <c:v>100.18</c:v>
                </c:pt>
                <c:pt idx="502">
                  <c:v>100.38</c:v>
                </c:pt>
                <c:pt idx="503">
                  <c:v>100.58</c:v>
                </c:pt>
                <c:pt idx="504">
                  <c:v>100.78</c:v>
                </c:pt>
                <c:pt idx="505">
                  <c:v>100.98</c:v>
                </c:pt>
                <c:pt idx="506">
                  <c:v>101.18</c:v>
                </c:pt>
                <c:pt idx="507">
                  <c:v>101.38</c:v>
                </c:pt>
                <c:pt idx="508">
                  <c:v>101.58</c:v>
                </c:pt>
                <c:pt idx="509">
                  <c:v>101.78</c:v>
                </c:pt>
                <c:pt idx="510">
                  <c:v>101.98</c:v>
                </c:pt>
                <c:pt idx="511">
                  <c:v>102.18</c:v>
                </c:pt>
                <c:pt idx="512">
                  <c:v>102.38</c:v>
                </c:pt>
                <c:pt idx="513">
                  <c:v>102.58</c:v>
                </c:pt>
                <c:pt idx="514">
                  <c:v>102.78</c:v>
                </c:pt>
                <c:pt idx="515">
                  <c:v>102.98</c:v>
                </c:pt>
                <c:pt idx="516">
                  <c:v>103.18</c:v>
                </c:pt>
                <c:pt idx="517">
                  <c:v>103.38</c:v>
                </c:pt>
                <c:pt idx="518">
                  <c:v>103.58</c:v>
                </c:pt>
                <c:pt idx="519">
                  <c:v>103.78</c:v>
                </c:pt>
                <c:pt idx="520">
                  <c:v>103.98</c:v>
                </c:pt>
                <c:pt idx="521">
                  <c:v>104.18</c:v>
                </c:pt>
                <c:pt idx="522">
                  <c:v>104.38</c:v>
                </c:pt>
                <c:pt idx="523">
                  <c:v>104.58</c:v>
                </c:pt>
                <c:pt idx="524">
                  <c:v>104.78</c:v>
                </c:pt>
                <c:pt idx="525">
                  <c:v>104.98</c:v>
                </c:pt>
                <c:pt idx="526">
                  <c:v>105.18</c:v>
                </c:pt>
                <c:pt idx="527">
                  <c:v>105.38</c:v>
                </c:pt>
                <c:pt idx="528">
                  <c:v>105.58</c:v>
                </c:pt>
                <c:pt idx="529">
                  <c:v>105.78</c:v>
                </c:pt>
                <c:pt idx="530">
                  <c:v>105.98</c:v>
                </c:pt>
                <c:pt idx="531">
                  <c:v>106.18</c:v>
                </c:pt>
                <c:pt idx="532">
                  <c:v>106.38</c:v>
                </c:pt>
                <c:pt idx="533">
                  <c:v>106.58</c:v>
                </c:pt>
                <c:pt idx="534">
                  <c:v>106.78</c:v>
                </c:pt>
                <c:pt idx="535">
                  <c:v>106.98</c:v>
                </c:pt>
                <c:pt idx="536">
                  <c:v>107.18</c:v>
                </c:pt>
                <c:pt idx="537">
                  <c:v>107.38</c:v>
                </c:pt>
                <c:pt idx="538">
                  <c:v>107.58</c:v>
                </c:pt>
                <c:pt idx="539">
                  <c:v>107.78</c:v>
                </c:pt>
                <c:pt idx="540">
                  <c:v>107.98</c:v>
                </c:pt>
                <c:pt idx="541">
                  <c:v>108.18</c:v>
                </c:pt>
                <c:pt idx="542">
                  <c:v>108.38</c:v>
                </c:pt>
                <c:pt idx="543">
                  <c:v>108.58</c:v>
                </c:pt>
                <c:pt idx="544">
                  <c:v>108.78</c:v>
                </c:pt>
                <c:pt idx="545">
                  <c:v>108.98</c:v>
                </c:pt>
                <c:pt idx="546">
                  <c:v>109.18</c:v>
                </c:pt>
                <c:pt idx="547">
                  <c:v>109.38</c:v>
                </c:pt>
                <c:pt idx="548">
                  <c:v>109.58</c:v>
                </c:pt>
                <c:pt idx="549">
                  <c:v>109.78</c:v>
                </c:pt>
                <c:pt idx="550">
                  <c:v>109.98</c:v>
                </c:pt>
                <c:pt idx="551">
                  <c:v>110.18</c:v>
                </c:pt>
                <c:pt idx="552">
                  <c:v>110.38</c:v>
                </c:pt>
                <c:pt idx="553">
                  <c:v>110.58</c:v>
                </c:pt>
                <c:pt idx="554">
                  <c:v>110.78</c:v>
                </c:pt>
                <c:pt idx="555">
                  <c:v>110.98</c:v>
                </c:pt>
                <c:pt idx="556">
                  <c:v>111.18</c:v>
                </c:pt>
                <c:pt idx="557">
                  <c:v>111.38</c:v>
                </c:pt>
                <c:pt idx="558">
                  <c:v>111.58</c:v>
                </c:pt>
                <c:pt idx="559">
                  <c:v>111.78</c:v>
                </c:pt>
                <c:pt idx="560">
                  <c:v>111.98</c:v>
                </c:pt>
                <c:pt idx="561">
                  <c:v>112.18</c:v>
                </c:pt>
                <c:pt idx="562">
                  <c:v>112.38</c:v>
                </c:pt>
                <c:pt idx="563">
                  <c:v>112.58</c:v>
                </c:pt>
                <c:pt idx="564">
                  <c:v>112.78</c:v>
                </c:pt>
                <c:pt idx="565">
                  <c:v>112.98</c:v>
                </c:pt>
                <c:pt idx="566">
                  <c:v>113.18</c:v>
                </c:pt>
                <c:pt idx="567">
                  <c:v>113.38</c:v>
                </c:pt>
                <c:pt idx="568">
                  <c:v>113.58</c:v>
                </c:pt>
                <c:pt idx="569">
                  <c:v>113.78</c:v>
                </c:pt>
                <c:pt idx="570">
                  <c:v>113.98</c:v>
                </c:pt>
                <c:pt idx="571">
                  <c:v>114.18</c:v>
                </c:pt>
                <c:pt idx="572">
                  <c:v>114.38</c:v>
                </c:pt>
                <c:pt idx="573">
                  <c:v>114.58</c:v>
                </c:pt>
                <c:pt idx="574">
                  <c:v>114.78</c:v>
                </c:pt>
                <c:pt idx="575">
                  <c:v>114.98</c:v>
                </c:pt>
                <c:pt idx="576">
                  <c:v>115.18</c:v>
                </c:pt>
                <c:pt idx="577">
                  <c:v>115.38</c:v>
                </c:pt>
                <c:pt idx="578">
                  <c:v>115.58</c:v>
                </c:pt>
                <c:pt idx="579">
                  <c:v>115.78</c:v>
                </c:pt>
                <c:pt idx="580">
                  <c:v>115.98</c:v>
                </c:pt>
                <c:pt idx="581">
                  <c:v>116.18</c:v>
                </c:pt>
                <c:pt idx="582">
                  <c:v>116.38</c:v>
                </c:pt>
                <c:pt idx="583">
                  <c:v>116.58</c:v>
                </c:pt>
                <c:pt idx="584">
                  <c:v>116.78</c:v>
                </c:pt>
                <c:pt idx="585">
                  <c:v>116.98</c:v>
                </c:pt>
                <c:pt idx="586">
                  <c:v>117.18</c:v>
                </c:pt>
                <c:pt idx="587">
                  <c:v>117.38</c:v>
                </c:pt>
                <c:pt idx="588">
                  <c:v>117.58</c:v>
                </c:pt>
                <c:pt idx="589">
                  <c:v>117.78</c:v>
                </c:pt>
                <c:pt idx="590">
                  <c:v>117.98</c:v>
                </c:pt>
                <c:pt idx="591">
                  <c:v>118.18</c:v>
                </c:pt>
                <c:pt idx="592">
                  <c:v>118.38</c:v>
                </c:pt>
                <c:pt idx="593">
                  <c:v>118.58</c:v>
                </c:pt>
                <c:pt idx="594">
                  <c:v>118.78</c:v>
                </c:pt>
                <c:pt idx="595">
                  <c:v>118.98</c:v>
                </c:pt>
                <c:pt idx="596">
                  <c:v>119.18</c:v>
                </c:pt>
                <c:pt idx="597">
                  <c:v>119.38</c:v>
                </c:pt>
                <c:pt idx="598">
                  <c:v>119.58</c:v>
                </c:pt>
                <c:pt idx="599">
                  <c:v>119.78</c:v>
                </c:pt>
                <c:pt idx="600">
                  <c:v>119.98</c:v>
                </c:pt>
                <c:pt idx="601">
                  <c:v>120.18</c:v>
                </c:pt>
                <c:pt idx="602">
                  <c:v>120.38</c:v>
                </c:pt>
                <c:pt idx="603">
                  <c:v>120.58</c:v>
                </c:pt>
                <c:pt idx="604">
                  <c:v>120.78</c:v>
                </c:pt>
                <c:pt idx="605">
                  <c:v>120.98</c:v>
                </c:pt>
                <c:pt idx="606">
                  <c:v>121.18</c:v>
                </c:pt>
                <c:pt idx="607">
                  <c:v>121.38</c:v>
                </c:pt>
                <c:pt idx="608">
                  <c:v>121.58</c:v>
                </c:pt>
                <c:pt idx="609">
                  <c:v>121.78</c:v>
                </c:pt>
                <c:pt idx="610">
                  <c:v>121.98</c:v>
                </c:pt>
                <c:pt idx="611">
                  <c:v>122.18</c:v>
                </c:pt>
                <c:pt idx="612">
                  <c:v>122.38</c:v>
                </c:pt>
                <c:pt idx="613">
                  <c:v>122.58</c:v>
                </c:pt>
                <c:pt idx="614">
                  <c:v>122.78</c:v>
                </c:pt>
                <c:pt idx="615">
                  <c:v>122.98</c:v>
                </c:pt>
                <c:pt idx="616">
                  <c:v>123.18</c:v>
                </c:pt>
                <c:pt idx="617">
                  <c:v>123.38</c:v>
                </c:pt>
                <c:pt idx="618">
                  <c:v>123.58</c:v>
                </c:pt>
                <c:pt idx="619">
                  <c:v>123.78</c:v>
                </c:pt>
                <c:pt idx="620">
                  <c:v>123.98</c:v>
                </c:pt>
                <c:pt idx="621">
                  <c:v>124.18</c:v>
                </c:pt>
                <c:pt idx="622">
                  <c:v>124.38</c:v>
                </c:pt>
                <c:pt idx="623">
                  <c:v>124.58</c:v>
                </c:pt>
                <c:pt idx="624">
                  <c:v>124.78</c:v>
                </c:pt>
                <c:pt idx="625">
                  <c:v>124.98</c:v>
                </c:pt>
                <c:pt idx="626">
                  <c:v>125.18</c:v>
                </c:pt>
                <c:pt idx="627">
                  <c:v>125.38</c:v>
                </c:pt>
                <c:pt idx="628">
                  <c:v>125.58</c:v>
                </c:pt>
                <c:pt idx="629">
                  <c:v>125.78</c:v>
                </c:pt>
                <c:pt idx="630">
                  <c:v>125.98</c:v>
                </c:pt>
                <c:pt idx="631">
                  <c:v>126.18</c:v>
                </c:pt>
                <c:pt idx="632">
                  <c:v>126.38</c:v>
                </c:pt>
                <c:pt idx="633">
                  <c:v>126.58</c:v>
                </c:pt>
                <c:pt idx="634">
                  <c:v>126.78</c:v>
                </c:pt>
                <c:pt idx="635">
                  <c:v>126.98</c:v>
                </c:pt>
                <c:pt idx="636">
                  <c:v>127.18</c:v>
                </c:pt>
                <c:pt idx="637">
                  <c:v>127.38</c:v>
                </c:pt>
                <c:pt idx="638">
                  <c:v>127.58</c:v>
                </c:pt>
                <c:pt idx="639">
                  <c:v>127.78</c:v>
                </c:pt>
                <c:pt idx="640">
                  <c:v>127.98</c:v>
                </c:pt>
                <c:pt idx="641">
                  <c:v>128.18</c:v>
                </c:pt>
                <c:pt idx="642">
                  <c:v>128.38</c:v>
                </c:pt>
                <c:pt idx="643">
                  <c:v>128.58000000000001</c:v>
                </c:pt>
                <c:pt idx="644">
                  <c:v>128.78</c:v>
                </c:pt>
                <c:pt idx="645">
                  <c:v>128.97999999999999</c:v>
                </c:pt>
                <c:pt idx="646">
                  <c:v>129.18</c:v>
                </c:pt>
                <c:pt idx="647">
                  <c:v>129.38</c:v>
                </c:pt>
                <c:pt idx="648">
                  <c:v>129.58000000000001</c:v>
                </c:pt>
                <c:pt idx="649">
                  <c:v>129.78</c:v>
                </c:pt>
                <c:pt idx="650">
                  <c:v>129.97999999999999</c:v>
                </c:pt>
                <c:pt idx="651">
                  <c:v>130.18</c:v>
                </c:pt>
                <c:pt idx="652">
                  <c:v>130.38</c:v>
                </c:pt>
                <c:pt idx="653">
                  <c:v>130.58000000000001</c:v>
                </c:pt>
                <c:pt idx="654">
                  <c:v>130.78</c:v>
                </c:pt>
                <c:pt idx="655">
                  <c:v>130.97999999999999</c:v>
                </c:pt>
                <c:pt idx="656">
                  <c:v>131.18</c:v>
                </c:pt>
                <c:pt idx="657">
                  <c:v>131.38</c:v>
                </c:pt>
                <c:pt idx="658">
                  <c:v>131.58000000000001</c:v>
                </c:pt>
                <c:pt idx="659">
                  <c:v>131.78</c:v>
                </c:pt>
                <c:pt idx="660">
                  <c:v>131.97999999999999</c:v>
                </c:pt>
                <c:pt idx="661">
                  <c:v>132.18</c:v>
                </c:pt>
                <c:pt idx="662">
                  <c:v>132.38</c:v>
                </c:pt>
                <c:pt idx="663">
                  <c:v>132.58000000000001</c:v>
                </c:pt>
                <c:pt idx="664">
                  <c:v>132.78</c:v>
                </c:pt>
                <c:pt idx="665">
                  <c:v>132.97999999999999</c:v>
                </c:pt>
                <c:pt idx="666">
                  <c:v>133.18</c:v>
                </c:pt>
                <c:pt idx="667">
                  <c:v>133.38</c:v>
                </c:pt>
                <c:pt idx="668">
                  <c:v>133.58000000000001</c:v>
                </c:pt>
                <c:pt idx="669">
                  <c:v>133.78</c:v>
                </c:pt>
                <c:pt idx="670">
                  <c:v>133.97999999999999</c:v>
                </c:pt>
                <c:pt idx="671">
                  <c:v>134.18</c:v>
                </c:pt>
                <c:pt idx="672">
                  <c:v>134.38</c:v>
                </c:pt>
                <c:pt idx="673">
                  <c:v>134.58000000000001</c:v>
                </c:pt>
                <c:pt idx="674">
                  <c:v>134.78</c:v>
                </c:pt>
                <c:pt idx="675">
                  <c:v>134.97999999999999</c:v>
                </c:pt>
                <c:pt idx="676">
                  <c:v>135.18</c:v>
                </c:pt>
                <c:pt idx="677">
                  <c:v>135.38</c:v>
                </c:pt>
                <c:pt idx="678">
                  <c:v>135.58000000000001</c:v>
                </c:pt>
                <c:pt idx="679">
                  <c:v>135.78</c:v>
                </c:pt>
                <c:pt idx="680">
                  <c:v>135.97999999999999</c:v>
                </c:pt>
                <c:pt idx="681">
                  <c:v>136.18</c:v>
                </c:pt>
                <c:pt idx="682">
                  <c:v>136.38</c:v>
                </c:pt>
                <c:pt idx="683">
                  <c:v>136.58000000000001</c:v>
                </c:pt>
                <c:pt idx="684">
                  <c:v>136.78</c:v>
                </c:pt>
                <c:pt idx="685">
                  <c:v>136.97999999999999</c:v>
                </c:pt>
                <c:pt idx="686">
                  <c:v>137.18</c:v>
                </c:pt>
                <c:pt idx="687">
                  <c:v>137.38</c:v>
                </c:pt>
                <c:pt idx="688">
                  <c:v>137.58000000000001</c:v>
                </c:pt>
                <c:pt idx="689">
                  <c:v>137.78</c:v>
                </c:pt>
                <c:pt idx="690">
                  <c:v>137.97999999999999</c:v>
                </c:pt>
                <c:pt idx="691">
                  <c:v>138.18</c:v>
                </c:pt>
                <c:pt idx="692">
                  <c:v>138.38</c:v>
                </c:pt>
                <c:pt idx="693">
                  <c:v>138.58000000000001</c:v>
                </c:pt>
                <c:pt idx="694">
                  <c:v>138.78</c:v>
                </c:pt>
                <c:pt idx="695">
                  <c:v>138.97999999999999</c:v>
                </c:pt>
                <c:pt idx="696">
                  <c:v>139.18</c:v>
                </c:pt>
                <c:pt idx="697">
                  <c:v>139.38</c:v>
                </c:pt>
                <c:pt idx="698">
                  <c:v>139.58000000000001</c:v>
                </c:pt>
                <c:pt idx="699">
                  <c:v>139.78</c:v>
                </c:pt>
                <c:pt idx="700">
                  <c:v>139.97999999999999</c:v>
                </c:pt>
                <c:pt idx="701">
                  <c:v>140.18</c:v>
                </c:pt>
                <c:pt idx="702">
                  <c:v>140.38</c:v>
                </c:pt>
                <c:pt idx="703">
                  <c:v>140.58000000000001</c:v>
                </c:pt>
                <c:pt idx="704">
                  <c:v>140.78</c:v>
                </c:pt>
                <c:pt idx="705">
                  <c:v>140.97999999999999</c:v>
                </c:pt>
                <c:pt idx="706">
                  <c:v>141.18</c:v>
                </c:pt>
                <c:pt idx="707">
                  <c:v>141.38</c:v>
                </c:pt>
                <c:pt idx="708">
                  <c:v>141.58000000000001</c:v>
                </c:pt>
                <c:pt idx="709">
                  <c:v>141.78</c:v>
                </c:pt>
                <c:pt idx="710">
                  <c:v>141.97999999999999</c:v>
                </c:pt>
                <c:pt idx="711">
                  <c:v>142.18</c:v>
                </c:pt>
                <c:pt idx="712">
                  <c:v>142.38</c:v>
                </c:pt>
                <c:pt idx="713">
                  <c:v>142.58000000000001</c:v>
                </c:pt>
                <c:pt idx="714">
                  <c:v>142.78</c:v>
                </c:pt>
                <c:pt idx="715">
                  <c:v>142.97999999999999</c:v>
                </c:pt>
                <c:pt idx="716">
                  <c:v>143.18</c:v>
                </c:pt>
                <c:pt idx="717">
                  <c:v>143.38</c:v>
                </c:pt>
                <c:pt idx="718">
                  <c:v>143.58000000000001</c:v>
                </c:pt>
                <c:pt idx="719">
                  <c:v>143.78</c:v>
                </c:pt>
                <c:pt idx="720">
                  <c:v>143.97999999999999</c:v>
                </c:pt>
                <c:pt idx="721">
                  <c:v>144.18</c:v>
                </c:pt>
                <c:pt idx="722">
                  <c:v>144.38</c:v>
                </c:pt>
                <c:pt idx="723">
                  <c:v>144.58000000000001</c:v>
                </c:pt>
                <c:pt idx="724">
                  <c:v>144.78</c:v>
                </c:pt>
                <c:pt idx="725">
                  <c:v>144.97999999999999</c:v>
                </c:pt>
                <c:pt idx="726">
                  <c:v>145.18</c:v>
                </c:pt>
                <c:pt idx="727">
                  <c:v>145.38</c:v>
                </c:pt>
                <c:pt idx="728">
                  <c:v>145.58000000000001</c:v>
                </c:pt>
                <c:pt idx="729">
                  <c:v>145.78</c:v>
                </c:pt>
                <c:pt idx="730">
                  <c:v>145.97999999999999</c:v>
                </c:pt>
                <c:pt idx="731">
                  <c:v>146.18</c:v>
                </c:pt>
                <c:pt idx="732">
                  <c:v>146.38</c:v>
                </c:pt>
                <c:pt idx="733">
                  <c:v>146.58000000000001</c:v>
                </c:pt>
                <c:pt idx="734">
                  <c:v>146.78</c:v>
                </c:pt>
                <c:pt idx="735">
                  <c:v>146.97999999999999</c:v>
                </c:pt>
                <c:pt idx="736">
                  <c:v>147.18</c:v>
                </c:pt>
                <c:pt idx="737">
                  <c:v>147.38</c:v>
                </c:pt>
                <c:pt idx="738">
                  <c:v>147.58000000000001</c:v>
                </c:pt>
                <c:pt idx="739">
                  <c:v>147.78</c:v>
                </c:pt>
                <c:pt idx="740">
                  <c:v>147.97999999999999</c:v>
                </c:pt>
                <c:pt idx="741">
                  <c:v>148.18</c:v>
                </c:pt>
                <c:pt idx="742">
                  <c:v>148.38</c:v>
                </c:pt>
                <c:pt idx="743">
                  <c:v>148.58000000000001</c:v>
                </c:pt>
                <c:pt idx="744">
                  <c:v>148.78</c:v>
                </c:pt>
                <c:pt idx="745">
                  <c:v>148.97999999999999</c:v>
                </c:pt>
                <c:pt idx="746">
                  <c:v>149.18</c:v>
                </c:pt>
                <c:pt idx="747">
                  <c:v>149.38</c:v>
                </c:pt>
                <c:pt idx="748">
                  <c:v>149.58000000000001</c:v>
                </c:pt>
                <c:pt idx="749">
                  <c:v>149.78</c:v>
                </c:pt>
                <c:pt idx="750">
                  <c:v>149.97999999999999</c:v>
                </c:pt>
                <c:pt idx="751">
                  <c:v>150.16999999999999</c:v>
                </c:pt>
                <c:pt idx="752">
                  <c:v>150.37</c:v>
                </c:pt>
                <c:pt idx="753">
                  <c:v>150.57</c:v>
                </c:pt>
                <c:pt idx="754">
                  <c:v>150.77000000000001</c:v>
                </c:pt>
                <c:pt idx="755">
                  <c:v>150.97</c:v>
                </c:pt>
                <c:pt idx="756">
                  <c:v>151.16999999999999</c:v>
                </c:pt>
                <c:pt idx="757">
                  <c:v>151.37</c:v>
                </c:pt>
                <c:pt idx="758">
                  <c:v>151.57</c:v>
                </c:pt>
                <c:pt idx="759">
                  <c:v>151.77000000000001</c:v>
                </c:pt>
                <c:pt idx="760">
                  <c:v>151.97</c:v>
                </c:pt>
                <c:pt idx="761">
                  <c:v>152.16999999999999</c:v>
                </c:pt>
                <c:pt idx="762">
                  <c:v>152.37</c:v>
                </c:pt>
                <c:pt idx="763">
                  <c:v>152.57</c:v>
                </c:pt>
                <c:pt idx="764">
                  <c:v>152.77000000000001</c:v>
                </c:pt>
                <c:pt idx="765">
                  <c:v>152.97</c:v>
                </c:pt>
                <c:pt idx="766">
                  <c:v>153.16999999999999</c:v>
                </c:pt>
                <c:pt idx="767">
                  <c:v>153.37</c:v>
                </c:pt>
                <c:pt idx="768">
                  <c:v>153.57</c:v>
                </c:pt>
                <c:pt idx="769">
                  <c:v>153.77000000000001</c:v>
                </c:pt>
                <c:pt idx="770">
                  <c:v>153.97</c:v>
                </c:pt>
                <c:pt idx="771">
                  <c:v>154.16999999999999</c:v>
                </c:pt>
                <c:pt idx="772">
                  <c:v>154.37</c:v>
                </c:pt>
                <c:pt idx="773">
                  <c:v>154.57</c:v>
                </c:pt>
                <c:pt idx="774">
                  <c:v>154.77000000000001</c:v>
                </c:pt>
                <c:pt idx="775">
                  <c:v>154.97</c:v>
                </c:pt>
                <c:pt idx="776">
                  <c:v>155.16999999999999</c:v>
                </c:pt>
                <c:pt idx="777">
                  <c:v>155.37</c:v>
                </c:pt>
                <c:pt idx="778">
                  <c:v>155.57</c:v>
                </c:pt>
                <c:pt idx="779">
                  <c:v>155.77000000000001</c:v>
                </c:pt>
                <c:pt idx="780">
                  <c:v>155.97</c:v>
                </c:pt>
                <c:pt idx="781">
                  <c:v>156.16999999999999</c:v>
                </c:pt>
                <c:pt idx="782">
                  <c:v>156.37</c:v>
                </c:pt>
                <c:pt idx="783">
                  <c:v>156.57</c:v>
                </c:pt>
                <c:pt idx="784">
                  <c:v>156.77000000000001</c:v>
                </c:pt>
                <c:pt idx="785">
                  <c:v>156.97</c:v>
                </c:pt>
                <c:pt idx="786">
                  <c:v>157.16999999999999</c:v>
                </c:pt>
                <c:pt idx="787">
                  <c:v>157.37</c:v>
                </c:pt>
                <c:pt idx="788">
                  <c:v>157.57</c:v>
                </c:pt>
                <c:pt idx="789">
                  <c:v>157.77000000000001</c:v>
                </c:pt>
                <c:pt idx="790">
                  <c:v>157.97</c:v>
                </c:pt>
                <c:pt idx="791">
                  <c:v>158.16999999999999</c:v>
                </c:pt>
                <c:pt idx="792">
                  <c:v>158.37</c:v>
                </c:pt>
                <c:pt idx="793">
                  <c:v>158.57</c:v>
                </c:pt>
                <c:pt idx="794">
                  <c:v>158.77000000000001</c:v>
                </c:pt>
                <c:pt idx="795">
                  <c:v>158.97</c:v>
                </c:pt>
                <c:pt idx="796">
                  <c:v>159.16999999999999</c:v>
                </c:pt>
                <c:pt idx="797">
                  <c:v>159.37</c:v>
                </c:pt>
                <c:pt idx="798">
                  <c:v>159.57</c:v>
                </c:pt>
                <c:pt idx="799">
                  <c:v>159.77000000000001</c:v>
                </c:pt>
                <c:pt idx="800">
                  <c:v>159.97</c:v>
                </c:pt>
                <c:pt idx="801">
                  <c:v>160.16999999999999</c:v>
                </c:pt>
                <c:pt idx="802">
                  <c:v>160.37</c:v>
                </c:pt>
                <c:pt idx="803">
                  <c:v>160.57</c:v>
                </c:pt>
                <c:pt idx="804">
                  <c:v>160.77000000000001</c:v>
                </c:pt>
                <c:pt idx="805">
                  <c:v>160.97</c:v>
                </c:pt>
                <c:pt idx="806">
                  <c:v>161.16999999999999</c:v>
                </c:pt>
                <c:pt idx="807">
                  <c:v>161.37</c:v>
                </c:pt>
                <c:pt idx="808">
                  <c:v>161.57</c:v>
                </c:pt>
                <c:pt idx="809">
                  <c:v>161.77000000000001</c:v>
                </c:pt>
                <c:pt idx="810">
                  <c:v>161.97</c:v>
                </c:pt>
                <c:pt idx="811">
                  <c:v>162.16999999999999</c:v>
                </c:pt>
                <c:pt idx="812">
                  <c:v>162.37</c:v>
                </c:pt>
                <c:pt idx="813">
                  <c:v>162.57</c:v>
                </c:pt>
                <c:pt idx="814">
                  <c:v>162.77000000000001</c:v>
                </c:pt>
                <c:pt idx="815">
                  <c:v>162.97</c:v>
                </c:pt>
                <c:pt idx="816">
                  <c:v>163.16999999999999</c:v>
                </c:pt>
                <c:pt idx="817">
                  <c:v>163.37</c:v>
                </c:pt>
                <c:pt idx="818">
                  <c:v>163.57</c:v>
                </c:pt>
                <c:pt idx="819">
                  <c:v>163.77000000000001</c:v>
                </c:pt>
                <c:pt idx="820">
                  <c:v>163.97</c:v>
                </c:pt>
                <c:pt idx="821">
                  <c:v>164.17</c:v>
                </c:pt>
                <c:pt idx="822">
                  <c:v>164.37</c:v>
                </c:pt>
                <c:pt idx="823">
                  <c:v>164.57</c:v>
                </c:pt>
                <c:pt idx="824">
                  <c:v>164.77</c:v>
                </c:pt>
                <c:pt idx="825">
                  <c:v>164.97</c:v>
                </c:pt>
                <c:pt idx="826">
                  <c:v>165.17</c:v>
                </c:pt>
                <c:pt idx="827">
                  <c:v>165.37</c:v>
                </c:pt>
                <c:pt idx="828">
                  <c:v>165.57</c:v>
                </c:pt>
                <c:pt idx="829">
                  <c:v>165.77</c:v>
                </c:pt>
                <c:pt idx="830">
                  <c:v>165.97</c:v>
                </c:pt>
                <c:pt idx="831">
                  <c:v>166.17</c:v>
                </c:pt>
                <c:pt idx="832">
                  <c:v>166.37</c:v>
                </c:pt>
                <c:pt idx="833">
                  <c:v>166.57</c:v>
                </c:pt>
                <c:pt idx="834">
                  <c:v>166.77</c:v>
                </c:pt>
                <c:pt idx="835">
                  <c:v>166.97</c:v>
                </c:pt>
                <c:pt idx="836">
                  <c:v>167.17</c:v>
                </c:pt>
                <c:pt idx="837">
                  <c:v>167.37</c:v>
                </c:pt>
                <c:pt idx="838">
                  <c:v>167.57</c:v>
                </c:pt>
                <c:pt idx="839">
                  <c:v>167.77</c:v>
                </c:pt>
                <c:pt idx="840">
                  <c:v>167.97</c:v>
                </c:pt>
                <c:pt idx="841">
                  <c:v>168.17</c:v>
                </c:pt>
                <c:pt idx="842">
                  <c:v>168.37</c:v>
                </c:pt>
                <c:pt idx="843">
                  <c:v>168.57</c:v>
                </c:pt>
                <c:pt idx="844">
                  <c:v>168.77</c:v>
                </c:pt>
                <c:pt idx="845">
                  <c:v>168.97</c:v>
                </c:pt>
                <c:pt idx="846">
                  <c:v>169.17</c:v>
                </c:pt>
                <c:pt idx="847">
                  <c:v>169.37</c:v>
                </c:pt>
                <c:pt idx="848">
                  <c:v>169.57</c:v>
                </c:pt>
                <c:pt idx="849">
                  <c:v>169.77</c:v>
                </c:pt>
                <c:pt idx="850">
                  <c:v>169.97</c:v>
                </c:pt>
                <c:pt idx="851">
                  <c:v>170.17</c:v>
                </c:pt>
                <c:pt idx="852">
                  <c:v>170.37</c:v>
                </c:pt>
                <c:pt idx="853">
                  <c:v>170.57</c:v>
                </c:pt>
                <c:pt idx="854">
                  <c:v>170.77</c:v>
                </c:pt>
                <c:pt idx="855">
                  <c:v>170.97</c:v>
                </c:pt>
                <c:pt idx="856">
                  <c:v>171.17</c:v>
                </c:pt>
                <c:pt idx="857">
                  <c:v>171.37</c:v>
                </c:pt>
                <c:pt idx="858">
                  <c:v>171.57</c:v>
                </c:pt>
                <c:pt idx="859">
                  <c:v>171.76</c:v>
                </c:pt>
                <c:pt idx="860">
                  <c:v>171.96</c:v>
                </c:pt>
                <c:pt idx="861">
                  <c:v>172.16</c:v>
                </c:pt>
                <c:pt idx="862">
                  <c:v>172.36</c:v>
                </c:pt>
                <c:pt idx="863">
                  <c:v>172.56</c:v>
                </c:pt>
                <c:pt idx="864">
                  <c:v>172.76</c:v>
                </c:pt>
                <c:pt idx="865">
                  <c:v>172.96</c:v>
                </c:pt>
                <c:pt idx="866">
                  <c:v>173.16</c:v>
                </c:pt>
                <c:pt idx="867">
                  <c:v>173.36</c:v>
                </c:pt>
                <c:pt idx="868">
                  <c:v>173.56</c:v>
                </c:pt>
                <c:pt idx="869">
                  <c:v>173.76</c:v>
                </c:pt>
                <c:pt idx="870">
                  <c:v>173.96</c:v>
                </c:pt>
                <c:pt idx="871">
                  <c:v>174.16</c:v>
                </c:pt>
                <c:pt idx="872">
                  <c:v>174.36</c:v>
                </c:pt>
                <c:pt idx="873">
                  <c:v>174.56</c:v>
                </c:pt>
                <c:pt idx="874">
                  <c:v>174.76</c:v>
                </c:pt>
                <c:pt idx="875">
                  <c:v>174.96</c:v>
                </c:pt>
                <c:pt idx="876">
                  <c:v>175.16</c:v>
                </c:pt>
                <c:pt idx="877">
                  <c:v>175.36</c:v>
                </c:pt>
                <c:pt idx="878">
                  <c:v>175.56</c:v>
                </c:pt>
                <c:pt idx="879">
                  <c:v>175.76</c:v>
                </c:pt>
                <c:pt idx="880">
                  <c:v>175.96</c:v>
                </c:pt>
                <c:pt idx="881">
                  <c:v>176.16</c:v>
                </c:pt>
                <c:pt idx="882">
                  <c:v>176.36</c:v>
                </c:pt>
                <c:pt idx="883">
                  <c:v>176.56</c:v>
                </c:pt>
                <c:pt idx="884">
                  <c:v>176.76</c:v>
                </c:pt>
                <c:pt idx="885">
                  <c:v>176.96</c:v>
                </c:pt>
                <c:pt idx="886">
                  <c:v>177.16</c:v>
                </c:pt>
                <c:pt idx="887">
                  <c:v>177.36</c:v>
                </c:pt>
                <c:pt idx="888">
                  <c:v>177.56</c:v>
                </c:pt>
                <c:pt idx="889">
                  <c:v>177.76</c:v>
                </c:pt>
                <c:pt idx="890">
                  <c:v>177.96</c:v>
                </c:pt>
                <c:pt idx="891">
                  <c:v>178.16</c:v>
                </c:pt>
                <c:pt idx="892">
                  <c:v>178.36</c:v>
                </c:pt>
                <c:pt idx="893">
                  <c:v>178.56</c:v>
                </c:pt>
                <c:pt idx="894">
                  <c:v>178.76</c:v>
                </c:pt>
                <c:pt idx="895">
                  <c:v>178.96</c:v>
                </c:pt>
                <c:pt idx="896">
                  <c:v>179.16</c:v>
                </c:pt>
                <c:pt idx="897">
                  <c:v>179.36</c:v>
                </c:pt>
                <c:pt idx="898">
                  <c:v>179.56</c:v>
                </c:pt>
                <c:pt idx="899">
                  <c:v>179.76</c:v>
                </c:pt>
                <c:pt idx="900">
                  <c:v>179.96</c:v>
                </c:pt>
                <c:pt idx="901">
                  <c:v>180.16</c:v>
                </c:pt>
                <c:pt idx="902">
                  <c:v>180.36</c:v>
                </c:pt>
                <c:pt idx="903">
                  <c:v>180.56</c:v>
                </c:pt>
                <c:pt idx="904">
                  <c:v>180.76</c:v>
                </c:pt>
                <c:pt idx="905">
                  <c:v>180.96</c:v>
                </c:pt>
                <c:pt idx="906">
                  <c:v>181.16</c:v>
                </c:pt>
                <c:pt idx="907">
                  <c:v>181.36</c:v>
                </c:pt>
                <c:pt idx="908">
                  <c:v>181.56</c:v>
                </c:pt>
                <c:pt idx="909">
                  <c:v>181.76</c:v>
                </c:pt>
                <c:pt idx="910">
                  <c:v>181.96</c:v>
                </c:pt>
                <c:pt idx="911">
                  <c:v>182.16</c:v>
                </c:pt>
                <c:pt idx="912">
                  <c:v>182.36</c:v>
                </c:pt>
                <c:pt idx="913">
                  <c:v>182.56</c:v>
                </c:pt>
                <c:pt idx="914">
                  <c:v>182.76</c:v>
                </c:pt>
                <c:pt idx="915">
                  <c:v>182.96</c:v>
                </c:pt>
                <c:pt idx="916">
                  <c:v>183.16</c:v>
                </c:pt>
                <c:pt idx="917">
                  <c:v>183.36</c:v>
                </c:pt>
                <c:pt idx="918">
                  <c:v>183.56</c:v>
                </c:pt>
                <c:pt idx="919">
                  <c:v>183.76</c:v>
                </c:pt>
                <c:pt idx="920">
                  <c:v>183.96</c:v>
                </c:pt>
                <c:pt idx="921">
                  <c:v>184.16</c:v>
                </c:pt>
                <c:pt idx="922">
                  <c:v>184.36</c:v>
                </c:pt>
                <c:pt idx="923">
                  <c:v>184.56</c:v>
                </c:pt>
                <c:pt idx="924">
                  <c:v>184.76</c:v>
                </c:pt>
                <c:pt idx="925">
                  <c:v>184.96</c:v>
                </c:pt>
                <c:pt idx="926">
                  <c:v>185.16</c:v>
                </c:pt>
                <c:pt idx="927">
                  <c:v>185.36</c:v>
                </c:pt>
                <c:pt idx="928">
                  <c:v>185.56</c:v>
                </c:pt>
                <c:pt idx="929">
                  <c:v>185.76</c:v>
                </c:pt>
                <c:pt idx="930">
                  <c:v>185.96</c:v>
                </c:pt>
                <c:pt idx="931">
                  <c:v>186.16</c:v>
                </c:pt>
                <c:pt idx="932">
                  <c:v>186.36</c:v>
                </c:pt>
                <c:pt idx="933">
                  <c:v>186.56</c:v>
                </c:pt>
                <c:pt idx="934">
                  <c:v>186.76</c:v>
                </c:pt>
                <c:pt idx="935">
                  <c:v>186.96</c:v>
                </c:pt>
                <c:pt idx="936">
                  <c:v>187.16</c:v>
                </c:pt>
                <c:pt idx="937">
                  <c:v>187.36</c:v>
                </c:pt>
                <c:pt idx="938">
                  <c:v>187.56</c:v>
                </c:pt>
                <c:pt idx="939">
                  <c:v>187.76</c:v>
                </c:pt>
                <c:pt idx="940">
                  <c:v>187.96</c:v>
                </c:pt>
                <c:pt idx="941">
                  <c:v>188.16</c:v>
                </c:pt>
                <c:pt idx="942">
                  <c:v>188.36</c:v>
                </c:pt>
                <c:pt idx="943">
                  <c:v>188.56</c:v>
                </c:pt>
                <c:pt idx="944">
                  <c:v>188.76</c:v>
                </c:pt>
                <c:pt idx="945">
                  <c:v>188.96</c:v>
                </c:pt>
                <c:pt idx="946">
                  <c:v>189.16</c:v>
                </c:pt>
                <c:pt idx="947">
                  <c:v>189.36</c:v>
                </c:pt>
                <c:pt idx="948">
                  <c:v>189.56</c:v>
                </c:pt>
                <c:pt idx="949">
                  <c:v>189.76</c:v>
                </c:pt>
                <c:pt idx="950">
                  <c:v>189.96</c:v>
                </c:pt>
                <c:pt idx="951">
                  <c:v>190.16</c:v>
                </c:pt>
                <c:pt idx="952">
                  <c:v>190.36</c:v>
                </c:pt>
                <c:pt idx="953">
                  <c:v>190.56</c:v>
                </c:pt>
                <c:pt idx="954">
                  <c:v>190.76</c:v>
                </c:pt>
                <c:pt idx="955">
                  <c:v>190.96</c:v>
                </c:pt>
                <c:pt idx="956">
                  <c:v>191.16</c:v>
                </c:pt>
                <c:pt idx="957">
                  <c:v>191.36</c:v>
                </c:pt>
                <c:pt idx="958">
                  <c:v>191.56</c:v>
                </c:pt>
                <c:pt idx="959">
                  <c:v>191.76</c:v>
                </c:pt>
                <c:pt idx="960">
                  <c:v>191.96</c:v>
                </c:pt>
                <c:pt idx="961">
                  <c:v>192.16</c:v>
                </c:pt>
                <c:pt idx="962">
                  <c:v>192.36</c:v>
                </c:pt>
                <c:pt idx="963">
                  <c:v>192.56</c:v>
                </c:pt>
                <c:pt idx="964">
                  <c:v>192.76</c:v>
                </c:pt>
                <c:pt idx="965">
                  <c:v>192.96</c:v>
                </c:pt>
                <c:pt idx="966">
                  <c:v>193.16</c:v>
                </c:pt>
                <c:pt idx="967">
                  <c:v>193.36</c:v>
                </c:pt>
                <c:pt idx="968">
                  <c:v>193.56</c:v>
                </c:pt>
                <c:pt idx="969">
                  <c:v>193.76</c:v>
                </c:pt>
                <c:pt idx="970">
                  <c:v>193.96</c:v>
                </c:pt>
                <c:pt idx="971">
                  <c:v>194.16</c:v>
                </c:pt>
                <c:pt idx="972">
                  <c:v>194.36</c:v>
                </c:pt>
                <c:pt idx="973">
                  <c:v>194.56</c:v>
                </c:pt>
                <c:pt idx="974">
                  <c:v>194.76</c:v>
                </c:pt>
                <c:pt idx="975">
                  <c:v>194.96</c:v>
                </c:pt>
                <c:pt idx="976">
                  <c:v>195.16</c:v>
                </c:pt>
                <c:pt idx="977">
                  <c:v>195.36</c:v>
                </c:pt>
                <c:pt idx="978">
                  <c:v>195.56</c:v>
                </c:pt>
                <c:pt idx="979">
                  <c:v>195.76</c:v>
                </c:pt>
                <c:pt idx="980">
                  <c:v>195.96</c:v>
                </c:pt>
                <c:pt idx="981">
                  <c:v>196.16</c:v>
                </c:pt>
                <c:pt idx="982">
                  <c:v>196.36</c:v>
                </c:pt>
                <c:pt idx="983">
                  <c:v>196.56</c:v>
                </c:pt>
                <c:pt idx="984">
                  <c:v>196.76</c:v>
                </c:pt>
                <c:pt idx="985">
                  <c:v>196.96</c:v>
                </c:pt>
                <c:pt idx="986">
                  <c:v>197.16</c:v>
                </c:pt>
                <c:pt idx="987">
                  <c:v>197.36</c:v>
                </c:pt>
                <c:pt idx="988">
                  <c:v>197.56</c:v>
                </c:pt>
                <c:pt idx="989">
                  <c:v>197.76</c:v>
                </c:pt>
                <c:pt idx="990">
                  <c:v>197.96</c:v>
                </c:pt>
                <c:pt idx="991">
                  <c:v>198.16</c:v>
                </c:pt>
                <c:pt idx="992">
                  <c:v>198.36</c:v>
                </c:pt>
                <c:pt idx="993">
                  <c:v>198.56</c:v>
                </c:pt>
                <c:pt idx="994">
                  <c:v>198.76</c:v>
                </c:pt>
                <c:pt idx="995">
                  <c:v>198.96</c:v>
                </c:pt>
                <c:pt idx="996">
                  <c:v>199.16</c:v>
                </c:pt>
                <c:pt idx="997">
                  <c:v>199.36</c:v>
                </c:pt>
                <c:pt idx="998">
                  <c:v>199.56</c:v>
                </c:pt>
                <c:pt idx="999">
                  <c:v>199.76</c:v>
                </c:pt>
                <c:pt idx="1000">
                  <c:v>199.96</c:v>
                </c:pt>
                <c:pt idx="1001">
                  <c:v>200.16</c:v>
                </c:pt>
                <c:pt idx="1002">
                  <c:v>200.36</c:v>
                </c:pt>
                <c:pt idx="1003">
                  <c:v>200.56</c:v>
                </c:pt>
                <c:pt idx="1004">
                  <c:v>200.76</c:v>
                </c:pt>
                <c:pt idx="1005">
                  <c:v>200.96</c:v>
                </c:pt>
                <c:pt idx="1006">
                  <c:v>201.16</c:v>
                </c:pt>
                <c:pt idx="1007">
                  <c:v>201.36</c:v>
                </c:pt>
                <c:pt idx="1008">
                  <c:v>201.56</c:v>
                </c:pt>
                <c:pt idx="1009">
                  <c:v>201.76</c:v>
                </c:pt>
                <c:pt idx="1010">
                  <c:v>201.96</c:v>
                </c:pt>
                <c:pt idx="1011">
                  <c:v>202.16</c:v>
                </c:pt>
                <c:pt idx="1012">
                  <c:v>202.36</c:v>
                </c:pt>
                <c:pt idx="1013">
                  <c:v>202.56</c:v>
                </c:pt>
                <c:pt idx="1014">
                  <c:v>202.76</c:v>
                </c:pt>
                <c:pt idx="1015">
                  <c:v>202.96</c:v>
                </c:pt>
                <c:pt idx="1016">
                  <c:v>203.16</c:v>
                </c:pt>
                <c:pt idx="1017">
                  <c:v>203.36</c:v>
                </c:pt>
                <c:pt idx="1018">
                  <c:v>203.56</c:v>
                </c:pt>
                <c:pt idx="1019">
                  <c:v>203.76</c:v>
                </c:pt>
                <c:pt idx="1020">
                  <c:v>203.96</c:v>
                </c:pt>
                <c:pt idx="1021">
                  <c:v>204.16</c:v>
                </c:pt>
                <c:pt idx="1022">
                  <c:v>204.36</c:v>
                </c:pt>
                <c:pt idx="1023">
                  <c:v>204.56</c:v>
                </c:pt>
                <c:pt idx="1024">
                  <c:v>204.76</c:v>
                </c:pt>
                <c:pt idx="1025">
                  <c:v>204.96</c:v>
                </c:pt>
                <c:pt idx="1026">
                  <c:v>205.16</c:v>
                </c:pt>
                <c:pt idx="1027">
                  <c:v>205.36</c:v>
                </c:pt>
                <c:pt idx="1028">
                  <c:v>205.56</c:v>
                </c:pt>
                <c:pt idx="1029">
                  <c:v>205.76</c:v>
                </c:pt>
                <c:pt idx="1030">
                  <c:v>205.96</c:v>
                </c:pt>
                <c:pt idx="1031">
                  <c:v>206.16</c:v>
                </c:pt>
                <c:pt idx="1032">
                  <c:v>206.36</c:v>
                </c:pt>
                <c:pt idx="1033">
                  <c:v>206.56</c:v>
                </c:pt>
                <c:pt idx="1034">
                  <c:v>206.76</c:v>
                </c:pt>
                <c:pt idx="1035">
                  <c:v>206.96</c:v>
                </c:pt>
                <c:pt idx="1036">
                  <c:v>207.16</c:v>
                </c:pt>
                <c:pt idx="1037">
                  <c:v>207.36</c:v>
                </c:pt>
                <c:pt idx="1038">
                  <c:v>207.56</c:v>
                </c:pt>
                <c:pt idx="1039">
                  <c:v>207.76</c:v>
                </c:pt>
                <c:pt idx="1040">
                  <c:v>207.96</c:v>
                </c:pt>
                <c:pt idx="1041">
                  <c:v>208.16</c:v>
                </c:pt>
                <c:pt idx="1042">
                  <c:v>208.36</c:v>
                </c:pt>
                <c:pt idx="1043">
                  <c:v>208.56</c:v>
                </c:pt>
                <c:pt idx="1044">
                  <c:v>208.76</c:v>
                </c:pt>
                <c:pt idx="1045">
                  <c:v>208.96</c:v>
                </c:pt>
                <c:pt idx="1046">
                  <c:v>209.16</c:v>
                </c:pt>
                <c:pt idx="1047">
                  <c:v>209.36</c:v>
                </c:pt>
                <c:pt idx="1048">
                  <c:v>209.56</c:v>
                </c:pt>
                <c:pt idx="1049">
                  <c:v>209.76</c:v>
                </c:pt>
                <c:pt idx="1050">
                  <c:v>209.96</c:v>
                </c:pt>
                <c:pt idx="1051">
                  <c:v>210.16</c:v>
                </c:pt>
                <c:pt idx="1052">
                  <c:v>210.36</c:v>
                </c:pt>
                <c:pt idx="1053">
                  <c:v>210.56</c:v>
                </c:pt>
                <c:pt idx="1054">
                  <c:v>210.76</c:v>
                </c:pt>
                <c:pt idx="1055">
                  <c:v>210.96</c:v>
                </c:pt>
                <c:pt idx="1056">
                  <c:v>211.16</c:v>
                </c:pt>
                <c:pt idx="1057">
                  <c:v>211.36</c:v>
                </c:pt>
                <c:pt idx="1058">
                  <c:v>211.56</c:v>
                </c:pt>
                <c:pt idx="1059">
                  <c:v>211.76</c:v>
                </c:pt>
                <c:pt idx="1060">
                  <c:v>211.96</c:v>
                </c:pt>
                <c:pt idx="1061">
                  <c:v>212.16</c:v>
                </c:pt>
                <c:pt idx="1062">
                  <c:v>212.36</c:v>
                </c:pt>
                <c:pt idx="1063">
                  <c:v>212.56</c:v>
                </c:pt>
                <c:pt idx="1064">
                  <c:v>212.76</c:v>
                </c:pt>
                <c:pt idx="1065">
                  <c:v>212.96</c:v>
                </c:pt>
                <c:pt idx="1066">
                  <c:v>213.16</c:v>
                </c:pt>
                <c:pt idx="1067">
                  <c:v>213.36</c:v>
                </c:pt>
                <c:pt idx="1068">
                  <c:v>213.56</c:v>
                </c:pt>
                <c:pt idx="1069">
                  <c:v>213.76</c:v>
                </c:pt>
                <c:pt idx="1070">
                  <c:v>213.96</c:v>
                </c:pt>
                <c:pt idx="1071">
                  <c:v>214.16</c:v>
                </c:pt>
                <c:pt idx="1072">
                  <c:v>214.36</c:v>
                </c:pt>
                <c:pt idx="1073">
                  <c:v>214.56</c:v>
                </c:pt>
                <c:pt idx="1074">
                  <c:v>214.76</c:v>
                </c:pt>
                <c:pt idx="1075">
                  <c:v>214.96</c:v>
                </c:pt>
                <c:pt idx="1076">
                  <c:v>215.16</c:v>
                </c:pt>
                <c:pt idx="1077">
                  <c:v>215.36</c:v>
                </c:pt>
                <c:pt idx="1078">
                  <c:v>215.56</c:v>
                </c:pt>
                <c:pt idx="1079">
                  <c:v>215.76</c:v>
                </c:pt>
                <c:pt idx="1080">
                  <c:v>215.96</c:v>
                </c:pt>
                <c:pt idx="1081">
                  <c:v>216.16</c:v>
                </c:pt>
                <c:pt idx="1082">
                  <c:v>216.36</c:v>
                </c:pt>
                <c:pt idx="1083">
                  <c:v>216.56</c:v>
                </c:pt>
                <c:pt idx="1084">
                  <c:v>216.76</c:v>
                </c:pt>
                <c:pt idx="1085">
                  <c:v>216.96</c:v>
                </c:pt>
                <c:pt idx="1086">
                  <c:v>217.16</c:v>
                </c:pt>
                <c:pt idx="1087">
                  <c:v>217.36</c:v>
                </c:pt>
                <c:pt idx="1088">
                  <c:v>217.56</c:v>
                </c:pt>
                <c:pt idx="1089">
                  <c:v>217.76</c:v>
                </c:pt>
                <c:pt idx="1090">
                  <c:v>217.96</c:v>
                </c:pt>
                <c:pt idx="1091">
                  <c:v>218.16</c:v>
                </c:pt>
                <c:pt idx="1092">
                  <c:v>218.36</c:v>
                </c:pt>
                <c:pt idx="1093">
                  <c:v>218.56</c:v>
                </c:pt>
                <c:pt idx="1094">
                  <c:v>218.76</c:v>
                </c:pt>
                <c:pt idx="1095">
                  <c:v>218.96</c:v>
                </c:pt>
                <c:pt idx="1096">
                  <c:v>219.16</c:v>
                </c:pt>
                <c:pt idx="1097">
                  <c:v>219.36</c:v>
                </c:pt>
                <c:pt idx="1098">
                  <c:v>219.56</c:v>
                </c:pt>
                <c:pt idx="1099">
                  <c:v>219.76</c:v>
                </c:pt>
                <c:pt idx="1100">
                  <c:v>219.96</c:v>
                </c:pt>
                <c:pt idx="1101">
                  <c:v>220.16</c:v>
                </c:pt>
                <c:pt idx="1102">
                  <c:v>220.36</c:v>
                </c:pt>
                <c:pt idx="1103">
                  <c:v>220.56</c:v>
                </c:pt>
                <c:pt idx="1104">
                  <c:v>220.76</c:v>
                </c:pt>
                <c:pt idx="1105">
                  <c:v>220.96</c:v>
                </c:pt>
                <c:pt idx="1106">
                  <c:v>221.16</c:v>
                </c:pt>
                <c:pt idx="1107">
                  <c:v>221.36</c:v>
                </c:pt>
                <c:pt idx="1108">
                  <c:v>221.56</c:v>
                </c:pt>
                <c:pt idx="1109">
                  <c:v>221.76</c:v>
                </c:pt>
                <c:pt idx="1110">
                  <c:v>221.96</c:v>
                </c:pt>
                <c:pt idx="1111">
                  <c:v>222.16</c:v>
                </c:pt>
                <c:pt idx="1112">
                  <c:v>222.36</c:v>
                </c:pt>
                <c:pt idx="1113">
                  <c:v>222.56</c:v>
                </c:pt>
                <c:pt idx="1114">
                  <c:v>222.76</c:v>
                </c:pt>
                <c:pt idx="1115">
                  <c:v>222.96</c:v>
                </c:pt>
                <c:pt idx="1116">
                  <c:v>223.16</c:v>
                </c:pt>
                <c:pt idx="1117">
                  <c:v>223.36</c:v>
                </c:pt>
                <c:pt idx="1118">
                  <c:v>223.56</c:v>
                </c:pt>
                <c:pt idx="1119">
                  <c:v>223.76</c:v>
                </c:pt>
                <c:pt idx="1120">
                  <c:v>223.96</c:v>
                </c:pt>
                <c:pt idx="1121">
                  <c:v>224.16</c:v>
                </c:pt>
                <c:pt idx="1122">
                  <c:v>224.36</c:v>
                </c:pt>
                <c:pt idx="1123">
                  <c:v>224.56</c:v>
                </c:pt>
                <c:pt idx="1124">
                  <c:v>224.76</c:v>
                </c:pt>
                <c:pt idx="1125">
                  <c:v>224.96</c:v>
                </c:pt>
                <c:pt idx="1126">
                  <c:v>225.16</c:v>
                </c:pt>
                <c:pt idx="1127">
                  <c:v>225.36</c:v>
                </c:pt>
                <c:pt idx="1128">
                  <c:v>225.56</c:v>
                </c:pt>
                <c:pt idx="1129">
                  <c:v>225.76</c:v>
                </c:pt>
                <c:pt idx="1130">
                  <c:v>225.96</c:v>
                </c:pt>
                <c:pt idx="1131">
                  <c:v>226.16</c:v>
                </c:pt>
                <c:pt idx="1132">
                  <c:v>226.36</c:v>
                </c:pt>
                <c:pt idx="1133">
                  <c:v>226.56</c:v>
                </c:pt>
                <c:pt idx="1134">
                  <c:v>226.76</c:v>
                </c:pt>
                <c:pt idx="1135">
                  <c:v>226.96</c:v>
                </c:pt>
                <c:pt idx="1136">
                  <c:v>227.16</c:v>
                </c:pt>
                <c:pt idx="1137">
                  <c:v>227.36</c:v>
                </c:pt>
                <c:pt idx="1138">
                  <c:v>227.56</c:v>
                </c:pt>
                <c:pt idx="1139">
                  <c:v>227.76</c:v>
                </c:pt>
                <c:pt idx="1140">
                  <c:v>227.96</c:v>
                </c:pt>
                <c:pt idx="1141">
                  <c:v>228.16</c:v>
                </c:pt>
                <c:pt idx="1142">
                  <c:v>228.36</c:v>
                </c:pt>
                <c:pt idx="1143">
                  <c:v>228.56</c:v>
                </c:pt>
                <c:pt idx="1144">
                  <c:v>228.76</c:v>
                </c:pt>
                <c:pt idx="1145">
                  <c:v>228.96</c:v>
                </c:pt>
                <c:pt idx="1146">
                  <c:v>229.16</c:v>
                </c:pt>
                <c:pt idx="1147">
                  <c:v>229.36</c:v>
                </c:pt>
                <c:pt idx="1148">
                  <c:v>229.56</c:v>
                </c:pt>
                <c:pt idx="1149">
                  <c:v>229.76</c:v>
                </c:pt>
                <c:pt idx="1150">
                  <c:v>229.96</c:v>
                </c:pt>
                <c:pt idx="1151">
                  <c:v>230.16</c:v>
                </c:pt>
                <c:pt idx="1152">
                  <c:v>230.36</c:v>
                </c:pt>
                <c:pt idx="1153">
                  <c:v>230.56</c:v>
                </c:pt>
                <c:pt idx="1154">
                  <c:v>230.76</c:v>
                </c:pt>
                <c:pt idx="1155">
                  <c:v>230.96</c:v>
                </c:pt>
                <c:pt idx="1156">
                  <c:v>231.16</c:v>
                </c:pt>
                <c:pt idx="1157">
                  <c:v>231.36</c:v>
                </c:pt>
                <c:pt idx="1158">
                  <c:v>231.56</c:v>
                </c:pt>
                <c:pt idx="1159">
                  <c:v>231.76</c:v>
                </c:pt>
                <c:pt idx="1160">
                  <c:v>231.96</c:v>
                </c:pt>
                <c:pt idx="1161">
                  <c:v>232.16</c:v>
                </c:pt>
                <c:pt idx="1162">
                  <c:v>232.36</c:v>
                </c:pt>
                <c:pt idx="1163">
                  <c:v>232.56</c:v>
                </c:pt>
                <c:pt idx="1164">
                  <c:v>232.76</c:v>
                </c:pt>
                <c:pt idx="1165">
                  <c:v>232.96</c:v>
                </c:pt>
                <c:pt idx="1166">
                  <c:v>233.16</c:v>
                </c:pt>
                <c:pt idx="1167">
                  <c:v>233.36</c:v>
                </c:pt>
                <c:pt idx="1168">
                  <c:v>233.56</c:v>
                </c:pt>
                <c:pt idx="1169">
                  <c:v>233.76</c:v>
                </c:pt>
                <c:pt idx="1170">
                  <c:v>233.96</c:v>
                </c:pt>
                <c:pt idx="1171">
                  <c:v>234.16</c:v>
                </c:pt>
                <c:pt idx="1172">
                  <c:v>234.36</c:v>
                </c:pt>
                <c:pt idx="1173">
                  <c:v>234.56</c:v>
                </c:pt>
                <c:pt idx="1174">
                  <c:v>234.76</c:v>
                </c:pt>
                <c:pt idx="1175">
                  <c:v>234.96</c:v>
                </c:pt>
                <c:pt idx="1176">
                  <c:v>235.16</c:v>
                </c:pt>
                <c:pt idx="1177">
                  <c:v>235.36</c:v>
                </c:pt>
                <c:pt idx="1178">
                  <c:v>235.56</c:v>
                </c:pt>
                <c:pt idx="1179">
                  <c:v>235.76</c:v>
                </c:pt>
                <c:pt idx="1180">
                  <c:v>235.96</c:v>
                </c:pt>
                <c:pt idx="1181">
                  <c:v>236.16</c:v>
                </c:pt>
                <c:pt idx="1182">
                  <c:v>236.36</c:v>
                </c:pt>
                <c:pt idx="1183">
                  <c:v>236.56</c:v>
                </c:pt>
                <c:pt idx="1184">
                  <c:v>236.76</c:v>
                </c:pt>
                <c:pt idx="1185">
                  <c:v>236.96</c:v>
                </c:pt>
                <c:pt idx="1186">
                  <c:v>237.16</c:v>
                </c:pt>
                <c:pt idx="1187">
                  <c:v>237.36</c:v>
                </c:pt>
                <c:pt idx="1188">
                  <c:v>237.56</c:v>
                </c:pt>
                <c:pt idx="1189">
                  <c:v>237.76</c:v>
                </c:pt>
                <c:pt idx="1190">
                  <c:v>237.96</c:v>
                </c:pt>
                <c:pt idx="1191">
                  <c:v>238.16</c:v>
                </c:pt>
                <c:pt idx="1192">
                  <c:v>238.36</c:v>
                </c:pt>
                <c:pt idx="1193">
                  <c:v>238.56</c:v>
                </c:pt>
                <c:pt idx="1194">
                  <c:v>238.76</c:v>
                </c:pt>
                <c:pt idx="1195">
                  <c:v>238.96</c:v>
                </c:pt>
                <c:pt idx="1196">
                  <c:v>239.16</c:v>
                </c:pt>
                <c:pt idx="1197">
                  <c:v>239.36</c:v>
                </c:pt>
                <c:pt idx="1198">
                  <c:v>239.56</c:v>
                </c:pt>
                <c:pt idx="1199">
                  <c:v>239.76</c:v>
                </c:pt>
                <c:pt idx="1200">
                  <c:v>239.96</c:v>
                </c:pt>
                <c:pt idx="1201">
                  <c:v>240.16</c:v>
                </c:pt>
                <c:pt idx="1202">
                  <c:v>240.36</c:v>
                </c:pt>
                <c:pt idx="1203">
                  <c:v>240.56</c:v>
                </c:pt>
                <c:pt idx="1204">
                  <c:v>240.76</c:v>
                </c:pt>
                <c:pt idx="1205">
                  <c:v>240.96</c:v>
                </c:pt>
                <c:pt idx="1206">
                  <c:v>241.16</c:v>
                </c:pt>
                <c:pt idx="1207">
                  <c:v>241.36</c:v>
                </c:pt>
                <c:pt idx="1208">
                  <c:v>241.56</c:v>
                </c:pt>
                <c:pt idx="1209">
                  <c:v>241.76</c:v>
                </c:pt>
                <c:pt idx="1210">
                  <c:v>241.96</c:v>
                </c:pt>
                <c:pt idx="1211">
                  <c:v>242.16</c:v>
                </c:pt>
                <c:pt idx="1212">
                  <c:v>242.36</c:v>
                </c:pt>
                <c:pt idx="1213">
                  <c:v>242.56</c:v>
                </c:pt>
                <c:pt idx="1214">
                  <c:v>242.76</c:v>
                </c:pt>
                <c:pt idx="1215">
                  <c:v>242.96</c:v>
                </c:pt>
                <c:pt idx="1216">
                  <c:v>243.16</c:v>
                </c:pt>
                <c:pt idx="1217">
                  <c:v>243.36</c:v>
                </c:pt>
                <c:pt idx="1218">
                  <c:v>243.56</c:v>
                </c:pt>
                <c:pt idx="1219">
                  <c:v>243.76</c:v>
                </c:pt>
                <c:pt idx="1220">
                  <c:v>243.96</c:v>
                </c:pt>
                <c:pt idx="1221">
                  <c:v>244.16</c:v>
                </c:pt>
                <c:pt idx="1222">
                  <c:v>244.36</c:v>
                </c:pt>
                <c:pt idx="1223">
                  <c:v>244.56</c:v>
                </c:pt>
                <c:pt idx="1224">
                  <c:v>244.76</c:v>
                </c:pt>
                <c:pt idx="1225">
                  <c:v>244.96</c:v>
                </c:pt>
                <c:pt idx="1226">
                  <c:v>245.15</c:v>
                </c:pt>
                <c:pt idx="1227">
                  <c:v>245.35</c:v>
                </c:pt>
                <c:pt idx="1228">
                  <c:v>245.55</c:v>
                </c:pt>
                <c:pt idx="1229">
                  <c:v>245.75</c:v>
                </c:pt>
                <c:pt idx="1230">
                  <c:v>245.95</c:v>
                </c:pt>
                <c:pt idx="1231">
                  <c:v>246.15</c:v>
                </c:pt>
                <c:pt idx="1232">
                  <c:v>246.35</c:v>
                </c:pt>
                <c:pt idx="1233">
                  <c:v>246.55</c:v>
                </c:pt>
                <c:pt idx="1234">
                  <c:v>246.75</c:v>
                </c:pt>
                <c:pt idx="1235">
                  <c:v>246.95</c:v>
                </c:pt>
                <c:pt idx="1236">
                  <c:v>247.15</c:v>
                </c:pt>
                <c:pt idx="1237">
                  <c:v>247.35</c:v>
                </c:pt>
                <c:pt idx="1238">
                  <c:v>247.55</c:v>
                </c:pt>
                <c:pt idx="1239">
                  <c:v>247.75</c:v>
                </c:pt>
                <c:pt idx="1240">
                  <c:v>247.95</c:v>
                </c:pt>
                <c:pt idx="1241">
                  <c:v>248.15</c:v>
                </c:pt>
                <c:pt idx="1242">
                  <c:v>248.35</c:v>
                </c:pt>
                <c:pt idx="1243">
                  <c:v>248.55</c:v>
                </c:pt>
                <c:pt idx="1244">
                  <c:v>248.75</c:v>
                </c:pt>
                <c:pt idx="1245">
                  <c:v>248.95</c:v>
                </c:pt>
                <c:pt idx="1246">
                  <c:v>249.15</c:v>
                </c:pt>
                <c:pt idx="1247">
                  <c:v>249.35</c:v>
                </c:pt>
                <c:pt idx="1248">
                  <c:v>249.55</c:v>
                </c:pt>
                <c:pt idx="1249">
                  <c:v>249.75</c:v>
                </c:pt>
                <c:pt idx="1250">
                  <c:v>249.95</c:v>
                </c:pt>
                <c:pt idx="1251">
                  <c:v>250.15</c:v>
                </c:pt>
                <c:pt idx="1252">
                  <c:v>250.35</c:v>
                </c:pt>
                <c:pt idx="1253">
                  <c:v>250.55</c:v>
                </c:pt>
                <c:pt idx="1254">
                  <c:v>250.75</c:v>
                </c:pt>
                <c:pt idx="1255">
                  <c:v>250.95</c:v>
                </c:pt>
                <c:pt idx="1256">
                  <c:v>251.15</c:v>
                </c:pt>
                <c:pt idx="1257">
                  <c:v>251.35</c:v>
                </c:pt>
                <c:pt idx="1258">
                  <c:v>251.55</c:v>
                </c:pt>
                <c:pt idx="1259">
                  <c:v>251.75</c:v>
                </c:pt>
                <c:pt idx="1260">
                  <c:v>251.95</c:v>
                </c:pt>
                <c:pt idx="1261">
                  <c:v>252.15</c:v>
                </c:pt>
                <c:pt idx="1262">
                  <c:v>252.35</c:v>
                </c:pt>
                <c:pt idx="1263">
                  <c:v>252.55</c:v>
                </c:pt>
                <c:pt idx="1264">
                  <c:v>252.75</c:v>
                </c:pt>
                <c:pt idx="1265">
                  <c:v>252.95</c:v>
                </c:pt>
                <c:pt idx="1266">
                  <c:v>253.15</c:v>
                </c:pt>
                <c:pt idx="1267">
                  <c:v>253.35</c:v>
                </c:pt>
                <c:pt idx="1268">
                  <c:v>253.55</c:v>
                </c:pt>
                <c:pt idx="1269">
                  <c:v>253.75</c:v>
                </c:pt>
                <c:pt idx="1270">
                  <c:v>253.95</c:v>
                </c:pt>
                <c:pt idx="1271">
                  <c:v>254.15</c:v>
                </c:pt>
                <c:pt idx="1272">
                  <c:v>254.35</c:v>
                </c:pt>
                <c:pt idx="1273">
                  <c:v>254.55</c:v>
                </c:pt>
                <c:pt idx="1274">
                  <c:v>254.75</c:v>
                </c:pt>
                <c:pt idx="1275">
                  <c:v>254.95</c:v>
                </c:pt>
                <c:pt idx="1276">
                  <c:v>255.15</c:v>
                </c:pt>
                <c:pt idx="1277">
                  <c:v>255.35</c:v>
                </c:pt>
                <c:pt idx="1278">
                  <c:v>255.55</c:v>
                </c:pt>
                <c:pt idx="1279">
                  <c:v>255.75</c:v>
                </c:pt>
                <c:pt idx="1280">
                  <c:v>255.95</c:v>
                </c:pt>
                <c:pt idx="1281">
                  <c:v>256.14999999999998</c:v>
                </c:pt>
                <c:pt idx="1282">
                  <c:v>256.35000000000002</c:v>
                </c:pt>
                <c:pt idx="1283">
                  <c:v>256.55</c:v>
                </c:pt>
                <c:pt idx="1284">
                  <c:v>256.75</c:v>
                </c:pt>
                <c:pt idx="1285">
                  <c:v>256.95</c:v>
                </c:pt>
                <c:pt idx="1286">
                  <c:v>257.14999999999998</c:v>
                </c:pt>
                <c:pt idx="1287">
                  <c:v>257.35000000000002</c:v>
                </c:pt>
                <c:pt idx="1288">
                  <c:v>257.55</c:v>
                </c:pt>
                <c:pt idx="1289">
                  <c:v>257.75</c:v>
                </c:pt>
                <c:pt idx="1290">
                  <c:v>257.95</c:v>
                </c:pt>
                <c:pt idx="1291">
                  <c:v>258.14999999999998</c:v>
                </c:pt>
                <c:pt idx="1292">
                  <c:v>258.35000000000002</c:v>
                </c:pt>
                <c:pt idx="1293">
                  <c:v>258.55</c:v>
                </c:pt>
                <c:pt idx="1294">
                  <c:v>258.75</c:v>
                </c:pt>
                <c:pt idx="1295">
                  <c:v>258.95</c:v>
                </c:pt>
                <c:pt idx="1296">
                  <c:v>259.14999999999998</c:v>
                </c:pt>
                <c:pt idx="1297">
                  <c:v>259.35000000000002</c:v>
                </c:pt>
                <c:pt idx="1298">
                  <c:v>259.55</c:v>
                </c:pt>
                <c:pt idx="1299">
                  <c:v>259.75</c:v>
                </c:pt>
                <c:pt idx="1300">
                  <c:v>259.95</c:v>
                </c:pt>
                <c:pt idx="1301">
                  <c:v>260.14999999999998</c:v>
                </c:pt>
                <c:pt idx="1302">
                  <c:v>260.35000000000002</c:v>
                </c:pt>
                <c:pt idx="1303">
                  <c:v>260.55</c:v>
                </c:pt>
                <c:pt idx="1304">
                  <c:v>260.75</c:v>
                </c:pt>
                <c:pt idx="1305">
                  <c:v>260.95</c:v>
                </c:pt>
                <c:pt idx="1306">
                  <c:v>261.14999999999998</c:v>
                </c:pt>
                <c:pt idx="1307">
                  <c:v>261.35000000000002</c:v>
                </c:pt>
                <c:pt idx="1308">
                  <c:v>261.55</c:v>
                </c:pt>
                <c:pt idx="1309">
                  <c:v>261.75</c:v>
                </c:pt>
                <c:pt idx="1310">
                  <c:v>261.95</c:v>
                </c:pt>
                <c:pt idx="1311">
                  <c:v>262.14999999999998</c:v>
                </c:pt>
                <c:pt idx="1312">
                  <c:v>262.35000000000002</c:v>
                </c:pt>
                <c:pt idx="1313">
                  <c:v>262.55</c:v>
                </c:pt>
                <c:pt idx="1314">
                  <c:v>262.75</c:v>
                </c:pt>
                <c:pt idx="1315">
                  <c:v>262.95</c:v>
                </c:pt>
                <c:pt idx="1316">
                  <c:v>263.14999999999998</c:v>
                </c:pt>
                <c:pt idx="1317">
                  <c:v>263.35000000000002</c:v>
                </c:pt>
                <c:pt idx="1318">
                  <c:v>263.55</c:v>
                </c:pt>
                <c:pt idx="1319">
                  <c:v>263.75</c:v>
                </c:pt>
                <c:pt idx="1320">
                  <c:v>263.95</c:v>
                </c:pt>
                <c:pt idx="1321">
                  <c:v>264.14999999999998</c:v>
                </c:pt>
                <c:pt idx="1322">
                  <c:v>264.35000000000002</c:v>
                </c:pt>
                <c:pt idx="1323">
                  <c:v>264.55</c:v>
                </c:pt>
                <c:pt idx="1324">
                  <c:v>264.75</c:v>
                </c:pt>
                <c:pt idx="1325">
                  <c:v>264.95</c:v>
                </c:pt>
              </c:numCache>
            </c:numRef>
          </c:xVal>
          <c:yVal>
            <c:numRef>
              <c:f>'Zyklus &amp; Inventar'!$D$35:$D$1360</c:f>
              <c:numCache>
                <c:formatCode>General</c:formatCode>
                <c:ptCount val="1326"/>
                <c:pt idx="0">
                  <c:v>387.9</c:v>
                </c:pt>
                <c:pt idx="1">
                  <c:v>387</c:v>
                </c:pt>
                <c:pt idx="2">
                  <c:v>386.1</c:v>
                </c:pt>
                <c:pt idx="3">
                  <c:v>385.1</c:v>
                </c:pt>
                <c:pt idx="4">
                  <c:v>384.2</c:v>
                </c:pt>
                <c:pt idx="5">
                  <c:v>383.2</c:v>
                </c:pt>
                <c:pt idx="6">
                  <c:v>382.3</c:v>
                </c:pt>
                <c:pt idx="7">
                  <c:v>381.3</c:v>
                </c:pt>
                <c:pt idx="8">
                  <c:v>380.4</c:v>
                </c:pt>
                <c:pt idx="9">
                  <c:v>379.4</c:v>
                </c:pt>
                <c:pt idx="10">
                  <c:v>378.5</c:v>
                </c:pt>
                <c:pt idx="11">
                  <c:v>377.5</c:v>
                </c:pt>
                <c:pt idx="12">
                  <c:v>376.6</c:v>
                </c:pt>
                <c:pt idx="13">
                  <c:v>375.6</c:v>
                </c:pt>
                <c:pt idx="14">
                  <c:v>374.7</c:v>
                </c:pt>
                <c:pt idx="15">
                  <c:v>373.7</c:v>
                </c:pt>
                <c:pt idx="16">
                  <c:v>372.8</c:v>
                </c:pt>
                <c:pt idx="17">
                  <c:v>371.8</c:v>
                </c:pt>
                <c:pt idx="18">
                  <c:v>370.9</c:v>
                </c:pt>
                <c:pt idx="19">
                  <c:v>369.9</c:v>
                </c:pt>
                <c:pt idx="20">
                  <c:v>369</c:v>
                </c:pt>
                <c:pt idx="21">
                  <c:v>368</c:v>
                </c:pt>
                <c:pt idx="22">
                  <c:v>367</c:v>
                </c:pt>
                <c:pt idx="23">
                  <c:v>366.1</c:v>
                </c:pt>
                <c:pt idx="24">
                  <c:v>365.1</c:v>
                </c:pt>
                <c:pt idx="25">
                  <c:v>364.2</c:v>
                </c:pt>
                <c:pt idx="26">
                  <c:v>363.2</c:v>
                </c:pt>
                <c:pt idx="27">
                  <c:v>362.3</c:v>
                </c:pt>
                <c:pt idx="28">
                  <c:v>361.3</c:v>
                </c:pt>
                <c:pt idx="29">
                  <c:v>360.4</c:v>
                </c:pt>
                <c:pt idx="30">
                  <c:v>359.4</c:v>
                </c:pt>
                <c:pt idx="31">
                  <c:v>358.5</c:v>
                </c:pt>
                <c:pt idx="32">
                  <c:v>357.5</c:v>
                </c:pt>
                <c:pt idx="33">
                  <c:v>356.6</c:v>
                </c:pt>
                <c:pt idx="34">
                  <c:v>355.6</c:v>
                </c:pt>
                <c:pt idx="35">
                  <c:v>354.7</c:v>
                </c:pt>
                <c:pt idx="36">
                  <c:v>353.7</c:v>
                </c:pt>
                <c:pt idx="37">
                  <c:v>352.8</c:v>
                </c:pt>
                <c:pt idx="38">
                  <c:v>351.8</c:v>
                </c:pt>
                <c:pt idx="39">
                  <c:v>350.9</c:v>
                </c:pt>
                <c:pt idx="40">
                  <c:v>349.9</c:v>
                </c:pt>
                <c:pt idx="41">
                  <c:v>349</c:v>
                </c:pt>
                <c:pt idx="42">
                  <c:v>348</c:v>
                </c:pt>
                <c:pt idx="43">
                  <c:v>347.1</c:v>
                </c:pt>
                <c:pt idx="44">
                  <c:v>346.1</c:v>
                </c:pt>
                <c:pt idx="45">
                  <c:v>345.2</c:v>
                </c:pt>
                <c:pt idx="46">
                  <c:v>344.2</c:v>
                </c:pt>
                <c:pt idx="47">
                  <c:v>343.3</c:v>
                </c:pt>
                <c:pt idx="48">
                  <c:v>342.3</c:v>
                </c:pt>
                <c:pt idx="49">
                  <c:v>341.4</c:v>
                </c:pt>
                <c:pt idx="50">
                  <c:v>340.4</c:v>
                </c:pt>
                <c:pt idx="51">
                  <c:v>339.5</c:v>
                </c:pt>
                <c:pt idx="52">
                  <c:v>338.5</c:v>
                </c:pt>
                <c:pt idx="53">
                  <c:v>337.6</c:v>
                </c:pt>
                <c:pt idx="54">
                  <c:v>336.6</c:v>
                </c:pt>
                <c:pt idx="55">
                  <c:v>335.7</c:v>
                </c:pt>
                <c:pt idx="56">
                  <c:v>334.7</c:v>
                </c:pt>
                <c:pt idx="57">
                  <c:v>333.8</c:v>
                </c:pt>
                <c:pt idx="58">
                  <c:v>332.8</c:v>
                </c:pt>
                <c:pt idx="59">
                  <c:v>331.9</c:v>
                </c:pt>
                <c:pt idx="60">
                  <c:v>330.9</c:v>
                </c:pt>
                <c:pt idx="61">
                  <c:v>330</c:v>
                </c:pt>
                <c:pt idx="62">
                  <c:v>329</c:v>
                </c:pt>
                <c:pt idx="63">
                  <c:v>328.1</c:v>
                </c:pt>
                <c:pt idx="64">
                  <c:v>327.10000000000002</c:v>
                </c:pt>
                <c:pt idx="65">
                  <c:v>326.2</c:v>
                </c:pt>
                <c:pt idx="66">
                  <c:v>325.2</c:v>
                </c:pt>
                <c:pt idx="67">
                  <c:v>324.3</c:v>
                </c:pt>
                <c:pt idx="68">
                  <c:v>323.3</c:v>
                </c:pt>
                <c:pt idx="69">
                  <c:v>322.39999999999998</c:v>
                </c:pt>
                <c:pt idx="70">
                  <c:v>321.39999999999998</c:v>
                </c:pt>
                <c:pt idx="71">
                  <c:v>320.5</c:v>
                </c:pt>
                <c:pt idx="72">
                  <c:v>319.5</c:v>
                </c:pt>
                <c:pt idx="73">
                  <c:v>318.60000000000002</c:v>
                </c:pt>
                <c:pt idx="74">
                  <c:v>317.60000000000002</c:v>
                </c:pt>
                <c:pt idx="75">
                  <c:v>316.7</c:v>
                </c:pt>
                <c:pt idx="76">
                  <c:v>315.7</c:v>
                </c:pt>
                <c:pt idx="77">
                  <c:v>314.8</c:v>
                </c:pt>
                <c:pt idx="78">
                  <c:v>313.8</c:v>
                </c:pt>
                <c:pt idx="79">
                  <c:v>312.89999999999998</c:v>
                </c:pt>
                <c:pt idx="80">
                  <c:v>311.89999999999998</c:v>
                </c:pt>
                <c:pt idx="81">
                  <c:v>311</c:v>
                </c:pt>
                <c:pt idx="82">
                  <c:v>310</c:v>
                </c:pt>
                <c:pt idx="83">
                  <c:v>309.10000000000002</c:v>
                </c:pt>
                <c:pt idx="84">
                  <c:v>308.10000000000002</c:v>
                </c:pt>
                <c:pt idx="85">
                  <c:v>307.2</c:v>
                </c:pt>
                <c:pt idx="86">
                  <c:v>306.2</c:v>
                </c:pt>
                <c:pt idx="87">
                  <c:v>305.3</c:v>
                </c:pt>
                <c:pt idx="88">
                  <c:v>304.3</c:v>
                </c:pt>
                <c:pt idx="89">
                  <c:v>303.39999999999998</c:v>
                </c:pt>
                <c:pt idx="90">
                  <c:v>302.39999999999998</c:v>
                </c:pt>
                <c:pt idx="91">
                  <c:v>301.5</c:v>
                </c:pt>
                <c:pt idx="92">
                  <c:v>300.5</c:v>
                </c:pt>
                <c:pt idx="93">
                  <c:v>299.60000000000002</c:v>
                </c:pt>
                <c:pt idx="94">
                  <c:v>298.60000000000002</c:v>
                </c:pt>
                <c:pt idx="95">
                  <c:v>297.7</c:v>
                </c:pt>
                <c:pt idx="96">
                  <c:v>296.7</c:v>
                </c:pt>
                <c:pt idx="97">
                  <c:v>295.8</c:v>
                </c:pt>
                <c:pt idx="98">
                  <c:v>294.8</c:v>
                </c:pt>
                <c:pt idx="99">
                  <c:v>293.89999999999998</c:v>
                </c:pt>
                <c:pt idx="100">
                  <c:v>292.89999999999998</c:v>
                </c:pt>
                <c:pt idx="101">
                  <c:v>292</c:v>
                </c:pt>
                <c:pt idx="102">
                  <c:v>291</c:v>
                </c:pt>
                <c:pt idx="103">
                  <c:v>290.10000000000002</c:v>
                </c:pt>
                <c:pt idx="104">
                  <c:v>289.10000000000002</c:v>
                </c:pt>
                <c:pt idx="105">
                  <c:v>288.2</c:v>
                </c:pt>
                <c:pt idx="106">
                  <c:v>287.2</c:v>
                </c:pt>
                <c:pt idx="107">
                  <c:v>286.3</c:v>
                </c:pt>
                <c:pt idx="108">
                  <c:v>285.3</c:v>
                </c:pt>
                <c:pt idx="109">
                  <c:v>284.39999999999998</c:v>
                </c:pt>
                <c:pt idx="110">
                  <c:v>283.39999999999998</c:v>
                </c:pt>
                <c:pt idx="111">
                  <c:v>282.5</c:v>
                </c:pt>
                <c:pt idx="112">
                  <c:v>281.5</c:v>
                </c:pt>
                <c:pt idx="113">
                  <c:v>280.60000000000002</c:v>
                </c:pt>
                <c:pt idx="114">
                  <c:v>279.60000000000002</c:v>
                </c:pt>
                <c:pt idx="115">
                  <c:v>278.7</c:v>
                </c:pt>
                <c:pt idx="116">
                  <c:v>277.7</c:v>
                </c:pt>
                <c:pt idx="117">
                  <c:v>276.8</c:v>
                </c:pt>
                <c:pt idx="118">
                  <c:v>275.8</c:v>
                </c:pt>
                <c:pt idx="119">
                  <c:v>274.89999999999998</c:v>
                </c:pt>
                <c:pt idx="120">
                  <c:v>273.89999999999998</c:v>
                </c:pt>
                <c:pt idx="121">
                  <c:v>273</c:v>
                </c:pt>
                <c:pt idx="122">
                  <c:v>272</c:v>
                </c:pt>
                <c:pt idx="123">
                  <c:v>271.10000000000002</c:v>
                </c:pt>
                <c:pt idx="124">
                  <c:v>270.10000000000002</c:v>
                </c:pt>
                <c:pt idx="125">
                  <c:v>269.2</c:v>
                </c:pt>
                <c:pt idx="126">
                  <c:v>268.2</c:v>
                </c:pt>
                <c:pt idx="127">
                  <c:v>267.3</c:v>
                </c:pt>
                <c:pt idx="128">
                  <c:v>266.3</c:v>
                </c:pt>
                <c:pt idx="129">
                  <c:v>265.39999999999998</c:v>
                </c:pt>
                <c:pt idx="130">
                  <c:v>264.39999999999998</c:v>
                </c:pt>
                <c:pt idx="131">
                  <c:v>263.5</c:v>
                </c:pt>
                <c:pt idx="132">
                  <c:v>262.5</c:v>
                </c:pt>
                <c:pt idx="133">
                  <c:v>261.60000000000002</c:v>
                </c:pt>
                <c:pt idx="134">
                  <c:v>260.60000000000002</c:v>
                </c:pt>
                <c:pt idx="135">
                  <c:v>259.7</c:v>
                </c:pt>
                <c:pt idx="136">
                  <c:v>258.7</c:v>
                </c:pt>
                <c:pt idx="137">
                  <c:v>257.8</c:v>
                </c:pt>
                <c:pt idx="138">
                  <c:v>256.8</c:v>
                </c:pt>
                <c:pt idx="139">
                  <c:v>255.9</c:v>
                </c:pt>
                <c:pt idx="140">
                  <c:v>254.9</c:v>
                </c:pt>
                <c:pt idx="141">
                  <c:v>254</c:v>
                </c:pt>
                <c:pt idx="142">
                  <c:v>253</c:v>
                </c:pt>
                <c:pt idx="143">
                  <c:v>252.1</c:v>
                </c:pt>
                <c:pt idx="144">
                  <c:v>251.1</c:v>
                </c:pt>
                <c:pt idx="145">
                  <c:v>250.2</c:v>
                </c:pt>
                <c:pt idx="146">
                  <c:v>249.2</c:v>
                </c:pt>
                <c:pt idx="147">
                  <c:v>248.2</c:v>
                </c:pt>
                <c:pt idx="148">
                  <c:v>247.3</c:v>
                </c:pt>
                <c:pt idx="149">
                  <c:v>246.3</c:v>
                </c:pt>
                <c:pt idx="150">
                  <c:v>245.4</c:v>
                </c:pt>
                <c:pt idx="151">
                  <c:v>244.4</c:v>
                </c:pt>
                <c:pt idx="152">
                  <c:v>243.5</c:v>
                </c:pt>
                <c:pt idx="153">
                  <c:v>242.5</c:v>
                </c:pt>
                <c:pt idx="154">
                  <c:v>241.6</c:v>
                </c:pt>
                <c:pt idx="155">
                  <c:v>240.6</c:v>
                </c:pt>
                <c:pt idx="156">
                  <c:v>239.7</c:v>
                </c:pt>
                <c:pt idx="157">
                  <c:v>238.7</c:v>
                </c:pt>
                <c:pt idx="158">
                  <c:v>237.8</c:v>
                </c:pt>
                <c:pt idx="159">
                  <c:v>236.8</c:v>
                </c:pt>
                <c:pt idx="160">
                  <c:v>235.9</c:v>
                </c:pt>
                <c:pt idx="161">
                  <c:v>234.9</c:v>
                </c:pt>
                <c:pt idx="162">
                  <c:v>234</c:v>
                </c:pt>
                <c:pt idx="163">
                  <c:v>233</c:v>
                </c:pt>
                <c:pt idx="164">
                  <c:v>232.1</c:v>
                </c:pt>
                <c:pt idx="165">
                  <c:v>231.1</c:v>
                </c:pt>
                <c:pt idx="166">
                  <c:v>230.2</c:v>
                </c:pt>
                <c:pt idx="167">
                  <c:v>229.2</c:v>
                </c:pt>
                <c:pt idx="168">
                  <c:v>228.3</c:v>
                </c:pt>
                <c:pt idx="169">
                  <c:v>227.3</c:v>
                </c:pt>
                <c:pt idx="170">
                  <c:v>226.4</c:v>
                </c:pt>
                <c:pt idx="171">
                  <c:v>225.4</c:v>
                </c:pt>
                <c:pt idx="172">
                  <c:v>224.5</c:v>
                </c:pt>
                <c:pt idx="173">
                  <c:v>223.5</c:v>
                </c:pt>
                <c:pt idx="174">
                  <c:v>222.6</c:v>
                </c:pt>
                <c:pt idx="175">
                  <c:v>221.6</c:v>
                </c:pt>
                <c:pt idx="176">
                  <c:v>220.7</c:v>
                </c:pt>
                <c:pt idx="177">
                  <c:v>219.7</c:v>
                </c:pt>
                <c:pt idx="178">
                  <c:v>218.8</c:v>
                </c:pt>
                <c:pt idx="179">
                  <c:v>217.8</c:v>
                </c:pt>
                <c:pt idx="180">
                  <c:v>216.9</c:v>
                </c:pt>
                <c:pt idx="181">
                  <c:v>215.9</c:v>
                </c:pt>
                <c:pt idx="182">
                  <c:v>215</c:v>
                </c:pt>
                <c:pt idx="183">
                  <c:v>214</c:v>
                </c:pt>
                <c:pt idx="184">
                  <c:v>213.1</c:v>
                </c:pt>
                <c:pt idx="185">
                  <c:v>212.1</c:v>
                </c:pt>
                <c:pt idx="186">
                  <c:v>211.2</c:v>
                </c:pt>
                <c:pt idx="187">
                  <c:v>210.2</c:v>
                </c:pt>
                <c:pt idx="188">
                  <c:v>209.3</c:v>
                </c:pt>
                <c:pt idx="189">
                  <c:v>208.3</c:v>
                </c:pt>
                <c:pt idx="190">
                  <c:v>207.4</c:v>
                </c:pt>
                <c:pt idx="191">
                  <c:v>206.4</c:v>
                </c:pt>
                <c:pt idx="192">
                  <c:v>205.5</c:v>
                </c:pt>
                <c:pt idx="193">
                  <c:v>204.5</c:v>
                </c:pt>
                <c:pt idx="194">
                  <c:v>203.6</c:v>
                </c:pt>
                <c:pt idx="195">
                  <c:v>202.6</c:v>
                </c:pt>
                <c:pt idx="196">
                  <c:v>201.7</c:v>
                </c:pt>
                <c:pt idx="197">
                  <c:v>200.7</c:v>
                </c:pt>
                <c:pt idx="198">
                  <c:v>199.8</c:v>
                </c:pt>
                <c:pt idx="199">
                  <c:v>198.8</c:v>
                </c:pt>
                <c:pt idx="200">
                  <c:v>197.9</c:v>
                </c:pt>
                <c:pt idx="201">
                  <c:v>196.9</c:v>
                </c:pt>
                <c:pt idx="202">
                  <c:v>196</c:v>
                </c:pt>
                <c:pt idx="203">
                  <c:v>195</c:v>
                </c:pt>
                <c:pt idx="204">
                  <c:v>194.1</c:v>
                </c:pt>
                <c:pt idx="205">
                  <c:v>193.1</c:v>
                </c:pt>
                <c:pt idx="206">
                  <c:v>192.2</c:v>
                </c:pt>
                <c:pt idx="207">
                  <c:v>191.2</c:v>
                </c:pt>
                <c:pt idx="208">
                  <c:v>190.3</c:v>
                </c:pt>
                <c:pt idx="209">
                  <c:v>189.3</c:v>
                </c:pt>
                <c:pt idx="210">
                  <c:v>188.4</c:v>
                </c:pt>
                <c:pt idx="211">
                  <c:v>187.4</c:v>
                </c:pt>
                <c:pt idx="212">
                  <c:v>186.5</c:v>
                </c:pt>
                <c:pt idx="213">
                  <c:v>185.5</c:v>
                </c:pt>
                <c:pt idx="214">
                  <c:v>184.6</c:v>
                </c:pt>
                <c:pt idx="215">
                  <c:v>183.6</c:v>
                </c:pt>
                <c:pt idx="216">
                  <c:v>182.7</c:v>
                </c:pt>
                <c:pt idx="217">
                  <c:v>181.7</c:v>
                </c:pt>
                <c:pt idx="218">
                  <c:v>180.8</c:v>
                </c:pt>
                <c:pt idx="219">
                  <c:v>179.8</c:v>
                </c:pt>
                <c:pt idx="220">
                  <c:v>178.9</c:v>
                </c:pt>
                <c:pt idx="221">
                  <c:v>177.9</c:v>
                </c:pt>
                <c:pt idx="222">
                  <c:v>177</c:v>
                </c:pt>
                <c:pt idx="223">
                  <c:v>176</c:v>
                </c:pt>
                <c:pt idx="224">
                  <c:v>175.1</c:v>
                </c:pt>
                <c:pt idx="225">
                  <c:v>174.1</c:v>
                </c:pt>
                <c:pt idx="226">
                  <c:v>173.2</c:v>
                </c:pt>
                <c:pt idx="227">
                  <c:v>172.2</c:v>
                </c:pt>
                <c:pt idx="228">
                  <c:v>171.3</c:v>
                </c:pt>
                <c:pt idx="229">
                  <c:v>170.3</c:v>
                </c:pt>
                <c:pt idx="230">
                  <c:v>169.4</c:v>
                </c:pt>
                <c:pt idx="231">
                  <c:v>168.4</c:v>
                </c:pt>
                <c:pt idx="232">
                  <c:v>167.5</c:v>
                </c:pt>
                <c:pt idx="233">
                  <c:v>166.5</c:v>
                </c:pt>
                <c:pt idx="234">
                  <c:v>165.6</c:v>
                </c:pt>
                <c:pt idx="235">
                  <c:v>164.6</c:v>
                </c:pt>
                <c:pt idx="236">
                  <c:v>163.69999999999999</c:v>
                </c:pt>
                <c:pt idx="237">
                  <c:v>162.69999999999999</c:v>
                </c:pt>
                <c:pt idx="238">
                  <c:v>161.80000000000001</c:v>
                </c:pt>
                <c:pt idx="239">
                  <c:v>160.80000000000001</c:v>
                </c:pt>
                <c:pt idx="240">
                  <c:v>159.9</c:v>
                </c:pt>
                <c:pt idx="241">
                  <c:v>158.9</c:v>
                </c:pt>
                <c:pt idx="242">
                  <c:v>158</c:v>
                </c:pt>
                <c:pt idx="243">
                  <c:v>157</c:v>
                </c:pt>
                <c:pt idx="244">
                  <c:v>156.1</c:v>
                </c:pt>
                <c:pt idx="245">
                  <c:v>155.1</c:v>
                </c:pt>
                <c:pt idx="246">
                  <c:v>154.19999999999999</c:v>
                </c:pt>
                <c:pt idx="247">
                  <c:v>153.19999999999999</c:v>
                </c:pt>
                <c:pt idx="248">
                  <c:v>152.30000000000001</c:v>
                </c:pt>
                <c:pt idx="249">
                  <c:v>151.30000000000001</c:v>
                </c:pt>
                <c:pt idx="250">
                  <c:v>150.4</c:v>
                </c:pt>
                <c:pt idx="251">
                  <c:v>149.4</c:v>
                </c:pt>
                <c:pt idx="252">
                  <c:v>148.5</c:v>
                </c:pt>
                <c:pt idx="253">
                  <c:v>147.5</c:v>
                </c:pt>
                <c:pt idx="254">
                  <c:v>146.6</c:v>
                </c:pt>
                <c:pt idx="255">
                  <c:v>145.6</c:v>
                </c:pt>
                <c:pt idx="256">
                  <c:v>144.69999999999999</c:v>
                </c:pt>
                <c:pt idx="257">
                  <c:v>143.69999999999999</c:v>
                </c:pt>
                <c:pt idx="258">
                  <c:v>142.80000000000001</c:v>
                </c:pt>
                <c:pt idx="259">
                  <c:v>141.80000000000001</c:v>
                </c:pt>
                <c:pt idx="260">
                  <c:v>140.9</c:v>
                </c:pt>
                <c:pt idx="261">
                  <c:v>139.9</c:v>
                </c:pt>
                <c:pt idx="262">
                  <c:v>139</c:v>
                </c:pt>
                <c:pt idx="263">
                  <c:v>138</c:v>
                </c:pt>
                <c:pt idx="264">
                  <c:v>137.1</c:v>
                </c:pt>
                <c:pt idx="265">
                  <c:v>136.1</c:v>
                </c:pt>
                <c:pt idx="266">
                  <c:v>135.19999999999999</c:v>
                </c:pt>
                <c:pt idx="267">
                  <c:v>134.19999999999999</c:v>
                </c:pt>
                <c:pt idx="268">
                  <c:v>133.30000000000001</c:v>
                </c:pt>
                <c:pt idx="269">
                  <c:v>132.30000000000001</c:v>
                </c:pt>
                <c:pt idx="270">
                  <c:v>131.4</c:v>
                </c:pt>
                <c:pt idx="271">
                  <c:v>130.4</c:v>
                </c:pt>
                <c:pt idx="272">
                  <c:v>129.4</c:v>
                </c:pt>
                <c:pt idx="273">
                  <c:v>128.5</c:v>
                </c:pt>
                <c:pt idx="274">
                  <c:v>127.5</c:v>
                </c:pt>
                <c:pt idx="275">
                  <c:v>126.6</c:v>
                </c:pt>
                <c:pt idx="276">
                  <c:v>125.6</c:v>
                </c:pt>
                <c:pt idx="277">
                  <c:v>124.7</c:v>
                </c:pt>
                <c:pt idx="278">
                  <c:v>123.7</c:v>
                </c:pt>
                <c:pt idx="279">
                  <c:v>122.8</c:v>
                </c:pt>
                <c:pt idx="280">
                  <c:v>121.8</c:v>
                </c:pt>
                <c:pt idx="281">
                  <c:v>120.9</c:v>
                </c:pt>
                <c:pt idx="282">
                  <c:v>119.9</c:v>
                </c:pt>
                <c:pt idx="283">
                  <c:v>119</c:v>
                </c:pt>
                <c:pt idx="284">
                  <c:v>118.2</c:v>
                </c:pt>
                <c:pt idx="285">
                  <c:v>118.2</c:v>
                </c:pt>
                <c:pt idx="286">
                  <c:v>118.2</c:v>
                </c:pt>
                <c:pt idx="287">
                  <c:v>118.2</c:v>
                </c:pt>
                <c:pt idx="288">
                  <c:v>118.2</c:v>
                </c:pt>
                <c:pt idx="289">
                  <c:v>118.2</c:v>
                </c:pt>
                <c:pt idx="290">
                  <c:v>118.2</c:v>
                </c:pt>
                <c:pt idx="291">
                  <c:v>118.2</c:v>
                </c:pt>
                <c:pt idx="292">
                  <c:v>118.2</c:v>
                </c:pt>
                <c:pt idx="293">
                  <c:v>118.2</c:v>
                </c:pt>
                <c:pt idx="294">
                  <c:v>118.2</c:v>
                </c:pt>
                <c:pt idx="295">
                  <c:v>118.2</c:v>
                </c:pt>
                <c:pt idx="296">
                  <c:v>118.2</c:v>
                </c:pt>
                <c:pt idx="297">
                  <c:v>118.2</c:v>
                </c:pt>
                <c:pt idx="298">
                  <c:v>118.2</c:v>
                </c:pt>
                <c:pt idx="299">
                  <c:v>118.2</c:v>
                </c:pt>
                <c:pt idx="300">
                  <c:v>118.2</c:v>
                </c:pt>
                <c:pt idx="301">
                  <c:v>118.2</c:v>
                </c:pt>
                <c:pt idx="302">
                  <c:v>118.2</c:v>
                </c:pt>
                <c:pt idx="303">
                  <c:v>118.2</c:v>
                </c:pt>
                <c:pt idx="304">
                  <c:v>118.2</c:v>
                </c:pt>
                <c:pt idx="305">
                  <c:v>118.2</c:v>
                </c:pt>
                <c:pt idx="306">
                  <c:v>118.2</c:v>
                </c:pt>
                <c:pt idx="307">
                  <c:v>118.2</c:v>
                </c:pt>
                <c:pt idx="308">
                  <c:v>118.2</c:v>
                </c:pt>
                <c:pt idx="309">
                  <c:v>118.2</c:v>
                </c:pt>
                <c:pt idx="310">
                  <c:v>118.2</c:v>
                </c:pt>
                <c:pt idx="311">
                  <c:v>118.2</c:v>
                </c:pt>
                <c:pt idx="312">
                  <c:v>118.2</c:v>
                </c:pt>
                <c:pt idx="313">
                  <c:v>118.2</c:v>
                </c:pt>
                <c:pt idx="314">
                  <c:v>118.2</c:v>
                </c:pt>
                <c:pt idx="315">
                  <c:v>118.2</c:v>
                </c:pt>
                <c:pt idx="316">
                  <c:v>118.2</c:v>
                </c:pt>
                <c:pt idx="317">
                  <c:v>118.2</c:v>
                </c:pt>
                <c:pt idx="318">
                  <c:v>118.2</c:v>
                </c:pt>
                <c:pt idx="319">
                  <c:v>118.2</c:v>
                </c:pt>
                <c:pt idx="320">
                  <c:v>118.2</c:v>
                </c:pt>
                <c:pt idx="321">
                  <c:v>118.2</c:v>
                </c:pt>
                <c:pt idx="322">
                  <c:v>118.2</c:v>
                </c:pt>
                <c:pt idx="323">
                  <c:v>118.2</c:v>
                </c:pt>
                <c:pt idx="324">
                  <c:v>118.2</c:v>
                </c:pt>
                <c:pt idx="325">
                  <c:v>118.2</c:v>
                </c:pt>
                <c:pt idx="326">
                  <c:v>118.2</c:v>
                </c:pt>
                <c:pt idx="327">
                  <c:v>118.2</c:v>
                </c:pt>
                <c:pt idx="328">
                  <c:v>118.2</c:v>
                </c:pt>
                <c:pt idx="329">
                  <c:v>118.2</c:v>
                </c:pt>
                <c:pt idx="330">
                  <c:v>118.2</c:v>
                </c:pt>
                <c:pt idx="331">
                  <c:v>118.2</c:v>
                </c:pt>
                <c:pt idx="332">
                  <c:v>118.2</c:v>
                </c:pt>
                <c:pt idx="333">
                  <c:v>118.2</c:v>
                </c:pt>
                <c:pt idx="334">
                  <c:v>118.2</c:v>
                </c:pt>
                <c:pt idx="335">
                  <c:v>118.2</c:v>
                </c:pt>
                <c:pt idx="336">
                  <c:v>118.2</c:v>
                </c:pt>
                <c:pt idx="337">
                  <c:v>118.2</c:v>
                </c:pt>
                <c:pt idx="338">
                  <c:v>118.2</c:v>
                </c:pt>
                <c:pt idx="339">
                  <c:v>118.2</c:v>
                </c:pt>
                <c:pt idx="340">
                  <c:v>118.2</c:v>
                </c:pt>
                <c:pt idx="341">
                  <c:v>118.2</c:v>
                </c:pt>
                <c:pt idx="342">
                  <c:v>118.2</c:v>
                </c:pt>
                <c:pt idx="343">
                  <c:v>118.2</c:v>
                </c:pt>
                <c:pt idx="344">
                  <c:v>118.2</c:v>
                </c:pt>
                <c:pt idx="345">
                  <c:v>118.2</c:v>
                </c:pt>
                <c:pt idx="346">
                  <c:v>118.2</c:v>
                </c:pt>
                <c:pt idx="347">
                  <c:v>118.2</c:v>
                </c:pt>
                <c:pt idx="348">
                  <c:v>118.2</c:v>
                </c:pt>
                <c:pt idx="349">
                  <c:v>118.2</c:v>
                </c:pt>
                <c:pt idx="350">
                  <c:v>118.2</c:v>
                </c:pt>
                <c:pt idx="351">
                  <c:v>118.2</c:v>
                </c:pt>
                <c:pt idx="352">
                  <c:v>118.2</c:v>
                </c:pt>
                <c:pt idx="353">
                  <c:v>118.2</c:v>
                </c:pt>
                <c:pt idx="354">
                  <c:v>118.2</c:v>
                </c:pt>
                <c:pt idx="355">
                  <c:v>118.2</c:v>
                </c:pt>
                <c:pt idx="356">
                  <c:v>118.2</c:v>
                </c:pt>
                <c:pt idx="357">
                  <c:v>118.2</c:v>
                </c:pt>
                <c:pt idx="358">
                  <c:v>118.2</c:v>
                </c:pt>
                <c:pt idx="359">
                  <c:v>118.2</c:v>
                </c:pt>
                <c:pt idx="360">
                  <c:v>118.2</c:v>
                </c:pt>
                <c:pt idx="361">
                  <c:v>118.2</c:v>
                </c:pt>
                <c:pt idx="362">
                  <c:v>118.2</c:v>
                </c:pt>
                <c:pt idx="363">
                  <c:v>118.2</c:v>
                </c:pt>
                <c:pt idx="364">
                  <c:v>118.2</c:v>
                </c:pt>
                <c:pt idx="365">
                  <c:v>118.2</c:v>
                </c:pt>
                <c:pt idx="366">
                  <c:v>118.2</c:v>
                </c:pt>
                <c:pt idx="367">
                  <c:v>118.2</c:v>
                </c:pt>
                <c:pt idx="368">
                  <c:v>118.2</c:v>
                </c:pt>
                <c:pt idx="369">
                  <c:v>118.2</c:v>
                </c:pt>
                <c:pt idx="370">
                  <c:v>118.2</c:v>
                </c:pt>
                <c:pt idx="371">
                  <c:v>118.2</c:v>
                </c:pt>
                <c:pt idx="372">
                  <c:v>118.2</c:v>
                </c:pt>
                <c:pt idx="373">
                  <c:v>118.2</c:v>
                </c:pt>
                <c:pt idx="374">
                  <c:v>118.2</c:v>
                </c:pt>
                <c:pt idx="375">
                  <c:v>118.2</c:v>
                </c:pt>
                <c:pt idx="376">
                  <c:v>118.2</c:v>
                </c:pt>
                <c:pt idx="377">
                  <c:v>118.2</c:v>
                </c:pt>
                <c:pt idx="378">
                  <c:v>118.2</c:v>
                </c:pt>
                <c:pt idx="379">
                  <c:v>118.2</c:v>
                </c:pt>
                <c:pt idx="380">
                  <c:v>118.2</c:v>
                </c:pt>
                <c:pt idx="381">
                  <c:v>118.2</c:v>
                </c:pt>
                <c:pt idx="382">
                  <c:v>118.2</c:v>
                </c:pt>
                <c:pt idx="383">
                  <c:v>118.2</c:v>
                </c:pt>
                <c:pt idx="384">
                  <c:v>118.2</c:v>
                </c:pt>
                <c:pt idx="385">
                  <c:v>118.2</c:v>
                </c:pt>
                <c:pt idx="386">
                  <c:v>118.2</c:v>
                </c:pt>
                <c:pt idx="387">
                  <c:v>118.2</c:v>
                </c:pt>
                <c:pt idx="388">
                  <c:v>118.2</c:v>
                </c:pt>
                <c:pt idx="389">
                  <c:v>118.2</c:v>
                </c:pt>
                <c:pt idx="390">
                  <c:v>118.2</c:v>
                </c:pt>
                <c:pt idx="391">
                  <c:v>118.2</c:v>
                </c:pt>
                <c:pt idx="392">
                  <c:v>118.2</c:v>
                </c:pt>
                <c:pt idx="393">
                  <c:v>118.9</c:v>
                </c:pt>
                <c:pt idx="394">
                  <c:v>119.9</c:v>
                </c:pt>
                <c:pt idx="395">
                  <c:v>120.8</c:v>
                </c:pt>
                <c:pt idx="396">
                  <c:v>121.8</c:v>
                </c:pt>
                <c:pt idx="397">
                  <c:v>122.7</c:v>
                </c:pt>
                <c:pt idx="398">
                  <c:v>123.7</c:v>
                </c:pt>
                <c:pt idx="399">
                  <c:v>124.7</c:v>
                </c:pt>
                <c:pt idx="400">
                  <c:v>125.6</c:v>
                </c:pt>
                <c:pt idx="401">
                  <c:v>126.6</c:v>
                </c:pt>
                <c:pt idx="402">
                  <c:v>127.5</c:v>
                </c:pt>
                <c:pt idx="403">
                  <c:v>128.5</c:v>
                </c:pt>
                <c:pt idx="404">
                  <c:v>129.4</c:v>
                </c:pt>
                <c:pt idx="405">
                  <c:v>130.4</c:v>
                </c:pt>
                <c:pt idx="406">
                  <c:v>131.30000000000001</c:v>
                </c:pt>
                <c:pt idx="407">
                  <c:v>132.30000000000001</c:v>
                </c:pt>
                <c:pt idx="408">
                  <c:v>133.19999999999999</c:v>
                </c:pt>
                <c:pt idx="409">
                  <c:v>134.19999999999999</c:v>
                </c:pt>
                <c:pt idx="410">
                  <c:v>135.1</c:v>
                </c:pt>
                <c:pt idx="411">
                  <c:v>136.1</c:v>
                </c:pt>
                <c:pt idx="412">
                  <c:v>137</c:v>
                </c:pt>
                <c:pt idx="413">
                  <c:v>138</c:v>
                </c:pt>
                <c:pt idx="414">
                  <c:v>138.9</c:v>
                </c:pt>
                <c:pt idx="415">
                  <c:v>139.9</c:v>
                </c:pt>
                <c:pt idx="416">
                  <c:v>140.80000000000001</c:v>
                </c:pt>
                <c:pt idx="417">
                  <c:v>141.80000000000001</c:v>
                </c:pt>
                <c:pt idx="418">
                  <c:v>142.69999999999999</c:v>
                </c:pt>
                <c:pt idx="419">
                  <c:v>143.69999999999999</c:v>
                </c:pt>
                <c:pt idx="420">
                  <c:v>144.6</c:v>
                </c:pt>
                <c:pt idx="421">
                  <c:v>145.6</c:v>
                </c:pt>
                <c:pt idx="422">
                  <c:v>146.5</c:v>
                </c:pt>
                <c:pt idx="423">
                  <c:v>147.5</c:v>
                </c:pt>
                <c:pt idx="424">
                  <c:v>148.4</c:v>
                </c:pt>
                <c:pt idx="425">
                  <c:v>149.4</c:v>
                </c:pt>
                <c:pt idx="426">
                  <c:v>150.30000000000001</c:v>
                </c:pt>
                <c:pt idx="427">
                  <c:v>151.30000000000001</c:v>
                </c:pt>
                <c:pt idx="428">
                  <c:v>152.19999999999999</c:v>
                </c:pt>
                <c:pt idx="429">
                  <c:v>153.19999999999999</c:v>
                </c:pt>
                <c:pt idx="430">
                  <c:v>154.1</c:v>
                </c:pt>
                <c:pt idx="431">
                  <c:v>155.1</c:v>
                </c:pt>
                <c:pt idx="432">
                  <c:v>156</c:v>
                </c:pt>
                <c:pt idx="433">
                  <c:v>157</c:v>
                </c:pt>
                <c:pt idx="434">
                  <c:v>157.9</c:v>
                </c:pt>
                <c:pt idx="435">
                  <c:v>158.9</c:v>
                </c:pt>
                <c:pt idx="436">
                  <c:v>159.80000000000001</c:v>
                </c:pt>
                <c:pt idx="437">
                  <c:v>160.80000000000001</c:v>
                </c:pt>
                <c:pt idx="438">
                  <c:v>161.69999999999999</c:v>
                </c:pt>
                <c:pt idx="439">
                  <c:v>162.69999999999999</c:v>
                </c:pt>
                <c:pt idx="440">
                  <c:v>163.6</c:v>
                </c:pt>
                <c:pt idx="441">
                  <c:v>164.6</c:v>
                </c:pt>
                <c:pt idx="442">
                  <c:v>165.5</c:v>
                </c:pt>
                <c:pt idx="443">
                  <c:v>166.5</c:v>
                </c:pt>
                <c:pt idx="444">
                  <c:v>167.4</c:v>
                </c:pt>
                <c:pt idx="445">
                  <c:v>168.4</c:v>
                </c:pt>
                <c:pt idx="446">
                  <c:v>169.3</c:v>
                </c:pt>
                <c:pt idx="447">
                  <c:v>170.3</c:v>
                </c:pt>
                <c:pt idx="448">
                  <c:v>171.2</c:v>
                </c:pt>
                <c:pt idx="449">
                  <c:v>172.2</c:v>
                </c:pt>
                <c:pt idx="450">
                  <c:v>173.1</c:v>
                </c:pt>
                <c:pt idx="451">
                  <c:v>174.1</c:v>
                </c:pt>
                <c:pt idx="452">
                  <c:v>175</c:v>
                </c:pt>
                <c:pt idx="453">
                  <c:v>176</c:v>
                </c:pt>
                <c:pt idx="454">
                  <c:v>176.9</c:v>
                </c:pt>
                <c:pt idx="455">
                  <c:v>177.9</c:v>
                </c:pt>
                <c:pt idx="456">
                  <c:v>178.8</c:v>
                </c:pt>
                <c:pt idx="457">
                  <c:v>179.8</c:v>
                </c:pt>
                <c:pt idx="458">
                  <c:v>180.7</c:v>
                </c:pt>
                <c:pt idx="459">
                  <c:v>181.7</c:v>
                </c:pt>
                <c:pt idx="460">
                  <c:v>182.6</c:v>
                </c:pt>
                <c:pt idx="461">
                  <c:v>183.6</c:v>
                </c:pt>
                <c:pt idx="462">
                  <c:v>184.5</c:v>
                </c:pt>
                <c:pt idx="463">
                  <c:v>185.5</c:v>
                </c:pt>
                <c:pt idx="464">
                  <c:v>186.4</c:v>
                </c:pt>
                <c:pt idx="465">
                  <c:v>187.4</c:v>
                </c:pt>
                <c:pt idx="466">
                  <c:v>188.3</c:v>
                </c:pt>
                <c:pt idx="467">
                  <c:v>189.3</c:v>
                </c:pt>
                <c:pt idx="468">
                  <c:v>190.2</c:v>
                </c:pt>
                <c:pt idx="469">
                  <c:v>191.2</c:v>
                </c:pt>
                <c:pt idx="470">
                  <c:v>192.1</c:v>
                </c:pt>
                <c:pt idx="471">
                  <c:v>193.1</c:v>
                </c:pt>
                <c:pt idx="472">
                  <c:v>194</c:v>
                </c:pt>
                <c:pt idx="473">
                  <c:v>195</c:v>
                </c:pt>
                <c:pt idx="474">
                  <c:v>195.9</c:v>
                </c:pt>
                <c:pt idx="475">
                  <c:v>196.9</c:v>
                </c:pt>
                <c:pt idx="476">
                  <c:v>197.8</c:v>
                </c:pt>
                <c:pt idx="477">
                  <c:v>198.8</c:v>
                </c:pt>
                <c:pt idx="478">
                  <c:v>199.7</c:v>
                </c:pt>
                <c:pt idx="479">
                  <c:v>200.7</c:v>
                </c:pt>
                <c:pt idx="480">
                  <c:v>201.6</c:v>
                </c:pt>
                <c:pt idx="481">
                  <c:v>202.6</c:v>
                </c:pt>
                <c:pt idx="482">
                  <c:v>203.5</c:v>
                </c:pt>
                <c:pt idx="483">
                  <c:v>204.5</c:v>
                </c:pt>
                <c:pt idx="484">
                  <c:v>205.4</c:v>
                </c:pt>
                <c:pt idx="485">
                  <c:v>206.4</c:v>
                </c:pt>
                <c:pt idx="486">
                  <c:v>207.3</c:v>
                </c:pt>
                <c:pt idx="487">
                  <c:v>208.3</c:v>
                </c:pt>
                <c:pt idx="488">
                  <c:v>209.2</c:v>
                </c:pt>
                <c:pt idx="489">
                  <c:v>210.2</c:v>
                </c:pt>
                <c:pt idx="490">
                  <c:v>211.1</c:v>
                </c:pt>
                <c:pt idx="491">
                  <c:v>212.1</c:v>
                </c:pt>
                <c:pt idx="492">
                  <c:v>213</c:v>
                </c:pt>
                <c:pt idx="493">
                  <c:v>214</c:v>
                </c:pt>
                <c:pt idx="494">
                  <c:v>214.9</c:v>
                </c:pt>
                <c:pt idx="495">
                  <c:v>215.9</c:v>
                </c:pt>
                <c:pt idx="496">
                  <c:v>216.8</c:v>
                </c:pt>
                <c:pt idx="497">
                  <c:v>217.8</c:v>
                </c:pt>
                <c:pt idx="498">
                  <c:v>218.7</c:v>
                </c:pt>
                <c:pt idx="499">
                  <c:v>219.7</c:v>
                </c:pt>
                <c:pt idx="500">
                  <c:v>220.6</c:v>
                </c:pt>
                <c:pt idx="501">
                  <c:v>221.6</c:v>
                </c:pt>
                <c:pt idx="502">
                  <c:v>222.5</c:v>
                </c:pt>
                <c:pt idx="503">
                  <c:v>223.5</c:v>
                </c:pt>
                <c:pt idx="504">
                  <c:v>224.4</c:v>
                </c:pt>
                <c:pt idx="505">
                  <c:v>225.4</c:v>
                </c:pt>
                <c:pt idx="506">
                  <c:v>226.3</c:v>
                </c:pt>
                <c:pt idx="507">
                  <c:v>227.3</c:v>
                </c:pt>
                <c:pt idx="508">
                  <c:v>228.2</c:v>
                </c:pt>
                <c:pt idx="509">
                  <c:v>229.2</c:v>
                </c:pt>
                <c:pt idx="510">
                  <c:v>230.1</c:v>
                </c:pt>
                <c:pt idx="511">
                  <c:v>231.1</c:v>
                </c:pt>
                <c:pt idx="512">
                  <c:v>232</c:v>
                </c:pt>
                <c:pt idx="513">
                  <c:v>233</c:v>
                </c:pt>
                <c:pt idx="514">
                  <c:v>233.9</c:v>
                </c:pt>
                <c:pt idx="515">
                  <c:v>234.9</c:v>
                </c:pt>
                <c:pt idx="516">
                  <c:v>235.8</c:v>
                </c:pt>
                <c:pt idx="517">
                  <c:v>236.8</c:v>
                </c:pt>
                <c:pt idx="518">
                  <c:v>237.7</c:v>
                </c:pt>
                <c:pt idx="519">
                  <c:v>238.7</c:v>
                </c:pt>
                <c:pt idx="520">
                  <c:v>239.6</c:v>
                </c:pt>
                <c:pt idx="521">
                  <c:v>240.6</c:v>
                </c:pt>
                <c:pt idx="522">
                  <c:v>241.5</c:v>
                </c:pt>
                <c:pt idx="523">
                  <c:v>242.5</c:v>
                </c:pt>
                <c:pt idx="524">
                  <c:v>243.5</c:v>
                </c:pt>
                <c:pt idx="525">
                  <c:v>244.4</c:v>
                </c:pt>
                <c:pt idx="526">
                  <c:v>245.4</c:v>
                </c:pt>
                <c:pt idx="527">
                  <c:v>246.3</c:v>
                </c:pt>
                <c:pt idx="528">
                  <c:v>247.3</c:v>
                </c:pt>
                <c:pt idx="529">
                  <c:v>248.2</c:v>
                </c:pt>
                <c:pt idx="530">
                  <c:v>249.2</c:v>
                </c:pt>
                <c:pt idx="531">
                  <c:v>250.1</c:v>
                </c:pt>
                <c:pt idx="532">
                  <c:v>251.1</c:v>
                </c:pt>
                <c:pt idx="533">
                  <c:v>252</c:v>
                </c:pt>
                <c:pt idx="534">
                  <c:v>253</c:v>
                </c:pt>
                <c:pt idx="535">
                  <c:v>253.9</c:v>
                </c:pt>
                <c:pt idx="536">
                  <c:v>254.9</c:v>
                </c:pt>
                <c:pt idx="537">
                  <c:v>255.8</c:v>
                </c:pt>
                <c:pt idx="538">
                  <c:v>256.8</c:v>
                </c:pt>
                <c:pt idx="539">
                  <c:v>257.7</c:v>
                </c:pt>
                <c:pt idx="540">
                  <c:v>258.7</c:v>
                </c:pt>
                <c:pt idx="541">
                  <c:v>259.60000000000002</c:v>
                </c:pt>
                <c:pt idx="542">
                  <c:v>260.60000000000002</c:v>
                </c:pt>
                <c:pt idx="543">
                  <c:v>261.5</c:v>
                </c:pt>
                <c:pt idx="544">
                  <c:v>262.5</c:v>
                </c:pt>
                <c:pt idx="545">
                  <c:v>263.39999999999998</c:v>
                </c:pt>
                <c:pt idx="546">
                  <c:v>264.39999999999998</c:v>
                </c:pt>
                <c:pt idx="547">
                  <c:v>265.3</c:v>
                </c:pt>
                <c:pt idx="548">
                  <c:v>266.3</c:v>
                </c:pt>
                <c:pt idx="549">
                  <c:v>267.2</c:v>
                </c:pt>
                <c:pt idx="550">
                  <c:v>268.2</c:v>
                </c:pt>
                <c:pt idx="551">
                  <c:v>269.10000000000002</c:v>
                </c:pt>
                <c:pt idx="552">
                  <c:v>270.10000000000002</c:v>
                </c:pt>
                <c:pt idx="553">
                  <c:v>271</c:v>
                </c:pt>
                <c:pt idx="554">
                  <c:v>272</c:v>
                </c:pt>
                <c:pt idx="555">
                  <c:v>272.89999999999998</c:v>
                </c:pt>
                <c:pt idx="556">
                  <c:v>273.89999999999998</c:v>
                </c:pt>
                <c:pt idx="557">
                  <c:v>274.8</c:v>
                </c:pt>
                <c:pt idx="558">
                  <c:v>275.8</c:v>
                </c:pt>
                <c:pt idx="559">
                  <c:v>276.7</c:v>
                </c:pt>
                <c:pt idx="560">
                  <c:v>277.7</c:v>
                </c:pt>
                <c:pt idx="561">
                  <c:v>278.60000000000002</c:v>
                </c:pt>
                <c:pt idx="562">
                  <c:v>279.60000000000002</c:v>
                </c:pt>
                <c:pt idx="563">
                  <c:v>280.5</c:v>
                </c:pt>
                <c:pt idx="564">
                  <c:v>281.5</c:v>
                </c:pt>
                <c:pt idx="565">
                  <c:v>282.39999999999998</c:v>
                </c:pt>
                <c:pt idx="566">
                  <c:v>283.39999999999998</c:v>
                </c:pt>
                <c:pt idx="567">
                  <c:v>284.3</c:v>
                </c:pt>
                <c:pt idx="568">
                  <c:v>285.3</c:v>
                </c:pt>
                <c:pt idx="569">
                  <c:v>286.2</c:v>
                </c:pt>
                <c:pt idx="570">
                  <c:v>287.2</c:v>
                </c:pt>
                <c:pt idx="571">
                  <c:v>288.10000000000002</c:v>
                </c:pt>
                <c:pt idx="572">
                  <c:v>289.10000000000002</c:v>
                </c:pt>
                <c:pt idx="573">
                  <c:v>290</c:v>
                </c:pt>
                <c:pt idx="574">
                  <c:v>291</c:v>
                </c:pt>
                <c:pt idx="575">
                  <c:v>291.89999999999998</c:v>
                </c:pt>
                <c:pt idx="576">
                  <c:v>292.89999999999998</c:v>
                </c:pt>
                <c:pt idx="577">
                  <c:v>293.8</c:v>
                </c:pt>
                <c:pt idx="578">
                  <c:v>294.8</c:v>
                </c:pt>
                <c:pt idx="579">
                  <c:v>295.7</c:v>
                </c:pt>
                <c:pt idx="580">
                  <c:v>296.7</c:v>
                </c:pt>
                <c:pt idx="581">
                  <c:v>297.60000000000002</c:v>
                </c:pt>
                <c:pt idx="582">
                  <c:v>298.60000000000002</c:v>
                </c:pt>
                <c:pt idx="583">
                  <c:v>299.5</c:v>
                </c:pt>
                <c:pt idx="584">
                  <c:v>300.5</c:v>
                </c:pt>
                <c:pt idx="585">
                  <c:v>301.39999999999998</c:v>
                </c:pt>
                <c:pt idx="586">
                  <c:v>302.39999999999998</c:v>
                </c:pt>
                <c:pt idx="587">
                  <c:v>303.3</c:v>
                </c:pt>
                <c:pt idx="588">
                  <c:v>304.3</c:v>
                </c:pt>
                <c:pt idx="589">
                  <c:v>305.2</c:v>
                </c:pt>
                <c:pt idx="590">
                  <c:v>306.2</c:v>
                </c:pt>
                <c:pt idx="591">
                  <c:v>307.10000000000002</c:v>
                </c:pt>
                <c:pt idx="592">
                  <c:v>308.10000000000002</c:v>
                </c:pt>
                <c:pt idx="593">
                  <c:v>309</c:v>
                </c:pt>
                <c:pt idx="594">
                  <c:v>310</c:v>
                </c:pt>
                <c:pt idx="595">
                  <c:v>310.89999999999998</c:v>
                </c:pt>
                <c:pt idx="596">
                  <c:v>311.89999999999998</c:v>
                </c:pt>
                <c:pt idx="597">
                  <c:v>312.8</c:v>
                </c:pt>
                <c:pt idx="598">
                  <c:v>313.8</c:v>
                </c:pt>
                <c:pt idx="599">
                  <c:v>314.7</c:v>
                </c:pt>
                <c:pt idx="600">
                  <c:v>315.7</c:v>
                </c:pt>
                <c:pt idx="601">
                  <c:v>316.60000000000002</c:v>
                </c:pt>
                <c:pt idx="602">
                  <c:v>317.60000000000002</c:v>
                </c:pt>
                <c:pt idx="603">
                  <c:v>318.5</c:v>
                </c:pt>
                <c:pt idx="604">
                  <c:v>319.5</c:v>
                </c:pt>
                <c:pt idx="605">
                  <c:v>320.39999999999998</c:v>
                </c:pt>
                <c:pt idx="606">
                  <c:v>321.39999999999998</c:v>
                </c:pt>
                <c:pt idx="607">
                  <c:v>322.3</c:v>
                </c:pt>
                <c:pt idx="608">
                  <c:v>323.3</c:v>
                </c:pt>
                <c:pt idx="609">
                  <c:v>324.2</c:v>
                </c:pt>
                <c:pt idx="610">
                  <c:v>325.2</c:v>
                </c:pt>
                <c:pt idx="611">
                  <c:v>326.10000000000002</c:v>
                </c:pt>
                <c:pt idx="612">
                  <c:v>327.10000000000002</c:v>
                </c:pt>
                <c:pt idx="613">
                  <c:v>328</c:v>
                </c:pt>
                <c:pt idx="614">
                  <c:v>329</c:v>
                </c:pt>
                <c:pt idx="615">
                  <c:v>329.9</c:v>
                </c:pt>
                <c:pt idx="616">
                  <c:v>330.9</c:v>
                </c:pt>
                <c:pt idx="617">
                  <c:v>331.8</c:v>
                </c:pt>
                <c:pt idx="618">
                  <c:v>332.8</c:v>
                </c:pt>
                <c:pt idx="619">
                  <c:v>333.7</c:v>
                </c:pt>
                <c:pt idx="620">
                  <c:v>334.7</c:v>
                </c:pt>
                <c:pt idx="621">
                  <c:v>335.6</c:v>
                </c:pt>
                <c:pt idx="622">
                  <c:v>336.6</c:v>
                </c:pt>
                <c:pt idx="623">
                  <c:v>337.5</c:v>
                </c:pt>
                <c:pt idx="624">
                  <c:v>338.5</c:v>
                </c:pt>
                <c:pt idx="625">
                  <c:v>339.4</c:v>
                </c:pt>
                <c:pt idx="626">
                  <c:v>340.4</c:v>
                </c:pt>
                <c:pt idx="627">
                  <c:v>341.3</c:v>
                </c:pt>
                <c:pt idx="628">
                  <c:v>342.3</c:v>
                </c:pt>
                <c:pt idx="629">
                  <c:v>343.2</c:v>
                </c:pt>
                <c:pt idx="630">
                  <c:v>344.2</c:v>
                </c:pt>
                <c:pt idx="631">
                  <c:v>345.1</c:v>
                </c:pt>
                <c:pt idx="632">
                  <c:v>346.1</c:v>
                </c:pt>
                <c:pt idx="633">
                  <c:v>347</c:v>
                </c:pt>
                <c:pt idx="634">
                  <c:v>348</c:v>
                </c:pt>
                <c:pt idx="635">
                  <c:v>348.9</c:v>
                </c:pt>
                <c:pt idx="636">
                  <c:v>349.9</c:v>
                </c:pt>
                <c:pt idx="637">
                  <c:v>350.8</c:v>
                </c:pt>
                <c:pt idx="638">
                  <c:v>351.8</c:v>
                </c:pt>
                <c:pt idx="639">
                  <c:v>352.7</c:v>
                </c:pt>
                <c:pt idx="640">
                  <c:v>353.7</c:v>
                </c:pt>
                <c:pt idx="641">
                  <c:v>354.6</c:v>
                </c:pt>
                <c:pt idx="642">
                  <c:v>355.6</c:v>
                </c:pt>
                <c:pt idx="643">
                  <c:v>356.5</c:v>
                </c:pt>
                <c:pt idx="644">
                  <c:v>357.5</c:v>
                </c:pt>
                <c:pt idx="645">
                  <c:v>358.4</c:v>
                </c:pt>
                <c:pt idx="646">
                  <c:v>359.4</c:v>
                </c:pt>
                <c:pt idx="647">
                  <c:v>360.3</c:v>
                </c:pt>
                <c:pt idx="648">
                  <c:v>361.3</c:v>
                </c:pt>
                <c:pt idx="649">
                  <c:v>362.3</c:v>
                </c:pt>
                <c:pt idx="650">
                  <c:v>363.2</c:v>
                </c:pt>
                <c:pt idx="651">
                  <c:v>364.2</c:v>
                </c:pt>
                <c:pt idx="652">
                  <c:v>365.1</c:v>
                </c:pt>
                <c:pt idx="653">
                  <c:v>366.1</c:v>
                </c:pt>
                <c:pt idx="654">
                  <c:v>367</c:v>
                </c:pt>
                <c:pt idx="655">
                  <c:v>368</c:v>
                </c:pt>
                <c:pt idx="656">
                  <c:v>368.9</c:v>
                </c:pt>
                <c:pt idx="657">
                  <c:v>369.9</c:v>
                </c:pt>
                <c:pt idx="658">
                  <c:v>370.8</c:v>
                </c:pt>
                <c:pt idx="659">
                  <c:v>371.8</c:v>
                </c:pt>
                <c:pt idx="660">
                  <c:v>372.7</c:v>
                </c:pt>
                <c:pt idx="661">
                  <c:v>373.7</c:v>
                </c:pt>
                <c:pt idx="662">
                  <c:v>374.6</c:v>
                </c:pt>
                <c:pt idx="663">
                  <c:v>375.6</c:v>
                </c:pt>
                <c:pt idx="664">
                  <c:v>376.5</c:v>
                </c:pt>
                <c:pt idx="665">
                  <c:v>377.5</c:v>
                </c:pt>
                <c:pt idx="666">
                  <c:v>378.4</c:v>
                </c:pt>
                <c:pt idx="667">
                  <c:v>379.4</c:v>
                </c:pt>
                <c:pt idx="668">
                  <c:v>380.3</c:v>
                </c:pt>
                <c:pt idx="669">
                  <c:v>381.3</c:v>
                </c:pt>
                <c:pt idx="670">
                  <c:v>382.2</c:v>
                </c:pt>
                <c:pt idx="671">
                  <c:v>383.2</c:v>
                </c:pt>
                <c:pt idx="672">
                  <c:v>384.1</c:v>
                </c:pt>
                <c:pt idx="673">
                  <c:v>385.1</c:v>
                </c:pt>
                <c:pt idx="674">
                  <c:v>386</c:v>
                </c:pt>
                <c:pt idx="675">
                  <c:v>387</c:v>
                </c:pt>
                <c:pt idx="676">
                  <c:v>387.9</c:v>
                </c:pt>
                <c:pt idx="677">
                  <c:v>388.9</c:v>
                </c:pt>
                <c:pt idx="678">
                  <c:v>389.8</c:v>
                </c:pt>
                <c:pt idx="679">
                  <c:v>390.8</c:v>
                </c:pt>
                <c:pt idx="680">
                  <c:v>391.7</c:v>
                </c:pt>
                <c:pt idx="681">
                  <c:v>392.7</c:v>
                </c:pt>
                <c:pt idx="682">
                  <c:v>393.6</c:v>
                </c:pt>
                <c:pt idx="683">
                  <c:v>394.6</c:v>
                </c:pt>
                <c:pt idx="684">
                  <c:v>395.5</c:v>
                </c:pt>
                <c:pt idx="685">
                  <c:v>396.5</c:v>
                </c:pt>
                <c:pt idx="686">
                  <c:v>397.4</c:v>
                </c:pt>
                <c:pt idx="687">
                  <c:v>398.4</c:v>
                </c:pt>
                <c:pt idx="688">
                  <c:v>399.3</c:v>
                </c:pt>
                <c:pt idx="689">
                  <c:v>400.3</c:v>
                </c:pt>
                <c:pt idx="690">
                  <c:v>401.2</c:v>
                </c:pt>
                <c:pt idx="691">
                  <c:v>402.2</c:v>
                </c:pt>
                <c:pt idx="692">
                  <c:v>403.1</c:v>
                </c:pt>
                <c:pt idx="693">
                  <c:v>404.1</c:v>
                </c:pt>
                <c:pt idx="694">
                  <c:v>405</c:v>
                </c:pt>
                <c:pt idx="695">
                  <c:v>406</c:v>
                </c:pt>
                <c:pt idx="696">
                  <c:v>406.9</c:v>
                </c:pt>
                <c:pt idx="697">
                  <c:v>407.9</c:v>
                </c:pt>
                <c:pt idx="698">
                  <c:v>408.8</c:v>
                </c:pt>
                <c:pt idx="699">
                  <c:v>409.8</c:v>
                </c:pt>
                <c:pt idx="700">
                  <c:v>410.7</c:v>
                </c:pt>
                <c:pt idx="701">
                  <c:v>411.7</c:v>
                </c:pt>
                <c:pt idx="702">
                  <c:v>412.6</c:v>
                </c:pt>
                <c:pt idx="703">
                  <c:v>413.6</c:v>
                </c:pt>
                <c:pt idx="704">
                  <c:v>414.5</c:v>
                </c:pt>
                <c:pt idx="705">
                  <c:v>415.5</c:v>
                </c:pt>
                <c:pt idx="706">
                  <c:v>416.4</c:v>
                </c:pt>
                <c:pt idx="707">
                  <c:v>417.4</c:v>
                </c:pt>
                <c:pt idx="708">
                  <c:v>418.3</c:v>
                </c:pt>
                <c:pt idx="709">
                  <c:v>419.3</c:v>
                </c:pt>
                <c:pt idx="710">
                  <c:v>420.2</c:v>
                </c:pt>
                <c:pt idx="711">
                  <c:v>421.2</c:v>
                </c:pt>
                <c:pt idx="712">
                  <c:v>422.1</c:v>
                </c:pt>
                <c:pt idx="713">
                  <c:v>423.1</c:v>
                </c:pt>
                <c:pt idx="714">
                  <c:v>424</c:v>
                </c:pt>
                <c:pt idx="715">
                  <c:v>425</c:v>
                </c:pt>
                <c:pt idx="716">
                  <c:v>425.9</c:v>
                </c:pt>
                <c:pt idx="717">
                  <c:v>426.9</c:v>
                </c:pt>
                <c:pt idx="718">
                  <c:v>427.8</c:v>
                </c:pt>
                <c:pt idx="719">
                  <c:v>428.8</c:v>
                </c:pt>
                <c:pt idx="720">
                  <c:v>429.7</c:v>
                </c:pt>
                <c:pt idx="721">
                  <c:v>430.7</c:v>
                </c:pt>
                <c:pt idx="722">
                  <c:v>431.6</c:v>
                </c:pt>
                <c:pt idx="723">
                  <c:v>432.6</c:v>
                </c:pt>
                <c:pt idx="724">
                  <c:v>433.5</c:v>
                </c:pt>
                <c:pt idx="725">
                  <c:v>434.5</c:v>
                </c:pt>
                <c:pt idx="726">
                  <c:v>435.4</c:v>
                </c:pt>
                <c:pt idx="727">
                  <c:v>436.4</c:v>
                </c:pt>
                <c:pt idx="728">
                  <c:v>437.3</c:v>
                </c:pt>
                <c:pt idx="729">
                  <c:v>438.3</c:v>
                </c:pt>
                <c:pt idx="730">
                  <c:v>439.2</c:v>
                </c:pt>
                <c:pt idx="731">
                  <c:v>440.2</c:v>
                </c:pt>
                <c:pt idx="732">
                  <c:v>441.1</c:v>
                </c:pt>
                <c:pt idx="733">
                  <c:v>442.1</c:v>
                </c:pt>
                <c:pt idx="734">
                  <c:v>443</c:v>
                </c:pt>
                <c:pt idx="735">
                  <c:v>444</c:v>
                </c:pt>
                <c:pt idx="736">
                  <c:v>444.9</c:v>
                </c:pt>
                <c:pt idx="737">
                  <c:v>445.9</c:v>
                </c:pt>
                <c:pt idx="738">
                  <c:v>446.8</c:v>
                </c:pt>
                <c:pt idx="739">
                  <c:v>447.8</c:v>
                </c:pt>
                <c:pt idx="740">
                  <c:v>448.7</c:v>
                </c:pt>
                <c:pt idx="741">
                  <c:v>449.7</c:v>
                </c:pt>
                <c:pt idx="742">
                  <c:v>450.6</c:v>
                </c:pt>
                <c:pt idx="743">
                  <c:v>451.6</c:v>
                </c:pt>
                <c:pt idx="744">
                  <c:v>452.5</c:v>
                </c:pt>
                <c:pt idx="745">
                  <c:v>453.5</c:v>
                </c:pt>
                <c:pt idx="746">
                  <c:v>454.4</c:v>
                </c:pt>
                <c:pt idx="747">
                  <c:v>455.4</c:v>
                </c:pt>
                <c:pt idx="748">
                  <c:v>456.3</c:v>
                </c:pt>
                <c:pt idx="749">
                  <c:v>457.3</c:v>
                </c:pt>
                <c:pt idx="750">
                  <c:v>458.2</c:v>
                </c:pt>
                <c:pt idx="751">
                  <c:v>458.6</c:v>
                </c:pt>
                <c:pt idx="752">
                  <c:v>458.6</c:v>
                </c:pt>
                <c:pt idx="753">
                  <c:v>458.6</c:v>
                </c:pt>
                <c:pt idx="754">
                  <c:v>458.6</c:v>
                </c:pt>
                <c:pt idx="755">
                  <c:v>458.6</c:v>
                </c:pt>
                <c:pt idx="756">
                  <c:v>458.6</c:v>
                </c:pt>
                <c:pt idx="757">
                  <c:v>458.6</c:v>
                </c:pt>
                <c:pt idx="758">
                  <c:v>458.6</c:v>
                </c:pt>
                <c:pt idx="759">
                  <c:v>458.6</c:v>
                </c:pt>
                <c:pt idx="760">
                  <c:v>458.6</c:v>
                </c:pt>
                <c:pt idx="761">
                  <c:v>458.6</c:v>
                </c:pt>
                <c:pt idx="762">
                  <c:v>458.6</c:v>
                </c:pt>
                <c:pt idx="763">
                  <c:v>458.6</c:v>
                </c:pt>
                <c:pt idx="764">
                  <c:v>458.6</c:v>
                </c:pt>
                <c:pt idx="765">
                  <c:v>458.6</c:v>
                </c:pt>
                <c:pt idx="766">
                  <c:v>458.6</c:v>
                </c:pt>
                <c:pt idx="767">
                  <c:v>458.6</c:v>
                </c:pt>
                <c:pt idx="768">
                  <c:v>458.6</c:v>
                </c:pt>
                <c:pt idx="769">
                  <c:v>458.6</c:v>
                </c:pt>
                <c:pt idx="770">
                  <c:v>458.6</c:v>
                </c:pt>
                <c:pt idx="771">
                  <c:v>458.6</c:v>
                </c:pt>
                <c:pt idx="772">
                  <c:v>458.6</c:v>
                </c:pt>
                <c:pt idx="773">
                  <c:v>458.6</c:v>
                </c:pt>
                <c:pt idx="774">
                  <c:v>458.6</c:v>
                </c:pt>
                <c:pt idx="775">
                  <c:v>458.6</c:v>
                </c:pt>
                <c:pt idx="776">
                  <c:v>458.6</c:v>
                </c:pt>
                <c:pt idx="777">
                  <c:v>458.6</c:v>
                </c:pt>
                <c:pt idx="778">
                  <c:v>458.6</c:v>
                </c:pt>
                <c:pt idx="779">
                  <c:v>458.6</c:v>
                </c:pt>
                <c:pt idx="780">
                  <c:v>458.6</c:v>
                </c:pt>
                <c:pt idx="781">
                  <c:v>458.6</c:v>
                </c:pt>
                <c:pt idx="782">
                  <c:v>458.6</c:v>
                </c:pt>
                <c:pt idx="783">
                  <c:v>458.6</c:v>
                </c:pt>
                <c:pt idx="784">
                  <c:v>458.6</c:v>
                </c:pt>
                <c:pt idx="785">
                  <c:v>458.6</c:v>
                </c:pt>
                <c:pt idx="786">
                  <c:v>458.6</c:v>
                </c:pt>
                <c:pt idx="787">
                  <c:v>458.6</c:v>
                </c:pt>
                <c:pt idx="788">
                  <c:v>458.6</c:v>
                </c:pt>
                <c:pt idx="789">
                  <c:v>458.6</c:v>
                </c:pt>
                <c:pt idx="790">
                  <c:v>458.6</c:v>
                </c:pt>
                <c:pt idx="791">
                  <c:v>458.6</c:v>
                </c:pt>
                <c:pt idx="792">
                  <c:v>458.6</c:v>
                </c:pt>
                <c:pt idx="793">
                  <c:v>458.6</c:v>
                </c:pt>
                <c:pt idx="794">
                  <c:v>458.6</c:v>
                </c:pt>
                <c:pt idx="795">
                  <c:v>458.6</c:v>
                </c:pt>
                <c:pt idx="796">
                  <c:v>458.6</c:v>
                </c:pt>
                <c:pt idx="797">
                  <c:v>458.6</c:v>
                </c:pt>
                <c:pt idx="798">
                  <c:v>458.6</c:v>
                </c:pt>
                <c:pt idx="799">
                  <c:v>458.6</c:v>
                </c:pt>
                <c:pt idx="800">
                  <c:v>458.6</c:v>
                </c:pt>
                <c:pt idx="801">
                  <c:v>458.6</c:v>
                </c:pt>
                <c:pt idx="802">
                  <c:v>458.6</c:v>
                </c:pt>
                <c:pt idx="803">
                  <c:v>458.6</c:v>
                </c:pt>
                <c:pt idx="804">
                  <c:v>458.6</c:v>
                </c:pt>
                <c:pt idx="805">
                  <c:v>458.6</c:v>
                </c:pt>
                <c:pt idx="806">
                  <c:v>458.6</c:v>
                </c:pt>
                <c:pt idx="807">
                  <c:v>458.6</c:v>
                </c:pt>
                <c:pt idx="808">
                  <c:v>458.6</c:v>
                </c:pt>
                <c:pt idx="809">
                  <c:v>458.6</c:v>
                </c:pt>
                <c:pt idx="810">
                  <c:v>458.6</c:v>
                </c:pt>
                <c:pt idx="811">
                  <c:v>458.6</c:v>
                </c:pt>
                <c:pt idx="812">
                  <c:v>458.6</c:v>
                </c:pt>
                <c:pt idx="813">
                  <c:v>458.6</c:v>
                </c:pt>
                <c:pt idx="814">
                  <c:v>458.6</c:v>
                </c:pt>
                <c:pt idx="815">
                  <c:v>458.6</c:v>
                </c:pt>
                <c:pt idx="816">
                  <c:v>458.6</c:v>
                </c:pt>
                <c:pt idx="817">
                  <c:v>458.6</c:v>
                </c:pt>
                <c:pt idx="818">
                  <c:v>458.6</c:v>
                </c:pt>
                <c:pt idx="819">
                  <c:v>458.6</c:v>
                </c:pt>
                <c:pt idx="820">
                  <c:v>458.6</c:v>
                </c:pt>
                <c:pt idx="821">
                  <c:v>458.6</c:v>
                </c:pt>
                <c:pt idx="822">
                  <c:v>458.6</c:v>
                </c:pt>
                <c:pt idx="823">
                  <c:v>458.6</c:v>
                </c:pt>
                <c:pt idx="824">
                  <c:v>458.6</c:v>
                </c:pt>
                <c:pt idx="825">
                  <c:v>458.6</c:v>
                </c:pt>
                <c:pt idx="826">
                  <c:v>458.6</c:v>
                </c:pt>
                <c:pt idx="827">
                  <c:v>458.6</c:v>
                </c:pt>
                <c:pt idx="828">
                  <c:v>458.6</c:v>
                </c:pt>
                <c:pt idx="829">
                  <c:v>458.6</c:v>
                </c:pt>
                <c:pt idx="830">
                  <c:v>458.6</c:v>
                </c:pt>
                <c:pt idx="831">
                  <c:v>458.6</c:v>
                </c:pt>
                <c:pt idx="832">
                  <c:v>458.6</c:v>
                </c:pt>
                <c:pt idx="833">
                  <c:v>458.6</c:v>
                </c:pt>
                <c:pt idx="834">
                  <c:v>458.6</c:v>
                </c:pt>
                <c:pt idx="835">
                  <c:v>458.6</c:v>
                </c:pt>
                <c:pt idx="836">
                  <c:v>458.6</c:v>
                </c:pt>
                <c:pt idx="837">
                  <c:v>458.6</c:v>
                </c:pt>
                <c:pt idx="838">
                  <c:v>458.6</c:v>
                </c:pt>
                <c:pt idx="839">
                  <c:v>458.6</c:v>
                </c:pt>
                <c:pt idx="840">
                  <c:v>458.6</c:v>
                </c:pt>
                <c:pt idx="841">
                  <c:v>458.6</c:v>
                </c:pt>
                <c:pt idx="842">
                  <c:v>458.6</c:v>
                </c:pt>
                <c:pt idx="843">
                  <c:v>458.6</c:v>
                </c:pt>
                <c:pt idx="844">
                  <c:v>458.6</c:v>
                </c:pt>
                <c:pt idx="845">
                  <c:v>458.6</c:v>
                </c:pt>
                <c:pt idx="846">
                  <c:v>458.6</c:v>
                </c:pt>
                <c:pt idx="847">
                  <c:v>458.6</c:v>
                </c:pt>
                <c:pt idx="848">
                  <c:v>458.6</c:v>
                </c:pt>
                <c:pt idx="849">
                  <c:v>458.6</c:v>
                </c:pt>
                <c:pt idx="850">
                  <c:v>458.6</c:v>
                </c:pt>
                <c:pt idx="851">
                  <c:v>458.6</c:v>
                </c:pt>
                <c:pt idx="852">
                  <c:v>458.6</c:v>
                </c:pt>
                <c:pt idx="853">
                  <c:v>458.6</c:v>
                </c:pt>
                <c:pt idx="854">
                  <c:v>458.6</c:v>
                </c:pt>
                <c:pt idx="855">
                  <c:v>458.6</c:v>
                </c:pt>
                <c:pt idx="856">
                  <c:v>458.6</c:v>
                </c:pt>
                <c:pt idx="857">
                  <c:v>458.6</c:v>
                </c:pt>
                <c:pt idx="858">
                  <c:v>458.6</c:v>
                </c:pt>
                <c:pt idx="859">
                  <c:v>458.5</c:v>
                </c:pt>
                <c:pt idx="860">
                  <c:v>458</c:v>
                </c:pt>
                <c:pt idx="861">
                  <c:v>457.5</c:v>
                </c:pt>
                <c:pt idx="862">
                  <c:v>456.9</c:v>
                </c:pt>
                <c:pt idx="863">
                  <c:v>456.4</c:v>
                </c:pt>
                <c:pt idx="864">
                  <c:v>455.8</c:v>
                </c:pt>
                <c:pt idx="865">
                  <c:v>455.3</c:v>
                </c:pt>
                <c:pt idx="866">
                  <c:v>454.7</c:v>
                </c:pt>
                <c:pt idx="867">
                  <c:v>454.1</c:v>
                </c:pt>
                <c:pt idx="868">
                  <c:v>453.5</c:v>
                </c:pt>
                <c:pt idx="869">
                  <c:v>452.9</c:v>
                </c:pt>
                <c:pt idx="870">
                  <c:v>452.3</c:v>
                </c:pt>
                <c:pt idx="871">
                  <c:v>451.7</c:v>
                </c:pt>
                <c:pt idx="872">
                  <c:v>451</c:v>
                </c:pt>
                <c:pt idx="873">
                  <c:v>450.4</c:v>
                </c:pt>
                <c:pt idx="874">
                  <c:v>449.7</c:v>
                </c:pt>
                <c:pt idx="875">
                  <c:v>449.1</c:v>
                </c:pt>
                <c:pt idx="876">
                  <c:v>448.4</c:v>
                </c:pt>
                <c:pt idx="877">
                  <c:v>447.7</c:v>
                </c:pt>
                <c:pt idx="878">
                  <c:v>447</c:v>
                </c:pt>
                <c:pt idx="879">
                  <c:v>446.2</c:v>
                </c:pt>
                <c:pt idx="880">
                  <c:v>445.5</c:v>
                </c:pt>
                <c:pt idx="881">
                  <c:v>444.7</c:v>
                </c:pt>
                <c:pt idx="882">
                  <c:v>444</c:v>
                </c:pt>
                <c:pt idx="883">
                  <c:v>443.2</c:v>
                </c:pt>
                <c:pt idx="884">
                  <c:v>442.4</c:v>
                </c:pt>
                <c:pt idx="885">
                  <c:v>441.5</c:v>
                </c:pt>
                <c:pt idx="886">
                  <c:v>440.7</c:v>
                </c:pt>
                <c:pt idx="887">
                  <c:v>439.8</c:v>
                </c:pt>
                <c:pt idx="888">
                  <c:v>438.9</c:v>
                </c:pt>
                <c:pt idx="889">
                  <c:v>438</c:v>
                </c:pt>
                <c:pt idx="890">
                  <c:v>437.1</c:v>
                </c:pt>
                <c:pt idx="891">
                  <c:v>436.1</c:v>
                </c:pt>
                <c:pt idx="892">
                  <c:v>435.2</c:v>
                </c:pt>
                <c:pt idx="893">
                  <c:v>434.2</c:v>
                </c:pt>
                <c:pt idx="894">
                  <c:v>433.3</c:v>
                </c:pt>
                <c:pt idx="895">
                  <c:v>432.3</c:v>
                </c:pt>
                <c:pt idx="896">
                  <c:v>431.4</c:v>
                </c:pt>
                <c:pt idx="897">
                  <c:v>430.4</c:v>
                </c:pt>
                <c:pt idx="898">
                  <c:v>429.5</c:v>
                </c:pt>
                <c:pt idx="899">
                  <c:v>428.5</c:v>
                </c:pt>
                <c:pt idx="900">
                  <c:v>427.6</c:v>
                </c:pt>
                <c:pt idx="901">
                  <c:v>426.6</c:v>
                </c:pt>
                <c:pt idx="902">
                  <c:v>425.7</c:v>
                </c:pt>
                <c:pt idx="903">
                  <c:v>424.7</c:v>
                </c:pt>
                <c:pt idx="904">
                  <c:v>423.8</c:v>
                </c:pt>
                <c:pt idx="905">
                  <c:v>422.8</c:v>
                </c:pt>
                <c:pt idx="906">
                  <c:v>421.9</c:v>
                </c:pt>
                <c:pt idx="907">
                  <c:v>420.9</c:v>
                </c:pt>
                <c:pt idx="908">
                  <c:v>420</c:v>
                </c:pt>
                <c:pt idx="909">
                  <c:v>419</c:v>
                </c:pt>
                <c:pt idx="910">
                  <c:v>418.1</c:v>
                </c:pt>
                <c:pt idx="911">
                  <c:v>417.1</c:v>
                </c:pt>
                <c:pt idx="912">
                  <c:v>416.2</c:v>
                </c:pt>
                <c:pt idx="913">
                  <c:v>415.2</c:v>
                </c:pt>
                <c:pt idx="914">
                  <c:v>414.3</c:v>
                </c:pt>
                <c:pt idx="915">
                  <c:v>413.3</c:v>
                </c:pt>
                <c:pt idx="916">
                  <c:v>412.4</c:v>
                </c:pt>
                <c:pt idx="917">
                  <c:v>411.4</c:v>
                </c:pt>
                <c:pt idx="918">
                  <c:v>410.5</c:v>
                </c:pt>
                <c:pt idx="919">
                  <c:v>409.5</c:v>
                </c:pt>
                <c:pt idx="920">
                  <c:v>408.6</c:v>
                </c:pt>
                <c:pt idx="921">
                  <c:v>407.6</c:v>
                </c:pt>
                <c:pt idx="922">
                  <c:v>406.7</c:v>
                </c:pt>
                <c:pt idx="923">
                  <c:v>405.7</c:v>
                </c:pt>
                <c:pt idx="924">
                  <c:v>404.8</c:v>
                </c:pt>
                <c:pt idx="925">
                  <c:v>403.8</c:v>
                </c:pt>
                <c:pt idx="926">
                  <c:v>402.9</c:v>
                </c:pt>
                <c:pt idx="927">
                  <c:v>401.9</c:v>
                </c:pt>
                <c:pt idx="928">
                  <c:v>401</c:v>
                </c:pt>
                <c:pt idx="929">
                  <c:v>400</c:v>
                </c:pt>
                <c:pt idx="930">
                  <c:v>399.1</c:v>
                </c:pt>
                <c:pt idx="931">
                  <c:v>398.1</c:v>
                </c:pt>
                <c:pt idx="932">
                  <c:v>397.2</c:v>
                </c:pt>
                <c:pt idx="933">
                  <c:v>396.2</c:v>
                </c:pt>
                <c:pt idx="934">
                  <c:v>395.3</c:v>
                </c:pt>
                <c:pt idx="935">
                  <c:v>394.3</c:v>
                </c:pt>
                <c:pt idx="936">
                  <c:v>393.4</c:v>
                </c:pt>
                <c:pt idx="937">
                  <c:v>392.4</c:v>
                </c:pt>
                <c:pt idx="938">
                  <c:v>391.5</c:v>
                </c:pt>
                <c:pt idx="939">
                  <c:v>390.5</c:v>
                </c:pt>
                <c:pt idx="940">
                  <c:v>389.6</c:v>
                </c:pt>
                <c:pt idx="941">
                  <c:v>388.6</c:v>
                </c:pt>
                <c:pt idx="942">
                  <c:v>387.7</c:v>
                </c:pt>
                <c:pt idx="943">
                  <c:v>386.7</c:v>
                </c:pt>
                <c:pt idx="944">
                  <c:v>385.8</c:v>
                </c:pt>
                <c:pt idx="945">
                  <c:v>384.8</c:v>
                </c:pt>
                <c:pt idx="946">
                  <c:v>383.9</c:v>
                </c:pt>
                <c:pt idx="947">
                  <c:v>382.9</c:v>
                </c:pt>
                <c:pt idx="948">
                  <c:v>382</c:v>
                </c:pt>
                <c:pt idx="949">
                  <c:v>381</c:v>
                </c:pt>
                <c:pt idx="950">
                  <c:v>380.1</c:v>
                </c:pt>
                <c:pt idx="951">
                  <c:v>379.1</c:v>
                </c:pt>
                <c:pt idx="952">
                  <c:v>378.2</c:v>
                </c:pt>
                <c:pt idx="953">
                  <c:v>377.2</c:v>
                </c:pt>
                <c:pt idx="954">
                  <c:v>376.3</c:v>
                </c:pt>
                <c:pt idx="955">
                  <c:v>375.3</c:v>
                </c:pt>
                <c:pt idx="956">
                  <c:v>374.4</c:v>
                </c:pt>
                <c:pt idx="957">
                  <c:v>373.4</c:v>
                </c:pt>
                <c:pt idx="958">
                  <c:v>372.5</c:v>
                </c:pt>
                <c:pt idx="959">
                  <c:v>371.5</c:v>
                </c:pt>
                <c:pt idx="960">
                  <c:v>370.6</c:v>
                </c:pt>
                <c:pt idx="961">
                  <c:v>369.6</c:v>
                </c:pt>
                <c:pt idx="962">
                  <c:v>368.7</c:v>
                </c:pt>
                <c:pt idx="963">
                  <c:v>367.7</c:v>
                </c:pt>
                <c:pt idx="964">
                  <c:v>366.8</c:v>
                </c:pt>
                <c:pt idx="965">
                  <c:v>365.8</c:v>
                </c:pt>
                <c:pt idx="966">
                  <c:v>364.9</c:v>
                </c:pt>
                <c:pt idx="967">
                  <c:v>363.9</c:v>
                </c:pt>
                <c:pt idx="968">
                  <c:v>363</c:v>
                </c:pt>
                <c:pt idx="969">
                  <c:v>362</c:v>
                </c:pt>
                <c:pt idx="970">
                  <c:v>361.1</c:v>
                </c:pt>
                <c:pt idx="971">
                  <c:v>360.1</c:v>
                </c:pt>
                <c:pt idx="972">
                  <c:v>359.2</c:v>
                </c:pt>
                <c:pt idx="973">
                  <c:v>358.2</c:v>
                </c:pt>
                <c:pt idx="974">
                  <c:v>357.3</c:v>
                </c:pt>
                <c:pt idx="975">
                  <c:v>356.3</c:v>
                </c:pt>
                <c:pt idx="976">
                  <c:v>355.4</c:v>
                </c:pt>
                <c:pt idx="977">
                  <c:v>354.4</c:v>
                </c:pt>
                <c:pt idx="978">
                  <c:v>353.5</c:v>
                </c:pt>
                <c:pt idx="979">
                  <c:v>352.5</c:v>
                </c:pt>
                <c:pt idx="980">
                  <c:v>351.6</c:v>
                </c:pt>
                <c:pt idx="981">
                  <c:v>350.6</c:v>
                </c:pt>
                <c:pt idx="982">
                  <c:v>349.7</c:v>
                </c:pt>
                <c:pt idx="983">
                  <c:v>348.7</c:v>
                </c:pt>
                <c:pt idx="984">
                  <c:v>347.8</c:v>
                </c:pt>
                <c:pt idx="985">
                  <c:v>346.8</c:v>
                </c:pt>
                <c:pt idx="986">
                  <c:v>345.9</c:v>
                </c:pt>
                <c:pt idx="987">
                  <c:v>344.9</c:v>
                </c:pt>
                <c:pt idx="988">
                  <c:v>344</c:v>
                </c:pt>
                <c:pt idx="989">
                  <c:v>343</c:v>
                </c:pt>
                <c:pt idx="990">
                  <c:v>342.1</c:v>
                </c:pt>
                <c:pt idx="991">
                  <c:v>341.1</c:v>
                </c:pt>
                <c:pt idx="992">
                  <c:v>340.2</c:v>
                </c:pt>
                <c:pt idx="993">
                  <c:v>339.2</c:v>
                </c:pt>
                <c:pt idx="994">
                  <c:v>338.3</c:v>
                </c:pt>
                <c:pt idx="995">
                  <c:v>337.3</c:v>
                </c:pt>
                <c:pt idx="996">
                  <c:v>336.4</c:v>
                </c:pt>
                <c:pt idx="997">
                  <c:v>335.4</c:v>
                </c:pt>
                <c:pt idx="998">
                  <c:v>334.5</c:v>
                </c:pt>
                <c:pt idx="999">
                  <c:v>333.5</c:v>
                </c:pt>
                <c:pt idx="1000">
                  <c:v>332.6</c:v>
                </c:pt>
                <c:pt idx="1001">
                  <c:v>331.6</c:v>
                </c:pt>
                <c:pt idx="1002">
                  <c:v>330.7</c:v>
                </c:pt>
                <c:pt idx="1003">
                  <c:v>329.7</c:v>
                </c:pt>
                <c:pt idx="1004">
                  <c:v>328.8</c:v>
                </c:pt>
                <c:pt idx="1005">
                  <c:v>327.8</c:v>
                </c:pt>
                <c:pt idx="1006">
                  <c:v>326.89999999999998</c:v>
                </c:pt>
                <c:pt idx="1007">
                  <c:v>325.89999999999998</c:v>
                </c:pt>
                <c:pt idx="1008">
                  <c:v>325</c:v>
                </c:pt>
                <c:pt idx="1009">
                  <c:v>324</c:v>
                </c:pt>
                <c:pt idx="1010">
                  <c:v>323.10000000000002</c:v>
                </c:pt>
                <c:pt idx="1011">
                  <c:v>322.10000000000002</c:v>
                </c:pt>
                <c:pt idx="1012">
                  <c:v>321.2</c:v>
                </c:pt>
                <c:pt idx="1013">
                  <c:v>320.2</c:v>
                </c:pt>
                <c:pt idx="1014">
                  <c:v>319.2</c:v>
                </c:pt>
                <c:pt idx="1015">
                  <c:v>318.3</c:v>
                </c:pt>
                <c:pt idx="1016">
                  <c:v>317.3</c:v>
                </c:pt>
                <c:pt idx="1017">
                  <c:v>316.39999999999998</c:v>
                </c:pt>
                <c:pt idx="1018">
                  <c:v>315.39999999999998</c:v>
                </c:pt>
                <c:pt idx="1019">
                  <c:v>314.5</c:v>
                </c:pt>
                <c:pt idx="1020">
                  <c:v>313.5</c:v>
                </c:pt>
                <c:pt idx="1021">
                  <c:v>312.60000000000002</c:v>
                </c:pt>
                <c:pt idx="1022">
                  <c:v>311.60000000000002</c:v>
                </c:pt>
                <c:pt idx="1023">
                  <c:v>310.7</c:v>
                </c:pt>
                <c:pt idx="1024">
                  <c:v>309.7</c:v>
                </c:pt>
                <c:pt idx="1025">
                  <c:v>308.8</c:v>
                </c:pt>
                <c:pt idx="1026">
                  <c:v>307.8</c:v>
                </c:pt>
                <c:pt idx="1027">
                  <c:v>306.89999999999998</c:v>
                </c:pt>
                <c:pt idx="1028">
                  <c:v>305.89999999999998</c:v>
                </c:pt>
                <c:pt idx="1029">
                  <c:v>305</c:v>
                </c:pt>
                <c:pt idx="1030">
                  <c:v>304</c:v>
                </c:pt>
                <c:pt idx="1031">
                  <c:v>303.10000000000002</c:v>
                </c:pt>
                <c:pt idx="1032">
                  <c:v>302.10000000000002</c:v>
                </c:pt>
                <c:pt idx="1033">
                  <c:v>301.2</c:v>
                </c:pt>
                <c:pt idx="1034">
                  <c:v>300.2</c:v>
                </c:pt>
                <c:pt idx="1035">
                  <c:v>299.3</c:v>
                </c:pt>
                <c:pt idx="1036">
                  <c:v>298.3</c:v>
                </c:pt>
                <c:pt idx="1037">
                  <c:v>297.39999999999998</c:v>
                </c:pt>
                <c:pt idx="1038">
                  <c:v>296.39999999999998</c:v>
                </c:pt>
                <c:pt idx="1039">
                  <c:v>295.5</c:v>
                </c:pt>
                <c:pt idx="1040">
                  <c:v>294.5</c:v>
                </c:pt>
                <c:pt idx="1041">
                  <c:v>293.60000000000002</c:v>
                </c:pt>
                <c:pt idx="1042">
                  <c:v>292.60000000000002</c:v>
                </c:pt>
                <c:pt idx="1043">
                  <c:v>291.7</c:v>
                </c:pt>
                <c:pt idx="1044">
                  <c:v>290.7</c:v>
                </c:pt>
                <c:pt idx="1045">
                  <c:v>289.8</c:v>
                </c:pt>
                <c:pt idx="1046">
                  <c:v>288.8</c:v>
                </c:pt>
                <c:pt idx="1047">
                  <c:v>287.89999999999998</c:v>
                </c:pt>
                <c:pt idx="1048">
                  <c:v>286.89999999999998</c:v>
                </c:pt>
                <c:pt idx="1049">
                  <c:v>286</c:v>
                </c:pt>
                <c:pt idx="1050">
                  <c:v>285</c:v>
                </c:pt>
                <c:pt idx="1051">
                  <c:v>284.10000000000002</c:v>
                </c:pt>
                <c:pt idx="1052">
                  <c:v>283.10000000000002</c:v>
                </c:pt>
                <c:pt idx="1053">
                  <c:v>282.2</c:v>
                </c:pt>
                <c:pt idx="1054">
                  <c:v>281.2</c:v>
                </c:pt>
                <c:pt idx="1055">
                  <c:v>280.3</c:v>
                </c:pt>
                <c:pt idx="1056">
                  <c:v>279.3</c:v>
                </c:pt>
                <c:pt idx="1057">
                  <c:v>278.39999999999998</c:v>
                </c:pt>
                <c:pt idx="1058">
                  <c:v>277.39999999999998</c:v>
                </c:pt>
                <c:pt idx="1059">
                  <c:v>276.5</c:v>
                </c:pt>
                <c:pt idx="1060">
                  <c:v>275.5</c:v>
                </c:pt>
                <c:pt idx="1061">
                  <c:v>274.60000000000002</c:v>
                </c:pt>
                <c:pt idx="1062">
                  <c:v>273.60000000000002</c:v>
                </c:pt>
                <c:pt idx="1063">
                  <c:v>272.7</c:v>
                </c:pt>
                <c:pt idx="1064">
                  <c:v>271.7</c:v>
                </c:pt>
                <c:pt idx="1065">
                  <c:v>270.8</c:v>
                </c:pt>
                <c:pt idx="1066">
                  <c:v>269.8</c:v>
                </c:pt>
                <c:pt idx="1067">
                  <c:v>268.89999999999998</c:v>
                </c:pt>
                <c:pt idx="1068">
                  <c:v>267.89999999999998</c:v>
                </c:pt>
                <c:pt idx="1069">
                  <c:v>267</c:v>
                </c:pt>
                <c:pt idx="1070">
                  <c:v>266</c:v>
                </c:pt>
                <c:pt idx="1071">
                  <c:v>265.10000000000002</c:v>
                </c:pt>
                <c:pt idx="1072">
                  <c:v>264.10000000000002</c:v>
                </c:pt>
                <c:pt idx="1073">
                  <c:v>263.2</c:v>
                </c:pt>
                <c:pt idx="1074">
                  <c:v>262.2</c:v>
                </c:pt>
                <c:pt idx="1075">
                  <c:v>261.3</c:v>
                </c:pt>
                <c:pt idx="1076">
                  <c:v>260.3</c:v>
                </c:pt>
                <c:pt idx="1077">
                  <c:v>259.39999999999998</c:v>
                </c:pt>
                <c:pt idx="1078">
                  <c:v>258.39999999999998</c:v>
                </c:pt>
                <c:pt idx="1079">
                  <c:v>257.5</c:v>
                </c:pt>
                <c:pt idx="1080">
                  <c:v>256.5</c:v>
                </c:pt>
                <c:pt idx="1081">
                  <c:v>255.6</c:v>
                </c:pt>
                <c:pt idx="1082">
                  <c:v>254.6</c:v>
                </c:pt>
                <c:pt idx="1083">
                  <c:v>253.7</c:v>
                </c:pt>
                <c:pt idx="1084">
                  <c:v>252.7</c:v>
                </c:pt>
                <c:pt idx="1085">
                  <c:v>251.8</c:v>
                </c:pt>
                <c:pt idx="1086">
                  <c:v>250.8</c:v>
                </c:pt>
                <c:pt idx="1087">
                  <c:v>249.9</c:v>
                </c:pt>
                <c:pt idx="1088">
                  <c:v>248.9</c:v>
                </c:pt>
                <c:pt idx="1089">
                  <c:v>248</c:v>
                </c:pt>
                <c:pt idx="1090">
                  <c:v>247</c:v>
                </c:pt>
                <c:pt idx="1091">
                  <c:v>246.1</c:v>
                </c:pt>
                <c:pt idx="1092">
                  <c:v>245.1</c:v>
                </c:pt>
                <c:pt idx="1093">
                  <c:v>244.2</c:v>
                </c:pt>
                <c:pt idx="1094">
                  <c:v>243.2</c:v>
                </c:pt>
                <c:pt idx="1095">
                  <c:v>242.3</c:v>
                </c:pt>
                <c:pt idx="1096">
                  <c:v>241.3</c:v>
                </c:pt>
                <c:pt idx="1097">
                  <c:v>240.4</c:v>
                </c:pt>
                <c:pt idx="1098">
                  <c:v>239.4</c:v>
                </c:pt>
                <c:pt idx="1099">
                  <c:v>238.5</c:v>
                </c:pt>
                <c:pt idx="1100">
                  <c:v>237.5</c:v>
                </c:pt>
                <c:pt idx="1101">
                  <c:v>236.6</c:v>
                </c:pt>
                <c:pt idx="1102">
                  <c:v>235.6</c:v>
                </c:pt>
                <c:pt idx="1103">
                  <c:v>234.7</c:v>
                </c:pt>
                <c:pt idx="1104">
                  <c:v>233.7</c:v>
                </c:pt>
                <c:pt idx="1105">
                  <c:v>232.8</c:v>
                </c:pt>
                <c:pt idx="1106">
                  <c:v>231.8</c:v>
                </c:pt>
                <c:pt idx="1107">
                  <c:v>230.9</c:v>
                </c:pt>
                <c:pt idx="1108">
                  <c:v>229.9</c:v>
                </c:pt>
                <c:pt idx="1109">
                  <c:v>229</c:v>
                </c:pt>
                <c:pt idx="1110">
                  <c:v>228</c:v>
                </c:pt>
                <c:pt idx="1111">
                  <c:v>227.1</c:v>
                </c:pt>
                <c:pt idx="1112">
                  <c:v>226.1</c:v>
                </c:pt>
                <c:pt idx="1113">
                  <c:v>225.2</c:v>
                </c:pt>
                <c:pt idx="1114">
                  <c:v>224.2</c:v>
                </c:pt>
                <c:pt idx="1115">
                  <c:v>223.3</c:v>
                </c:pt>
                <c:pt idx="1116">
                  <c:v>222.3</c:v>
                </c:pt>
                <c:pt idx="1117">
                  <c:v>221.4</c:v>
                </c:pt>
                <c:pt idx="1118">
                  <c:v>220.4</c:v>
                </c:pt>
                <c:pt idx="1119">
                  <c:v>219.5</c:v>
                </c:pt>
                <c:pt idx="1120">
                  <c:v>218.5</c:v>
                </c:pt>
                <c:pt idx="1121">
                  <c:v>217.6</c:v>
                </c:pt>
                <c:pt idx="1122">
                  <c:v>216.6</c:v>
                </c:pt>
                <c:pt idx="1123">
                  <c:v>215.7</c:v>
                </c:pt>
                <c:pt idx="1124">
                  <c:v>214.7</c:v>
                </c:pt>
                <c:pt idx="1125">
                  <c:v>213.8</c:v>
                </c:pt>
                <c:pt idx="1126">
                  <c:v>212.8</c:v>
                </c:pt>
                <c:pt idx="1127">
                  <c:v>211.9</c:v>
                </c:pt>
                <c:pt idx="1128">
                  <c:v>210.9</c:v>
                </c:pt>
                <c:pt idx="1129">
                  <c:v>210</c:v>
                </c:pt>
                <c:pt idx="1130">
                  <c:v>209</c:v>
                </c:pt>
                <c:pt idx="1131">
                  <c:v>208.1</c:v>
                </c:pt>
                <c:pt idx="1132">
                  <c:v>207.1</c:v>
                </c:pt>
                <c:pt idx="1133">
                  <c:v>206.2</c:v>
                </c:pt>
                <c:pt idx="1134">
                  <c:v>205.2</c:v>
                </c:pt>
                <c:pt idx="1135">
                  <c:v>204.3</c:v>
                </c:pt>
                <c:pt idx="1136">
                  <c:v>203.3</c:v>
                </c:pt>
                <c:pt idx="1137">
                  <c:v>202.4</c:v>
                </c:pt>
                <c:pt idx="1138">
                  <c:v>201.4</c:v>
                </c:pt>
                <c:pt idx="1139">
                  <c:v>200.4</c:v>
                </c:pt>
                <c:pt idx="1140">
                  <c:v>199.5</c:v>
                </c:pt>
                <c:pt idx="1141">
                  <c:v>198.5</c:v>
                </c:pt>
                <c:pt idx="1142">
                  <c:v>197.6</c:v>
                </c:pt>
                <c:pt idx="1143">
                  <c:v>196.6</c:v>
                </c:pt>
                <c:pt idx="1144">
                  <c:v>195.7</c:v>
                </c:pt>
                <c:pt idx="1145">
                  <c:v>194.7</c:v>
                </c:pt>
                <c:pt idx="1146">
                  <c:v>193.8</c:v>
                </c:pt>
                <c:pt idx="1147">
                  <c:v>192.8</c:v>
                </c:pt>
                <c:pt idx="1148">
                  <c:v>191.9</c:v>
                </c:pt>
                <c:pt idx="1149">
                  <c:v>190.9</c:v>
                </c:pt>
                <c:pt idx="1150">
                  <c:v>190</c:v>
                </c:pt>
                <c:pt idx="1151">
                  <c:v>189</c:v>
                </c:pt>
                <c:pt idx="1152">
                  <c:v>188.1</c:v>
                </c:pt>
                <c:pt idx="1153">
                  <c:v>187.1</c:v>
                </c:pt>
                <c:pt idx="1154">
                  <c:v>186.2</c:v>
                </c:pt>
                <c:pt idx="1155">
                  <c:v>185.2</c:v>
                </c:pt>
                <c:pt idx="1156">
                  <c:v>184.3</c:v>
                </c:pt>
                <c:pt idx="1157">
                  <c:v>183.3</c:v>
                </c:pt>
                <c:pt idx="1158">
                  <c:v>182.4</c:v>
                </c:pt>
                <c:pt idx="1159">
                  <c:v>181.4</c:v>
                </c:pt>
                <c:pt idx="1160">
                  <c:v>180.5</c:v>
                </c:pt>
                <c:pt idx="1161">
                  <c:v>179.5</c:v>
                </c:pt>
                <c:pt idx="1162">
                  <c:v>178.6</c:v>
                </c:pt>
                <c:pt idx="1163">
                  <c:v>177.6</c:v>
                </c:pt>
                <c:pt idx="1164">
                  <c:v>176.7</c:v>
                </c:pt>
                <c:pt idx="1165">
                  <c:v>175.7</c:v>
                </c:pt>
                <c:pt idx="1166">
                  <c:v>174.8</c:v>
                </c:pt>
                <c:pt idx="1167">
                  <c:v>173.8</c:v>
                </c:pt>
                <c:pt idx="1168">
                  <c:v>172.9</c:v>
                </c:pt>
                <c:pt idx="1169">
                  <c:v>171.9</c:v>
                </c:pt>
                <c:pt idx="1170">
                  <c:v>171</c:v>
                </c:pt>
                <c:pt idx="1171">
                  <c:v>170</c:v>
                </c:pt>
                <c:pt idx="1172">
                  <c:v>169.1</c:v>
                </c:pt>
                <c:pt idx="1173">
                  <c:v>168.1</c:v>
                </c:pt>
                <c:pt idx="1174">
                  <c:v>167.2</c:v>
                </c:pt>
                <c:pt idx="1175">
                  <c:v>166.2</c:v>
                </c:pt>
                <c:pt idx="1176">
                  <c:v>165.3</c:v>
                </c:pt>
                <c:pt idx="1177">
                  <c:v>164.3</c:v>
                </c:pt>
                <c:pt idx="1178">
                  <c:v>163.4</c:v>
                </c:pt>
                <c:pt idx="1179">
                  <c:v>162.4</c:v>
                </c:pt>
                <c:pt idx="1180">
                  <c:v>161.5</c:v>
                </c:pt>
                <c:pt idx="1181">
                  <c:v>160.5</c:v>
                </c:pt>
                <c:pt idx="1182">
                  <c:v>159.6</c:v>
                </c:pt>
                <c:pt idx="1183">
                  <c:v>158.6</c:v>
                </c:pt>
                <c:pt idx="1184">
                  <c:v>157.69999999999999</c:v>
                </c:pt>
                <c:pt idx="1185">
                  <c:v>156.69999999999999</c:v>
                </c:pt>
                <c:pt idx="1186">
                  <c:v>155.80000000000001</c:v>
                </c:pt>
                <c:pt idx="1187">
                  <c:v>154.80000000000001</c:v>
                </c:pt>
                <c:pt idx="1188">
                  <c:v>153.9</c:v>
                </c:pt>
                <c:pt idx="1189">
                  <c:v>152.9</c:v>
                </c:pt>
                <c:pt idx="1190">
                  <c:v>152</c:v>
                </c:pt>
                <c:pt idx="1191">
                  <c:v>151</c:v>
                </c:pt>
                <c:pt idx="1192">
                  <c:v>150.1</c:v>
                </c:pt>
                <c:pt idx="1193">
                  <c:v>149.1</c:v>
                </c:pt>
                <c:pt idx="1194">
                  <c:v>148.19999999999999</c:v>
                </c:pt>
                <c:pt idx="1195">
                  <c:v>147.19999999999999</c:v>
                </c:pt>
                <c:pt idx="1196">
                  <c:v>146.30000000000001</c:v>
                </c:pt>
                <c:pt idx="1197">
                  <c:v>145.30000000000001</c:v>
                </c:pt>
                <c:pt idx="1198">
                  <c:v>144.4</c:v>
                </c:pt>
                <c:pt idx="1199">
                  <c:v>143.4</c:v>
                </c:pt>
                <c:pt idx="1200">
                  <c:v>142.5</c:v>
                </c:pt>
                <c:pt idx="1201">
                  <c:v>141.5</c:v>
                </c:pt>
                <c:pt idx="1202">
                  <c:v>140.6</c:v>
                </c:pt>
                <c:pt idx="1203">
                  <c:v>139.6</c:v>
                </c:pt>
                <c:pt idx="1204">
                  <c:v>138.69999999999999</c:v>
                </c:pt>
                <c:pt idx="1205">
                  <c:v>137.69999999999999</c:v>
                </c:pt>
                <c:pt idx="1206">
                  <c:v>136.80000000000001</c:v>
                </c:pt>
                <c:pt idx="1207">
                  <c:v>135.80000000000001</c:v>
                </c:pt>
                <c:pt idx="1208">
                  <c:v>134.9</c:v>
                </c:pt>
                <c:pt idx="1209">
                  <c:v>133.9</c:v>
                </c:pt>
                <c:pt idx="1210">
                  <c:v>133</c:v>
                </c:pt>
                <c:pt idx="1211">
                  <c:v>132</c:v>
                </c:pt>
                <c:pt idx="1212">
                  <c:v>131.1</c:v>
                </c:pt>
                <c:pt idx="1213">
                  <c:v>130.1</c:v>
                </c:pt>
                <c:pt idx="1214">
                  <c:v>129.19999999999999</c:v>
                </c:pt>
                <c:pt idx="1215">
                  <c:v>128.19999999999999</c:v>
                </c:pt>
                <c:pt idx="1216">
                  <c:v>127.3</c:v>
                </c:pt>
                <c:pt idx="1217">
                  <c:v>126.3</c:v>
                </c:pt>
                <c:pt idx="1218">
                  <c:v>125.4</c:v>
                </c:pt>
                <c:pt idx="1219">
                  <c:v>124.4</c:v>
                </c:pt>
                <c:pt idx="1220">
                  <c:v>123.5</c:v>
                </c:pt>
                <c:pt idx="1221">
                  <c:v>122.5</c:v>
                </c:pt>
                <c:pt idx="1222">
                  <c:v>121.6</c:v>
                </c:pt>
                <c:pt idx="1223">
                  <c:v>120.6</c:v>
                </c:pt>
                <c:pt idx="1224">
                  <c:v>119.7</c:v>
                </c:pt>
                <c:pt idx="1225">
                  <c:v>118.7</c:v>
                </c:pt>
                <c:pt idx="1226">
                  <c:v>118.2</c:v>
                </c:pt>
                <c:pt idx="1227">
                  <c:v>118.2</c:v>
                </c:pt>
                <c:pt idx="1228">
                  <c:v>118.2</c:v>
                </c:pt>
                <c:pt idx="1229">
                  <c:v>118.2</c:v>
                </c:pt>
                <c:pt idx="1230">
                  <c:v>118.2</c:v>
                </c:pt>
                <c:pt idx="1231">
                  <c:v>118.2</c:v>
                </c:pt>
                <c:pt idx="1232">
                  <c:v>118.2</c:v>
                </c:pt>
                <c:pt idx="1233">
                  <c:v>118.2</c:v>
                </c:pt>
                <c:pt idx="1234">
                  <c:v>118.2</c:v>
                </c:pt>
                <c:pt idx="1235">
                  <c:v>118.2</c:v>
                </c:pt>
                <c:pt idx="1236">
                  <c:v>118.2</c:v>
                </c:pt>
                <c:pt idx="1237">
                  <c:v>118.2</c:v>
                </c:pt>
                <c:pt idx="1238">
                  <c:v>118.2</c:v>
                </c:pt>
                <c:pt idx="1239">
                  <c:v>118.2</c:v>
                </c:pt>
                <c:pt idx="1240">
                  <c:v>118.2</c:v>
                </c:pt>
                <c:pt idx="1241">
                  <c:v>118.2</c:v>
                </c:pt>
                <c:pt idx="1242">
                  <c:v>118.2</c:v>
                </c:pt>
                <c:pt idx="1243">
                  <c:v>118.2</c:v>
                </c:pt>
                <c:pt idx="1244">
                  <c:v>118.2</c:v>
                </c:pt>
                <c:pt idx="1245">
                  <c:v>118.2</c:v>
                </c:pt>
                <c:pt idx="1246">
                  <c:v>118.2</c:v>
                </c:pt>
                <c:pt idx="1247">
                  <c:v>118.2</c:v>
                </c:pt>
                <c:pt idx="1248">
                  <c:v>118.2</c:v>
                </c:pt>
                <c:pt idx="1249">
                  <c:v>118.2</c:v>
                </c:pt>
                <c:pt idx="1250">
                  <c:v>118.2</c:v>
                </c:pt>
                <c:pt idx="1251">
                  <c:v>118.2</c:v>
                </c:pt>
                <c:pt idx="1252">
                  <c:v>118.2</c:v>
                </c:pt>
                <c:pt idx="1253">
                  <c:v>118.2</c:v>
                </c:pt>
                <c:pt idx="1254">
                  <c:v>118.2</c:v>
                </c:pt>
                <c:pt idx="1255">
                  <c:v>118.2</c:v>
                </c:pt>
                <c:pt idx="1256">
                  <c:v>118.2</c:v>
                </c:pt>
                <c:pt idx="1257">
                  <c:v>118.2</c:v>
                </c:pt>
                <c:pt idx="1258">
                  <c:v>118.2</c:v>
                </c:pt>
                <c:pt idx="1259">
                  <c:v>118.2</c:v>
                </c:pt>
                <c:pt idx="1260">
                  <c:v>118.2</c:v>
                </c:pt>
                <c:pt idx="1261">
                  <c:v>118.2</c:v>
                </c:pt>
                <c:pt idx="1262">
                  <c:v>118.2</c:v>
                </c:pt>
                <c:pt idx="1263">
                  <c:v>118.2</c:v>
                </c:pt>
                <c:pt idx="1264">
                  <c:v>118.2</c:v>
                </c:pt>
                <c:pt idx="1265">
                  <c:v>118.2</c:v>
                </c:pt>
                <c:pt idx="1266">
                  <c:v>118.2</c:v>
                </c:pt>
                <c:pt idx="1267">
                  <c:v>118.2</c:v>
                </c:pt>
                <c:pt idx="1268">
                  <c:v>118.2</c:v>
                </c:pt>
                <c:pt idx="1269">
                  <c:v>118.2</c:v>
                </c:pt>
                <c:pt idx="1270">
                  <c:v>118.2</c:v>
                </c:pt>
                <c:pt idx="1271">
                  <c:v>118.2</c:v>
                </c:pt>
                <c:pt idx="1272">
                  <c:v>118.2</c:v>
                </c:pt>
                <c:pt idx="1273">
                  <c:v>118.2</c:v>
                </c:pt>
                <c:pt idx="1274">
                  <c:v>118.2</c:v>
                </c:pt>
                <c:pt idx="1275">
                  <c:v>118.2</c:v>
                </c:pt>
                <c:pt idx="1276">
                  <c:v>118.2</c:v>
                </c:pt>
                <c:pt idx="1277">
                  <c:v>118.2</c:v>
                </c:pt>
                <c:pt idx="1278">
                  <c:v>118.2</c:v>
                </c:pt>
                <c:pt idx="1279">
                  <c:v>118.2</c:v>
                </c:pt>
                <c:pt idx="1280">
                  <c:v>118.2</c:v>
                </c:pt>
                <c:pt idx="1281">
                  <c:v>118.2</c:v>
                </c:pt>
                <c:pt idx="1282">
                  <c:v>118.2</c:v>
                </c:pt>
                <c:pt idx="1283">
                  <c:v>118.2</c:v>
                </c:pt>
                <c:pt idx="1284">
                  <c:v>118.2</c:v>
                </c:pt>
                <c:pt idx="1285">
                  <c:v>118.2</c:v>
                </c:pt>
                <c:pt idx="1286">
                  <c:v>118.2</c:v>
                </c:pt>
                <c:pt idx="1287">
                  <c:v>118.2</c:v>
                </c:pt>
                <c:pt idx="1288">
                  <c:v>118.2</c:v>
                </c:pt>
                <c:pt idx="1289">
                  <c:v>118.2</c:v>
                </c:pt>
                <c:pt idx="1290">
                  <c:v>118.2</c:v>
                </c:pt>
                <c:pt idx="1291">
                  <c:v>118.2</c:v>
                </c:pt>
                <c:pt idx="1292">
                  <c:v>118.2</c:v>
                </c:pt>
                <c:pt idx="1293">
                  <c:v>118.2</c:v>
                </c:pt>
                <c:pt idx="1294">
                  <c:v>118.2</c:v>
                </c:pt>
                <c:pt idx="1295">
                  <c:v>118.2</c:v>
                </c:pt>
                <c:pt idx="1296">
                  <c:v>118.2</c:v>
                </c:pt>
                <c:pt idx="1297">
                  <c:v>118.2</c:v>
                </c:pt>
                <c:pt idx="1298">
                  <c:v>118.2</c:v>
                </c:pt>
                <c:pt idx="1299">
                  <c:v>118.2</c:v>
                </c:pt>
                <c:pt idx="1300">
                  <c:v>118.2</c:v>
                </c:pt>
                <c:pt idx="1301">
                  <c:v>118.2</c:v>
                </c:pt>
                <c:pt idx="1302">
                  <c:v>118.2</c:v>
                </c:pt>
                <c:pt idx="1303">
                  <c:v>118.2</c:v>
                </c:pt>
                <c:pt idx="1304">
                  <c:v>118.2</c:v>
                </c:pt>
                <c:pt idx="1305">
                  <c:v>118.2</c:v>
                </c:pt>
                <c:pt idx="1306">
                  <c:v>118.2</c:v>
                </c:pt>
                <c:pt idx="1307">
                  <c:v>118.2</c:v>
                </c:pt>
                <c:pt idx="1308">
                  <c:v>118.2</c:v>
                </c:pt>
                <c:pt idx="1309">
                  <c:v>118.2</c:v>
                </c:pt>
                <c:pt idx="1310">
                  <c:v>118.2</c:v>
                </c:pt>
                <c:pt idx="1311">
                  <c:v>118.2</c:v>
                </c:pt>
                <c:pt idx="1312">
                  <c:v>118.2</c:v>
                </c:pt>
                <c:pt idx="1313">
                  <c:v>118.2</c:v>
                </c:pt>
                <c:pt idx="1314">
                  <c:v>118.2</c:v>
                </c:pt>
                <c:pt idx="1315">
                  <c:v>118.2</c:v>
                </c:pt>
                <c:pt idx="1316">
                  <c:v>118.2</c:v>
                </c:pt>
                <c:pt idx="1317">
                  <c:v>118.2</c:v>
                </c:pt>
                <c:pt idx="1318">
                  <c:v>118.2</c:v>
                </c:pt>
                <c:pt idx="1319">
                  <c:v>118.2</c:v>
                </c:pt>
                <c:pt idx="1320">
                  <c:v>118.2</c:v>
                </c:pt>
                <c:pt idx="1321">
                  <c:v>118.2</c:v>
                </c:pt>
                <c:pt idx="1322">
                  <c:v>118.2</c:v>
                </c:pt>
                <c:pt idx="1323">
                  <c:v>118.2</c:v>
                </c:pt>
                <c:pt idx="1324">
                  <c:v>118.2</c:v>
                </c:pt>
                <c:pt idx="1325">
                  <c:v>118.2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E2-4BAE-B466-E0553DA9DAAF}"/>
            </c:ext>
          </c:extLst>
        </c:ser>
        <c:ser>
          <c:idx val="2"/>
          <c:order val="2"/>
          <c:tx>
            <c:v>Kavernentemperatur [°C]</c:v>
          </c:tx>
          <c:spPr>
            <a:ln w="24120">
              <a:solidFill>
                <a:srgbClr val="D85A3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'Zyklus &amp; Inventar'!$A$35:$A$1360</c:f>
              <c:numCache>
                <c:formatCode>General</c:formatCode>
                <c:ptCount val="132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56.79</c:v>
                </c:pt>
                <c:pt idx="285">
                  <c:v>56.99</c:v>
                </c:pt>
                <c:pt idx="286">
                  <c:v>57.19</c:v>
                </c:pt>
                <c:pt idx="287">
                  <c:v>57.39</c:v>
                </c:pt>
                <c:pt idx="288">
                  <c:v>57.59</c:v>
                </c:pt>
                <c:pt idx="289">
                  <c:v>57.79</c:v>
                </c:pt>
                <c:pt idx="290">
                  <c:v>57.99</c:v>
                </c:pt>
                <c:pt idx="291">
                  <c:v>58.19</c:v>
                </c:pt>
                <c:pt idx="292">
                  <c:v>58.39</c:v>
                </c:pt>
                <c:pt idx="293">
                  <c:v>58.59</c:v>
                </c:pt>
                <c:pt idx="294">
                  <c:v>58.79</c:v>
                </c:pt>
                <c:pt idx="295">
                  <c:v>58.99</c:v>
                </c:pt>
                <c:pt idx="296">
                  <c:v>59.19</c:v>
                </c:pt>
                <c:pt idx="297">
                  <c:v>59.39</c:v>
                </c:pt>
                <c:pt idx="298">
                  <c:v>59.59</c:v>
                </c:pt>
                <c:pt idx="299">
                  <c:v>59.79</c:v>
                </c:pt>
                <c:pt idx="300">
                  <c:v>59.99</c:v>
                </c:pt>
                <c:pt idx="301">
                  <c:v>60.19</c:v>
                </c:pt>
                <c:pt idx="302">
                  <c:v>60.39</c:v>
                </c:pt>
                <c:pt idx="303">
                  <c:v>60.59</c:v>
                </c:pt>
                <c:pt idx="304">
                  <c:v>60.79</c:v>
                </c:pt>
                <c:pt idx="305">
                  <c:v>60.99</c:v>
                </c:pt>
                <c:pt idx="306">
                  <c:v>61.19</c:v>
                </c:pt>
                <c:pt idx="307">
                  <c:v>61.39</c:v>
                </c:pt>
                <c:pt idx="308">
                  <c:v>61.59</c:v>
                </c:pt>
                <c:pt idx="309">
                  <c:v>61.79</c:v>
                </c:pt>
                <c:pt idx="310">
                  <c:v>61.99</c:v>
                </c:pt>
                <c:pt idx="311">
                  <c:v>62.19</c:v>
                </c:pt>
                <c:pt idx="312">
                  <c:v>62.39</c:v>
                </c:pt>
                <c:pt idx="313">
                  <c:v>62.59</c:v>
                </c:pt>
                <c:pt idx="314">
                  <c:v>62.79</c:v>
                </c:pt>
                <c:pt idx="315">
                  <c:v>62.99</c:v>
                </c:pt>
                <c:pt idx="316">
                  <c:v>63.19</c:v>
                </c:pt>
                <c:pt idx="317">
                  <c:v>63.39</c:v>
                </c:pt>
                <c:pt idx="318">
                  <c:v>63.59</c:v>
                </c:pt>
                <c:pt idx="319">
                  <c:v>63.79</c:v>
                </c:pt>
                <c:pt idx="320">
                  <c:v>63.99</c:v>
                </c:pt>
                <c:pt idx="321">
                  <c:v>64.19</c:v>
                </c:pt>
                <c:pt idx="322">
                  <c:v>64.39</c:v>
                </c:pt>
                <c:pt idx="323">
                  <c:v>64.59</c:v>
                </c:pt>
                <c:pt idx="324">
                  <c:v>64.790000000000006</c:v>
                </c:pt>
                <c:pt idx="325">
                  <c:v>64.989999999999995</c:v>
                </c:pt>
                <c:pt idx="326">
                  <c:v>65.19</c:v>
                </c:pt>
                <c:pt idx="327">
                  <c:v>65.39</c:v>
                </c:pt>
                <c:pt idx="328">
                  <c:v>65.59</c:v>
                </c:pt>
                <c:pt idx="329">
                  <c:v>65.790000000000006</c:v>
                </c:pt>
                <c:pt idx="330">
                  <c:v>65.989999999999995</c:v>
                </c:pt>
                <c:pt idx="331">
                  <c:v>66.19</c:v>
                </c:pt>
                <c:pt idx="332">
                  <c:v>66.39</c:v>
                </c:pt>
                <c:pt idx="333">
                  <c:v>66.59</c:v>
                </c:pt>
                <c:pt idx="334">
                  <c:v>66.790000000000006</c:v>
                </c:pt>
                <c:pt idx="335">
                  <c:v>66.989999999999995</c:v>
                </c:pt>
                <c:pt idx="336">
                  <c:v>67.19</c:v>
                </c:pt>
                <c:pt idx="337">
                  <c:v>67.39</c:v>
                </c:pt>
                <c:pt idx="338">
                  <c:v>67.59</c:v>
                </c:pt>
                <c:pt idx="339">
                  <c:v>67.790000000000006</c:v>
                </c:pt>
                <c:pt idx="340">
                  <c:v>67.989999999999995</c:v>
                </c:pt>
                <c:pt idx="341">
                  <c:v>68.19</c:v>
                </c:pt>
                <c:pt idx="342">
                  <c:v>68.39</c:v>
                </c:pt>
                <c:pt idx="343">
                  <c:v>68.59</c:v>
                </c:pt>
                <c:pt idx="344">
                  <c:v>68.790000000000006</c:v>
                </c:pt>
                <c:pt idx="345">
                  <c:v>68.989999999999995</c:v>
                </c:pt>
                <c:pt idx="346">
                  <c:v>69.19</c:v>
                </c:pt>
                <c:pt idx="347">
                  <c:v>69.39</c:v>
                </c:pt>
                <c:pt idx="348">
                  <c:v>69.59</c:v>
                </c:pt>
                <c:pt idx="349">
                  <c:v>69.790000000000006</c:v>
                </c:pt>
                <c:pt idx="350">
                  <c:v>69.989999999999995</c:v>
                </c:pt>
                <c:pt idx="351">
                  <c:v>70.19</c:v>
                </c:pt>
                <c:pt idx="352">
                  <c:v>70.39</c:v>
                </c:pt>
                <c:pt idx="353">
                  <c:v>70.59</c:v>
                </c:pt>
                <c:pt idx="354">
                  <c:v>70.790000000000006</c:v>
                </c:pt>
                <c:pt idx="355">
                  <c:v>70.989999999999995</c:v>
                </c:pt>
                <c:pt idx="356">
                  <c:v>71.19</c:v>
                </c:pt>
                <c:pt idx="357">
                  <c:v>71.39</c:v>
                </c:pt>
                <c:pt idx="358">
                  <c:v>71.59</c:v>
                </c:pt>
                <c:pt idx="359">
                  <c:v>71.790000000000006</c:v>
                </c:pt>
                <c:pt idx="360">
                  <c:v>71.989999999999995</c:v>
                </c:pt>
                <c:pt idx="361">
                  <c:v>72.19</c:v>
                </c:pt>
                <c:pt idx="362">
                  <c:v>72.39</c:v>
                </c:pt>
                <c:pt idx="363">
                  <c:v>72.59</c:v>
                </c:pt>
                <c:pt idx="364">
                  <c:v>72.790000000000006</c:v>
                </c:pt>
                <c:pt idx="365">
                  <c:v>72.989999999999995</c:v>
                </c:pt>
                <c:pt idx="366">
                  <c:v>73.19</c:v>
                </c:pt>
                <c:pt idx="367">
                  <c:v>73.39</c:v>
                </c:pt>
                <c:pt idx="368">
                  <c:v>73.59</c:v>
                </c:pt>
                <c:pt idx="369">
                  <c:v>73.790000000000006</c:v>
                </c:pt>
                <c:pt idx="370">
                  <c:v>73.989999999999995</c:v>
                </c:pt>
                <c:pt idx="371">
                  <c:v>74.19</c:v>
                </c:pt>
                <c:pt idx="372">
                  <c:v>74.39</c:v>
                </c:pt>
                <c:pt idx="373">
                  <c:v>74.59</c:v>
                </c:pt>
                <c:pt idx="374">
                  <c:v>74.790000000000006</c:v>
                </c:pt>
                <c:pt idx="375">
                  <c:v>74.989999999999995</c:v>
                </c:pt>
                <c:pt idx="376">
                  <c:v>75.19</c:v>
                </c:pt>
                <c:pt idx="377">
                  <c:v>75.39</c:v>
                </c:pt>
                <c:pt idx="378">
                  <c:v>75.59</c:v>
                </c:pt>
                <c:pt idx="379">
                  <c:v>75.790000000000006</c:v>
                </c:pt>
                <c:pt idx="380">
                  <c:v>75.989999999999995</c:v>
                </c:pt>
                <c:pt idx="381">
                  <c:v>76.19</c:v>
                </c:pt>
                <c:pt idx="382">
                  <c:v>76.39</c:v>
                </c:pt>
                <c:pt idx="383">
                  <c:v>76.59</c:v>
                </c:pt>
                <c:pt idx="384">
                  <c:v>76.790000000000006</c:v>
                </c:pt>
                <c:pt idx="385">
                  <c:v>76.989999999999995</c:v>
                </c:pt>
                <c:pt idx="386">
                  <c:v>77.19</c:v>
                </c:pt>
                <c:pt idx="387">
                  <c:v>77.39</c:v>
                </c:pt>
                <c:pt idx="388">
                  <c:v>77.59</c:v>
                </c:pt>
                <c:pt idx="389">
                  <c:v>77.790000000000006</c:v>
                </c:pt>
                <c:pt idx="390">
                  <c:v>77.989999999999995</c:v>
                </c:pt>
                <c:pt idx="391">
                  <c:v>78.19</c:v>
                </c:pt>
                <c:pt idx="392">
                  <c:v>78.39</c:v>
                </c:pt>
                <c:pt idx="393">
                  <c:v>78.58</c:v>
                </c:pt>
                <c:pt idx="394">
                  <c:v>78.78</c:v>
                </c:pt>
                <c:pt idx="395">
                  <c:v>78.98</c:v>
                </c:pt>
                <c:pt idx="396">
                  <c:v>79.180000000000007</c:v>
                </c:pt>
                <c:pt idx="397">
                  <c:v>79.38</c:v>
                </c:pt>
                <c:pt idx="398">
                  <c:v>79.58</c:v>
                </c:pt>
                <c:pt idx="399">
                  <c:v>79.78</c:v>
                </c:pt>
                <c:pt idx="400">
                  <c:v>79.98</c:v>
                </c:pt>
                <c:pt idx="401">
                  <c:v>80.180000000000007</c:v>
                </c:pt>
                <c:pt idx="402">
                  <c:v>80.38</c:v>
                </c:pt>
                <c:pt idx="403">
                  <c:v>80.58</c:v>
                </c:pt>
                <c:pt idx="404">
                  <c:v>80.78</c:v>
                </c:pt>
                <c:pt idx="405">
                  <c:v>80.98</c:v>
                </c:pt>
                <c:pt idx="406">
                  <c:v>81.180000000000007</c:v>
                </c:pt>
                <c:pt idx="407">
                  <c:v>81.38</c:v>
                </c:pt>
                <c:pt idx="408">
                  <c:v>81.58</c:v>
                </c:pt>
                <c:pt idx="409">
                  <c:v>81.78</c:v>
                </c:pt>
                <c:pt idx="410">
                  <c:v>81.98</c:v>
                </c:pt>
                <c:pt idx="411">
                  <c:v>82.18</c:v>
                </c:pt>
                <c:pt idx="412">
                  <c:v>82.38</c:v>
                </c:pt>
                <c:pt idx="413">
                  <c:v>82.58</c:v>
                </c:pt>
                <c:pt idx="414">
                  <c:v>82.78</c:v>
                </c:pt>
                <c:pt idx="415">
                  <c:v>82.98</c:v>
                </c:pt>
                <c:pt idx="416">
                  <c:v>83.18</c:v>
                </c:pt>
                <c:pt idx="417">
                  <c:v>83.38</c:v>
                </c:pt>
                <c:pt idx="418">
                  <c:v>83.58</c:v>
                </c:pt>
                <c:pt idx="419">
                  <c:v>83.78</c:v>
                </c:pt>
                <c:pt idx="420">
                  <c:v>83.98</c:v>
                </c:pt>
                <c:pt idx="421">
                  <c:v>84.18</c:v>
                </c:pt>
                <c:pt idx="422">
                  <c:v>84.38</c:v>
                </c:pt>
                <c:pt idx="423">
                  <c:v>84.58</c:v>
                </c:pt>
                <c:pt idx="424">
                  <c:v>84.78</c:v>
                </c:pt>
                <c:pt idx="425">
                  <c:v>84.98</c:v>
                </c:pt>
                <c:pt idx="426">
                  <c:v>85.18</c:v>
                </c:pt>
                <c:pt idx="427">
                  <c:v>85.38</c:v>
                </c:pt>
                <c:pt idx="428">
                  <c:v>85.58</c:v>
                </c:pt>
                <c:pt idx="429">
                  <c:v>85.78</c:v>
                </c:pt>
                <c:pt idx="430">
                  <c:v>85.98</c:v>
                </c:pt>
                <c:pt idx="431">
                  <c:v>86.18</c:v>
                </c:pt>
                <c:pt idx="432">
                  <c:v>86.38</c:v>
                </c:pt>
                <c:pt idx="433">
                  <c:v>86.58</c:v>
                </c:pt>
                <c:pt idx="434">
                  <c:v>86.78</c:v>
                </c:pt>
                <c:pt idx="435">
                  <c:v>86.98</c:v>
                </c:pt>
                <c:pt idx="436">
                  <c:v>87.18</c:v>
                </c:pt>
                <c:pt idx="437">
                  <c:v>87.38</c:v>
                </c:pt>
                <c:pt idx="438">
                  <c:v>87.58</c:v>
                </c:pt>
                <c:pt idx="439">
                  <c:v>87.78</c:v>
                </c:pt>
                <c:pt idx="440">
                  <c:v>87.98</c:v>
                </c:pt>
                <c:pt idx="441">
                  <c:v>88.18</c:v>
                </c:pt>
                <c:pt idx="442">
                  <c:v>88.38</c:v>
                </c:pt>
                <c:pt idx="443">
                  <c:v>88.58</c:v>
                </c:pt>
                <c:pt idx="444">
                  <c:v>88.78</c:v>
                </c:pt>
                <c:pt idx="445">
                  <c:v>88.98</c:v>
                </c:pt>
                <c:pt idx="446">
                  <c:v>89.18</c:v>
                </c:pt>
                <c:pt idx="447">
                  <c:v>89.38</c:v>
                </c:pt>
                <c:pt idx="448">
                  <c:v>89.58</c:v>
                </c:pt>
                <c:pt idx="449">
                  <c:v>89.78</c:v>
                </c:pt>
                <c:pt idx="450">
                  <c:v>89.98</c:v>
                </c:pt>
                <c:pt idx="451">
                  <c:v>90.18</c:v>
                </c:pt>
                <c:pt idx="452">
                  <c:v>90.38</c:v>
                </c:pt>
                <c:pt idx="453">
                  <c:v>90.58</c:v>
                </c:pt>
                <c:pt idx="454">
                  <c:v>90.78</c:v>
                </c:pt>
                <c:pt idx="455">
                  <c:v>90.98</c:v>
                </c:pt>
                <c:pt idx="456">
                  <c:v>91.18</c:v>
                </c:pt>
                <c:pt idx="457">
                  <c:v>91.38</c:v>
                </c:pt>
                <c:pt idx="458">
                  <c:v>91.58</c:v>
                </c:pt>
                <c:pt idx="459">
                  <c:v>91.78</c:v>
                </c:pt>
                <c:pt idx="460">
                  <c:v>91.98</c:v>
                </c:pt>
                <c:pt idx="461">
                  <c:v>92.18</c:v>
                </c:pt>
                <c:pt idx="462">
                  <c:v>92.38</c:v>
                </c:pt>
                <c:pt idx="463">
                  <c:v>92.58</c:v>
                </c:pt>
                <c:pt idx="464">
                  <c:v>92.78</c:v>
                </c:pt>
                <c:pt idx="465">
                  <c:v>92.98</c:v>
                </c:pt>
                <c:pt idx="466">
                  <c:v>93.18</c:v>
                </c:pt>
                <c:pt idx="467">
                  <c:v>93.38</c:v>
                </c:pt>
                <c:pt idx="468">
                  <c:v>93.58</c:v>
                </c:pt>
                <c:pt idx="469">
                  <c:v>93.78</c:v>
                </c:pt>
                <c:pt idx="470">
                  <c:v>93.98</c:v>
                </c:pt>
                <c:pt idx="471">
                  <c:v>94.18</c:v>
                </c:pt>
                <c:pt idx="472">
                  <c:v>94.38</c:v>
                </c:pt>
                <c:pt idx="473">
                  <c:v>94.58</c:v>
                </c:pt>
                <c:pt idx="474">
                  <c:v>94.78</c:v>
                </c:pt>
                <c:pt idx="475">
                  <c:v>94.98</c:v>
                </c:pt>
                <c:pt idx="476">
                  <c:v>95.18</c:v>
                </c:pt>
                <c:pt idx="477">
                  <c:v>95.38</c:v>
                </c:pt>
                <c:pt idx="478">
                  <c:v>95.58</c:v>
                </c:pt>
                <c:pt idx="479">
                  <c:v>95.78</c:v>
                </c:pt>
                <c:pt idx="480">
                  <c:v>95.98</c:v>
                </c:pt>
                <c:pt idx="481">
                  <c:v>96.18</c:v>
                </c:pt>
                <c:pt idx="482">
                  <c:v>96.38</c:v>
                </c:pt>
                <c:pt idx="483">
                  <c:v>96.58</c:v>
                </c:pt>
                <c:pt idx="484">
                  <c:v>96.78</c:v>
                </c:pt>
                <c:pt idx="485">
                  <c:v>96.98</c:v>
                </c:pt>
                <c:pt idx="486">
                  <c:v>97.18</c:v>
                </c:pt>
                <c:pt idx="487">
                  <c:v>97.38</c:v>
                </c:pt>
                <c:pt idx="488">
                  <c:v>97.58</c:v>
                </c:pt>
                <c:pt idx="489">
                  <c:v>97.78</c:v>
                </c:pt>
                <c:pt idx="490">
                  <c:v>97.98</c:v>
                </c:pt>
                <c:pt idx="491">
                  <c:v>98.18</c:v>
                </c:pt>
                <c:pt idx="492">
                  <c:v>98.38</c:v>
                </c:pt>
                <c:pt idx="493">
                  <c:v>98.58</c:v>
                </c:pt>
                <c:pt idx="494">
                  <c:v>98.78</c:v>
                </c:pt>
                <c:pt idx="495">
                  <c:v>98.98</c:v>
                </c:pt>
                <c:pt idx="496">
                  <c:v>99.18</c:v>
                </c:pt>
                <c:pt idx="497">
                  <c:v>99.38</c:v>
                </c:pt>
                <c:pt idx="498">
                  <c:v>99.58</c:v>
                </c:pt>
                <c:pt idx="499">
                  <c:v>99.78</c:v>
                </c:pt>
                <c:pt idx="500">
                  <c:v>99.98</c:v>
                </c:pt>
                <c:pt idx="501">
                  <c:v>100.18</c:v>
                </c:pt>
                <c:pt idx="502">
                  <c:v>100.38</c:v>
                </c:pt>
                <c:pt idx="503">
                  <c:v>100.58</c:v>
                </c:pt>
                <c:pt idx="504">
                  <c:v>100.78</c:v>
                </c:pt>
                <c:pt idx="505">
                  <c:v>100.98</c:v>
                </c:pt>
                <c:pt idx="506">
                  <c:v>101.18</c:v>
                </c:pt>
                <c:pt idx="507">
                  <c:v>101.38</c:v>
                </c:pt>
                <c:pt idx="508">
                  <c:v>101.58</c:v>
                </c:pt>
                <c:pt idx="509">
                  <c:v>101.78</c:v>
                </c:pt>
                <c:pt idx="510">
                  <c:v>101.98</c:v>
                </c:pt>
                <c:pt idx="511">
                  <c:v>102.18</c:v>
                </c:pt>
                <c:pt idx="512">
                  <c:v>102.38</c:v>
                </c:pt>
                <c:pt idx="513">
                  <c:v>102.58</c:v>
                </c:pt>
                <c:pt idx="514">
                  <c:v>102.78</c:v>
                </c:pt>
                <c:pt idx="515">
                  <c:v>102.98</c:v>
                </c:pt>
                <c:pt idx="516">
                  <c:v>103.18</c:v>
                </c:pt>
                <c:pt idx="517">
                  <c:v>103.38</c:v>
                </c:pt>
                <c:pt idx="518">
                  <c:v>103.58</c:v>
                </c:pt>
                <c:pt idx="519">
                  <c:v>103.78</c:v>
                </c:pt>
                <c:pt idx="520">
                  <c:v>103.98</c:v>
                </c:pt>
                <c:pt idx="521">
                  <c:v>104.18</c:v>
                </c:pt>
                <c:pt idx="522">
                  <c:v>104.38</c:v>
                </c:pt>
                <c:pt idx="523">
                  <c:v>104.58</c:v>
                </c:pt>
                <c:pt idx="524">
                  <c:v>104.78</c:v>
                </c:pt>
                <c:pt idx="525">
                  <c:v>104.98</c:v>
                </c:pt>
                <c:pt idx="526">
                  <c:v>105.18</c:v>
                </c:pt>
                <c:pt idx="527">
                  <c:v>105.38</c:v>
                </c:pt>
                <c:pt idx="528">
                  <c:v>105.58</c:v>
                </c:pt>
                <c:pt idx="529">
                  <c:v>105.78</c:v>
                </c:pt>
                <c:pt idx="530">
                  <c:v>105.98</c:v>
                </c:pt>
                <c:pt idx="531">
                  <c:v>106.18</c:v>
                </c:pt>
                <c:pt idx="532">
                  <c:v>106.38</c:v>
                </c:pt>
                <c:pt idx="533">
                  <c:v>106.58</c:v>
                </c:pt>
                <c:pt idx="534">
                  <c:v>106.78</c:v>
                </c:pt>
                <c:pt idx="535">
                  <c:v>106.98</c:v>
                </c:pt>
                <c:pt idx="536">
                  <c:v>107.18</c:v>
                </c:pt>
                <c:pt idx="537">
                  <c:v>107.38</c:v>
                </c:pt>
                <c:pt idx="538">
                  <c:v>107.58</c:v>
                </c:pt>
                <c:pt idx="539">
                  <c:v>107.78</c:v>
                </c:pt>
                <c:pt idx="540">
                  <c:v>107.98</c:v>
                </c:pt>
                <c:pt idx="541">
                  <c:v>108.18</c:v>
                </c:pt>
                <c:pt idx="542">
                  <c:v>108.38</c:v>
                </c:pt>
                <c:pt idx="543">
                  <c:v>108.58</c:v>
                </c:pt>
                <c:pt idx="544">
                  <c:v>108.78</c:v>
                </c:pt>
                <c:pt idx="545">
                  <c:v>108.98</c:v>
                </c:pt>
                <c:pt idx="546">
                  <c:v>109.18</c:v>
                </c:pt>
                <c:pt idx="547">
                  <c:v>109.38</c:v>
                </c:pt>
                <c:pt idx="548">
                  <c:v>109.58</c:v>
                </c:pt>
                <c:pt idx="549">
                  <c:v>109.78</c:v>
                </c:pt>
                <c:pt idx="550">
                  <c:v>109.98</c:v>
                </c:pt>
                <c:pt idx="551">
                  <c:v>110.18</c:v>
                </c:pt>
                <c:pt idx="552">
                  <c:v>110.38</c:v>
                </c:pt>
                <c:pt idx="553">
                  <c:v>110.58</c:v>
                </c:pt>
                <c:pt idx="554">
                  <c:v>110.78</c:v>
                </c:pt>
                <c:pt idx="555">
                  <c:v>110.98</c:v>
                </c:pt>
                <c:pt idx="556">
                  <c:v>111.18</c:v>
                </c:pt>
                <c:pt idx="557">
                  <c:v>111.38</c:v>
                </c:pt>
                <c:pt idx="558">
                  <c:v>111.58</c:v>
                </c:pt>
                <c:pt idx="559">
                  <c:v>111.78</c:v>
                </c:pt>
                <c:pt idx="560">
                  <c:v>111.98</c:v>
                </c:pt>
                <c:pt idx="561">
                  <c:v>112.18</c:v>
                </c:pt>
                <c:pt idx="562">
                  <c:v>112.38</c:v>
                </c:pt>
                <c:pt idx="563">
                  <c:v>112.58</c:v>
                </c:pt>
                <c:pt idx="564">
                  <c:v>112.78</c:v>
                </c:pt>
                <c:pt idx="565">
                  <c:v>112.98</c:v>
                </c:pt>
                <c:pt idx="566">
                  <c:v>113.18</c:v>
                </c:pt>
                <c:pt idx="567">
                  <c:v>113.38</c:v>
                </c:pt>
                <c:pt idx="568">
                  <c:v>113.58</c:v>
                </c:pt>
                <c:pt idx="569">
                  <c:v>113.78</c:v>
                </c:pt>
                <c:pt idx="570">
                  <c:v>113.98</c:v>
                </c:pt>
                <c:pt idx="571">
                  <c:v>114.18</c:v>
                </c:pt>
                <c:pt idx="572">
                  <c:v>114.38</c:v>
                </c:pt>
                <c:pt idx="573">
                  <c:v>114.58</c:v>
                </c:pt>
                <c:pt idx="574">
                  <c:v>114.78</c:v>
                </c:pt>
                <c:pt idx="575">
                  <c:v>114.98</c:v>
                </c:pt>
                <c:pt idx="576">
                  <c:v>115.18</c:v>
                </c:pt>
                <c:pt idx="577">
                  <c:v>115.38</c:v>
                </c:pt>
                <c:pt idx="578">
                  <c:v>115.58</c:v>
                </c:pt>
                <c:pt idx="579">
                  <c:v>115.78</c:v>
                </c:pt>
                <c:pt idx="580">
                  <c:v>115.98</c:v>
                </c:pt>
                <c:pt idx="581">
                  <c:v>116.18</c:v>
                </c:pt>
                <c:pt idx="582">
                  <c:v>116.38</c:v>
                </c:pt>
                <c:pt idx="583">
                  <c:v>116.58</c:v>
                </c:pt>
                <c:pt idx="584">
                  <c:v>116.78</c:v>
                </c:pt>
                <c:pt idx="585">
                  <c:v>116.98</c:v>
                </c:pt>
                <c:pt idx="586">
                  <c:v>117.18</c:v>
                </c:pt>
                <c:pt idx="587">
                  <c:v>117.38</c:v>
                </c:pt>
                <c:pt idx="588">
                  <c:v>117.58</c:v>
                </c:pt>
                <c:pt idx="589">
                  <c:v>117.78</c:v>
                </c:pt>
                <c:pt idx="590">
                  <c:v>117.98</c:v>
                </c:pt>
                <c:pt idx="591">
                  <c:v>118.18</c:v>
                </c:pt>
                <c:pt idx="592">
                  <c:v>118.38</c:v>
                </c:pt>
                <c:pt idx="593">
                  <c:v>118.58</c:v>
                </c:pt>
                <c:pt idx="594">
                  <c:v>118.78</c:v>
                </c:pt>
                <c:pt idx="595">
                  <c:v>118.98</c:v>
                </c:pt>
                <c:pt idx="596">
                  <c:v>119.18</c:v>
                </c:pt>
                <c:pt idx="597">
                  <c:v>119.38</c:v>
                </c:pt>
                <c:pt idx="598">
                  <c:v>119.58</c:v>
                </c:pt>
                <c:pt idx="599">
                  <c:v>119.78</c:v>
                </c:pt>
                <c:pt idx="600">
                  <c:v>119.98</c:v>
                </c:pt>
                <c:pt idx="601">
                  <c:v>120.18</c:v>
                </c:pt>
                <c:pt idx="602">
                  <c:v>120.38</c:v>
                </c:pt>
                <c:pt idx="603">
                  <c:v>120.58</c:v>
                </c:pt>
                <c:pt idx="604">
                  <c:v>120.78</c:v>
                </c:pt>
                <c:pt idx="605">
                  <c:v>120.98</c:v>
                </c:pt>
                <c:pt idx="606">
                  <c:v>121.18</c:v>
                </c:pt>
                <c:pt idx="607">
                  <c:v>121.38</c:v>
                </c:pt>
                <c:pt idx="608">
                  <c:v>121.58</c:v>
                </c:pt>
                <c:pt idx="609">
                  <c:v>121.78</c:v>
                </c:pt>
                <c:pt idx="610">
                  <c:v>121.98</c:v>
                </c:pt>
                <c:pt idx="611">
                  <c:v>122.18</c:v>
                </c:pt>
                <c:pt idx="612">
                  <c:v>122.38</c:v>
                </c:pt>
                <c:pt idx="613">
                  <c:v>122.58</c:v>
                </c:pt>
                <c:pt idx="614">
                  <c:v>122.78</c:v>
                </c:pt>
                <c:pt idx="615">
                  <c:v>122.98</c:v>
                </c:pt>
                <c:pt idx="616">
                  <c:v>123.18</c:v>
                </c:pt>
                <c:pt idx="617">
                  <c:v>123.38</c:v>
                </c:pt>
                <c:pt idx="618">
                  <c:v>123.58</c:v>
                </c:pt>
                <c:pt idx="619">
                  <c:v>123.78</c:v>
                </c:pt>
                <c:pt idx="620">
                  <c:v>123.98</c:v>
                </c:pt>
                <c:pt idx="621">
                  <c:v>124.18</c:v>
                </c:pt>
                <c:pt idx="622">
                  <c:v>124.38</c:v>
                </c:pt>
                <c:pt idx="623">
                  <c:v>124.58</c:v>
                </c:pt>
                <c:pt idx="624">
                  <c:v>124.78</c:v>
                </c:pt>
                <c:pt idx="625">
                  <c:v>124.98</c:v>
                </c:pt>
                <c:pt idx="626">
                  <c:v>125.18</c:v>
                </c:pt>
                <c:pt idx="627">
                  <c:v>125.38</c:v>
                </c:pt>
                <c:pt idx="628">
                  <c:v>125.58</c:v>
                </c:pt>
                <c:pt idx="629">
                  <c:v>125.78</c:v>
                </c:pt>
                <c:pt idx="630">
                  <c:v>125.98</c:v>
                </c:pt>
                <c:pt idx="631">
                  <c:v>126.18</c:v>
                </c:pt>
                <c:pt idx="632">
                  <c:v>126.38</c:v>
                </c:pt>
                <c:pt idx="633">
                  <c:v>126.58</c:v>
                </c:pt>
                <c:pt idx="634">
                  <c:v>126.78</c:v>
                </c:pt>
                <c:pt idx="635">
                  <c:v>126.98</c:v>
                </c:pt>
                <c:pt idx="636">
                  <c:v>127.18</c:v>
                </c:pt>
                <c:pt idx="637">
                  <c:v>127.38</c:v>
                </c:pt>
                <c:pt idx="638">
                  <c:v>127.58</c:v>
                </c:pt>
                <c:pt idx="639">
                  <c:v>127.78</c:v>
                </c:pt>
                <c:pt idx="640">
                  <c:v>127.98</c:v>
                </c:pt>
                <c:pt idx="641">
                  <c:v>128.18</c:v>
                </c:pt>
                <c:pt idx="642">
                  <c:v>128.38</c:v>
                </c:pt>
                <c:pt idx="643">
                  <c:v>128.58000000000001</c:v>
                </c:pt>
                <c:pt idx="644">
                  <c:v>128.78</c:v>
                </c:pt>
                <c:pt idx="645">
                  <c:v>128.97999999999999</c:v>
                </c:pt>
                <c:pt idx="646">
                  <c:v>129.18</c:v>
                </c:pt>
                <c:pt idx="647">
                  <c:v>129.38</c:v>
                </c:pt>
                <c:pt idx="648">
                  <c:v>129.58000000000001</c:v>
                </c:pt>
                <c:pt idx="649">
                  <c:v>129.78</c:v>
                </c:pt>
                <c:pt idx="650">
                  <c:v>129.97999999999999</c:v>
                </c:pt>
                <c:pt idx="651">
                  <c:v>130.18</c:v>
                </c:pt>
                <c:pt idx="652">
                  <c:v>130.38</c:v>
                </c:pt>
                <c:pt idx="653">
                  <c:v>130.58000000000001</c:v>
                </c:pt>
                <c:pt idx="654">
                  <c:v>130.78</c:v>
                </c:pt>
                <c:pt idx="655">
                  <c:v>130.97999999999999</c:v>
                </c:pt>
                <c:pt idx="656">
                  <c:v>131.18</c:v>
                </c:pt>
                <c:pt idx="657">
                  <c:v>131.38</c:v>
                </c:pt>
                <c:pt idx="658">
                  <c:v>131.58000000000001</c:v>
                </c:pt>
                <c:pt idx="659">
                  <c:v>131.78</c:v>
                </c:pt>
                <c:pt idx="660">
                  <c:v>131.97999999999999</c:v>
                </c:pt>
                <c:pt idx="661">
                  <c:v>132.18</c:v>
                </c:pt>
                <c:pt idx="662">
                  <c:v>132.38</c:v>
                </c:pt>
                <c:pt idx="663">
                  <c:v>132.58000000000001</c:v>
                </c:pt>
                <c:pt idx="664">
                  <c:v>132.78</c:v>
                </c:pt>
                <c:pt idx="665">
                  <c:v>132.97999999999999</c:v>
                </c:pt>
                <c:pt idx="666">
                  <c:v>133.18</c:v>
                </c:pt>
                <c:pt idx="667">
                  <c:v>133.38</c:v>
                </c:pt>
                <c:pt idx="668">
                  <c:v>133.58000000000001</c:v>
                </c:pt>
                <c:pt idx="669">
                  <c:v>133.78</c:v>
                </c:pt>
                <c:pt idx="670">
                  <c:v>133.97999999999999</c:v>
                </c:pt>
                <c:pt idx="671">
                  <c:v>134.18</c:v>
                </c:pt>
                <c:pt idx="672">
                  <c:v>134.38</c:v>
                </c:pt>
                <c:pt idx="673">
                  <c:v>134.58000000000001</c:v>
                </c:pt>
                <c:pt idx="674">
                  <c:v>134.78</c:v>
                </c:pt>
                <c:pt idx="675">
                  <c:v>134.97999999999999</c:v>
                </c:pt>
                <c:pt idx="676">
                  <c:v>135.18</c:v>
                </c:pt>
                <c:pt idx="677">
                  <c:v>135.38</c:v>
                </c:pt>
                <c:pt idx="678">
                  <c:v>135.58000000000001</c:v>
                </c:pt>
                <c:pt idx="679">
                  <c:v>135.78</c:v>
                </c:pt>
                <c:pt idx="680">
                  <c:v>135.97999999999999</c:v>
                </c:pt>
                <c:pt idx="681">
                  <c:v>136.18</c:v>
                </c:pt>
                <c:pt idx="682">
                  <c:v>136.38</c:v>
                </c:pt>
                <c:pt idx="683">
                  <c:v>136.58000000000001</c:v>
                </c:pt>
                <c:pt idx="684">
                  <c:v>136.78</c:v>
                </c:pt>
                <c:pt idx="685">
                  <c:v>136.97999999999999</c:v>
                </c:pt>
                <c:pt idx="686">
                  <c:v>137.18</c:v>
                </c:pt>
                <c:pt idx="687">
                  <c:v>137.38</c:v>
                </c:pt>
                <c:pt idx="688">
                  <c:v>137.58000000000001</c:v>
                </c:pt>
                <c:pt idx="689">
                  <c:v>137.78</c:v>
                </c:pt>
                <c:pt idx="690">
                  <c:v>137.97999999999999</c:v>
                </c:pt>
                <c:pt idx="691">
                  <c:v>138.18</c:v>
                </c:pt>
                <c:pt idx="692">
                  <c:v>138.38</c:v>
                </c:pt>
                <c:pt idx="693">
                  <c:v>138.58000000000001</c:v>
                </c:pt>
                <c:pt idx="694">
                  <c:v>138.78</c:v>
                </c:pt>
                <c:pt idx="695">
                  <c:v>138.97999999999999</c:v>
                </c:pt>
                <c:pt idx="696">
                  <c:v>139.18</c:v>
                </c:pt>
                <c:pt idx="697">
                  <c:v>139.38</c:v>
                </c:pt>
                <c:pt idx="698">
                  <c:v>139.58000000000001</c:v>
                </c:pt>
                <c:pt idx="699">
                  <c:v>139.78</c:v>
                </c:pt>
                <c:pt idx="700">
                  <c:v>139.97999999999999</c:v>
                </c:pt>
                <c:pt idx="701">
                  <c:v>140.18</c:v>
                </c:pt>
                <c:pt idx="702">
                  <c:v>140.38</c:v>
                </c:pt>
                <c:pt idx="703">
                  <c:v>140.58000000000001</c:v>
                </c:pt>
                <c:pt idx="704">
                  <c:v>140.78</c:v>
                </c:pt>
                <c:pt idx="705">
                  <c:v>140.97999999999999</c:v>
                </c:pt>
                <c:pt idx="706">
                  <c:v>141.18</c:v>
                </c:pt>
                <c:pt idx="707">
                  <c:v>141.38</c:v>
                </c:pt>
                <c:pt idx="708">
                  <c:v>141.58000000000001</c:v>
                </c:pt>
                <c:pt idx="709">
                  <c:v>141.78</c:v>
                </c:pt>
                <c:pt idx="710">
                  <c:v>141.97999999999999</c:v>
                </c:pt>
                <c:pt idx="711">
                  <c:v>142.18</c:v>
                </c:pt>
                <c:pt idx="712">
                  <c:v>142.38</c:v>
                </c:pt>
                <c:pt idx="713">
                  <c:v>142.58000000000001</c:v>
                </c:pt>
                <c:pt idx="714">
                  <c:v>142.78</c:v>
                </c:pt>
                <c:pt idx="715">
                  <c:v>142.97999999999999</c:v>
                </c:pt>
                <c:pt idx="716">
                  <c:v>143.18</c:v>
                </c:pt>
                <c:pt idx="717">
                  <c:v>143.38</c:v>
                </c:pt>
                <c:pt idx="718">
                  <c:v>143.58000000000001</c:v>
                </c:pt>
                <c:pt idx="719">
                  <c:v>143.78</c:v>
                </c:pt>
                <c:pt idx="720">
                  <c:v>143.97999999999999</c:v>
                </c:pt>
                <c:pt idx="721">
                  <c:v>144.18</c:v>
                </c:pt>
                <c:pt idx="722">
                  <c:v>144.38</c:v>
                </c:pt>
                <c:pt idx="723">
                  <c:v>144.58000000000001</c:v>
                </c:pt>
                <c:pt idx="724">
                  <c:v>144.78</c:v>
                </c:pt>
                <c:pt idx="725">
                  <c:v>144.97999999999999</c:v>
                </c:pt>
                <c:pt idx="726">
                  <c:v>145.18</c:v>
                </c:pt>
                <c:pt idx="727">
                  <c:v>145.38</c:v>
                </c:pt>
                <c:pt idx="728">
                  <c:v>145.58000000000001</c:v>
                </c:pt>
                <c:pt idx="729">
                  <c:v>145.78</c:v>
                </c:pt>
                <c:pt idx="730">
                  <c:v>145.97999999999999</c:v>
                </c:pt>
                <c:pt idx="731">
                  <c:v>146.18</c:v>
                </c:pt>
                <c:pt idx="732">
                  <c:v>146.38</c:v>
                </c:pt>
                <c:pt idx="733">
                  <c:v>146.58000000000001</c:v>
                </c:pt>
                <c:pt idx="734">
                  <c:v>146.78</c:v>
                </c:pt>
                <c:pt idx="735">
                  <c:v>146.97999999999999</c:v>
                </c:pt>
                <c:pt idx="736">
                  <c:v>147.18</c:v>
                </c:pt>
                <c:pt idx="737">
                  <c:v>147.38</c:v>
                </c:pt>
                <c:pt idx="738">
                  <c:v>147.58000000000001</c:v>
                </c:pt>
                <c:pt idx="739">
                  <c:v>147.78</c:v>
                </c:pt>
                <c:pt idx="740">
                  <c:v>147.97999999999999</c:v>
                </c:pt>
                <c:pt idx="741">
                  <c:v>148.18</c:v>
                </c:pt>
                <c:pt idx="742">
                  <c:v>148.38</c:v>
                </c:pt>
                <c:pt idx="743">
                  <c:v>148.58000000000001</c:v>
                </c:pt>
                <c:pt idx="744">
                  <c:v>148.78</c:v>
                </c:pt>
                <c:pt idx="745">
                  <c:v>148.97999999999999</c:v>
                </c:pt>
                <c:pt idx="746">
                  <c:v>149.18</c:v>
                </c:pt>
                <c:pt idx="747">
                  <c:v>149.38</c:v>
                </c:pt>
                <c:pt idx="748">
                  <c:v>149.58000000000001</c:v>
                </c:pt>
                <c:pt idx="749">
                  <c:v>149.78</c:v>
                </c:pt>
                <c:pt idx="750">
                  <c:v>149.97999999999999</c:v>
                </c:pt>
                <c:pt idx="751">
                  <c:v>150.16999999999999</c:v>
                </c:pt>
                <c:pt idx="752">
                  <c:v>150.37</c:v>
                </c:pt>
                <c:pt idx="753">
                  <c:v>150.57</c:v>
                </c:pt>
                <c:pt idx="754">
                  <c:v>150.77000000000001</c:v>
                </c:pt>
                <c:pt idx="755">
                  <c:v>150.97</c:v>
                </c:pt>
                <c:pt idx="756">
                  <c:v>151.16999999999999</c:v>
                </c:pt>
                <c:pt idx="757">
                  <c:v>151.37</c:v>
                </c:pt>
                <c:pt idx="758">
                  <c:v>151.57</c:v>
                </c:pt>
                <c:pt idx="759">
                  <c:v>151.77000000000001</c:v>
                </c:pt>
                <c:pt idx="760">
                  <c:v>151.97</c:v>
                </c:pt>
                <c:pt idx="761">
                  <c:v>152.16999999999999</c:v>
                </c:pt>
                <c:pt idx="762">
                  <c:v>152.37</c:v>
                </c:pt>
                <c:pt idx="763">
                  <c:v>152.57</c:v>
                </c:pt>
                <c:pt idx="764">
                  <c:v>152.77000000000001</c:v>
                </c:pt>
                <c:pt idx="765">
                  <c:v>152.97</c:v>
                </c:pt>
                <c:pt idx="766">
                  <c:v>153.16999999999999</c:v>
                </c:pt>
                <c:pt idx="767">
                  <c:v>153.37</c:v>
                </c:pt>
                <c:pt idx="768">
                  <c:v>153.57</c:v>
                </c:pt>
                <c:pt idx="769">
                  <c:v>153.77000000000001</c:v>
                </c:pt>
                <c:pt idx="770">
                  <c:v>153.97</c:v>
                </c:pt>
                <c:pt idx="771">
                  <c:v>154.16999999999999</c:v>
                </c:pt>
                <c:pt idx="772">
                  <c:v>154.37</c:v>
                </c:pt>
                <c:pt idx="773">
                  <c:v>154.57</c:v>
                </c:pt>
                <c:pt idx="774">
                  <c:v>154.77000000000001</c:v>
                </c:pt>
                <c:pt idx="775">
                  <c:v>154.97</c:v>
                </c:pt>
                <c:pt idx="776">
                  <c:v>155.16999999999999</c:v>
                </c:pt>
                <c:pt idx="777">
                  <c:v>155.37</c:v>
                </c:pt>
                <c:pt idx="778">
                  <c:v>155.57</c:v>
                </c:pt>
                <c:pt idx="779">
                  <c:v>155.77000000000001</c:v>
                </c:pt>
                <c:pt idx="780">
                  <c:v>155.97</c:v>
                </c:pt>
                <c:pt idx="781">
                  <c:v>156.16999999999999</c:v>
                </c:pt>
                <c:pt idx="782">
                  <c:v>156.37</c:v>
                </c:pt>
                <c:pt idx="783">
                  <c:v>156.57</c:v>
                </c:pt>
                <c:pt idx="784">
                  <c:v>156.77000000000001</c:v>
                </c:pt>
                <c:pt idx="785">
                  <c:v>156.97</c:v>
                </c:pt>
                <c:pt idx="786">
                  <c:v>157.16999999999999</c:v>
                </c:pt>
                <c:pt idx="787">
                  <c:v>157.37</c:v>
                </c:pt>
                <c:pt idx="788">
                  <c:v>157.57</c:v>
                </c:pt>
                <c:pt idx="789">
                  <c:v>157.77000000000001</c:v>
                </c:pt>
                <c:pt idx="790">
                  <c:v>157.97</c:v>
                </c:pt>
                <c:pt idx="791">
                  <c:v>158.16999999999999</c:v>
                </c:pt>
                <c:pt idx="792">
                  <c:v>158.37</c:v>
                </c:pt>
                <c:pt idx="793">
                  <c:v>158.57</c:v>
                </c:pt>
                <c:pt idx="794">
                  <c:v>158.77000000000001</c:v>
                </c:pt>
                <c:pt idx="795">
                  <c:v>158.97</c:v>
                </c:pt>
                <c:pt idx="796">
                  <c:v>159.16999999999999</c:v>
                </c:pt>
                <c:pt idx="797">
                  <c:v>159.37</c:v>
                </c:pt>
                <c:pt idx="798">
                  <c:v>159.57</c:v>
                </c:pt>
                <c:pt idx="799">
                  <c:v>159.77000000000001</c:v>
                </c:pt>
                <c:pt idx="800">
                  <c:v>159.97</c:v>
                </c:pt>
                <c:pt idx="801">
                  <c:v>160.16999999999999</c:v>
                </c:pt>
                <c:pt idx="802">
                  <c:v>160.37</c:v>
                </c:pt>
                <c:pt idx="803">
                  <c:v>160.57</c:v>
                </c:pt>
                <c:pt idx="804">
                  <c:v>160.77000000000001</c:v>
                </c:pt>
                <c:pt idx="805">
                  <c:v>160.97</c:v>
                </c:pt>
                <c:pt idx="806">
                  <c:v>161.16999999999999</c:v>
                </c:pt>
                <c:pt idx="807">
                  <c:v>161.37</c:v>
                </c:pt>
                <c:pt idx="808">
                  <c:v>161.57</c:v>
                </c:pt>
                <c:pt idx="809">
                  <c:v>161.77000000000001</c:v>
                </c:pt>
                <c:pt idx="810">
                  <c:v>161.97</c:v>
                </c:pt>
                <c:pt idx="811">
                  <c:v>162.16999999999999</c:v>
                </c:pt>
                <c:pt idx="812">
                  <c:v>162.37</c:v>
                </c:pt>
                <c:pt idx="813">
                  <c:v>162.57</c:v>
                </c:pt>
                <c:pt idx="814">
                  <c:v>162.77000000000001</c:v>
                </c:pt>
                <c:pt idx="815">
                  <c:v>162.97</c:v>
                </c:pt>
                <c:pt idx="816">
                  <c:v>163.16999999999999</c:v>
                </c:pt>
                <c:pt idx="817">
                  <c:v>163.37</c:v>
                </c:pt>
                <c:pt idx="818">
                  <c:v>163.57</c:v>
                </c:pt>
                <c:pt idx="819">
                  <c:v>163.77000000000001</c:v>
                </c:pt>
                <c:pt idx="820">
                  <c:v>163.97</c:v>
                </c:pt>
                <c:pt idx="821">
                  <c:v>164.17</c:v>
                </c:pt>
                <c:pt idx="822">
                  <c:v>164.37</c:v>
                </c:pt>
                <c:pt idx="823">
                  <c:v>164.57</c:v>
                </c:pt>
                <c:pt idx="824">
                  <c:v>164.77</c:v>
                </c:pt>
                <c:pt idx="825">
                  <c:v>164.97</c:v>
                </c:pt>
                <c:pt idx="826">
                  <c:v>165.17</c:v>
                </c:pt>
                <c:pt idx="827">
                  <c:v>165.37</c:v>
                </c:pt>
                <c:pt idx="828">
                  <c:v>165.57</c:v>
                </c:pt>
                <c:pt idx="829">
                  <c:v>165.77</c:v>
                </c:pt>
                <c:pt idx="830">
                  <c:v>165.97</c:v>
                </c:pt>
                <c:pt idx="831">
                  <c:v>166.17</c:v>
                </c:pt>
                <c:pt idx="832">
                  <c:v>166.37</c:v>
                </c:pt>
                <c:pt idx="833">
                  <c:v>166.57</c:v>
                </c:pt>
                <c:pt idx="834">
                  <c:v>166.77</c:v>
                </c:pt>
                <c:pt idx="835">
                  <c:v>166.97</c:v>
                </c:pt>
                <c:pt idx="836">
                  <c:v>167.17</c:v>
                </c:pt>
                <c:pt idx="837">
                  <c:v>167.37</c:v>
                </c:pt>
                <c:pt idx="838">
                  <c:v>167.57</c:v>
                </c:pt>
                <c:pt idx="839">
                  <c:v>167.77</c:v>
                </c:pt>
                <c:pt idx="840">
                  <c:v>167.97</c:v>
                </c:pt>
                <c:pt idx="841">
                  <c:v>168.17</c:v>
                </c:pt>
                <c:pt idx="842">
                  <c:v>168.37</c:v>
                </c:pt>
                <c:pt idx="843">
                  <c:v>168.57</c:v>
                </c:pt>
                <c:pt idx="844">
                  <c:v>168.77</c:v>
                </c:pt>
                <c:pt idx="845">
                  <c:v>168.97</c:v>
                </c:pt>
                <c:pt idx="846">
                  <c:v>169.17</c:v>
                </c:pt>
                <c:pt idx="847">
                  <c:v>169.37</c:v>
                </c:pt>
                <c:pt idx="848">
                  <c:v>169.57</c:v>
                </c:pt>
                <c:pt idx="849">
                  <c:v>169.77</c:v>
                </c:pt>
                <c:pt idx="850">
                  <c:v>169.97</c:v>
                </c:pt>
                <c:pt idx="851">
                  <c:v>170.17</c:v>
                </c:pt>
                <c:pt idx="852">
                  <c:v>170.37</c:v>
                </c:pt>
                <c:pt idx="853">
                  <c:v>170.57</c:v>
                </c:pt>
                <c:pt idx="854">
                  <c:v>170.77</c:v>
                </c:pt>
                <c:pt idx="855">
                  <c:v>170.97</c:v>
                </c:pt>
                <c:pt idx="856">
                  <c:v>171.17</c:v>
                </c:pt>
                <c:pt idx="857">
                  <c:v>171.37</c:v>
                </c:pt>
                <c:pt idx="858">
                  <c:v>171.57</c:v>
                </c:pt>
                <c:pt idx="859">
                  <c:v>171.76</c:v>
                </c:pt>
                <c:pt idx="860">
                  <c:v>171.96</c:v>
                </c:pt>
                <c:pt idx="861">
                  <c:v>172.16</c:v>
                </c:pt>
                <c:pt idx="862">
                  <c:v>172.36</c:v>
                </c:pt>
                <c:pt idx="863">
                  <c:v>172.56</c:v>
                </c:pt>
                <c:pt idx="864">
                  <c:v>172.76</c:v>
                </c:pt>
                <c:pt idx="865">
                  <c:v>172.96</c:v>
                </c:pt>
                <c:pt idx="866">
                  <c:v>173.16</c:v>
                </c:pt>
                <c:pt idx="867">
                  <c:v>173.36</c:v>
                </c:pt>
                <c:pt idx="868">
                  <c:v>173.56</c:v>
                </c:pt>
                <c:pt idx="869">
                  <c:v>173.76</c:v>
                </c:pt>
                <c:pt idx="870">
                  <c:v>173.96</c:v>
                </c:pt>
                <c:pt idx="871">
                  <c:v>174.16</c:v>
                </c:pt>
                <c:pt idx="872">
                  <c:v>174.36</c:v>
                </c:pt>
                <c:pt idx="873">
                  <c:v>174.56</c:v>
                </c:pt>
                <c:pt idx="874">
                  <c:v>174.76</c:v>
                </c:pt>
                <c:pt idx="875">
                  <c:v>174.96</c:v>
                </c:pt>
                <c:pt idx="876">
                  <c:v>175.16</c:v>
                </c:pt>
                <c:pt idx="877">
                  <c:v>175.36</c:v>
                </c:pt>
                <c:pt idx="878">
                  <c:v>175.56</c:v>
                </c:pt>
                <c:pt idx="879">
                  <c:v>175.76</c:v>
                </c:pt>
                <c:pt idx="880">
                  <c:v>175.96</c:v>
                </c:pt>
                <c:pt idx="881">
                  <c:v>176.16</c:v>
                </c:pt>
                <c:pt idx="882">
                  <c:v>176.36</c:v>
                </c:pt>
                <c:pt idx="883">
                  <c:v>176.56</c:v>
                </c:pt>
                <c:pt idx="884">
                  <c:v>176.76</c:v>
                </c:pt>
                <c:pt idx="885">
                  <c:v>176.96</c:v>
                </c:pt>
                <c:pt idx="886">
                  <c:v>177.16</c:v>
                </c:pt>
                <c:pt idx="887">
                  <c:v>177.36</c:v>
                </c:pt>
                <c:pt idx="888">
                  <c:v>177.56</c:v>
                </c:pt>
                <c:pt idx="889">
                  <c:v>177.76</c:v>
                </c:pt>
                <c:pt idx="890">
                  <c:v>177.96</c:v>
                </c:pt>
                <c:pt idx="891">
                  <c:v>178.16</c:v>
                </c:pt>
                <c:pt idx="892">
                  <c:v>178.36</c:v>
                </c:pt>
                <c:pt idx="893">
                  <c:v>178.56</c:v>
                </c:pt>
                <c:pt idx="894">
                  <c:v>178.76</c:v>
                </c:pt>
                <c:pt idx="895">
                  <c:v>178.96</c:v>
                </c:pt>
                <c:pt idx="896">
                  <c:v>179.16</c:v>
                </c:pt>
                <c:pt idx="897">
                  <c:v>179.36</c:v>
                </c:pt>
                <c:pt idx="898">
                  <c:v>179.56</c:v>
                </c:pt>
                <c:pt idx="899">
                  <c:v>179.76</c:v>
                </c:pt>
                <c:pt idx="900">
                  <c:v>179.96</c:v>
                </c:pt>
                <c:pt idx="901">
                  <c:v>180.16</c:v>
                </c:pt>
                <c:pt idx="902">
                  <c:v>180.36</c:v>
                </c:pt>
                <c:pt idx="903">
                  <c:v>180.56</c:v>
                </c:pt>
                <c:pt idx="904">
                  <c:v>180.76</c:v>
                </c:pt>
                <c:pt idx="905">
                  <c:v>180.96</c:v>
                </c:pt>
                <c:pt idx="906">
                  <c:v>181.16</c:v>
                </c:pt>
                <c:pt idx="907">
                  <c:v>181.36</c:v>
                </c:pt>
                <c:pt idx="908">
                  <c:v>181.56</c:v>
                </c:pt>
                <c:pt idx="909">
                  <c:v>181.76</c:v>
                </c:pt>
                <c:pt idx="910">
                  <c:v>181.96</c:v>
                </c:pt>
                <c:pt idx="911">
                  <c:v>182.16</c:v>
                </c:pt>
                <c:pt idx="912">
                  <c:v>182.36</c:v>
                </c:pt>
                <c:pt idx="913">
                  <c:v>182.56</c:v>
                </c:pt>
                <c:pt idx="914">
                  <c:v>182.76</c:v>
                </c:pt>
                <c:pt idx="915">
                  <c:v>182.96</c:v>
                </c:pt>
                <c:pt idx="916">
                  <c:v>183.16</c:v>
                </c:pt>
                <c:pt idx="917">
                  <c:v>183.36</c:v>
                </c:pt>
                <c:pt idx="918">
                  <c:v>183.56</c:v>
                </c:pt>
                <c:pt idx="919">
                  <c:v>183.76</c:v>
                </c:pt>
                <c:pt idx="920">
                  <c:v>183.96</c:v>
                </c:pt>
                <c:pt idx="921">
                  <c:v>184.16</c:v>
                </c:pt>
                <c:pt idx="922">
                  <c:v>184.36</c:v>
                </c:pt>
                <c:pt idx="923">
                  <c:v>184.56</c:v>
                </c:pt>
                <c:pt idx="924">
                  <c:v>184.76</c:v>
                </c:pt>
                <c:pt idx="925">
                  <c:v>184.96</c:v>
                </c:pt>
                <c:pt idx="926">
                  <c:v>185.16</c:v>
                </c:pt>
                <c:pt idx="927">
                  <c:v>185.36</c:v>
                </c:pt>
                <c:pt idx="928">
                  <c:v>185.56</c:v>
                </c:pt>
                <c:pt idx="929">
                  <c:v>185.76</c:v>
                </c:pt>
                <c:pt idx="930">
                  <c:v>185.96</c:v>
                </c:pt>
                <c:pt idx="931">
                  <c:v>186.16</c:v>
                </c:pt>
                <c:pt idx="932">
                  <c:v>186.36</c:v>
                </c:pt>
                <c:pt idx="933">
                  <c:v>186.56</c:v>
                </c:pt>
                <c:pt idx="934">
                  <c:v>186.76</c:v>
                </c:pt>
                <c:pt idx="935">
                  <c:v>186.96</c:v>
                </c:pt>
                <c:pt idx="936">
                  <c:v>187.16</c:v>
                </c:pt>
                <c:pt idx="937">
                  <c:v>187.36</c:v>
                </c:pt>
                <c:pt idx="938">
                  <c:v>187.56</c:v>
                </c:pt>
                <c:pt idx="939">
                  <c:v>187.76</c:v>
                </c:pt>
                <c:pt idx="940">
                  <c:v>187.96</c:v>
                </c:pt>
                <c:pt idx="941">
                  <c:v>188.16</c:v>
                </c:pt>
                <c:pt idx="942">
                  <c:v>188.36</c:v>
                </c:pt>
                <c:pt idx="943">
                  <c:v>188.56</c:v>
                </c:pt>
                <c:pt idx="944">
                  <c:v>188.76</c:v>
                </c:pt>
                <c:pt idx="945">
                  <c:v>188.96</c:v>
                </c:pt>
                <c:pt idx="946">
                  <c:v>189.16</c:v>
                </c:pt>
                <c:pt idx="947">
                  <c:v>189.36</c:v>
                </c:pt>
                <c:pt idx="948">
                  <c:v>189.56</c:v>
                </c:pt>
                <c:pt idx="949">
                  <c:v>189.76</c:v>
                </c:pt>
                <c:pt idx="950">
                  <c:v>189.96</c:v>
                </c:pt>
                <c:pt idx="951">
                  <c:v>190.16</c:v>
                </c:pt>
                <c:pt idx="952">
                  <c:v>190.36</c:v>
                </c:pt>
                <c:pt idx="953">
                  <c:v>190.56</c:v>
                </c:pt>
                <c:pt idx="954">
                  <c:v>190.76</c:v>
                </c:pt>
                <c:pt idx="955">
                  <c:v>190.96</c:v>
                </c:pt>
                <c:pt idx="956">
                  <c:v>191.16</c:v>
                </c:pt>
                <c:pt idx="957">
                  <c:v>191.36</c:v>
                </c:pt>
                <c:pt idx="958">
                  <c:v>191.56</c:v>
                </c:pt>
                <c:pt idx="959">
                  <c:v>191.76</c:v>
                </c:pt>
                <c:pt idx="960">
                  <c:v>191.96</c:v>
                </c:pt>
                <c:pt idx="961">
                  <c:v>192.16</c:v>
                </c:pt>
                <c:pt idx="962">
                  <c:v>192.36</c:v>
                </c:pt>
                <c:pt idx="963">
                  <c:v>192.56</c:v>
                </c:pt>
                <c:pt idx="964">
                  <c:v>192.76</c:v>
                </c:pt>
                <c:pt idx="965">
                  <c:v>192.96</c:v>
                </c:pt>
                <c:pt idx="966">
                  <c:v>193.16</c:v>
                </c:pt>
                <c:pt idx="967">
                  <c:v>193.36</c:v>
                </c:pt>
                <c:pt idx="968">
                  <c:v>193.56</c:v>
                </c:pt>
                <c:pt idx="969">
                  <c:v>193.76</c:v>
                </c:pt>
                <c:pt idx="970">
                  <c:v>193.96</c:v>
                </c:pt>
                <c:pt idx="971">
                  <c:v>194.16</c:v>
                </c:pt>
                <c:pt idx="972">
                  <c:v>194.36</c:v>
                </c:pt>
                <c:pt idx="973">
                  <c:v>194.56</c:v>
                </c:pt>
                <c:pt idx="974">
                  <c:v>194.76</c:v>
                </c:pt>
                <c:pt idx="975">
                  <c:v>194.96</c:v>
                </c:pt>
                <c:pt idx="976">
                  <c:v>195.16</c:v>
                </c:pt>
                <c:pt idx="977">
                  <c:v>195.36</c:v>
                </c:pt>
                <c:pt idx="978">
                  <c:v>195.56</c:v>
                </c:pt>
                <c:pt idx="979">
                  <c:v>195.76</c:v>
                </c:pt>
                <c:pt idx="980">
                  <c:v>195.96</c:v>
                </c:pt>
                <c:pt idx="981">
                  <c:v>196.16</c:v>
                </c:pt>
                <c:pt idx="982">
                  <c:v>196.36</c:v>
                </c:pt>
                <c:pt idx="983">
                  <c:v>196.56</c:v>
                </c:pt>
                <c:pt idx="984">
                  <c:v>196.76</c:v>
                </c:pt>
                <c:pt idx="985">
                  <c:v>196.96</c:v>
                </c:pt>
                <c:pt idx="986">
                  <c:v>197.16</c:v>
                </c:pt>
                <c:pt idx="987">
                  <c:v>197.36</c:v>
                </c:pt>
                <c:pt idx="988">
                  <c:v>197.56</c:v>
                </c:pt>
                <c:pt idx="989">
                  <c:v>197.76</c:v>
                </c:pt>
                <c:pt idx="990">
                  <c:v>197.96</c:v>
                </c:pt>
                <c:pt idx="991">
                  <c:v>198.16</c:v>
                </c:pt>
                <c:pt idx="992">
                  <c:v>198.36</c:v>
                </c:pt>
                <c:pt idx="993">
                  <c:v>198.56</c:v>
                </c:pt>
                <c:pt idx="994">
                  <c:v>198.76</c:v>
                </c:pt>
                <c:pt idx="995">
                  <c:v>198.96</c:v>
                </c:pt>
                <c:pt idx="996">
                  <c:v>199.16</c:v>
                </c:pt>
                <c:pt idx="997">
                  <c:v>199.36</c:v>
                </c:pt>
                <c:pt idx="998">
                  <c:v>199.56</c:v>
                </c:pt>
                <c:pt idx="999">
                  <c:v>199.76</c:v>
                </c:pt>
                <c:pt idx="1000">
                  <c:v>199.96</c:v>
                </c:pt>
                <c:pt idx="1001">
                  <c:v>200.16</c:v>
                </c:pt>
                <c:pt idx="1002">
                  <c:v>200.36</c:v>
                </c:pt>
                <c:pt idx="1003">
                  <c:v>200.56</c:v>
                </c:pt>
                <c:pt idx="1004">
                  <c:v>200.76</c:v>
                </c:pt>
                <c:pt idx="1005">
                  <c:v>200.96</c:v>
                </c:pt>
                <c:pt idx="1006">
                  <c:v>201.16</c:v>
                </c:pt>
                <c:pt idx="1007">
                  <c:v>201.36</c:v>
                </c:pt>
                <c:pt idx="1008">
                  <c:v>201.56</c:v>
                </c:pt>
                <c:pt idx="1009">
                  <c:v>201.76</c:v>
                </c:pt>
                <c:pt idx="1010">
                  <c:v>201.96</c:v>
                </c:pt>
                <c:pt idx="1011">
                  <c:v>202.16</c:v>
                </c:pt>
                <c:pt idx="1012">
                  <c:v>202.36</c:v>
                </c:pt>
                <c:pt idx="1013">
                  <c:v>202.56</c:v>
                </c:pt>
                <c:pt idx="1014">
                  <c:v>202.76</c:v>
                </c:pt>
                <c:pt idx="1015">
                  <c:v>202.96</c:v>
                </c:pt>
                <c:pt idx="1016">
                  <c:v>203.16</c:v>
                </c:pt>
                <c:pt idx="1017">
                  <c:v>203.36</c:v>
                </c:pt>
                <c:pt idx="1018">
                  <c:v>203.56</c:v>
                </c:pt>
                <c:pt idx="1019">
                  <c:v>203.76</c:v>
                </c:pt>
                <c:pt idx="1020">
                  <c:v>203.96</c:v>
                </c:pt>
                <c:pt idx="1021">
                  <c:v>204.16</c:v>
                </c:pt>
                <c:pt idx="1022">
                  <c:v>204.36</c:v>
                </c:pt>
                <c:pt idx="1023">
                  <c:v>204.56</c:v>
                </c:pt>
                <c:pt idx="1024">
                  <c:v>204.76</c:v>
                </c:pt>
                <c:pt idx="1025">
                  <c:v>204.96</c:v>
                </c:pt>
                <c:pt idx="1026">
                  <c:v>205.16</c:v>
                </c:pt>
                <c:pt idx="1027">
                  <c:v>205.36</c:v>
                </c:pt>
                <c:pt idx="1028">
                  <c:v>205.56</c:v>
                </c:pt>
                <c:pt idx="1029">
                  <c:v>205.76</c:v>
                </c:pt>
                <c:pt idx="1030">
                  <c:v>205.96</c:v>
                </c:pt>
                <c:pt idx="1031">
                  <c:v>206.16</c:v>
                </c:pt>
                <c:pt idx="1032">
                  <c:v>206.36</c:v>
                </c:pt>
                <c:pt idx="1033">
                  <c:v>206.56</c:v>
                </c:pt>
                <c:pt idx="1034">
                  <c:v>206.76</c:v>
                </c:pt>
                <c:pt idx="1035">
                  <c:v>206.96</c:v>
                </c:pt>
                <c:pt idx="1036">
                  <c:v>207.16</c:v>
                </c:pt>
                <c:pt idx="1037">
                  <c:v>207.36</c:v>
                </c:pt>
                <c:pt idx="1038">
                  <c:v>207.56</c:v>
                </c:pt>
                <c:pt idx="1039">
                  <c:v>207.76</c:v>
                </c:pt>
                <c:pt idx="1040">
                  <c:v>207.96</c:v>
                </c:pt>
                <c:pt idx="1041">
                  <c:v>208.16</c:v>
                </c:pt>
                <c:pt idx="1042">
                  <c:v>208.36</c:v>
                </c:pt>
                <c:pt idx="1043">
                  <c:v>208.56</c:v>
                </c:pt>
                <c:pt idx="1044">
                  <c:v>208.76</c:v>
                </c:pt>
                <c:pt idx="1045">
                  <c:v>208.96</c:v>
                </c:pt>
                <c:pt idx="1046">
                  <c:v>209.16</c:v>
                </c:pt>
                <c:pt idx="1047">
                  <c:v>209.36</c:v>
                </c:pt>
                <c:pt idx="1048">
                  <c:v>209.56</c:v>
                </c:pt>
                <c:pt idx="1049">
                  <c:v>209.76</c:v>
                </c:pt>
                <c:pt idx="1050">
                  <c:v>209.96</c:v>
                </c:pt>
                <c:pt idx="1051">
                  <c:v>210.16</c:v>
                </c:pt>
                <c:pt idx="1052">
                  <c:v>210.36</c:v>
                </c:pt>
                <c:pt idx="1053">
                  <c:v>210.56</c:v>
                </c:pt>
                <c:pt idx="1054">
                  <c:v>210.76</c:v>
                </c:pt>
                <c:pt idx="1055">
                  <c:v>210.96</c:v>
                </c:pt>
                <c:pt idx="1056">
                  <c:v>211.16</c:v>
                </c:pt>
                <c:pt idx="1057">
                  <c:v>211.36</c:v>
                </c:pt>
                <c:pt idx="1058">
                  <c:v>211.56</c:v>
                </c:pt>
                <c:pt idx="1059">
                  <c:v>211.76</c:v>
                </c:pt>
                <c:pt idx="1060">
                  <c:v>211.96</c:v>
                </c:pt>
                <c:pt idx="1061">
                  <c:v>212.16</c:v>
                </c:pt>
                <c:pt idx="1062">
                  <c:v>212.36</c:v>
                </c:pt>
                <c:pt idx="1063">
                  <c:v>212.56</c:v>
                </c:pt>
                <c:pt idx="1064">
                  <c:v>212.76</c:v>
                </c:pt>
                <c:pt idx="1065">
                  <c:v>212.96</c:v>
                </c:pt>
                <c:pt idx="1066">
                  <c:v>213.16</c:v>
                </c:pt>
                <c:pt idx="1067">
                  <c:v>213.36</c:v>
                </c:pt>
                <c:pt idx="1068">
                  <c:v>213.56</c:v>
                </c:pt>
                <c:pt idx="1069">
                  <c:v>213.76</c:v>
                </c:pt>
                <c:pt idx="1070">
                  <c:v>213.96</c:v>
                </c:pt>
                <c:pt idx="1071">
                  <c:v>214.16</c:v>
                </c:pt>
                <c:pt idx="1072">
                  <c:v>214.36</c:v>
                </c:pt>
                <c:pt idx="1073">
                  <c:v>214.56</c:v>
                </c:pt>
                <c:pt idx="1074">
                  <c:v>214.76</c:v>
                </c:pt>
                <c:pt idx="1075">
                  <c:v>214.96</c:v>
                </c:pt>
                <c:pt idx="1076">
                  <c:v>215.16</c:v>
                </c:pt>
                <c:pt idx="1077">
                  <c:v>215.36</c:v>
                </c:pt>
                <c:pt idx="1078">
                  <c:v>215.56</c:v>
                </c:pt>
                <c:pt idx="1079">
                  <c:v>215.76</c:v>
                </c:pt>
                <c:pt idx="1080">
                  <c:v>215.96</c:v>
                </c:pt>
                <c:pt idx="1081">
                  <c:v>216.16</c:v>
                </c:pt>
                <c:pt idx="1082">
                  <c:v>216.36</c:v>
                </c:pt>
                <c:pt idx="1083">
                  <c:v>216.56</c:v>
                </c:pt>
                <c:pt idx="1084">
                  <c:v>216.76</c:v>
                </c:pt>
                <c:pt idx="1085">
                  <c:v>216.96</c:v>
                </c:pt>
                <c:pt idx="1086">
                  <c:v>217.16</c:v>
                </c:pt>
                <c:pt idx="1087">
                  <c:v>217.36</c:v>
                </c:pt>
                <c:pt idx="1088">
                  <c:v>217.56</c:v>
                </c:pt>
                <c:pt idx="1089">
                  <c:v>217.76</c:v>
                </c:pt>
                <c:pt idx="1090">
                  <c:v>217.96</c:v>
                </c:pt>
                <c:pt idx="1091">
                  <c:v>218.16</c:v>
                </c:pt>
                <c:pt idx="1092">
                  <c:v>218.36</c:v>
                </c:pt>
                <c:pt idx="1093">
                  <c:v>218.56</c:v>
                </c:pt>
                <c:pt idx="1094">
                  <c:v>218.76</c:v>
                </c:pt>
                <c:pt idx="1095">
                  <c:v>218.96</c:v>
                </c:pt>
                <c:pt idx="1096">
                  <c:v>219.16</c:v>
                </c:pt>
                <c:pt idx="1097">
                  <c:v>219.36</c:v>
                </c:pt>
                <c:pt idx="1098">
                  <c:v>219.56</c:v>
                </c:pt>
                <c:pt idx="1099">
                  <c:v>219.76</c:v>
                </c:pt>
                <c:pt idx="1100">
                  <c:v>219.96</c:v>
                </c:pt>
                <c:pt idx="1101">
                  <c:v>220.16</c:v>
                </c:pt>
                <c:pt idx="1102">
                  <c:v>220.36</c:v>
                </c:pt>
                <c:pt idx="1103">
                  <c:v>220.56</c:v>
                </c:pt>
                <c:pt idx="1104">
                  <c:v>220.76</c:v>
                </c:pt>
                <c:pt idx="1105">
                  <c:v>220.96</c:v>
                </c:pt>
                <c:pt idx="1106">
                  <c:v>221.16</c:v>
                </c:pt>
                <c:pt idx="1107">
                  <c:v>221.36</c:v>
                </c:pt>
                <c:pt idx="1108">
                  <c:v>221.56</c:v>
                </c:pt>
                <c:pt idx="1109">
                  <c:v>221.76</c:v>
                </c:pt>
                <c:pt idx="1110">
                  <c:v>221.96</c:v>
                </c:pt>
                <c:pt idx="1111">
                  <c:v>222.16</c:v>
                </c:pt>
                <c:pt idx="1112">
                  <c:v>222.36</c:v>
                </c:pt>
                <c:pt idx="1113">
                  <c:v>222.56</c:v>
                </c:pt>
                <c:pt idx="1114">
                  <c:v>222.76</c:v>
                </c:pt>
                <c:pt idx="1115">
                  <c:v>222.96</c:v>
                </c:pt>
                <c:pt idx="1116">
                  <c:v>223.16</c:v>
                </c:pt>
                <c:pt idx="1117">
                  <c:v>223.36</c:v>
                </c:pt>
                <c:pt idx="1118">
                  <c:v>223.56</c:v>
                </c:pt>
                <c:pt idx="1119">
                  <c:v>223.76</c:v>
                </c:pt>
                <c:pt idx="1120">
                  <c:v>223.96</c:v>
                </c:pt>
                <c:pt idx="1121">
                  <c:v>224.16</c:v>
                </c:pt>
                <c:pt idx="1122">
                  <c:v>224.36</c:v>
                </c:pt>
                <c:pt idx="1123">
                  <c:v>224.56</c:v>
                </c:pt>
                <c:pt idx="1124">
                  <c:v>224.76</c:v>
                </c:pt>
                <c:pt idx="1125">
                  <c:v>224.96</c:v>
                </c:pt>
                <c:pt idx="1126">
                  <c:v>225.16</c:v>
                </c:pt>
                <c:pt idx="1127">
                  <c:v>225.36</c:v>
                </c:pt>
                <c:pt idx="1128">
                  <c:v>225.56</c:v>
                </c:pt>
                <c:pt idx="1129">
                  <c:v>225.76</c:v>
                </c:pt>
                <c:pt idx="1130">
                  <c:v>225.96</c:v>
                </c:pt>
                <c:pt idx="1131">
                  <c:v>226.16</c:v>
                </c:pt>
                <c:pt idx="1132">
                  <c:v>226.36</c:v>
                </c:pt>
                <c:pt idx="1133">
                  <c:v>226.56</c:v>
                </c:pt>
                <c:pt idx="1134">
                  <c:v>226.76</c:v>
                </c:pt>
                <c:pt idx="1135">
                  <c:v>226.96</c:v>
                </c:pt>
                <c:pt idx="1136">
                  <c:v>227.16</c:v>
                </c:pt>
                <c:pt idx="1137">
                  <c:v>227.36</c:v>
                </c:pt>
                <c:pt idx="1138">
                  <c:v>227.56</c:v>
                </c:pt>
                <c:pt idx="1139">
                  <c:v>227.76</c:v>
                </c:pt>
                <c:pt idx="1140">
                  <c:v>227.96</c:v>
                </c:pt>
                <c:pt idx="1141">
                  <c:v>228.16</c:v>
                </c:pt>
                <c:pt idx="1142">
                  <c:v>228.36</c:v>
                </c:pt>
                <c:pt idx="1143">
                  <c:v>228.56</c:v>
                </c:pt>
                <c:pt idx="1144">
                  <c:v>228.76</c:v>
                </c:pt>
                <c:pt idx="1145">
                  <c:v>228.96</c:v>
                </c:pt>
                <c:pt idx="1146">
                  <c:v>229.16</c:v>
                </c:pt>
                <c:pt idx="1147">
                  <c:v>229.36</c:v>
                </c:pt>
                <c:pt idx="1148">
                  <c:v>229.56</c:v>
                </c:pt>
                <c:pt idx="1149">
                  <c:v>229.76</c:v>
                </c:pt>
                <c:pt idx="1150">
                  <c:v>229.96</c:v>
                </c:pt>
                <c:pt idx="1151">
                  <c:v>230.16</c:v>
                </c:pt>
                <c:pt idx="1152">
                  <c:v>230.36</c:v>
                </c:pt>
                <c:pt idx="1153">
                  <c:v>230.56</c:v>
                </c:pt>
                <c:pt idx="1154">
                  <c:v>230.76</c:v>
                </c:pt>
                <c:pt idx="1155">
                  <c:v>230.96</c:v>
                </c:pt>
                <c:pt idx="1156">
                  <c:v>231.16</c:v>
                </c:pt>
                <c:pt idx="1157">
                  <c:v>231.36</c:v>
                </c:pt>
                <c:pt idx="1158">
                  <c:v>231.56</c:v>
                </c:pt>
                <c:pt idx="1159">
                  <c:v>231.76</c:v>
                </c:pt>
                <c:pt idx="1160">
                  <c:v>231.96</c:v>
                </c:pt>
                <c:pt idx="1161">
                  <c:v>232.16</c:v>
                </c:pt>
                <c:pt idx="1162">
                  <c:v>232.36</c:v>
                </c:pt>
                <c:pt idx="1163">
                  <c:v>232.56</c:v>
                </c:pt>
                <c:pt idx="1164">
                  <c:v>232.76</c:v>
                </c:pt>
                <c:pt idx="1165">
                  <c:v>232.96</c:v>
                </c:pt>
                <c:pt idx="1166">
                  <c:v>233.16</c:v>
                </c:pt>
                <c:pt idx="1167">
                  <c:v>233.36</c:v>
                </c:pt>
                <c:pt idx="1168">
                  <c:v>233.56</c:v>
                </c:pt>
                <c:pt idx="1169">
                  <c:v>233.76</c:v>
                </c:pt>
                <c:pt idx="1170">
                  <c:v>233.96</c:v>
                </c:pt>
                <c:pt idx="1171">
                  <c:v>234.16</c:v>
                </c:pt>
                <c:pt idx="1172">
                  <c:v>234.36</c:v>
                </c:pt>
                <c:pt idx="1173">
                  <c:v>234.56</c:v>
                </c:pt>
                <c:pt idx="1174">
                  <c:v>234.76</c:v>
                </c:pt>
                <c:pt idx="1175">
                  <c:v>234.96</c:v>
                </c:pt>
                <c:pt idx="1176">
                  <c:v>235.16</c:v>
                </c:pt>
                <c:pt idx="1177">
                  <c:v>235.36</c:v>
                </c:pt>
                <c:pt idx="1178">
                  <c:v>235.56</c:v>
                </c:pt>
                <c:pt idx="1179">
                  <c:v>235.76</c:v>
                </c:pt>
                <c:pt idx="1180">
                  <c:v>235.96</c:v>
                </c:pt>
                <c:pt idx="1181">
                  <c:v>236.16</c:v>
                </c:pt>
                <c:pt idx="1182">
                  <c:v>236.36</c:v>
                </c:pt>
                <c:pt idx="1183">
                  <c:v>236.56</c:v>
                </c:pt>
                <c:pt idx="1184">
                  <c:v>236.76</c:v>
                </c:pt>
                <c:pt idx="1185">
                  <c:v>236.96</c:v>
                </c:pt>
                <c:pt idx="1186">
                  <c:v>237.16</c:v>
                </c:pt>
                <c:pt idx="1187">
                  <c:v>237.36</c:v>
                </c:pt>
                <c:pt idx="1188">
                  <c:v>237.56</c:v>
                </c:pt>
                <c:pt idx="1189">
                  <c:v>237.76</c:v>
                </c:pt>
                <c:pt idx="1190">
                  <c:v>237.96</c:v>
                </c:pt>
                <c:pt idx="1191">
                  <c:v>238.16</c:v>
                </c:pt>
                <c:pt idx="1192">
                  <c:v>238.36</c:v>
                </c:pt>
                <c:pt idx="1193">
                  <c:v>238.56</c:v>
                </c:pt>
                <c:pt idx="1194">
                  <c:v>238.76</c:v>
                </c:pt>
                <c:pt idx="1195">
                  <c:v>238.96</c:v>
                </c:pt>
                <c:pt idx="1196">
                  <c:v>239.16</c:v>
                </c:pt>
                <c:pt idx="1197">
                  <c:v>239.36</c:v>
                </c:pt>
                <c:pt idx="1198">
                  <c:v>239.56</c:v>
                </c:pt>
                <c:pt idx="1199">
                  <c:v>239.76</c:v>
                </c:pt>
                <c:pt idx="1200">
                  <c:v>239.96</c:v>
                </c:pt>
                <c:pt idx="1201">
                  <c:v>240.16</c:v>
                </c:pt>
                <c:pt idx="1202">
                  <c:v>240.36</c:v>
                </c:pt>
                <c:pt idx="1203">
                  <c:v>240.56</c:v>
                </c:pt>
                <c:pt idx="1204">
                  <c:v>240.76</c:v>
                </c:pt>
                <c:pt idx="1205">
                  <c:v>240.96</c:v>
                </c:pt>
                <c:pt idx="1206">
                  <c:v>241.16</c:v>
                </c:pt>
                <c:pt idx="1207">
                  <c:v>241.36</c:v>
                </c:pt>
                <c:pt idx="1208">
                  <c:v>241.56</c:v>
                </c:pt>
                <c:pt idx="1209">
                  <c:v>241.76</c:v>
                </c:pt>
                <c:pt idx="1210">
                  <c:v>241.96</c:v>
                </c:pt>
                <c:pt idx="1211">
                  <c:v>242.16</c:v>
                </c:pt>
                <c:pt idx="1212">
                  <c:v>242.36</c:v>
                </c:pt>
                <c:pt idx="1213">
                  <c:v>242.56</c:v>
                </c:pt>
                <c:pt idx="1214">
                  <c:v>242.76</c:v>
                </c:pt>
                <c:pt idx="1215">
                  <c:v>242.96</c:v>
                </c:pt>
                <c:pt idx="1216">
                  <c:v>243.16</c:v>
                </c:pt>
                <c:pt idx="1217">
                  <c:v>243.36</c:v>
                </c:pt>
                <c:pt idx="1218">
                  <c:v>243.56</c:v>
                </c:pt>
                <c:pt idx="1219">
                  <c:v>243.76</c:v>
                </c:pt>
                <c:pt idx="1220">
                  <c:v>243.96</c:v>
                </c:pt>
                <c:pt idx="1221">
                  <c:v>244.16</c:v>
                </c:pt>
                <c:pt idx="1222">
                  <c:v>244.36</c:v>
                </c:pt>
                <c:pt idx="1223">
                  <c:v>244.56</c:v>
                </c:pt>
                <c:pt idx="1224">
                  <c:v>244.76</c:v>
                </c:pt>
                <c:pt idx="1225">
                  <c:v>244.96</c:v>
                </c:pt>
                <c:pt idx="1226">
                  <c:v>245.15</c:v>
                </c:pt>
                <c:pt idx="1227">
                  <c:v>245.35</c:v>
                </c:pt>
                <c:pt idx="1228">
                  <c:v>245.55</c:v>
                </c:pt>
                <c:pt idx="1229">
                  <c:v>245.75</c:v>
                </c:pt>
                <c:pt idx="1230">
                  <c:v>245.95</c:v>
                </c:pt>
                <c:pt idx="1231">
                  <c:v>246.15</c:v>
                </c:pt>
                <c:pt idx="1232">
                  <c:v>246.35</c:v>
                </c:pt>
                <c:pt idx="1233">
                  <c:v>246.55</c:v>
                </c:pt>
                <c:pt idx="1234">
                  <c:v>246.75</c:v>
                </c:pt>
                <c:pt idx="1235">
                  <c:v>246.95</c:v>
                </c:pt>
                <c:pt idx="1236">
                  <c:v>247.15</c:v>
                </c:pt>
                <c:pt idx="1237">
                  <c:v>247.35</c:v>
                </c:pt>
                <c:pt idx="1238">
                  <c:v>247.55</c:v>
                </c:pt>
                <c:pt idx="1239">
                  <c:v>247.75</c:v>
                </c:pt>
                <c:pt idx="1240">
                  <c:v>247.95</c:v>
                </c:pt>
                <c:pt idx="1241">
                  <c:v>248.15</c:v>
                </c:pt>
                <c:pt idx="1242">
                  <c:v>248.35</c:v>
                </c:pt>
                <c:pt idx="1243">
                  <c:v>248.55</c:v>
                </c:pt>
                <c:pt idx="1244">
                  <c:v>248.75</c:v>
                </c:pt>
                <c:pt idx="1245">
                  <c:v>248.95</c:v>
                </c:pt>
                <c:pt idx="1246">
                  <c:v>249.15</c:v>
                </c:pt>
                <c:pt idx="1247">
                  <c:v>249.35</c:v>
                </c:pt>
                <c:pt idx="1248">
                  <c:v>249.55</c:v>
                </c:pt>
                <c:pt idx="1249">
                  <c:v>249.75</c:v>
                </c:pt>
                <c:pt idx="1250">
                  <c:v>249.95</c:v>
                </c:pt>
                <c:pt idx="1251">
                  <c:v>250.15</c:v>
                </c:pt>
                <c:pt idx="1252">
                  <c:v>250.35</c:v>
                </c:pt>
                <c:pt idx="1253">
                  <c:v>250.55</c:v>
                </c:pt>
                <c:pt idx="1254">
                  <c:v>250.75</c:v>
                </c:pt>
                <c:pt idx="1255">
                  <c:v>250.95</c:v>
                </c:pt>
                <c:pt idx="1256">
                  <c:v>251.15</c:v>
                </c:pt>
                <c:pt idx="1257">
                  <c:v>251.35</c:v>
                </c:pt>
                <c:pt idx="1258">
                  <c:v>251.55</c:v>
                </c:pt>
                <c:pt idx="1259">
                  <c:v>251.75</c:v>
                </c:pt>
                <c:pt idx="1260">
                  <c:v>251.95</c:v>
                </c:pt>
                <c:pt idx="1261">
                  <c:v>252.15</c:v>
                </c:pt>
                <c:pt idx="1262">
                  <c:v>252.35</c:v>
                </c:pt>
                <c:pt idx="1263">
                  <c:v>252.55</c:v>
                </c:pt>
                <c:pt idx="1264">
                  <c:v>252.75</c:v>
                </c:pt>
                <c:pt idx="1265">
                  <c:v>252.95</c:v>
                </c:pt>
                <c:pt idx="1266">
                  <c:v>253.15</c:v>
                </c:pt>
                <c:pt idx="1267">
                  <c:v>253.35</c:v>
                </c:pt>
                <c:pt idx="1268">
                  <c:v>253.55</c:v>
                </c:pt>
                <c:pt idx="1269">
                  <c:v>253.75</c:v>
                </c:pt>
                <c:pt idx="1270">
                  <c:v>253.95</c:v>
                </c:pt>
                <c:pt idx="1271">
                  <c:v>254.15</c:v>
                </c:pt>
                <c:pt idx="1272">
                  <c:v>254.35</c:v>
                </c:pt>
                <c:pt idx="1273">
                  <c:v>254.55</c:v>
                </c:pt>
                <c:pt idx="1274">
                  <c:v>254.75</c:v>
                </c:pt>
                <c:pt idx="1275">
                  <c:v>254.95</c:v>
                </c:pt>
                <c:pt idx="1276">
                  <c:v>255.15</c:v>
                </c:pt>
                <c:pt idx="1277">
                  <c:v>255.35</c:v>
                </c:pt>
                <c:pt idx="1278">
                  <c:v>255.55</c:v>
                </c:pt>
                <c:pt idx="1279">
                  <c:v>255.75</c:v>
                </c:pt>
                <c:pt idx="1280">
                  <c:v>255.95</c:v>
                </c:pt>
                <c:pt idx="1281">
                  <c:v>256.14999999999998</c:v>
                </c:pt>
                <c:pt idx="1282">
                  <c:v>256.35000000000002</c:v>
                </c:pt>
                <c:pt idx="1283">
                  <c:v>256.55</c:v>
                </c:pt>
                <c:pt idx="1284">
                  <c:v>256.75</c:v>
                </c:pt>
                <c:pt idx="1285">
                  <c:v>256.95</c:v>
                </c:pt>
                <c:pt idx="1286">
                  <c:v>257.14999999999998</c:v>
                </c:pt>
                <c:pt idx="1287">
                  <c:v>257.35000000000002</c:v>
                </c:pt>
                <c:pt idx="1288">
                  <c:v>257.55</c:v>
                </c:pt>
                <c:pt idx="1289">
                  <c:v>257.75</c:v>
                </c:pt>
                <c:pt idx="1290">
                  <c:v>257.95</c:v>
                </c:pt>
                <c:pt idx="1291">
                  <c:v>258.14999999999998</c:v>
                </c:pt>
                <c:pt idx="1292">
                  <c:v>258.35000000000002</c:v>
                </c:pt>
                <c:pt idx="1293">
                  <c:v>258.55</c:v>
                </c:pt>
                <c:pt idx="1294">
                  <c:v>258.75</c:v>
                </c:pt>
                <c:pt idx="1295">
                  <c:v>258.95</c:v>
                </c:pt>
                <c:pt idx="1296">
                  <c:v>259.14999999999998</c:v>
                </c:pt>
                <c:pt idx="1297">
                  <c:v>259.35000000000002</c:v>
                </c:pt>
                <c:pt idx="1298">
                  <c:v>259.55</c:v>
                </c:pt>
                <c:pt idx="1299">
                  <c:v>259.75</c:v>
                </c:pt>
                <c:pt idx="1300">
                  <c:v>259.95</c:v>
                </c:pt>
                <c:pt idx="1301">
                  <c:v>260.14999999999998</c:v>
                </c:pt>
                <c:pt idx="1302">
                  <c:v>260.35000000000002</c:v>
                </c:pt>
                <c:pt idx="1303">
                  <c:v>260.55</c:v>
                </c:pt>
                <c:pt idx="1304">
                  <c:v>260.75</c:v>
                </c:pt>
                <c:pt idx="1305">
                  <c:v>260.95</c:v>
                </c:pt>
                <c:pt idx="1306">
                  <c:v>261.14999999999998</c:v>
                </c:pt>
                <c:pt idx="1307">
                  <c:v>261.35000000000002</c:v>
                </c:pt>
                <c:pt idx="1308">
                  <c:v>261.55</c:v>
                </c:pt>
                <c:pt idx="1309">
                  <c:v>261.75</c:v>
                </c:pt>
                <c:pt idx="1310">
                  <c:v>261.95</c:v>
                </c:pt>
                <c:pt idx="1311">
                  <c:v>262.14999999999998</c:v>
                </c:pt>
                <c:pt idx="1312">
                  <c:v>262.35000000000002</c:v>
                </c:pt>
                <c:pt idx="1313">
                  <c:v>262.55</c:v>
                </c:pt>
                <c:pt idx="1314">
                  <c:v>262.75</c:v>
                </c:pt>
                <c:pt idx="1315">
                  <c:v>262.95</c:v>
                </c:pt>
                <c:pt idx="1316">
                  <c:v>263.14999999999998</c:v>
                </c:pt>
                <c:pt idx="1317">
                  <c:v>263.35000000000002</c:v>
                </c:pt>
                <c:pt idx="1318">
                  <c:v>263.55</c:v>
                </c:pt>
                <c:pt idx="1319">
                  <c:v>263.75</c:v>
                </c:pt>
                <c:pt idx="1320">
                  <c:v>263.95</c:v>
                </c:pt>
                <c:pt idx="1321">
                  <c:v>264.14999999999998</c:v>
                </c:pt>
                <c:pt idx="1322">
                  <c:v>264.35000000000002</c:v>
                </c:pt>
                <c:pt idx="1323">
                  <c:v>264.55</c:v>
                </c:pt>
                <c:pt idx="1324">
                  <c:v>264.75</c:v>
                </c:pt>
                <c:pt idx="1325">
                  <c:v>264.95</c:v>
                </c:pt>
              </c:numCache>
            </c:numRef>
          </c:xVal>
          <c:yVal>
            <c:numRef>
              <c:f>'Zyklus &amp; Inventar'!$C$35:$C$1360</c:f>
              <c:numCache>
                <c:formatCode>General</c:formatCode>
                <c:ptCount val="1326"/>
                <c:pt idx="0">
                  <c:v>55</c:v>
                </c:pt>
                <c:pt idx="1">
                  <c:v>54.7</c:v>
                </c:pt>
                <c:pt idx="2">
                  <c:v>54.3</c:v>
                </c:pt>
                <c:pt idx="3">
                  <c:v>54</c:v>
                </c:pt>
                <c:pt idx="4">
                  <c:v>53.6</c:v>
                </c:pt>
                <c:pt idx="5">
                  <c:v>53.3</c:v>
                </c:pt>
                <c:pt idx="6">
                  <c:v>53</c:v>
                </c:pt>
                <c:pt idx="7">
                  <c:v>52.7</c:v>
                </c:pt>
                <c:pt idx="8">
                  <c:v>52.4</c:v>
                </c:pt>
                <c:pt idx="9">
                  <c:v>52.1</c:v>
                </c:pt>
                <c:pt idx="10">
                  <c:v>51.9</c:v>
                </c:pt>
                <c:pt idx="11">
                  <c:v>51.6</c:v>
                </c:pt>
                <c:pt idx="12">
                  <c:v>51.3</c:v>
                </c:pt>
                <c:pt idx="13">
                  <c:v>51.1</c:v>
                </c:pt>
                <c:pt idx="14">
                  <c:v>50.8</c:v>
                </c:pt>
                <c:pt idx="15">
                  <c:v>50.6</c:v>
                </c:pt>
                <c:pt idx="16">
                  <c:v>50.3</c:v>
                </c:pt>
                <c:pt idx="17">
                  <c:v>50.1</c:v>
                </c:pt>
                <c:pt idx="18">
                  <c:v>49.9</c:v>
                </c:pt>
                <c:pt idx="19">
                  <c:v>49.7</c:v>
                </c:pt>
                <c:pt idx="20">
                  <c:v>49.5</c:v>
                </c:pt>
                <c:pt idx="21">
                  <c:v>49.3</c:v>
                </c:pt>
                <c:pt idx="22">
                  <c:v>49.1</c:v>
                </c:pt>
                <c:pt idx="23">
                  <c:v>48.9</c:v>
                </c:pt>
                <c:pt idx="24">
                  <c:v>48.7</c:v>
                </c:pt>
                <c:pt idx="25">
                  <c:v>48.5</c:v>
                </c:pt>
                <c:pt idx="26">
                  <c:v>48.4</c:v>
                </c:pt>
                <c:pt idx="27">
                  <c:v>48.2</c:v>
                </c:pt>
                <c:pt idx="28">
                  <c:v>48</c:v>
                </c:pt>
                <c:pt idx="29">
                  <c:v>47.9</c:v>
                </c:pt>
                <c:pt idx="30">
                  <c:v>47.7</c:v>
                </c:pt>
                <c:pt idx="31">
                  <c:v>47.6</c:v>
                </c:pt>
                <c:pt idx="32">
                  <c:v>47.4</c:v>
                </c:pt>
                <c:pt idx="33">
                  <c:v>47.3</c:v>
                </c:pt>
                <c:pt idx="34">
                  <c:v>47.1</c:v>
                </c:pt>
                <c:pt idx="35">
                  <c:v>47</c:v>
                </c:pt>
                <c:pt idx="36">
                  <c:v>46.9</c:v>
                </c:pt>
                <c:pt idx="37">
                  <c:v>46.7</c:v>
                </c:pt>
                <c:pt idx="38">
                  <c:v>46.6</c:v>
                </c:pt>
                <c:pt idx="39">
                  <c:v>46.5</c:v>
                </c:pt>
                <c:pt idx="40">
                  <c:v>46.4</c:v>
                </c:pt>
                <c:pt idx="41">
                  <c:v>46.3</c:v>
                </c:pt>
                <c:pt idx="42">
                  <c:v>46.2</c:v>
                </c:pt>
                <c:pt idx="43">
                  <c:v>46.1</c:v>
                </c:pt>
                <c:pt idx="44">
                  <c:v>46</c:v>
                </c:pt>
                <c:pt idx="45">
                  <c:v>45.9</c:v>
                </c:pt>
                <c:pt idx="46">
                  <c:v>45.8</c:v>
                </c:pt>
                <c:pt idx="47">
                  <c:v>45.7</c:v>
                </c:pt>
                <c:pt idx="48">
                  <c:v>45.6</c:v>
                </c:pt>
                <c:pt idx="49">
                  <c:v>45.5</c:v>
                </c:pt>
                <c:pt idx="50">
                  <c:v>45.4</c:v>
                </c:pt>
                <c:pt idx="51">
                  <c:v>45.4</c:v>
                </c:pt>
                <c:pt idx="52">
                  <c:v>45.3</c:v>
                </c:pt>
                <c:pt idx="53">
                  <c:v>45.2</c:v>
                </c:pt>
                <c:pt idx="54">
                  <c:v>45.1</c:v>
                </c:pt>
                <c:pt idx="55">
                  <c:v>45.1</c:v>
                </c:pt>
                <c:pt idx="56">
                  <c:v>45</c:v>
                </c:pt>
                <c:pt idx="57">
                  <c:v>44.9</c:v>
                </c:pt>
                <c:pt idx="58">
                  <c:v>44.9</c:v>
                </c:pt>
                <c:pt idx="59">
                  <c:v>44.8</c:v>
                </c:pt>
                <c:pt idx="60">
                  <c:v>44.8</c:v>
                </c:pt>
                <c:pt idx="61">
                  <c:v>44.7</c:v>
                </c:pt>
                <c:pt idx="62">
                  <c:v>44.7</c:v>
                </c:pt>
                <c:pt idx="63">
                  <c:v>44.6</c:v>
                </c:pt>
                <c:pt idx="64">
                  <c:v>44.5</c:v>
                </c:pt>
                <c:pt idx="65">
                  <c:v>44.5</c:v>
                </c:pt>
                <c:pt idx="66">
                  <c:v>44.5</c:v>
                </c:pt>
                <c:pt idx="67">
                  <c:v>44.4</c:v>
                </c:pt>
                <c:pt idx="68">
                  <c:v>44.4</c:v>
                </c:pt>
                <c:pt idx="69">
                  <c:v>44.3</c:v>
                </c:pt>
                <c:pt idx="70">
                  <c:v>44.3</c:v>
                </c:pt>
                <c:pt idx="71">
                  <c:v>44.2</c:v>
                </c:pt>
                <c:pt idx="72">
                  <c:v>44.2</c:v>
                </c:pt>
                <c:pt idx="73">
                  <c:v>44.2</c:v>
                </c:pt>
                <c:pt idx="74">
                  <c:v>44.1</c:v>
                </c:pt>
                <c:pt idx="75">
                  <c:v>44.1</c:v>
                </c:pt>
                <c:pt idx="76">
                  <c:v>44.1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43.9</c:v>
                </c:pt>
                <c:pt idx="81">
                  <c:v>43.9</c:v>
                </c:pt>
                <c:pt idx="82">
                  <c:v>43.9</c:v>
                </c:pt>
                <c:pt idx="83">
                  <c:v>43.9</c:v>
                </c:pt>
                <c:pt idx="84">
                  <c:v>43.8</c:v>
                </c:pt>
                <c:pt idx="85">
                  <c:v>43.8</c:v>
                </c:pt>
                <c:pt idx="86">
                  <c:v>43.8</c:v>
                </c:pt>
                <c:pt idx="87">
                  <c:v>43.8</c:v>
                </c:pt>
                <c:pt idx="88">
                  <c:v>43.8</c:v>
                </c:pt>
                <c:pt idx="89">
                  <c:v>43.7</c:v>
                </c:pt>
                <c:pt idx="90">
                  <c:v>43.7</c:v>
                </c:pt>
                <c:pt idx="91">
                  <c:v>43.7</c:v>
                </c:pt>
                <c:pt idx="92">
                  <c:v>43.7</c:v>
                </c:pt>
                <c:pt idx="93">
                  <c:v>43.7</c:v>
                </c:pt>
                <c:pt idx="94">
                  <c:v>43.7</c:v>
                </c:pt>
                <c:pt idx="95">
                  <c:v>43.6</c:v>
                </c:pt>
                <c:pt idx="96">
                  <c:v>43.6</c:v>
                </c:pt>
                <c:pt idx="97">
                  <c:v>43.6</c:v>
                </c:pt>
                <c:pt idx="98">
                  <c:v>43.6</c:v>
                </c:pt>
                <c:pt idx="99">
                  <c:v>43.6</c:v>
                </c:pt>
                <c:pt idx="100">
                  <c:v>43.6</c:v>
                </c:pt>
                <c:pt idx="101">
                  <c:v>43.6</c:v>
                </c:pt>
                <c:pt idx="102">
                  <c:v>43.6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43.5</c:v>
                </c:pt>
                <c:pt idx="109">
                  <c:v>43.5</c:v>
                </c:pt>
                <c:pt idx="110">
                  <c:v>43.5</c:v>
                </c:pt>
                <c:pt idx="111">
                  <c:v>43.5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43.5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43.5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43.5</c:v>
                </c:pt>
                <c:pt idx="125">
                  <c:v>43.5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43.5</c:v>
                </c:pt>
                <c:pt idx="132">
                  <c:v>43.5</c:v>
                </c:pt>
                <c:pt idx="133">
                  <c:v>43.5</c:v>
                </c:pt>
                <c:pt idx="134">
                  <c:v>43.5</c:v>
                </c:pt>
                <c:pt idx="135">
                  <c:v>43.5</c:v>
                </c:pt>
                <c:pt idx="136">
                  <c:v>43.5</c:v>
                </c:pt>
                <c:pt idx="137">
                  <c:v>43.5</c:v>
                </c:pt>
                <c:pt idx="138">
                  <c:v>43.5</c:v>
                </c:pt>
                <c:pt idx="139">
                  <c:v>43.5</c:v>
                </c:pt>
                <c:pt idx="140">
                  <c:v>43.5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43.5</c:v>
                </c:pt>
                <c:pt idx="145">
                  <c:v>43.5</c:v>
                </c:pt>
                <c:pt idx="146">
                  <c:v>43.5</c:v>
                </c:pt>
                <c:pt idx="147">
                  <c:v>43.5</c:v>
                </c:pt>
                <c:pt idx="148">
                  <c:v>43.5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43.5</c:v>
                </c:pt>
                <c:pt idx="153">
                  <c:v>43.6</c:v>
                </c:pt>
                <c:pt idx="154">
                  <c:v>43.6</c:v>
                </c:pt>
                <c:pt idx="155">
                  <c:v>43.6</c:v>
                </c:pt>
                <c:pt idx="156">
                  <c:v>43.6</c:v>
                </c:pt>
                <c:pt idx="157">
                  <c:v>43.6</c:v>
                </c:pt>
                <c:pt idx="158">
                  <c:v>43.6</c:v>
                </c:pt>
                <c:pt idx="159">
                  <c:v>43.6</c:v>
                </c:pt>
                <c:pt idx="160">
                  <c:v>43.6</c:v>
                </c:pt>
                <c:pt idx="161">
                  <c:v>43.6</c:v>
                </c:pt>
                <c:pt idx="162">
                  <c:v>43.6</c:v>
                </c:pt>
                <c:pt idx="163">
                  <c:v>43.6</c:v>
                </c:pt>
                <c:pt idx="164">
                  <c:v>43.6</c:v>
                </c:pt>
                <c:pt idx="165">
                  <c:v>43.6</c:v>
                </c:pt>
                <c:pt idx="166">
                  <c:v>43.6</c:v>
                </c:pt>
                <c:pt idx="167">
                  <c:v>43.7</c:v>
                </c:pt>
                <c:pt idx="168">
                  <c:v>43.7</c:v>
                </c:pt>
                <c:pt idx="169">
                  <c:v>43.7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43.7</c:v>
                </c:pt>
                <c:pt idx="175">
                  <c:v>43.7</c:v>
                </c:pt>
                <c:pt idx="176">
                  <c:v>43.7</c:v>
                </c:pt>
                <c:pt idx="177">
                  <c:v>43.7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43.8</c:v>
                </c:pt>
                <c:pt idx="182">
                  <c:v>43.8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43.8</c:v>
                </c:pt>
                <c:pt idx="187">
                  <c:v>43.8</c:v>
                </c:pt>
                <c:pt idx="188">
                  <c:v>43.9</c:v>
                </c:pt>
                <c:pt idx="189">
                  <c:v>43.9</c:v>
                </c:pt>
                <c:pt idx="190">
                  <c:v>43.9</c:v>
                </c:pt>
                <c:pt idx="191">
                  <c:v>43.9</c:v>
                </c:pt>
                <c:pt idx="192">
                  <c:v>43.9</c:v>
                </c:pt>
                <c:pt idx="193">
                  <c:v>43.9</c:v>
                </c:pt>
                <c:pt idx="194">
                  <c:v>43.9</c:v>
                </c:pt>
                <c:pt idx="195">
                  <c:v>43.9</c:v>
                </c:pt>
                <c:pt idx="196">
                  <c:v>43.9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44</c:v>
                </c:pt>
                <c:pt idx="201">
                  <c:v>44</c:v>
                </c:pt>
                <c:pt idx="202">
                  <c:v>44</c:v>
                </c:pt>
                <c:pt idx="203">
                  <c:v>44</c:v>
                </c:pt>
                <c:pt idx="204">
                  <c:v>44</c:v>
                </c:pt>
                <c:pt idx="205">
                  <c:v>44.1</c:v>
                </c:pt>
                <c:pt idx="206">
                  <c:v>44.1</c:v>
                </c:pt>
                <c:pt idx="207">
                  <c:v>44.1</c:v>
                </c:pt>
                <c:pt idx="208">
                  <c:v>44.1</c:v>
                </c:pt>
                <c:pt idx="209">
                  <c:v>44.1</c:v>
                </c:pt>
                <c:pt idx="210">
                  <c:v>44.1</c:v>
                </c:pt>
                <c:pt idx="211">
                  <c:v>44.1</c:v>
                </c:pt>
                <c:pt idx="212">
                  <c:v>44.2</c:v>
                </c:pt>
                <c:pt idx="213">
                  <c:v>44.2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44.2</c:v>
                </c:pt>
                <c:pt idx="218">
                  <c:v>44.2</c:v>
                </c:pt>
                <c:pt idx="219">
                  <c:v>44.3</c:v>
                </c:pt>
                <c:pt idx="220">
                  <c:v>44.3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44.3</c:v>
                </c:pt>
                <c:pt idx="225">
                  <c:v>44.3</c:v>
                </c:pt>
                <c:pt idx="226">
                  <c:v>44.4</c:v>
                </c:pt>
                <c:pt idx="227">
                  <c:v>44.4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44.5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44.5</c:v>
                </c:pt>
                <c:pt idx="238">
                  <c:v>44.6</c:v>
                </c:pt>
                <c:pt idx="239">
                  <c:v>44.6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44.7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44.7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44.9</c:v>
                </c:pt>
                <c:pt idx="255">
                  <c:v>44.9</c:v>
                </c:pt>
                <c:pt idx="256">
                  <c:v>44.9</c:v>
                </c:pt>
                <c:pt idx="257">
                  <c:v>44.9</c:v>
                </c:pt>
                <c:pt idx="258">
                  <c:v>44.9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45.2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45.3</c:v>
                </c:pt>
                <c:pt idx="274">
                  <c:v>45.3</c:v>
                </c:pt>
                <c:pt idx="275">
                  <c:v>45.3</c:v>
                </c:pt>
                <c:pt idx="276">
                  <c:v>45.3</c:v>
                </c:pt>
                <c:pt idx="277">
                  <c:v>45.3</c:v>
                </c:pt>
                <c:pt idx="278">
                  <c:v>45.4</c:v>
                </c:pt>
                <c:pt idx="279">
                  <c:v>45.4</c:v>
                </c:pt>
                <c:pt idx="280">
                  <c:v>45.4</c:v>
                </c:pt>
                <c:pt idx="281">
                  <c:v>45.4</c:v>
                </c:pt>
                <c:pt idx="282">
                  <c:v>45.5</c:v>
                </c:pt>
                <c:pt idx="283">
                  <c:v>45.5</c:v>
                </c:pt>
                <c:pt idx="284">
                  <c:v>45.6</c:v>
                </c:pt>
                <c:pt idx="285">
                  <c:v>46.4</c:v>
                </c:pt>
                <c:pt idx="286">
                  <c:v>47.2</c:v>
                </c:pt>
                <c:pt idx="287">
                  <c:v>47.9</c:v>
                </c:pt>
                <c:pt idx="288">
                  <c:v>48.5</c:v>
                </c:pt>
                <c:pt idx="289">
                  <c:v>49.1</c:v>
                </c:pt>
                <c:pt idx="290">
                  <c:v>49.6</c:v>
                </c:pt>
                <c:pt idx="291">
                  <c:v>50</c:v>
                </c:pt>
                <c:pt idx="292">
                  <c:v>50.5</c:v>
                </c:pt>
                <c:pt idx="293">
                  <c:v>50.9</c:v>
                </c:pt>
                <c:pt idx="294">
                  <c:v>51.2</c:v>
                </c:pt>
                <c:pt idx="295">
                  <c:v>51.6</c:v>
                </c:pt>
                <c:pt idx="296">
                  <c:v>51.9</c:v>
                </c:pt>
                <c:pt idx="297">
                  <c:v>52.1</c:v>
                </c:pt>
                <c:pt idx="298">
                  <c:v>52.4</c:v>
                </c:pt>
                <c:pt idx="299">
                  <c:v>52.6</c:v>
                </c:pt>
                <c:pt idx="300">
                  <c:v>52.8</c:v>
                </c:pt>
                <c:pt idx="301">
                  <c:v>53</c:v>
                </c:pt>
                <c:pt idx="302">
                  <c:v>53.2</c:v>
                </c:pt>
                <c:pt idx="303">
                  <c:v>53.4</c:v>
                </c:pt>
                <c:pt idx="304">
                  <c:v>53.5</c:v>
                </c:pt>
                <c:pt idx="305">
                  <c:v>53.6</c:v>
                </c:pt>
                <c:pt idx="306">
                  <c:v>53.8</c:v>
                </c:pt>
                <c:pt idx="307">
                  <c:v>53.9</c:v>
                </c:pt>
                <c:pt idx="308">
                  <c:v>54</c:v>
                </c:pt>
                <c:pt idx="309">
                  <c:v>54.1</c:v>
                </c:pt>
                <c:pt idx="310">
                  <c:v>54.1</c:v>
                </c:pt>
                <c:pt idx="311">
                  <c:v>54.2</c:v>
                </c:pt>
                <c:pt idx="312">
                  <c:v>54.3</c:v>
                </c:pt>
                <c:pt idx="313">
                  <c:v>54.3</c:v>
                </c:pt>
                <c:pt idx="314">
                  <c:v>54.4</c:v>
                </c:pt>
                <c:pt idx="315">
                  <c:v>54.5</c:v>
                </c:pt>
                <c:pt idx="316">
                  <c:v>54.5</c:v>
                </c:pt>
                <c:pt idx="317">
                  <c:v>54.5</c:v>
                </c:pt>
                <c:pt idx="318">
                  <c:v>54.6</c:v>
                </c:pt>
                <c:pt idx="319">
                  <c:v>54.6</c:v>
                </c:pt>
                <c:pt idx="320">
                  <c:v>54.7</c:v>
                </c:pt>
                <c:pt idx="321">
                  <c:v>54.7</c:v>
                </c:pt>
                <c:pt idx="322">
                  <c:v>54.7</c:v>
                </c:pt>
                <c:pt idx="323">
                  <c:v>54.7</c:v>
                </c:pt>
                <c:pt idx="324">
                  <c:v>54.8</c:v>
                </c:pt>
                <c:pt idx="325">
                  <c:v>54.8</c:v>
                </c:pt>
                <c:pt idx="326">
                  <c:v>54.8</c:v>
                </c:pt>
                <c:pt idx="327">
                  <c:v>54.8</c:v>
                </c:pt>
                <c:pt idx="328">
                  <c:v>54.8</c:v>
                </c:pt>
                <c:pt idx="329">
                  <c:v>54.9</c:v>
                </c:pt>
                <c:pt idx="330">
                  <c:v>54.9</c:v>
                </c:pt>
                <c:pt idx="331">
                  <c:v>54.9</c:v>
                </c:pt>
                <c:pt idx="332">
                  <c:v>54.9</c:v>
                </c:pt>
                <c:pt idx="333">
                  <c:v>54.9</c:v>
                </c:pt>
                <c:pt idx="334">
                  <c:v>54.9</c:v>
                </c:pt>
                <c:pt idx="335">
                  <c:v>54.9</c:v>
                </c:pt>
                <c:pt idx="336">
                  <c:v>54.9</c:v>
                </c:pt>
                <c:pt idx="337">
                  <c:v>54.9</c:v>
                </c:pt>
                <c:pt idx="338">
                  <c:v>54.9</c:v>
                </c:pt>
                <c:pt idx="339">
                  <c:v>54.9</c:v>
                </c:pt>
                <c:pt idx="340">
                  <c:v>54.9</c:v>
                </c:pt>
                <c:pt idx="341">
                  <c:v>55</c:v>
                </c:pt>
                <c:pt idx="342">
                  <c:v>55</c:v>
                </c:pt>
                <c:pt idx="343">
                  <c:v>55</c:v>
                </c:pt>
                <c:pt idx="344">
                  <c:v>55</c:v>
                </c:pt>
                <c:pt idx="345">
                  <c:v>55</c:v>
                </c:pt>
                <c:pt idx="346">
                  <c:v>55</c:v>
                </c:pt>
                <c:pt idx="347">
                  <c:v>55</c:v>
                </c:pt>
                <c:pt idx="348">
                  <c:v>55</c:v>
                </c:pt>
                <c:pt idx="349">
                  <c:v>55</c:v>
                </c:pt>
                <c:pt idx="350">
                  <c:v>55</c:v>
                </c:pt>
                <c:pt idx="351">
                  <c:v>55</c:v>
                </c:pt>
                <c:pt idx="352">
                  <c:v>55</c:v>
                </c:pt>
                <c:pt idx="353">
                  <c:v>55</c:v>
                </c:pt>
                <c:pt idx="354">
                  <c:v>55</c:v>
                </c:pt>
                <c:pt idx="355">
                  <c:v>55</c:v>
                </c:pt>
                <c:pt idx="356">
                  <c:v>55</c:v>
                </c:pt>
                <c:pt idx="357">
                  <c:v>55</c:v>
                </c:pt>
                <c:pt idx="358">
                  <c:v>55</c:v>
                </c:pt>
                <c:pt idx="359">
                  <c:v>55</c:v>
                </c:pt>
                <c:pt idx="360">
                  <c:v>55</c:v>
                </c:pt>
                <c:pt idx="361">
                  <c:v>55</c:v>
                </c:pt>
                <c:pt idx="362">
                  <c:v>55</c:v>
                </c:pt>
                <c:pt idx="363">
                  <c:v>55</c:v>
                </c:pt>
                <c:pt idx="364">
                  <c:v>55</c:v>
                </c:pt>
                <c:pt idx="365">
                  <c:v>55</c:v>
                </c:pt>
                <c:pt idx="366">
                  <c:v>55</c:v>
                </c:pt>
                <c:pt idx="367">
                  <c:v>55</c:v>
                </c:pt>
                <c:pt idx="368">
                  <c:v>55</c:v>
                </c:pt>
                <c:pt idx="369">
                  <c:v>55</c:v>
                </c:pt>
                <c:pt idx="370">
                  <c:v>55</c:v>
                </c:pt>
                <c:pt idx="371">
                  <c:v>55</c:v>
                </c:pt>
                <c:pt idx="372">
                  <c:v>55</c:v>
                </c:pt>
                <c:pt idx="373">
                  <c:v>55</c:v>
                </c:pt>
                <c:pt idx="374">
                  <c:v>55</c:v>
                </c:pt>
                <c:pt idx="375">
                  <c:v>55</c:v>
                </c:pt>
                <c:pt idx="376">
                  <c:v>55</c:v>
                </c:pt>
                <c:pt idx="377">
                  <c:v>55</c:v>
                </c:pt>
                <c:pt idx="378">
                  <c:v>55</c:v>
                </c:pt>
                <c:pt idx="379">
                  <c:v>55</c:v>
                </c:pt>
                <c:pt idx="380">
                  <c:v>55</c:v>
                </c:pt>
                <c:pt idx="381">
                  <c:v>55</c:v>
                </c:pt>
                <c:pt idx="382">
                  <c:v>55</c:v>
                </c:pt>
                <c:pt idx="383">
                  <c:v>55</c:v>
                </c:pt>
                <c:pt idx="384">
                  <c:v>55</c:v>
                </c:pt>
                <c:pt idx="385">
                  <c:v>55</c:v>
                </c:pt>
                <c:pt idx="386">
                  <c:v>55</c:v>
                </c:pt>
                <c:pt idx="387">
                  <c:v>55</c:v>
                </c:pt>
                <c:pt idx="388">
                  <c:v>55</c:v>
                </c:pt>
                <c:pt idx="389">
                  <c:v>55</c:v>
                </c:pt>
                <c:pt idx="390">
                  <c:v>55</c:v>
                </c:pt>
                <c:pt idx="391">
                  <c:v>55</c:v>
                </c:pt>
                <c:pt idx="392">
                  <c:v>55</c:v>
                </c:pt>
                <c:pt idx="393">
                  <c:v>54.5</c:v>
                </c:pt>
                <c:pt idx="394">
                  <c:v>54</c:v>
                </c:pt>
                <c:pt idx="395">
                  <c:v>53.4</c:v>
                </c:pt>
                <c:pt idx="396">
                  <c:v>53</c:v>
                </c:pt>
                <c:pt idx="397">
                  <c:v>52.6</c:v>
                </c:pt>
                <c:pt idx="398">
                  <c:v>52.2</c:v>
                </c:pt>
                <c:pt idx="399">
                  <c:v>51.9</c:v>
                </c:pt>
                <c:pt idx="400">
                  <c:v>51.7</c:v>
                </c:pt>
                <c:pt idx="401">
                  <c:v>51.4</c:v>
                </c:pt>
                <c:pt idx="402">
                  <c:v>51.2</c:v>
                </c:pt>
                <c:pt idx="403">
                  <c:v>51</c:v>
                </c:pt>
                <c:pt idx="404">
                  <c:v>50.8</c:v>
                </c:pt>
                <c:pt idx="405">
                  <c:v>50.7</c:v>
                </c:pt>
                <c:pt idx="406">
                  <c:v>50.5</c:v>
                </c:pt>
                <c:pt idx="407">
                  <c:v>50.4</c:v>
                </c:pt>
                <c:pt idx="408">
                  <c:v>50.3</c:v>
                </c:pt>
                <c:pt idx="409">
                  <c:v>50.2</c:v>
                </c:pt>
                <c:pt idx="410">
                  <c:v>50.1</c:v>
                </c:pt>
                <c:pt idx="411">
                  <c:v>50.1</c:v>
                </c:pt>
                <c:pt idx="412">
                  <c:v>50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49.8</c:v>
                </c:pt>
                <c:pt idx="417">
                  <c:v>49.8</c:v>
                </c:pt>
                <c:pt idx="418">
                  <c:v>49.8</c:v>
                </c:pt>
                <c:pt idx="419">
                  <c:v>49.8</c:v>
                </c:pt>
                <c:pt idx="420">
                  <c:v>49.7</c:v>
                </c:pt>
                <c:pt idx="421">
                  <c:v>49.7</c:v>
                </c:pt>
                <c:pt idx="422">
                  <c:v>49.7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49.8</c:v>
                </c:pt>
                <c:pt idx="428">
                  <c:v>49.8</c:v>
                </c:pt>
                <c:pt idx="429">
                  <c:v>49.8</c:v>
                </c:pt>
                <c:pt idx="430">
                  <c:v>49.8</c:v>
                </c:pt>
                <c:pt idx="431">
                  <c:v>49.8</c:v>
                </c:pt>
                <c:pt idx="432">
                  <c:v>49.8</c:v>
                </c:pt>
                <c:pt idx="433">
                  <c:v>49.9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50.1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50.3</c:v>
                </c:pt>
                <c:pt idx="448">
                  <c:v>50.3</c:v>
                </c:pt>
                <c:pt idx="449">
                  <c:v>50.3</c:v>
                </c:pt>
                <c:pt idx="450">
                  <c:v>50.4</c:v>
                </c:pt>
                <c:pt idx="451">
                  <c:v>50.4</c:v>
                </c:pt>
                <c:pt idx="452">
                  <c:v>50.5</c:v>
                </c:pt>
                <c:pt idx="453">
                  <c:v>50.5</c:v>
                </c:pt>
                <c:pt idx="454">
                  <c:v>50.5</c:v>
                </c:pt>
                <c:pt idx="455">
                  <c:v>50.6</c:v>
                </c:pt>
                <c:pt idx="456">
                  <c:v>50.6</c:v>
                </c:pt>
                <c:pt idx="457">
                  <c:v>50.6</c:v>
                </c:pt>
                <c:pt idx="458">
                  <c:v>50.7</c:v>
                </c:pt>
                <c:pt idx="459">
                  <c:v>50.7</c:v>
                </c:pt>
                <c:pt idx="460">
                  <c:v>50.8</c:v>
                </c:pt>
                <c:pt idx="461">
                  <c:v>50.8</c:v>
                </c:pt>
                <c:pt idx="462">
                  <c:v>50.8</c:v>
                </c:pt>
                <c:pt idx="463">
                  <c:v>50.9</c:v>
                </c:pt>
                <c:pt idx="464">
                  <c:v>50.9</c:v>
                </c:pt>
                <c:pt idx="465">
                  <c:v>50.9</c:v>
                </c:pt>
                <c:pt idx="466">
                  <c:v>51</c:v>
                </c:pt>
                <c:pt idx="467">
                  <c:v>51</c:v>
                </c:pt>
                <c:pt idx="468">
                  <c:v>51.1</c:v>
                </c:pt>
                <c:pt idx="469">
                  <c:v>51.1</c:v>
                </c:pt>
                <c:pt idx="470">
                  <c:v>51.1</c:v>
                </c:pt>
                <c:pt idx="471">
                  <c:v>51.2</c:v>
                </c:pt>
                <c:pt idx="472">
                  <c:v>51.2</c:v>
                </c:pt>
                <c:pt idx="473">
                  <c:v>51.3</c:v>
                </c:pt>
                <c:pt idx="474">
                  <c:v>51.3</c:v>
                </c:pt>
                <c:pt idx="475">
                  <c:v>51.3</c:v>
                </c:pt>
                <c:pt idx="476">
                  <c:v>51.4</c:v>
                </c:pt>
                <c:pt idx="477">
                  <c:v>51.4</c:v>
                </c:pt>
                <c:pt idx="478">
                  <c:v>51.5</c:v>
                </c:pt>
                <c:pt idx="479">
                  <c:v>51.5</c:v>
                </c:pt>
                <c:pt idx="480">
                  <c:v>51.5</c:v>
                </c:pt>
                <c:pt idx="481">
                  <c:v>51.6</c:v>
                </c:pt>
                <c:pt idx="482">
                  <c:v>51.6</c:v>
                </c:pt>
                <c:pt idx="483">
                  <c:v>51.7</c:v>
                </c:pt>
                <c:pt idx="484">
                  <c:v>51.7</c:v>
                </c:pt>
                <c:pt idx="485">
                  <c:v>51.7</c:v>
                </c:pt>
                <c:pt idx="486">
                  <c:v>51.8</c:v>
                </c:pt>
                <c:pt idx="487">
                  <c:v>51.8</c:v>
                </c:pt>
                <c:pt idx="488">
                  <c:v>51.9</c:v>
                </c:pt>
                <c:pt idx="489">
                  <c:v>51.9</c:v>
                </c:pt>
                <c:pt idx="490">
                  <c:v>51.9</c:v>
                </c:pt>
                <c:pt idx="491">
                  <c:v>52</c:v>
                </c:pt>
                <c:pt idx="492">
                  <c:v>52</c:v>
                </c:pt>
                <c:pt idx="493">
                  <c:v>52.1</c:v>
                </c:pt>
                <c:pt idx="494">
                  <c:v>52.1</c:v>
                </c:pt>
                <c:pt idx="495">
                  <c:v>52.1</c:v>
                </c:pt>
                <c:pt idx="496">
                  <c:v>52.2</c:v>
                </c:pt>
                <c:pt idx="497">
                  <c:v>52.2</c:v>
                </c:pt>
                <c:pt idx="498">
                  <c:v>52.3</c:v>
                </c:pt>
                <c:pt idx="499">
                  <c:v>52.3</c:v>
                </c:pt>
                <c:pt idx="500">
                  <c:v>52.3</c:v>
                </c:pt>
                <c:pt idx="501">
                  <c:v>52.4</c:v>
                </c:pt>
                <c:pt idx="502">
                  <c:v>52.4</c:v>
                </c:pt>
                <c:pt idx="503">
                  <c:v>52.5</c:v>
                </c:pt>
                <c:pt idx="504">
                  <c:v>52.5</c:v>
                </c:pt>
                <c:pt idx="505">
                  <c:v>52.5</c:v>
                </c:pt>
                <c:pt idx="506">
                  <c:v>52.6</c:v>
                </c:pt>
                <c:pt idx="507">
                  <c:v>52.6</c:v>
                </c:pt>
                <c:pt idx="508">
                  <c:v>52.7</c:v>
                </c:pt>
                <c:pt idx="509">
                  <c:v>52.7</c:v>
                </c:pt>
                <c:pt idx="510">
                  <c:v>52.7</c:v>
                </c:pt>
                <c:pt idx="511">
                  <c:v>52.8</c:v>
                </c:pt>
                <c:pt idx="512">
                  <c:v>52.8</c:v>
                </c:pt>
                <c:pt idx="513">
                  <c:v>52.9</c:v>
                </c:pt>
                <c:pt idx="514">
                  <c:v>52.9</c:v>
                </c:pt>
                <c:pt idx="515">
                  <c:v>52.9</c:v>
                </c:pt>
                <c:pt idx="516">
                  <c:v>53</c:v>
                </c:pt>
                <c:pt idx="517">
                  <c:v>53</c:v>
                </c:pt>
                <c:pt idx="518">
                  <c:v>53.1</c:v>
                </c:pt>
                <c:pt idx="519">
                  <c:v>53.1</c:v>
                </c:pt>
                <c:pt idx="520">
                  <c:v>53.1</c:v>
                </c:pt>
                <c:pt idx="521">
                  <c:v>53.2</c:v>
                </c:pt>
                <c:pt idx="522">
                  <c:v>53.2</c:v>
                </c:pt>
                <c:pt idx="523">
                  <c:v>53.3</c:v>
                </c:pt>
                <c:pt idx="524">
                  <c:v>53.3</c:v>
                </c:pt>
                <c:pt idx="525">
                  <c:v>53.3</c:v>
                </c:pt>
                <c:pt idx="526">
                  <c:v>53.4</c:v>
                </c:pt>
                <c:pt idx="527">
                  <c:v>53.4</c:v>
                </c:pt>
                <c:pt idx="528">
                  <c:v>53.4</c:v>
                </c:pt>
                <c:pt idx="529">
                  <c:v>53.5</c:v>
                </c:pt>
                <c:pt idx="530">
                  <c:v>53.5</c:v>
                </c:pt>
                <c:pt idx="531">
                  <c:v>53.6</c:v>
                </c:pt>
                <c:pt idx="532">
                  <c:v>53.6</c:v>
                </c:pt>
                <c:pt idx="533">
                  <c:v>53.6</c:v>
                </c:pt>
                <c:pt idx="534">
                  <c:v>53.7</c:v>
                </c:pt>
                <c:pt idx="535">
                  <c:v>53.7</c:v>
                </c:pt>
                <c:pt idx="536">
                  <c:v>53.8</c:v>
                </c:pt>
                <c:pt idx="537">
                  <c:v>53.8</c:v>
                </c:pt>
                <c:pt idx="538">
                  <c:v>53.8</c:v>
                </c:pt>
                <c:pt idx="539">
                  <c:v>53.9</c:v>
                </c:pt>
                <c:pt idx="540">
                  <c:v>53.9</c:v>
                </c:pt>
                <c:pt idx="541">
                  <c:v>54</c:v>
                </c:pt>
                <c:pt idx="542">
                  <c:v>54</c:v>
                </c:pt>
                <c:pt idx="543">
                  <c:v>54</c:v>
                </c:pt>
                <c:pt idx="544">
                  <c:v>54.1</c:v>
                </c:pt>
                <c:pt idx="545">
                  <c:v>54.1</c:v>
                </c:pt>
                <c:pt idx="546">
                  <c:v>54.1</c:v>
                </c:pt>
                <c:pt idx="547">
                  <c:v>54.2</c:v>
                </c:pt>
                <c:pt idx="548">
                  <c:v>54.2</c:v>
                </c:pt>
                <c:pt idx="549">
                  <c:v>54.3</c:v>
                </c:pt>
                <c:pt idx="550">
                  <c:v>54.3</c:v>
                </c:pt>
                <c:pt idx="551">
                  <c:v>54.3</c:v>
                </c:pt>
                <c:pt idx="552">
                  <c:v>54.4</c:v>
                </c:pt>
                <c:pt idx="553">
                  <c:v>54.4</c:v>
                </c:pt>
                <c:pt idx="554">
                  <c:v>54.5</c:v>
                </c:pt>
                <c:pt idx="555">
                  <c:v>54.5</c:v>
                </c:pt>
                <c:pt idx="556">
                  <c:v>54.5</c:v>
                </c:pt>
                <c:pt idx="557">
                  <c:v>54.6</c:v>
                </c:pt>
                <c:pt idx="558">
                  <c:v>54.6</c:v>
                </c:pt>
                <c:pt idx="559">
                  <c:v>54.6</c:v>
                </c:pt>
                <c:pt idx="560">
                  <c:v>54.7</c:v>
                </c:pt>
                <c:pt idx="561">
                  <c:v>54.7</c:v>
                </c:pt>
                <c:pt idx="562">
                  <c:v>54.8</c:v>
                </c:pt>
                <c:pt idx="563">
                  <c:v>54.8</c:v>
                </c:pt>
                <c:pt idx="564">
                  <c:v>54.8</c:v>
                </c:pt>
                <c:pt idx="565">
                  <c:v>54.9</c:v>
                </c:pt>
                <c:pt idx="566">
                  <c:v>54.9</c:v>
                </c:pt>
                <c:pt idx="567">
                  <c:v>54.9</c:v>
                </c:pt>
                <c:pt idx="568">
                  <c:v>55</c:v>
                </c:pt>
                <c:pt idx="569">
                  <c:v>55</c:v>
                </c:pt>
                <c:pt idx="570">
                  <c:v>55.1</c:v>
                </c:pt>
                <c:pt idx="571">
                  <c:v>55.1</c:v>
                </c:pt>
                <c:pt idx="572">
                  <c:v>55.1</c:v>
                </c:pt>
                <c:pt idx="573">
                  <c:v>55.2</c:v>
                </c:pt>
                <c:pt idx="574">
                  <c:v>55.2</c:v>
                </c:pt>
                <c:pt idx="575">
                  <c:v>55.3</c:v>
                </c:pt>
                <c:pt idx="576">
                  <c:v>55.3</c:v>
                </c:pt>
                <c:pt idx="577">
                  <c:v>55.3</c:v>
                </c:pt>
                <c:pt idx="578">
                  <c:v>55.4</c:v>
                </c:pt>
                <c:pt idx="579">
                  <c:v>55.4</c:v>
                </c:pt>
                <c:pt idx="580">
                  <c:v>55.4</c:v>
                </c:pt>
                <c:pt idx="581">
                  <c:v>55.5</c:v>
                </c:pt>
                <c:pt idx="582">
                  <c:v>55.5</c:v>
                </c:pt>
                <c:pt idx="583">
                  <c:v>55.6</c:v>
                </c:pt>
                <c:pt idx="584">
                  <c:v>55.6</c:v>
                </c:pt>
                <c:pt idx="585">
                  <c:v>55.6</c:v>
                </c:pt>
                <c:pt idx="586">
                  <c:v>55.7</c:v>
                </c:pt>
                <c:pt idx="587">
                  <c:v>55.7</c:v>
                </c:pt>
                <c:pt idx="588">
                  <c:v>55.8</c:v>
                </c:pt>
                <c:pt idx="589">
                  <c:v>55.8</c:v>
                </c:pt>
                <c:pt idx="590">
                  <c:v>55.8</c:v>
                </c:pt>
                <c:pt idx="591">
                  <c:v>55.9</c:v>
                </c:pt>
                <c:pt idx="592">
                  <c:v>55.9</c:v>
                </c:pt>
                <c:pt idx="593">
                  <c:v>55.9</c:v>
                </c:pt>
                <c:pt idx="594">
                  <c:v>56</c:v>
                </c:pt>
                <c:pt idx="595">
                  <c:v>56</c:v>
                </c:pt>
                <c:pt idx="596">
                  <c:v>56.1</c:v>
                </c:pt>
                <c:pt idx="597">
                  <c:v>56.1</c:v>
                </c:pt>
                <c:pt idx="598">
                  <c:v>56.1</c:v>
                </c:pt>
                <c:pt idx="599">
                  <c:v>56.2</c:v>
                </c:pt>
                <c:pt idx="600">
                  <c:v>56.2</c:v>
                </c:pt>
                <c:pt idx="601">
                  <c:v>56.2</c:v>
                </c:pt>
                <c:pt idx="602">
                  <c:v>56.3</c:v>
                </c:pt>
                <c:pt idx="603">
                  <c:v>56.3</c:v>
                </c:pt>
                <c:pt idx="604">
                  <c:v>56.4</c:v>
                </c:pt>
                <c:pt idx="605">
                  <c:v>56.4</c:v>
                </c:pt>
                <c:pt idx="606">
                  <c:v>56.4</c:v>
                </c:pt>
                <c:pt idx="607">
                  <c:v>56.5</c:v>
                </c:pt>
                <c:pt idx="608">
                  <c:v>56.5</c:v>
                </c:pt>
                <c:pt idx="609">
                  <c:v>56.6</c:v>
                </c:pt>
                <c:pt idx="610">
                  <c:v>56.6</c:v>
                </c:pt>
                <c:pt idx="611">
                  <c:v>56.6</c:v>
                </c:pt>
                <c:pt idx="612">
                  <c:v>56.7</c:v>
                </c:pt>
                <c:pt idx="613">
                  <c:v>56.7</c:v>
                </c:pt>
                <c:pt idx="614">
                  <c:v>56.8</c:v>
                </c:pt>
                <c:pt idx="615">
                  <c:v>56.8</c:v>
                </c:pt>
                <c:pt idx="616">
                  <c:v>56.8</c:v>
                </c:pt>
                <c:pt idx="617">
                  <c:v>56.9</c:v>
                </c:pt>
                <c:pt idx="618">
                  <c:v>56.9</c:v>
                </c:pt>
                <c:pt idx="619">
                  <c:v>56.9</c:v>
                </c:pt>
                <c:pt idx="620">
                  <c:v>57</c:v>
                </c:pt>
                <c:pt idx="621">
                  <c:v>57</c:v>
                </c:pt>
                <c:pt idx="622">
                  <c:v>57.1</c:v>
                </c:pt>
                <c:pt idx="623">
                  <c:v>57.1</c:v>
                </c:pt>
                <c:pt idx="624">
                  <c:v>57.1</c:v>
                </c:pt>
                <c:pt idx="625">
                  <c:v>57.2</c:v>
                </c:pt>
                <c:pt idx="626">
                  <c:v>57.2</c:v>
                </c:pt>
                <c:pt idx="627">
                  <c:v>57.3</c:v>
                </c:pt>
                <c:pt idx="628">
                  <c:v>57.3</c:v>
                </c:pt>
                <c:pt idx="629">
                  <c:v>57.3</c:v>
                </c:pt>
                <c:pt idx="630">
                  <c:v>57.4</c:v>
                </c:pt>
                <c:pt idx="631">
                  <c:v>57.4</c:v>
                </c:pt>
                <c:pt idx="632">
                  <c:v>57.5</c:v>
                </c:pt>
                <c:pt idx="633">
                  <c:v>57.5</c:v>
                </c:pt>
                <c:pt idx="634">
                  <c:v>57.5</c:v>
                </c:pt>
                <c:pt idx="635">
                  <c:v>57.6</c:v>
                </c:pt>
                <c:pt idx="636">
                  <c:v>57.6</c:v>
                </c:pt>
                <c:pt idx="637">
                  <c:v>57.7</c:v>
                </c:pt>
                <c:pt idx="638">
                  <c:v>57.7</c:v>
                </c:pt>
                <c:pt idx="639">
                  <c:v>57.7</c:v>
                </c:pt>
                <c:pt idx="640">
                  <c:v>57.8</c:v>
                </c:pt>
                <c:pt idx="641">
                  <c:v>57.8</c:v>
                </c:pt>
                <c:pt idx="642">
                  <c:v>57.9</c:v>
                </c:pt>
                <c:pt idx="643">
                  <c:v>57.9</c:v>
                </c:pt>
                <c:pt idx="644">
                  <c:v>58</c:v>
                </c:pt>
                <c:pt idx="645">
                  <c:v>58</c:v>
                </c:pt>
                <c:pt idx="646">
                  <c:v>58</c:v>
                </c:pt>
                <c:pt idx="647">
                  <c:v>58.1</c:v>
                </c:pt>
                <c:pt idx="648">
                  <c:v>58.1</c:v>
                </c:pt>
                <c:pt idx="649">
                  <c:v>58.2</c:v>
                </c:pt>
                <c:pt idx="650">
                  <c:v>58.2</c:v>
                </c:pt>
                <c:pt idx="651">
                  <c:v>58.2</c:v>
                </c:pt>
                <c:pt idx="652">
                  <c:v>58.3</c:v>
                </c:pt>
                <c:pt idx="653">
                  <c:v>58.3</c:v>
                </c:pt>
                <c:pt idx="654">
                  <c:v>58.4</c:v>
                </c:pt>
                <c:pt idx="655">
                  <c:v>58.4</c:v>
                </c:pt>
                <c:pt idx="656">
                  <c:v>58.5</c:v>
                </c:pt>
                <c:pt idx="657">
                  <c:v>58.5</c:v>
                </c:pt>
                <c:pt idx="658">
                  <c:v>58.5</c:v>
                </c:pt>
                <c:pt idx="659">
                  <c:v>58.6</c:v>
                </c:pt>
                <c:pt idx="660">
                  <c:v>58.6</c:v>
                </c:pt>
                <c:pt idx="661">
                  <c:v>58.7</c:v>
                </c:pt>
                <c:pt idx="662">
                  <c:v>58.7</c:v>
                </c:pt>
                <c:pt idx="663">
                  <c:v>58.7</c:v>
                </c:pt>
                <c:pt idx="664">
                  <c:v>58.8</c:v>
                </c:pt>
                <c:pt idx="665">
                  <c:v>58.8</c:v>
                </c:pt>
                <c:pt idx="666">
                  <c:v>58.9</c:v>
                </c:pt>
                <c:pt idx="667">
                  <c:v>58.9</c:v>
                </c:pt>
                <c:pt idx="668">
                  <c:v>59</c:v>
                </c:pt>
                <c:pt idx="669">
                  <c:v>59</c:v>
                </c:pt>
                <c:pt idx="670">
                  <c:v>59</c:v>
                </c:pt>
                <c:pt idx="671">
                  <c:v>59.1</c:v>
                </c:pt>
                <c:pt idx="672">
                  <c:v>59.1</c:v>
                </c:pt>
                <c:pt idx="673">
                  <c:v>59.2</c:v>
                </c:pt>
                <c:pt idx="674">
                  <c:v>59.2</c:v>
                </c:pt>
                <c:pt idx="675">
                  <c:v>59.3</c:v>
                </c:pt>
                <c:pt idx="676">
                  <c:v>59.3</c:v>
                </c:pt>
                <c:pt idx="677">
                  <c:v>59.4</c:v>
                </c:pt>
                <c:pt idx="678">
                  <c:v>59.4</c:v>
                </c:pt>
                <c:pt idx="679">
                  <c:v>59.4</c:v>
                </c:pt>
                <c:pt idx="680">
                  <c:v>59.5</c:v>
                </c:pt>
                <c:pt idx="681">
                  <c:v>59.5</c:v>
                </c:pt>
                <c:pt idx="682">
                  <c:v>59.6</c:v>
                </c:pt>
                <c:pt idx="683">
                  <c:v>59.6</c:v>
                </c:pt>
                <c:pt idx="684">
                  <c:v>59.7</c:v>
                </c:pt>
                <c:pt idx="685">
                  <c:v>59.7</c:v>
                </c:pt>
                <c:pt idx="686">
                  <c:v>59.7</c:v>
                </c:pt>
                <c:pt idx="687">
                  <c:v>59.8</c:v>
                </c:pt>
                <c:pt idx="688">
                  <c:v>59.8</c:v>
                </c:pt>
                <c:pt idx="689">
                  <c:v>59.9</c:v>
                </c:pt>
                <c:pt idx="690">
                  <c:v>59.9</c:v>
                </c:pt>
                <c:pt idx="691">
                  <c:v>60</c:v>
                </c:pt>
                <c:pt idx="692">
                  <c:v>60</c:v>
                </c:pt>
                <c:pt idx="693">
                  <c:v>60.1</c:v>
                </c:pt>
                <c:pt idx="694">
                  <c:v>60.1</c:v>
                </c:pt>
                <c:pt idx="695">
                  <c:v>60.2</c:v>
                </c:pt>
                <c:pt idx="696">
                  <c:v>60.2</c:v>
                </c:pt>
                <c:pt idx="697">
                  <c:v>60.2</c:v>
                </c:pt>
                <c:pt idx="698">
                  <c:v>60.3</c:v>
                </c:pt>
                <c:pt idx="699">
                  <c:v>60.3</c:v>
                </c:pt>
                <c:pt idx="700">
                  <c:v>60.4</c:v>
                </c:pt>
                <c:pt idx="701">
                  <c:v>60.4</c:v>
                </c:pt>
                <c:pt idx="702">
                  <c:v>60.5</c:v>
                </c:pt>
                <c:pt idx="703">
                  <c:v>60.5</c:v>
                </c:pt>
                <c:pt idx="704">
                  <c:v>60.6</c:v>
                </c:pt>
                <c:pt idx="705">
                  <c:v>60.6</c:v>
                </c:pt>
                <c:pt idx="706">
                  <c:v>60.7</c:v>
                </c:pt>
                <c:pt idx="707">
                  <c:v>60.7</c:v>
                </c:pt>
                <c:pt idx="708">
                  <c:v>60.8</c:v>
                </c:pt>
                <c:pt idx="709">
                  <c:v>60.8</c:v>
                </c:pt>
                <c:pt idx="710">
                  <c:v>60.9</c:v>
                </c:pt>
                <c:pt idx="711">
                  <c:v>60.9</c:v>
                </c:pt>
                <c:pt idx="712">
                  <c:v>60.9</c:v>
                </c:pt>
                <c:pt idx="713">
                  <c:v>61</c:v>
                </c:pt>
                <c:pt idx="714">
                  <c:v>61</c:v>
                </c:pt>
                <c:pt idx="715">
                  <c:v>61.1</c:v>
                </c:pt>
                <c:pt idx="716">
                  <c:v>61.1</c:v>
                </c:pt>
                <c:pt idx="717">
                  <c:v>61.2</c:v>
                </c:pt>
                <c:pt idx="718">
                  <c:v>61.2</c:v>
                </c:pt>
                <c:pt idx="719">
                  <c:v>61.3</c:v>
                </c:pt>
                <c:pt idx="720">
                  <c:v>61.3</c:v>
                </c:pt>
                <c:pt idx="721">
                  <c:v>61.4</c:v>
                </c:pt>
                <c:pt idx="722">
                  <c:v>61.4</c:v>
                </c:pt>
                <c:pt idx="723">
                  <c:v>61.5</c:v>
                </c:pt>
                <c:pt idx="724">
                  <c:v>61.5</c:v>
                </c:pt>
                <c:pt idx="725">
                  <c:v>61.6</c:v>
                </c:pt>
                <c:pt idx="726">
                  <c:v>61.6</c:v>
                </c:pt>
                <c:pt idx="727">
                  <c:v>61.7</c:v>
                </c:pt>
                <c:pt idx="728">
                  <c:v>61.7</c:v>
                </c:pt>
                <c:pt idx="729">
                  <c:v>61.8</c:v>
                </c:pt>
                <c:pt idx="730">
                  <c:v>61.8</c:v>
                </c:pt>
                <c:pt idx="731">
                  <c:v>61.9</c:v>
                </c:pt>
                <c:pt idx="732">
                  <c:v>61.9</c:v>
                </c:pt>
                <c:pt idx="733">
                  <c:v>62</c:v>
                </c:pt>
                <c:pt idx="734">
                  <c:v>62</c:v>
                </c:pt>
                <c:pt idx="735">
                  <c:v>62.1</c:v>
                </c:pt>
                <c:pt idx="736">
                  <c:v>62.1</c:v>
                </c:pt>
                <c:pt idx="737">
                  <c:v>62.2</c:v>
                </c:pt>
                <c:pt idx="738">
                  <c:v>62.2</c:v>
                </c:pt>
                <c:pt idx="739">
                  <c:v>62.3</c:v>
                </c:pt>
                <c:pt idx="740">
                  <c:v>62.3</c:v>
                </c:pt>
                <c:pt idx="741">
                  <c:v>62.4</c:v>
                </c:pt>
                <c:pt idx="742">
                  <c:v>62.4</c:v>
                </c:pt>
                <c:pt idx="743">
                  <c:v>62.5</c:v>
                </c:pt>
                <c:pt idx="744">
                  <c:v>62.5</c:v>
                </c:pt>
                <c:pt idx="745">
                  <c:v>62.6</c:v>
                </c:pt>
                <c:pt idx="746">
                  <c:v>62.6</c:v>
                </c:pt>
                <c:pt idx="747">
                  <c:v>62.7</c:v>
                </c:pt>
                <c:pt idx="748">
                  <c:v>62.7</c:v>
                </c:pt>
                <c:pt idx="749">
                  <c:v>62.8</c:v>
                </c:pt>
                <c:pt idx="750">
                  <c:v>62.8</c:v>
                </c:pt>
                <c:pt idx="751">
                  <c:v>62.8</c:v>
                </c:pt>
                <c:pt idx="752">
                  <c:v>62.6</c:v>
                </c:pt>
                <c:pt idx="753">
                  <c:v>62.4</c:v>
                </c:pt>
                <c:pt idx="754">
                  <c:v>62.3</c:v>
                </c:pt>
                <c:pt idx="755">
                  <c:v>62.1</c:v>
                </c:pt>
                <c:pt idx="756">
                  <c:v>61.9</c:v>
                </c:pt>
                <c:pt idx="757">
                  <c:v>61.8</c:v>
                </c:pt>
                <c:pt idx="758">
                  <c:v>61.6</c:v>
                </c:pt>
                <c:pt idx="759">
                  <c:v>61.5</c:v>
                </c:pt>
                <c:pt idx="760">
                  <c:v>61.3</c:v>
                </c:pt>
                <c:pt idx="761">
                  <c:v>61.2</c:v>
                </c:pt>
                <c:pt idx="762">
                  <c:v>61.1</c:v>
                </c:pt>
                <c:pt idx="763">
                  <c:v>60.9</c:v>
                </c:pt>
                <c:pt idx="764">
                  <c:v>60.8</c:v>
                </c:pt>
                <c:pt idx="765">
                  <c:v>60.7</c:v>
                </c:pt>
                <c:pt idx="766">
                  <c:v>60.6</c:v>
                </c:pt>
                <c:pt idx="767">
                  <c:v>60.4</c:v>
                </c:pt>
                <c:pt idx="768">
                  <c:v>60.3</c:v>
                </c:pt>
                <c:pt idx="769">
                  <c:v>60.2</c:v>
                </c:pt>
                <c:pt idx="770">
                  <c:v>60.1</c:v>
                </c:pt>
                <c:pt idx="771">
                  <c:v>60</c:v>
                </c:pt>
                <c:pt idx="772">
                  <c:v>59.9</c:v>
                </c:pt>
                <c:pt idx="773">
                  <c:v>59.8</c:v>
                </c:pt>
                <c:pt idx="774">
                  <c:v>59.6</c:v>
                </c:pt>
                <c:pt idx="775">
                  <c:v>59.5</c:v>
                </c:pt>
                <c:pt idx="776">
                  <c:v>59.4</c:v>
                </c:pt>
                <c:pt idx="777">
                  <c:v>59.3</c:v>
                </c:pt>
                <c:pt idx="778">
                  <c:v>59.3</c:v>
                </c:pt>
                <c:pt idx="779">
                  <c:v>59.2</c:v>
                </c:pt>
                <c:pt idx="780">
                  <c:v>59.1</c:v>
                </c:pt>
                <c:pt idx="781">
                  <c:v>59</c:v>
                </c:pt>
                <c:pt idx="782">
                  <c:v>58.9</c:v>
                </c:pt>
                <c:pt idx="783">
                  <c:v>58.8</c:v>
                </c:pt>
                <c:pt idx="784">
                  <c:v>58.7</c:v>
                </c:pt>
                <c:pt idx="785">
                  <c:v>58.6</c:v>
                </c:pt>
                <c:pt idx="786">
                  <c:v>58.6</c:v>
                </c:pt>
                <c:pt idx="787">
                  <c:v>58.5</c:v>
                </c:pt>
                <c:pt idx="788">
                  <c:v>58.4</c:v>
                </c:pt>
                <c:pt idx="789">
                  <c:v>58.3</c:v>
                </c:pt>
                <c:pt idx="790">
                  <c:v>58.3</c:v>
                </c:pt>
                <c:pt idx="791">
                  <c:v>58.2</c:v>
                </c:pt>
                <c:pt idx="792">
                  <c:v>58.1</c:v>
                </c:pt>
                <c:pt idx="793">
                  <c:v>58.1</c:v>
                </c:pt>
                <c:pt idx="794">
                  <c:v>58</c:v>
                </c:pt>
                <c:pt idx="795">
                  <c:v>57.9</c:v>
                </c:pt>
                <c:pt idx="796">
                  <c:v>57.9</c:v>
                </c:pt>
                <c:pt idx="797">
                  <c:v>57.8</c:v>
                </c:pt>
                <c:pt idx="798">
                  <c:v>57.7</c:v>
                </c:pt>
                <c:pt idx="799">
                  <c:v>57.7</c:v>
                </c:pt>
                <c:pt idx="800">
                  <c:v>57.6</c:v>
                </c:pt>
                <c:pt idx="801">
                  <c:v>57.6</c:v>
                </c:pt>
                <c:pt idx="802">
                  <c:v>57.5</c:v>
                </c:pt>
                <c:pt idx="803">
                  <c:v>57.4</c:v>
                </c:pt>
                <c:pt idx="804">
                  <c:v>57.4</c:v>
                </c:pt>
                <c:pt idx="805">
                  <c:v>57.3</c:v>
                </c:pt>
                <c:pt idx="806">
                  <c:v>57.3</c:v>
                </c:pt>
                <c:pt idx="807">
                  <c:v>57.2</c:v>
                </c:pt>
                <c:pt idx="808">
                  <c:v>57.2</c:v>
                </c:pt>
                <c:pt idx="809">
                  <c:v>57.1</c:v>
                </c:pt>
                <c:pt idx="810">
                  <c:v>57.1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56.9</c:v>
                </c:pt>
                <c:pt idx="815">
                  <c:v>56.9</c:v>
                </c:pt>
                <c:pt idx="816">
                  <c:v>56.8</c:v>
                </c:pt>
                <c:pt idx="817">
                  <c:v>56.8</c:v>
                </c:pt>
                <c:pt idx="818">
                  <c:v>56.8</c:v>
                </c:pt>
                <c:pt idx="819">
                  <c:v>56.7</c:v>
                </c:pt>
                <c:pt idx="820">
                  <c:v>56.7</c:v>
                </c:pt>
                <c:pt idx="821">
                  <c:v>56.6</c:v>
                </c:pt>
                <c:pt idx="822">
                  <c:v>56.6</c:v>
                </c:pt>
                <c:pt idx="823">
                  <c:v>56.6</c:v>
                </c:pt>
                <c:pt idx="824">
                  <c:v>56.5</c:v>
                </c:pt>
                <c:pt idx="825">
                  <c:v>56.5</c:v>
                </c:pt>
                <c:pt idx="826">
                  <c:v>56.5</c:v>
                </c:pt>
                <c:pt idx="827">
                  <c:v>56.4</c:v>
                </c:pt>
                <c:pt idx="828">
                  <c:v>56.4</c:v>
                </c:pt>
                <c:pt idx="829">
                  <c:v>56.4</c:v>
                </c:pt>
                <c:pt idx="830">
                  <c:v>56.3</c:v>
                </c:pt>
                <c:pt idx="831">
                  <c:v>56.3</c:v>
                </c:pt>
                <c:pt idx="832">
                  <c:v>56.3</c:v>
                </c:pt>
                <c:pt idx="833">
                  <c:v>56.3</c:v>
                </c:pt>
                <c:pt idx="834">
                  <c:v>56.2</c:v>
                </c:pt>
                <c:pt idx="835">
                  <c:v>56.2</c:v>
                </c:pt>
                <c:pt idx="836">
                  <c:v>56.2</c:v>
                </c:pt>
                <c:pt idx="837">
                  <c:v>56.2</c:v>
                </c:pt>
                <c:pt idx="838">
                  <c:v>56.1</c:v>
                </c:pt>
                <c:pt idx="839">
                  <c:v>56.1</c:v>
                </c:pt>
                <c:pt idx="840">
                  <c:v>56.1</c:v>
                </c:pt>
                <c:pt idx="841">
                  <c:v>56.1</c:v>
                </c:pt>
                <c:pt idx="842">
                  <c:v>56</c:v>
                </c:pt>
                <c:pt idx="843">
                  <c:v>56</c:v>
                </c:pt>
                <c:pt idx="844">
                  <c:v>56</c:v>
                </c:pt>
                <c:pt idx="845">
                  <c:v>56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55.9</c:v>
                </c:pt>
                <c:pt idx="851">
                  <c:v>55.8</c:v>
                </c:pt>
                <c:pt idx="852">
                  <c:v>55.8</c:v>
                </c:pt>
                <c:pt idx="853">
                  <c:v>55.8</c:v>
                </c:pt>
                <c:pt idx="854">
                  <c:v>55.8</c:v>
                </c:pt>
                <c:pt idx="855">
                  <c:v>55.8</c:v>
                </c:pt>
                <c:pt idx="856">
                  <c:v>55.8</c:v>
                </c:pt>
                <c:pt idx="857">
                  <c:v>55.7</c:v>
                </c:pt>
                <c:pt idx="858">
                  <c:v>55.7</c:v>
                </c:pt>
                <c:pt idx="859">
                  <c:v>55.7</c:v>
                </c:pt>
                <c:pt idx="860">
                  <c:v>55.5</c:v>
                </c:pt>
                <c:pt idx="861">
                  <c:v>55.2</c:v>
                </c:pt>
                <c:pt idx="862">
                  <c:v>55</c:v>
                </c:pt>
                <c:pt idx="863">
                  <c:v>54.8</c:v>
                </c:pt>
                <c:pt idx="864">
                  <c:v>54.6</c:v>
                </c:pt>
                <c:pt idx="865">
                  <c:v>54.4</c:v>
                </c:pt>
                <c:pt idx="866">
                  <c:v>54.2</c:v>
                </c:pt>
                <c:pt idx="867">
                  <c:v>53.9</c:v>
                </c:pt>
                <c:pt idx="868">
                  <c:v>53.7</c:v>
                </c:pt>
                <c:pt idx="869">
                  <c:v>53.5</c:v>
                </c:pt>
                <c:pt idx="870">
                  <c:v>53.3</c:v>
                </c:pt>
                <c:pt idx="871">
                  <c:v>53.1</c:v>
                </c:pt>
                <c:pt idx="872">
                  <c:v>52.9</c:v>
                </c:pt>
                <c:pt idx="873">
                  <c:v>52.7</c:v>
                </c:pt>
                <c:pt idx="874">
                  <c:v>52.5</c:v>
                </c:pt>
                <c:pt idx="875">
                  <c:v>52.3</c:v>
                </c:pt>
                <c:pt idx="876">
                  <c:v>52.1</c:v>
                </c:pt>
                <c:pt idx="877">
                  <c:v>51.9</c:v>
                </c:pt>
                <c:pt idx="878">
                  <c:v>51.7</c:v>
                </c:pt>
                <c:pt idx="879">
                  <c:v>51.5</c:v>
                </c:pt>
                <c:pt idx="880">
                  <c:v>51.3</c:v>
                </c:pt>
                <c:pt idx="881">
                  <c:v>51.1</c:v>
                </c:pt>
                <c:pt idx="882">
                  <c:v>50.8</c:v>
                </c:pt>
                <c:pt idx="883">
                  <c:v>50.6</c:v>
                </c:pt>
                <c:pt idx="884">
                  <c:v>50.4</c:v>
                </c:pt>
                <c:pt idx="885">
                  <c:v>50.2</c:v>
                </c:pt>
                <c:pt idx="886">
                  <c:v>50</c:v>
                </c:pt>
                <c:pt idx="887">
                  <c:v>49.8</c:v>
                </c:pt>
                <c:pt idx="888">
                  <c:v>49.6</c:v>
                </c:pt>
                <c:pt idx="889">
                  <c:v>49.4</c:v>
                </c:pt>
                <c:pt idx="890">
                  <c:v>49.1</c:v>
                </c:pt>
                <c:pt idx="891">
                  <c:v>48.9</c:v>
                </c:pt>
                <c:pt idx="892">
                  <c:v>48.7</c:v>
                </c:pt>
                <c:pt idx="893">
                  <c:v>48.5</c:v>
                </c:pt>
                <c:pt idx="894">
                  <c:v>48.3</c:v>
                </c:pt>
                <c:pt idx="895">
                  <c:v>48.1</c:v>
                </c:pt>
                <c:pt idx="896">
                  <c:v>47.9</c:v>
                </c:pt>
                <c:pt idx="897">
                  <c:v>47.7</c:v>
                </c:pt>
                <c:pt idx="898">
                  <c:v>47.5</c:v>
                </c:pt>
                <c:pt idx="899">
                  <c:v>47.3</c:v>
                </c:pt>
                <c:pt idx="900">
                  <c:v>47.2</c:v>
                </c:pt>
                <c:pt idx="901">
                  <c:v>47</c:v>
                </c:pt>
                <c:pt idx="902">
                  <c:v>46.8</c:v>
                </c:pt>
                <c:pt idx="903">
                  <c:v>46.7</c:v>
                </c:pt>
                <c:pt idx="904">
                  <c:v>46.5</c:v>
                </c:pt>
                <c:pt idx="905">
                  <c:v>46.4</c:v>
                </c:pt>
                <c:pt idx="906">
                  <c:v>46.2</c:v>
                </c:pt>
                <c:pt idx="907">
                  <c:v>46.1</c:v>
                </c:pt>
                <c:pt idx="908">
                  <c:v>45.9</c:v>
                </c:pt>
                <c:pt idx="909">
                  <c:v>45.8</c:v>
                </c:pt>
                <c:pt idx="910">
                  <c:v>45.7</c:v>
                </c:pt>
                <c:pt idx="911">
                  <c:v>45.5</c:v>
                </c:pt>
                <c:pt idx="912">
                  <c:v>45.4</c:v>
                </c:pt>
                <c:pt idx="913">
                  <c:v>45.3</c:v>
                </c:pt>
                <c:pt idx="914">
                  <c:v>45.2</c:v>
                </c:pt>
                <c:pt idx="915">
                  <c:v>45.1</c:v>
                </c:pt>
                <c:pt idx="916">
                  <c:v>45</c:v>
                </c:pt>
                <c:pt idx="917">
                  <c:v>44.9</c:v>
                </c:pt>
                <c:pt idx="918">
                  <c:v>44.8</c:v>
                </c:pt>
                <c:pt idx="919">
                  <c:v>44.7</c:v>
                </c:pt>
                <c:pt idx="920">
                  <c:v>44.6</c:v>
                </c:pt>
                <c:pt idx="921">
                  <c:v>44.5</c:v>
                </c:pt>
                <c:pt idx="922">
                  <c:v>44.4</c:v>
                </c:pt>
                <c:pt idx="923">
                  <c:v>44.3</c:v>
                </c:pt>
                <c:pt idx="924">
                  <c:v>44.2</c:v>
                </c:pt>
                <c:pt idx="925">
                  <c:v>44.2</c:v>
                </c:pt>
                <c:pt idx="926">
                  <c:v>44.1</c:v>
                </c:pt>
                <c:pt idx="927">
                  <c:v>44</c:v>
                </c:pt>
                <c:pt idx="928">
                  <c:v>43.9</c:v>
                </c:pt>
                <c:pt idx="929">
                  <c:v>43.9</c:v>
                </c:pt>
                <c:pt idx="930">
                  <c:v>43.8</c:v>
                </c:pt>
                <c:pt idx="931">
                  <c:v>43.7</c:v>
                </c:pt>
                <c:pt idx="932">
                  <c:v>43.7</c:v>
                </c:pt>
                <c:pt idx="933">
                  <c:v>43.6</c:v>
                </c:pt>
                <c:pt idx="934">
                  <c:v>43.6</c:v>
                </c:pt>
                <c:pt idx="935">
                  <c:v>43.5</c:v>
                </c:pt>
                <c:pt idx="936">
                  <c:v>43.4</c:v>
                </c:pt>
                <c:pt idx="937">
                  <c:v>43.4</c:v>
                </c:pt>
                <c:pt idx="938">
                  <c:v>43.3</c:v>
                </c:pt>
                <c:pt idx="939">
                  <c:v>43.3</c:v>
                </c:pt>
                <c:pt idx="940">
                  <c:v>43.3</c:v>
                </c:pt>
                <c:pt idx="941">
                  <c:v>43.2</c:v>
                </c:pt>
                <c:pt idx="942">
                  <c:v>43.2</c:v>
                </c:pt>
                <c:pt idx="943">
                  <c:v>43.1</c:v>
                </c:pt>
                <c:pt idx="944">
                  <c:v>43.1</c:v>
                </c:pt>
                <c:pt idx="945">
                  <c:v>43</c:v>
                </c:pt>
                <c:pt idx="946">
                  <c:v>43</c:v>
                </c:pt>
                <c:pt idx="947">
                  <c:v>43</c:v>
                </c:pt>
                <c:pt idx="948">
                  <c:v>42.9</c:v>
                </c:pt>
                <c:pt idx="949">
                  <c:v>42.9</c:v>
                </c:pt>
                <c:pt idx="950">
                  <c:v>42.9</c:v>
                </c:pt>
                <c:pt idx="951">
                  <c:v>42.9</c:v>
                </c:pt>
                <c:pt idx="952">
                  <c:v>42.8</c:v>
                </c:pt>
                <c:pt idx="953">
                  <c:v>42.8</c:v>
                </c:pt>
                <c:pt idx="954">
                  <c:v>42.8</c:v>
                </c:pt>
                <c:pt idx="955">
                  <c:v>42.8</c:v>
                </c:pt>
                <c:pt idx="956">
                  <c:v>42.7</c:v>
                </c:pt>
                <c:pt idx="957">
                  <c:v>42.7</c:v>
                </c:pt>
                <c:pt idx="958">
                  <c:v>42.7</c:v>
                </c:pt>
                <c:pt idx="959">
                  <c:v>42.7</c:v>
                </c:pt>
                <c:pt idx="960">
                  <c:v>42.7</c:v>
                </c:pt>
                <c:pt idx="961">
                  <c:v>42.6</c:v>
                </c:pt>
                <c:pt idx="962">
                  <c:v>42.6</c:v>
                </c:pt>
                <c:pt idx="963">
                  <c:v>42.6</c:v>
                </c:pt>
                <c:pt idx="964">
                  <c:v>42.6</c:v>
                </c:pt>
                <c:pt idx="965">
                  <c:v>42.6</c:v>
                </c:pt>
                <c:pt idx="966">
                  <c:v>42.6</c:v>
                </c:pt>
                <c:pt idx="967">
                  <c:v>42.6</c:v>
                </c:pt>
                <c:pt idx="968">
                  <c:v>42.5</c:v>
                </c:pt>
                <c:pt idx="969">
                  <c:v>42.5</c:v>
                </c:pt>
                <c:pt idx="970">
                  <c:v>42.5</c:v>
                </c:pt>
                <c:pt idx="971">
                  <c:v>42.5</c:v>
                </c:pt>
                <c:pt idx="972">
                  <c:v>42.5</c:v>
                </c:pt>
                <c:pt idx="973">
                  <c:v>42.5</c:v>
                </c:pt>
                <c:pt idx="974">
                  <c:v>42.5</c:v>
                </c:pt>
                <c:pt idx="975">
                  <c:v>42.5</c:v>
                </c:pt>
                <c:pt idx="976">
                  <c:v>42.5</c:v>
                </c:pt>
                <c:pt idx="977">
                  <c:v>42.5</c:v>
                </c:pt>
                <c:pt idx="978">
                  <c:v>42.5</c:v>
                </c:pt>
                <c:pt idx="979">
                  <c:v>42.5</c:v>
                </c:pt>
                <c:pt idx="980">
                  <c:v>42.5</c:v>
                </c:pt>
                <c:pt idx="981">
                  <c:v>42.5</c:v>
                </c:pt>
                <c:pt idx="982">
                  <c:v>42.5</c:v>
                </c:pt>
                <c:pt idx="983">
                  <c:v>42.5</c:v>
                </c:pt>
                <c:pt idx="984">
                  <c:v>42.5</c:v>
                </c:pt>
                <c:pt idx="985">
                  <c:v>42.5</c:v>
                </c:pt>
                <c:pt idx="986">
                  <c:v>42.5</c:v>
                </c:pt>
                <c:pt idx="987">
                  <c:v>42.5</c:v>
                </c:pt>
                <c:pt idx="988">
                  <c:v>42.5</c:v>
                </c:pt>
                <c:pt idx="989">
                  <c:v>42.5</c:v>
                </c:pt>
                <c:pt idx="990">
                  <c:v>42.5</c:v>
                </c:pt>
                <c:pt idx="991">
                  <c:v>42.5</c:v>
                </c:pt>
                <c:pt idx="992">
                  <c:v>42.5</c:v>
                </c:pt>
                <c:pt idx="993">
                  <c:v>42.5</c:v>
                </c:pt>
                <c:pt idx="994">
                  <c:v>42.5</c:v>
                </c:pt>
                <c:pt idx="995">
                  <c:v>42.5</c:v>
                </c:pt>
                <c:pt idx="996">
                  <c:v>42.5</c:v>
                </c:pt>
                <c:pt idx="997">
                  <c:v>42.5</c:v>
                </c:pt>
                <c:pt idx="998">
                  <c:v>42.5</c:v>
                </c:pt>
                <c:pt idx="999">
                  <c:v>42.5</c:v>
                </c:pt>
                <c:pt idx="1000">
                  <c:v>42.5</c:v>
                </c:pt>
                <c:pt idx="1001">
                  <c:v>42.5</c:v>
                </c:pt>
                <c:pt idx="1002">
                  <c:v>42.5</c:v>
                </c:pt>
                <c:pt idx="1003">
                  <c:v>42.5</c:v>
                </c:pt>
                <c:pt idx="1004">
                  <c:v>42.5</c:v>
                </c:pt>
                <c:pt idx="1005">
                  <c:v>42.6</c:v>
                </c:pt>
                <c:pt idx="1006">
                  <c:v>42.6</c:v>
                </c:pt>
                <c:pt idx="1007">
                  <c:v>42.6</c:v>
                </c:pt>
                <c:pt idx="1008">
                  <c:v>42.6</c:v>
                </c:pt>
                <c:pt idx="1009">
                  <c:v>42.6</c:v>
                </c:pt>
                <c:pt idx="1010">
                  <c:v>42.6</c:v>
                </c:pt>
                <c:pt idx="1011">
                  <c:v>42.6</c:v>
                </c:pt>
                <c:pt idx="1012">
                  <c:v>42.6</c:v>
                </c:pt>
                <c:pt idx="1013">
                  <c:v>42.6</c:v>
                </c:pt>
                <c:pt idx="1014">
                  <c:v>42.6</c:v>
                </c:pt>
                <c:pt idx="1015">
                  <c:v>42.6</c:v>
                </c:pt>
                <c:pt idx="1016">
                  <c:v>42.6</c:v>
                </c:pt>
                <c:pt idx="1017">
                  <c:v>42.6</c:v>
                </c:pt>
                <c:pt idx="1018">
                  <c:v>42.7</c:v>
                </c:pt>
                <c:pt idx="1019">
                  <c:v>42.7</c:v>
                </c:pt>
                <c:pt idx="1020">
                  <c:v>42.7</c:v>
                </c:pt>
                <c:pt idx="1021">
                  <c:v>42.7</c:v>
                </c:pt>
                <c:pt idx="1022">
                  <c:v>42.7</c:v>
                </c:pt>
                <c:pt idx="1023">
                  <c:v>42.7</c:v>
                </c:pt>
                <c:pt idx="1024">
                  <c:v>42.7</c:v>
                </c:pt>
                <c:pt idx="1025">
                  <c:v>42.7</c:v>
                </c:pt>
                <c:pt idx="1026">
                  <c:v>42.7</c:v>
                </c:pt>
                <c:pt idx="1027">
                  <c:v>42.7</c:v>
                </c:pt>
                <c:pt idx="1028">
                  <c:v>42.7</c:v>
                </c:pt>
                <c:pt idx="1029">
                  <c:v>42.8</c:v>
                </c:pt>
                <c:pt idx="1030">
                  <c:v>42.8</c:v>
                </c:pt>
                <c:pt idx="1031">
                  <c:v>42.8</c:v>
                </c:pt>
                <c:pt idx="1032">
                  <c:v>42.8</c:v>
                </c:pt>
                <c:pt idx="1033">
                  <c:v>42.8</c:v>
                </c:pt>
                <c:pt idx="1034">
                  <c:v>42.8</c:v>
                </c:pt>
                <c:pt idx="1035">
                  <c:v>42.8</c:v>
                </c:pt>
                <c:pt idx="1036">
                  <c:v>42.8</c:v>
                </c:pt>
                <c:pt idx="1037">
                  <c:v>42.8</c:v>
                </c:pt>
                <c:pt idx="1038">
                  <c:v>42.8</c:v>
                </c:pt>
                <c:pt idx="1039">
                  <c:v>42.9</c:v>
                </c:pt>
                <c:pt idx="1040">
                  <c:v>42.9</c:v>
                </c:pt>
                <c:pt idx="1041">
                  <c:v>42.9</c:v>
                </c:pt>
                <c:pt idx="1042">
                  <c:v>42.9</c:v>
                </c:pt>
                <c:pt idx="1043">
                  <c:v>42.9</c:v>
                </c:pt>
                <c:pt idx="1044">
                  <c:v>42.9</c:v>
                </c:pt>
                <c:pt idx="1045">
                  <c:v>42.9</c:v>
                </c:pt>
                <c:pt idx="1046">
                  <c:v>42.9</c:v>
                </c:pt>
                <c:pt idx="1047">
                  <c:v>42.9</c:v>
                </c:pt>
                <c:pt idx="1048">
                  <c:v>42.9</c:v>
                </c:pt>
                <c:pt idx="1049">
                  <c:v>43</c:v>
                </c:pt>
                <c:pt idx="1050">
                  <c:v>43</c:v>
                </c:pt>
                <c:pt idx="1051">
                  <c:v>43</c:v>
                </c:pt>
                <c:pt idx="1052">
                  <c:v>43</c:v>
                </c:pt>
                <c:pt idx="1053">
                  <c:v>43</c:v>
                </c:pt>
                <c:pt idx="1054">
                  <c:v>43</c:v>
                </c:pt>
                <c:pt idx="1055">
                  <c:v>43</c:v>
                </c:pt>
                <c:pt idx="1056">
                  <c:v>43</c:v>
                </c:pt>
                <c:pt idx="1057">
                  <c:v>43</c:v>
                </c:pt>
                <c:pt idx="1058">
                  <c:v>43</c:v>
                </c:pt>
                <c:pt idx="1059">
                  <c:v>43.1</c:v>
                </c:pt>
                <c:pt idx="1060">
                  <c:v>43.1</c:v>
                </c:pt>
                <c:pt idx="1061">
                  <c:v>43.1</c:v>
                </c:pt>
                <c:pt idx="1062">
                  <c:v>43.1</c:v>
                </c:pt>
                <c:pt idx="1063">
                  <c:v>43.1</c:v>
                </c:pt>
                <c:pt idx="1064">
                  <c:v>43.1</c:v>
                </c:pt>
                <c:pt idx="1065">
                  <c:v>43.1</c:v>
                </c:pt>
                <c:pt idx="1066">
                  <c:v>43.1</c:v>
                </c:pt>
                <c:pt idx="1067">
                  <c:v>43.1</c:v>
                </c:pt>
                <c:pt idx="1068">
                  <c:v>43.2</c:v>
                </c:pt>
                <c:pt idx="1069">
                  <c:v>43.2</c:v>
                </c:pt>
                <c:pt idx="1070">
                  <c:v>43.2</c:v>
                </c:pt>
                <c:pt idx="1071">
                  <c:v>43.2</c:v>
                </c:pt>
                <c:pt idx="1072">
                  <c:v>43.2</c:v>
                </c:pt>
                <c:pt idx="1073">
                  <c:v>43.2</c:v>
                </c:pt>
                <c:pt idx="1074">
                  <c:v>43.2</c:v>
                </c:pt>
                <c:pt idx="1075">
                  <c:v>43.2</c:v>
                </c:pt>
                <c:pt idx="1076">
                  <c:v>43.2</c:v>
                </c:pt>
                <c:pt idx="1077">
                  <c:v>43.2</c:v>
                </c:pt>
                <c:pt idx="1078">
                  <c:v>43.3</c:v>
                </c:pt>
                <c:pt idx="1079">
                  <c:v>43.3</c:v>
                </c:pt>
                <c:pt idx="1080">
                  <c:v>43.3</c:v>
                </c:pt>
                <c:pt idx="1081">
                  <c:v>43.3</c:v>
                </c:pt>
                <c:pt idx="1082">
                  <c:v>43.3</c:v>
                </c:pt>
                <c:pt idx="1083">
                  <c:v>43.3</c:v>
                </c:pt>
                <c:pt idx="1084">
                  <c:v>43.3</c:v>
                </c:pt>
                <c:pt idx="1085">
                  <c:v>43.3</c:v>
                </c:pt>
                <c:pt idx="1086">
                  <c:v>43.3</c:v>
                </c:pt>
                <c:pt idx="1087">
                  <c:v>43.4</c:v>
                </c:pt>
                <c:pt idx="1088">
                  <c:v>43.4</c:v>
                </c:pt>
                <c:pt idx="1089">
                  <c:v>43.4</c:v>
                </c:pt>
                <c:pt idx="1090">
                  <c:v>43.4</c:v>
                </c:pt>
                <c:pt idx="1091">
                  <c:v>43.4</c:v>
                </c:pt>
                <c:pt idx="1092">
                  <c:v>43.4</c:v>
                </c:pt>
                <c:pt idx="1093">
                  <c:v>43.4</c:v>
                </c:pt>
                <c:pt idx="1094">
                  <c:v>43.4</c:v>
                </c:pt>
                <c:pt idx="1095">
                  <c:v>43.4</c:v>
                </c:pt>
                <c:pt idx="1096">
                  <c:v>43.4</c:v>
                </c:pt>
                <c:pt idx="1097">
                  <c:v>43.5</c:v>
                </c:pt>
                <c:pt idx="1098">
                  <c:v>43.5</c:v>
                </c:pt>
                <c:pt idx="1099">
                  <c:v>43.5</c:v>
                </c:pt>
                <c:pt idx="1100">
                  <c:v>43.5</c:v>
                </c:pt>
                <c:pt idx="1101">
                  <c:v>43.5</c:v>
                </c:pt>
                <c:pt idx="1102">
                  <c:v>43.5</c:v>
                </c:pt>
                <c:pt idx="1103">
                  <c:v>43.5</c:v>
                </c:pt>
                <c:pt idx="1104">
                  <c:v>43.5</c:v>
                </c:pt>
                <c:pt idx="1105">
                  <c:v>43.5</c:v>
                </c:pt>
                <c:pt idx="1106">
                  <c:v>43.6</c:v>
                </c:pt>
                <c:pt idx="1107">
                  <c:v>43.6</c:v>
                </c:pt>
                <c:pt idx="1108">
                  <c:v>43.6</c:v>
                </c:pt>
                <c:pt idx="1109">
                  <c:v>43.6</c:v>
                </c:pt>
                <c:pt idx="1110">
                  <c:v>43.6</c:v>
                </c:pt>
                <c:pt idx="1111">
                  <c:v>43.6</c:v>
                </c:pt>
                <c:pt idx="1112">
                  <c:v>43.6</c:v>
                </c:pt>
                <c:pt idx="1113">
                  <c:v>43.6</c:v>
                </c:pt>
                <c:pt idx="1114">
                  <c:v>43.6</c:v>
                </c:pt>
                <c:pt idx="1115">
                  <c:v>43.7</c:v>
                </c:pt>
                <c:pt idx="1116">
                  <c:v>43.7</c:v>
                </c:pt>
                <c:pt idx="1117">
                  <c:v>43.7</c:v>
                </c:pt>
                <c:pt idx="1118">
                  <c:v>43.7</c:v>
                </c:pt>
                <c:pt idx="1119">
                  <c:v>43.7</c:v>
                </c:pt>
                <c:pt idx="1120">
                  <c:v>43.7</c:v>
                </c:pt>
                <c:pt idx="1121">
                  <c:v>43.7</c:v>
                </c:pt>
                <c:pt idx="1122">
                  <c:v>43.7</c:v>
                </c:pt>
                <c:pt idx="1123">
                  <c:v>43.7</c:v>
                </c:pt>
                <c:pt idx="1124">
                  <c:v>43.8</c:v>
                </c:pt>
                <c:pt idx="1125">
                  <c:v>43.8</c:v>
                </c:pt>
                <c:pt idx="1126">
                  <c:v>43.8</c:v>
                </c:pt>
                <c:pt idx="1127">
                  <c:v>43.8</c:v>
                </c:pt>
                <c:pt idx="1128">
                  <c:v>43.8</c:v>
                </c:pt>
                <c:pt idx="1129">
                  <c:v>43.8</c:v>
                </c:pt>
                <c:pt idx="1130">
                  <c:v>43.8</c:v>
                </c:pt>
                <c:pt idx="1131">
                  <c:v>43.8</c:v>
                </c:pt>
                <c:pt idx="1132">
                  <c:v>43.9</c:v>
                </c:pt>
                <c:pt idx="1133">
                  <c:v>43.9</c:v>
                </c:pt>
                <c:pt idx="1134">
                  <c:v>43.9</c:v>
                </c:pt>
                <c:pt idx="1135">
                  <c:v>43.9</c:v>
                </c:pt>
                <c:pt idx="1136">
                  <c:v>43.9</c:v>
                </c:pt>
                <c:pt idx="1137">
                  <c:v>43.9</c:v>
                </c:pt>
                <c:pt idx="1138">
                  <c:v>43.9</c:v>
                </c:pt>
                <c:pt idx="1139">
                  <c:v>43.9</c:v>
                </c:pt>
                <c:pt idx="1140">
                  <c:v>44</c:v>
                </c:pt>
                <c:pt idx="1141">
                  <c:v>44</c:v>
                </c:pt>
                <c:pt idx="1142">
                  <c:v>44</c:v>
                </c:pt>
                <c:pt idx="1143">
                  <c:v>44</c:v>
                </c:pt>
                <c:pt idx="1144">
                  <c:v>44</c:v>
                </c:pt>
                <c:pt idx="1145">
                  <c:v>44</c:v>
                </c:pt>
                <c:pt idx="1146">
                  <c:v>44</c:v>
                </c:pt>
                <c:pt idx="1147">
                  <c:v>44</c:v>
                </c:pt>
                <c:pt idx="1148">
                  <c:v>44.1</c:v>
                </c:pt>
                <c:pt idx="1149">
                  <c:v>44.1</c:v>
                </c:pt>
                <c:pt idx="1150">
                  <c:v>44.1</c:v>
                </c:pt>
                <c:pt idx="1151">
                  <c:v>44.1</c:v>
                </c:pt>
                <c:pt idx="1152">
                  <c:v>44.1</c:v>
                </c:pt>
                <c:pt idx="1153">
                  <c:v>44.1</c:v>
                </c:pt>
                <c:pt idx="1154">
                  <c:v>44.1</c:v>
                </c:pt>
                <c:pt idx="1155">
                  <c:v>44.2</c:v>
                </c:pt>
                <c:pt idx="1156">
                  <c:v>44.2</c:v>
                </c:pt>
                <c:pt idx="1157">
                  <c:v>44.2</c:v>
                </c:pt>
                <c:pt idx="1158">
                  <c:v>44.2</c:v>
                </c:pt>
                <c:pt idx="1159">
                  <c:v>44.2</c:v>
                </c:pt>
                <c:pt idx="1160">
                  <c:v>44.2</c:v>
                </c:pt>
                <c:pt idx="1161">
                  <c:v>44.3</c:v>
                </c:pt>
                <c:pt idx="1162">
                  <c:v>44.3</c:v>
                </c:pt>
                <c:pt idx="1163">
                  <c:v>44.3</c:v>
                </c:pt>
                <c:pt idx="1164">
                  <c:v>44.3</c:v>
                </c:pt>
                <c:pt idx="1165">
                  <c:v>44.3</c:v>
                </c:pt>
                <c:pt idx="1166">
                  <c:v>44.3</c:v>
                </c:pt>
                <c:pt idx="1167">
                  <c:v>44.3</c:v>
                </c:pt>
                <c:pt idx="1168">
                  <c:v>44.4</c:v>
                </c:pt>
                <c:pt idx="1169">
                  <c:v>44.4</c:v>
                </c:pt>
                <c:pt idx="1170">
                  <c:v>44.4</c:v>
                </c:pt>
                <c:pt idx="1171">
                  <c:v>44.4</c:v>
                </c:pt>
                <c:pt idx="1172">
                  <c:v>44.4</c:v>
                </c:pt>
                <c:pt idx="1173">
                  <c:v>44.4</c:v>
                </c:pt>
                <c:pt idx="1174">
                  <c:v>44.5</c:v>
                </c:pt>
                <c:pt idx="1175">
                  <c:v>44.5</c:v>
                </c:pt>
                <c:pt idx="1176">
                  <c:v>44.5</c:v>
                </c:pt>
                <c:pt idx="1177">
                  <c:v>44.5</c:v>
                </c:pt>
                <c:pt idx="1178">
                  <c:v>44.5</c:v>
                </c:pt>
                <c:pt idx="1179">
                  <c:v>44.5</c:v>
                </c:pt>
                <c:pt idx="1180">
                  <c:v>44.6</c:v>
                </c:pt>
                <c:pt idx="1181">
                  <c:v>44.6</c:v>
                </c:pt>
                <c:pt idx="1182">
                  <c:v>44.6</c:v>
                </c:pt>
                <c:pt idx="1183">
                  <c:v>44.6</c:v>
                </c:pt>
                <c:pt idx="1184">
                  <c:v>44.6</c:v>
                </c:pt>
                <c:pt idx="1185">
                  <c:v>44.7</c:v>
                </c:pt>
                <c:pt idx="1186">
                  <c:v>44.7</c:v>
                </c:pt>
                <c:pt idx="1187">
                  <c:v>44.7</c:v>
                </c:pt>
                <c:pt idx="1188">
                  <c:v>44.7</c:v>
                </c:pt>
                <c:pt idx="1189">
                  <c:v>44.7</c:v>
                </c:pt>
                <c:pt idx="1190">
                  <c:v>44.7</c:v>
                </c:pt>
                <c:pt idx="1191">
                  <c:v>44.8</c:v>
                </c:pt>
                <c:pt idx="1192">
                  <c:v>44.8</c:v>
                </c:pt>
                <c:pt idx="1193">
                  <c:v>44.8</c:v>
                </c:pt>
                <c:pt idx="1194">
                  <c:v>44.8</c:v>
                </c:pt>
                <c:pt idx="1195">
                  <c:v>44.8</c:v>
                </c:pt>
                <c:pt idx="1196">
                  <c:v>44.9</c:v>
                </c:pt>
                <c:pt idx="1197">
                  <c:v>44.9</c:v>
                </c:pt>
                <c:pt idx="1198">
                  <c:v>44.9</c:v>
                </c:pt>
                <c:pt idx="1199">
                  <c:v>44.9</c:v>
                </c:pt>
                <c:pt idx="1200">
                  <c:v>44.9</c:v>
                </c:pt>
                <c:pt idx="1201">
                  <c:v>45</c:v>
                </c:pt>
                <c:pt idx="1202">
                  <c:v>45</c:v>
                </c:pt>
                <c:pt idx="1203">
                  <c:v>45</c:v>
                </c:pt>
                <c:pt idx="1204">
                  <c:v>45</c:v>
                </c:pt>
                <c:pt idx="1205">
                  <c:v>45</c:v>
                </c:pt>
                <c:pt idx="1206">
                  <c:v>45.1</c:v>
                </c:pt>
                <c:pt idx="1207">
                  <c:v>45.1</c:v>
                </c:pt>
                <c:pt idx="1208">
                  <c:v>45.1</c:v>
                </c:pt>
                <c:pt idx="1209">
                  <c:v>45.1</c:v>
                </c:pt>
                <c:pt idx="1210">
                  <c:v>45.2</c:v>
                </c:pt>
                <c:pt idx="1211">
                  <c:v>45.2</c:v>
                </c:pt>
                <c:pt idx="1212">
                  <c:v>45.2</c:v>
                </c:pt>
                <c:pt idx="1213">
                  <c:v>45.2</c:v>
                </c:pt>
                <c:pt idx="1214">
                  <c:v>45.2</c:v>
                </c:pt>
                <c:pt idx="1215">
                  <c:v>45.3</c:v>
                </c:pt>
                <c:pt idx="1216">
                  <c:v>45.3</c:v>
                </c:pt>
                <c:pt idx="1217">
                  <c:v>45.3</c:v>
                </c:pt>
                <c:pt idx="1218">
                  <c:v>45.3</c:v>
                </c:pt>
                <c:pt idx="1219">
                  <c:v>45.3</c:v>
                </c:pt>
                <c:pt idx="1220">
                  <c:v>45.4</c:v>
                </c:pt>
                <c:pt idx="1221">
                  <c:v>45.4</c:v>
                </c:pt>
                <c:pt idx="1222">
                  <c:v>45.4</c:v>
                </c:pt>
                <c:pt idx="1223">
                  <c:v>45.4</c:v>
                </c:pt>
                <c:pt idx="1224">
                  <c:v>45.5</c:v>
                </c:pt>
                <c:pt idx="1225">
                  <c:v>45.5</c:v>
                </c:pt>
                <c:pt idx="1226">
                  <c:v>45.9</c:v>
                </c:pt>
                <c:pt idx="1227">
                  <c:v>46.7</c:v>
                </c:pt>
                <c:pt idx="1228">
                  <c:v>47.4</c:v>
                </c:pt>
                <c:pt idx="1229">
                  <c:v>48.1</c:v>
                </c:pt>
                <c:pt idx="1230">
                  <c:v>48.7</c:v>
                </c:pt>
                <c:pt idx="1231">
                  <c:v>49.2</c:v>
                </c:pt>
                <c:pt idx="1232">
                  <c:v>49.7</c:v>
                </c:pt>
                <c:pt idx="1233">
                  <c:v>50.2</c:v>
                </c:pt>
                <c:pt idx="1234">
                  <c:v>50.6</c:v>
                </c:pt>
                <c:pt idx="1235">
                  <c:v>51</c:v>
                </c:pt>
                <c:pt idx="1236">
                  <c:v>51.3</c:v>
                </c:pt>
                <c:pt idx="1237">
                  <c:v>51.7</c:v>
                </c:pt>
                <c:pt idx="1238">
                  <c:v>52</c:v>
                </c:pt>
                <c:pt idx="1239">
                  <c:v>52.2</c:v>
                </c:pt>
                <c:pt idx="1240">
                  <c:v>52.5</c:v>
                </c:pt>
                <c:pt idx="1241">
                  <c:v>52.7</c:v>
                </c:pt>
                <c:pt idx="1242">
                  <c:v>52.9</c:v>
                </c:pt>
                <c:pt idx="1243">
                  <c:v>53.1</c:v>
                </c:pt>
                <c:pt idx="1244">
                  <c:v>53.2</c:v>
                </c:pt>
                <c:pt idx="1245">
                  <c:v>53.4</c:v>
                </c:pt>
                <c:pt idx="1246">
                  <c:v>53.5</c:v>
                </c:pt>
                <c:pt idx="1247">
                  <c:v>53.7</c:v>
                </c:pt>
                <c:pt idx="1248">
                  <c:v>53.8</c:v>
                </c:pt>
                <c:pt idx="1249">
                  <c:v>53.9</c:v>
                </c:pt>
                <c:pt idx="1250">
                  <c:v>54</c:v>
                </c:pt>
                <c:pt idx="1251">
                  <c:v>54.1</c:v>
                </c:pt>
                <c:pt idx="1252">
                  <c:v>54.2</c:v>
                </c:pt>
                <c:pt idx="1253">
                  <c:v>54.2</c:v>
                </c:pt>
                <c:pt idx="1254">
                  <c:v>54.3</c:v>
                </c:pt>
                <c:pt idx="1255">
                  <c:v>54.4</c:v>
                </c:pt>
                <c:pt idx="1256">
                  <c:v>54.4</c:v>
                </c:pt>
                <c:pt idx="1257">
                  <c:v>54.5</c:v>
                </c:pt>
                <c:pt idx="1258">
                  <c:v>54.5</c:v>
                </c:pt>
                <c:pt idx="1259">
                  <c:v>54.6</c:v>
                </c:pt>
                <c:pt idx="1260">
                  <c:v>54.6</c:v>
                </c:pt>
                <c:pt idx="1261">
                  <c:v>54.6</c:v>
                </c:pt>
                <c:pt idx="1262">
                  <c:v>54.7</c:v>
                </c:pt>
                <c:pt idx="1263">
                  <c:v>54.7</c:v>
                </c:pt>
                <c:pt idx="1264">
                  <c:v>54.7</c:v>
                </c:pt>
                <c:pt idx="1265">
                  <c:v>54.7</c:v>
                </c:pt>
                <c:pt idx="1266">
                  <c:v>54.8</c:v>
                </c:pt>
                <c:pt idx="1267">
                  <c:v>54.8</c:v>
                </c:pt>
                <c:pt idx="1268">
                  <c:v>54.8</c:v>
                </c:pt>
                <c:pt idx="1269">
                  <c:v>54.8</c:v>
                </c:pt>
                <c:pt idx="1270">
                  <c:v>54.8</c:v>
                </c:pt>
                <c:pt idx="1271">
                  <c:v>54.9</c:v>
                </c:pt>
                <c:pt idx="1272">
                  <c:v>54.9</c:v>
                </c:pt>
                <c:pt idx="1273">
                  <c:v>54.9</c:v>
                </c:pt>
                <c:pt idx="1274">
                  <c:v>54.9</c:v>
                </c:pt>
                <c:pt idx="1275">
                  <c:v>54.9</c:v>
                </c:pt>
                <c:pt idx="1276">
                  <c:v>54.9</c:v>
                </c:pt>
                <c:pt idx="1277">
                  <c:v>54.9</c:v>
                </c:pt>
                <c:pt idx="1278">
                  <c:v>54.9</c:v>
                </c:pt>
                <c:pt idx="1279">
                  <c:v>54.9</c:v>
                </c:pt>
                <c:pt idx="1280">
                  <c:v>54.9</c:v>
                </c:pt>
                <c:pt idx="1281">
                  <c:v>54.9</c:v>
                </c:pt>
                <c:pt idx="1282">
                  <c:v>54.9</c:v>
                </c:pt>
                <c:pt idx="1283">
                  <c:v>55</c:v>
                </c:pt>
                <c:pt idx="1284">
                  <c:v>55</c:v>
                </c:pt>
                <c:pt idx="1285">
                  <c:v>55</c:v>
                </c:pt>
                <c:pt idx="1286">
                  <c:v>55</c:v>
                </c:pt>
                <c:pt idx="1287">
                  <c:v>55</c:v>
                </c:pt>
                <c:pt idx="1288">
                  <c:v>55</c:v>
                </c:pt>
                <c:pt idx="1289">
                  <c:v>55</c:v>
                </c:pt>
                <c:pt idx="1290">
                  <c:v>55</c:v>
                </c:pt>
                <c:pt idx="1291">
                  <c:v>55</c:v>
                </c:pt>
                <c:pt idx="1292">
                  <c:v>55</c:v>
                </c:pt>
                <c:pt idx="1293">
                  <c:v>55</c:v>
                </c:pt>
                <c:pt idx="1294">
                  <c:v>55</c:v>
                </c:pt>
                <c:pt idx="1295">
                  <c:v>55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55</c:v>
                </c:pt>
                <c:pt idx="1321">
                  <c:v>55</c:v>
                </c:pt>
                <c:pt idx="1322">
                  <c:v>55</c:v>
                </c:pt>
                <c:pt idx="1323">
                  <c:v>55</c:v>
                </c:pt>
                <c:pt idx="1324">
                  <c:v>55</c:v>
                </c:pt>
                <c:pt idx="1325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E2-4BAE-B466-E0553DA9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09104"/>
        <c:axId val="33974353"/>
      </c:scatterChart>
      <c:valAx>
        <c:axId val="7770910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Zeit [d]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33974353"/>
        <c:crosses val="autoZero"/>
        <c:crossBetween val="midCat"/>
      </c:valAx>
      <c:valAx>
        <c:axId val="339743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[bar] / Inventar [kt]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77091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p-T: Prozesspfade in ZONE I (volle Kaverne) – in Zone III siehe Bohrlochpfad unten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Sättigungslinie</c:v>
          </c:tx>
          <c:spPr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Phasendiagramm!$A$5:$A$44</c:f>
              <c:numCache>
                <c:formatCode>General</c:formatCode>
                <c:ptCount val="40"/>
                <c:pt idx="0">
                  <c:v>-56.06</c:v>
                </c:pt>
                <c:pt idx="1">
                  <c:v>-53.83</c:v>
                </c:pt>
                <c:pt idx="2">
                  <c:v>-51.6</c:v>
                </c:pt>
                <c:pt idx="3">
                  <c:v>-49.37</c:v>
                </c:pt>
                <c:pt idx="4">
                  <c:v>-47.14</c:v>
                </c:pt>
                <c:pt idx="5">
                  <c:v>-44.91</c:v>
                </c:pt>
                <c:pt idx="6">
                  <c:v>-42.68</c:v>
                </c:pt>
                <c:pt idx="7">
                  <c:v>-40.450000000000003</c:v>
                </c:pt>
                <c:pt idx="8">
                  <c:v>-38.21</c:v>
                </c:pt>
                <c:pt idx="9">
                  <c:v>-35.979999999999997</c:v>
                </c:pt>
                <c:pt idx="10">
                  <c:v>-33.75</c:v>
                </c:pt>
                <c:pt idx="11">
                  <c:v>-31.52</c:v>
                </c:pt>
                <c:pt idx="12">
                  <c:v>-29.29</c:v>
                </c:pt>
                <c:pt idx="13">
                  <c:v>-27.06</c:v>
                </c:pt>
                <c:pt idx="14">
                  <c:v>-24.83</c:v>
                </c:pt>
                <c:pt idx="15">
                  <c:v>-22.6</c:v>
                </c:pt>
                <c:pt idx="16">
                  <c:v>-20.37</c:v>
                </c:pt>
                <c:pt idx="17">
                  <c:v>-18.14</c:v>
                </c:pt>
                <c:pt idx="18">
                  <c:v>-15.91</c:v>
                </c:pt>
                <c:pt idx="19">
                  <c:v>-13.68</c:v>
                </c:pt>
                <c:pt idx="20">
                  <c:v>-11.45</c:v>
                </c:pt>
                <c:pt idx="21">
                  <c:v>-9.2200000000000006</c:v>
                </c:pt>
                <c:pt idx="22">
                  <c:v>-6.99</c:v>
                </c:pt>
                <c:pt idx="23">
                  <c:v>-4.76</c:v>
                </c:pt>
                <c:pt idx="24">
                  <c:v>-2.5299999999999998</c:v>
                </c:pt>
                <c:pt idx="25">
                  <c:v>-0.3</c:v>
                </c:pt>
                <c:pt idx="26">
                  <c:v>1.93</c:v>
                </c:pt>
                <c:pt idx="27">
                  <c:v>4.16</c:v>
                </c:pt>
                <c:pt idx="28">
                  <c:v>6.39</c:v>
                </c:pt>
                <c:pt idx="29">
                  <c:v>8.6199999999999992</c:v>
                </c:pt>
                <c:pt idx="30">
                  <c:v>10.85</c:v>
                </c:pt>
                <c:pt idx="31">
                  <c:v>13.08</c:v>
                </c:pt>
                <c:pt idx="32">
                  <c:v>15.32</c:v>
                </c:pt>
                <c:pt idx="33">
                  <c:v>17.55</c:v>
                </c:pt>
                <c:pt idx="34">
                  <c:v>19.78</c:v>
                </c:pt>
                <c:pt idx="35">
                  <c:v>22.01</c:v>
                </c:pt>
                <c:pt idx="36">
                  <c:v>24.24</c:v>
                </c:pt>
                <c:pt idx="37">
                  <c:v>26.47</c:v>
                </c:pt>
                <c:pt idx="38">
                  <c:v>28.7</c:v>
                </c:pt>
                <c:pt idx="39">
                  <c:v>30.93</c:v>
                </c:pt>
              </c:numCache>
            </c:numRef>
          </c:xVal>
          <c:yVal>
            <c:numRef>
              <c:f>Phasendiagramm!$B$5:$B$44</c:f>
              <c:numCache>
                <c:formatCode>General</c:formatCode>
                <c:ptCount val="40"/>
                <c:pt idx="0">
                  <c:v>5.29</c:v>
                </c:pt>
                <c:pt idx="1">
                  <c:v>5.82</c:v>
                </c:pt>
                <c:pt idx="2">
                  <c:v>6.39</c:v>
                </c:pt>
                <c:pt idx="3">
                  <c:v>7</c:v>
                </c:pt>
                <c:pt idx="4">
                  <c:v>7.65</c:v>
                </c:pt>
                <c:pt idx="5">
                  <c:v>8.35</c:v>
                </c:pt>
                <c:pt idx="6">
                  <c:v>9.09</c:v>
                </c:pt>
                <c:pt idx="7">
                  <c:v>9.8800000000000008</c:v>
                </c:pt>
                <c:pt idx="8">
                  <c:v>10.72</c:v>
                </c:pt>
                <c:pt idx="9">
                  <c:v>11.61</c:v>
                </c:pt>
                <c:pt idx="10">
                  <c:v>12.56</c:v>
                </c:pt>
                <c:pt idx="11">
                  <c:v>13.56</c:v>
                </c:pt>
                <c:pt idx="12">
                  <c:v>14.62</c:v>
                </c:pt>
                <c:pt idx="13">
                  <c:v>15.74</c:v>
                </c:pt>
                <c:pt idx="14">
                  <c:v>16.920000000000002</c:v>
                </c:pt>
                <c:pt idx="15">
                  <c:v>18.16</c:v>
                </c:pt>
                <c:pt idx="16">
                  <c:v>19.47</c:v>
                </c:pt>
                <c:pt idx="17">
                  <c:v>20.85</c:v>
                </c:pt>
                <c:pt idx="18">
                  <c:v>22.3</c:v>
                </c:pt>
                <c:pt idx="19">
                  <c:v>23.82</c:v>
                </c:pt>
                <c:pt idx="20">
                  <c:v>25.41</c:v>
                </c:pt>
                <c:pt idx="21">
                  <c:v>27.08</c:v>
                </c:pt>
                <c:pt idx="22">
                  <c:v>28.83</c:v>
                </c:pt>
                <c:pt idx="23">
                  <c:v>30.66</c:v>
                </c:pt>
                <c:pt idx="24">
                  <c:v>32.58</c:v>
                </c:pt>
                <c:pt idx="25">
                  <c:v>34.58</c:v>
                </c:pt>
                <c:pt idx="26">
                  <c:v>36.67</c:v>
                </c:pt>
                <c:pt idx="27">
                  <c:v>38.85</c:v>
                </c:pt>
                <c:pt idx="28">
                  <c:v>41.13</c:v>
                </c:pt>
                <c:pt idx="29">
                  <c:v>43.51</c:v>
                </c:pt>
                <c:pt idx="30">
                  <c:v>45.98</c:v>
                </c:pt>
                <c:pt idx="31">
                  <c:v>48.57</c:v>
                </c:pt>
                <c:pt idx="32">
                  <c:v>51.26</c:v>
                </c:pt>
                <c:pt idx="33">
                  <c:v>54.07</c:v>
                </c:pt>
                <c:pt idx="34">
                  <c:v>56.99</c:v>
                </c:pt>
                <c:pt idx="35">
                  <c:v>60.04</c:v>
                </c:pt>
                <c:pt idx="36">
                  <c:v>63.22</c:v>
                </c:pt>
                <c:pt idx="37">
                  <c:v>66.55</c:v>
                </c:pt>
                <c:pt idx="38">
                  <c:v>70.02</c:v>
                </c:pt>
                <c:pt idx="39">
                  <c:v>73.69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7F-4DDA-B3D8-1E77E17C7300}"/>
            </c:ext>
          </c:extLst>
        </c:ser>
        <c:ser>
          <c:idx val="1"/>
          <c:order val="1"/>
          <c:tx>
            <c:v>krit. Isotherme 31 °C</c:v>
          </c:tx>
          <c:spPr>
            <a:ln w="11880">
              <a:solidFill>
                <a:srgbClr val="A6A6A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Phasendiagramm!$S$5:$S$6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Phasendiagramm!$T$5:$T$6</c:f>
              <c:numCache>
                <c:formatCode>General</c:formatCode>
                <c:ptCount val="2"/>
                <c:pt idx="0">
                  <c:v>73.8</c:v>
                </c:pt>
                <c:pt idx="1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7F-4DDA-B3D8-1E77E17C7300}"/>
            </c:ext>
          </c:extLst>
        </c:ser>
        <c:ser>
          <c:idx val="2"/>
          <c:order val="2"/>
          <c:tx>
            <c:v>pkrit 73,8 bar = Phasenreinheits-Grenze</c:v>
          </c:tx>
          <c:spPr>
            <a:ln w="11880">
              <a:solidFill>
                <a:srgbClr val="A6A6A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Phasendiagramm!$V$5:$V$6</c:f>
              <c:numCache>
                <c:formatCode>General</c:formatCode>
                <c:ptCount val="2"/>
                <c:pt idx="0">
                  <c:v>31</c:v>
                </c:pt>
                <c:pt idx="1">
                  <c:v>140</c:v>
                </c:pt>
              </c:numCache>
            </c:numRef>
          </c:xVal>
          <c:yVal>
            <c:numRef>
              <c:f>Phasendiagramm!$W$5:$W$6</c:f>
              <c:numCache>
                <c:formatCode>General</c:formatCode>
                <c:ptCount val="2"/>
                <c:pt idx="0">
                  <c:v>73.8</c:v>
                </c:pt>
                <c:pt idx="1">
                  <c:v>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7F-4DDA-B3D8-1E77E17C7300}"/>
            </c:ext>
          </c:extLst>
        </c:ser>
        <c:ser>
          <c:idx val="3"/>
          <c:order val="3"/>
          <c:tx>
            <c:v>Betriebsbereich Kaverne (Buzogany/Kruck 2022)</c:v>
          </c:tx>
          <c:spPr>
            <a:ln w="15840">
              <a:solidFill>
                <a:srgbClr val="7F77DD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Phasendiagramm!$AH$5:$AH$9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60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Phasendiagramm!$AI$5:$AI$9</c:f>
              <c:numCache>
                <c:formatCode>General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210</c:v>
                </c:pt>
                <c:pt idx="3">
                  <c:v>210</c:v>
                </c:pt>
                <c:pt idx="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57F-4DDA-B3D8-1E77E17C7300}"/>
            </c:ext>
          </c:extLst>
        </c:ser>
        <c:ser>
          <c:idx val="4"/>
          <c:order val="4"/>
          <c:tx>
            <c:v>OGE-Lieferfenster (80–90 bar, 5–25 °C)</c:v>
          </c:tx>
          <c:spPr>
            <a:ln w="14040">
              <a:solidFill>
                <a:srgbClr val="63992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Phasendiagramm!$AE$5:$AE$9</c:f>
              <c:numCache>
                <c:formatCode>General</c:formatCode>
                <c:ptCount val="5"/>
                <c:pt idx="0">
                  <c:v>5</c:v>
                </c:pt>
                <c:pt idx="1">
                  <c:v>25</c:v>
                </c:pt>
                <c:pt idx="2">
                  <c:v>25</c:v>
                </c:pt>
                <c:pt idx="3">
                  <c:v>5</c:v>
                </c:pt>
                <c:pt idx="4">
                  <c:v>5</c:v>
                </c:pt>
              </c:numCache>
            </c:numRef>
          </c:xVal>
          <c:yVal>
            <c:numRef>
              <c:f>Phasendiagramm!$AF$5:$AF$9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90</c:v>
                </c:pt>
                <c:pt idx="3">
                  <c:v>90</c:v>
                </c:pt>
                <c:pt idx="4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57F-4DDA-B3D8-1E77E17C7300}"/>
            </c:ext>
          </c:extLst>
        </c:ser>
        <c:ser>
          <c:idx val="5"/>
          <c:order val="5"/>
          <c:tx>
            <c:v>1) Pumpe 85→111 bar (+2,9 K)</c:v>
          </c:tx>
          <c:spPr>
            <a:ln w="298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Phasendiagramm!$Y$5:$Y$10</c:f>
              <c:numCache>
                <c:formatCode>General</c:formatCode>
                <c:ptCount val="6"/>
                <c:pt idx="0">
                  <c:v>15</c:v>
                </c:pt>
                <c:pt idx="1">
                  <c:v>15.6</c:v>
                </c:pt>
                <c:pt idx="2">
                  <c:v>16.2</c:v>
                </c:pt>
                <c:pt idx="3">
                  <c:v>16.7</c:v>
                </c:pt>
                <c:pt idx="4">
                  <c:v>17.3</c:v>
                </c:pt>
                <c:pt idx="5">
                  <c:v>17.899999999999999</c:v>
                </c:pt>
              </c:numCache>
            </c:numRef>
          </c:xVal>
          <c:yVal>
            <c:numRef>
              <c:f>Phasendiagramm!$Z$5:$Z$10</c:f>
              <c:numCache>
                <c:formatCode>General</c:formatCode>
                <c:ptCount val="6"/>
                <c:pt idx="0">
                  <c:v>85</c:v>
                </c:pt>
                <c:pt idx="1">
                  <c:v>90.2</c:v>
                </c:pt>
                <c:pt idx="2">
                  <c:v>95.4</c:v>
                </c:pt>
                <c:pt idx="3">
                  <c:v>100.6</c:v>
                </c:pt>
                <c:pt idx="4">
                  <c:v>105.8</c:v>
                </c:pt>
                <c:pt idx="5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7F-4DDA-B3D8-1E77E17C7300}"/>
            </c:ext>
          </c:extLst>
        </c:ser>
        <c:ser>
          <c:idx val="6"/>
          <c:order val="6"/>
          <c:tx>
            <c:v>2) Bohrloch runter: Säule 111→208 bar, Gebirge wärmt</c:v>
          </c:tx>
          <c:spPr>
            <a:ln w="21960">
              <a:solidFill>
                <a:srgbClr val="85B7E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Phasendiagramm!$AK$5:$AK$29</c:f>
              <c:numCache>
                <c:formatCode>General</c:formatCode>
                <c:ptCount val="25"/>
                <c:pt idx="0">
                  <c:v>17.899999999999999</c:v>
                </c:pt>
                <c:pt idx="1">
                  <c:v>19.399999999999999</c:v>
                </c:pt>
                <c:pt idx="2">
                  <c:v>20.9</c:v>
                </c:pt>
                <c:pt idx="3">
                  <c:v>22.4</c:v>
                </c:pt>
                <c:pt idx="4">
                  <c:v>23.9</c:v>
                </c:pt>
                <c:pt idx="5">
                  <c:v>25.4</c:v>
                </c:pt>
                <c:pt idx="6">
                  <c:v>26.9</c:v>
                </c:pt>
                <c:pt idx="7">
                  <c:v>28.4</c:v>
                </c:pt>
                <c:pt idx="8">
                  <c:v>29.9</c:v>
                </c:pt>
                <c:pt idx="9">
                  <c:v>31.4</c:v>
                </c:pt>
                <c:pt idx="10">
                  <c:v>32.9</c:v>
                </c:pt>
                <c:pt idx="11">
                  <c:v>34.4</c:v>
                </c:pt>
                <c:pt idx="12">
                  <c:v>35.9</c:v>
                </c:pt>
                <c:pt idx="13">
                  <c:v>37.4</c:v>
                </c:pt>
                <c:pt idx="14">
                  <c:v>38.9</c:v>
                </c:pt>
                <c:pt idx="15">
                  <c:v>40.4</c:v>
                </c:pt>
                <c:pt idx="16">
                  <c:v>41.9</c:v>
                </c:pt>
                <c:pt idx="17">
                  <c:v>43.4</c:v>
                </c:pt>
                <c:pt idx="18">
                  <c:v>44.9</c:v>
                </c:pt>
                <c:pt idx="19">
                  <c:v>46.4</c:v>
                </c:pt>
                <c:pt idx="20">
                  <c:v>47.9</c:v>
                </c:pt>
                <c:pt idx="21">
                  <c:v>49.4</c:v>
                </c:pt>
                <c:pt idx="22">
                  <c:v>50.9</c:v>
                </c:pt>
                <c:pt idx="23">
                  <c:v>52.4</c:v>
                </c:pt>
                <c:pt idx="24">
                  <c:v>53.9</c:v>
                </c:pt>
              </c:numCache>
            </c:numRef>
          </c:xVal>
          <c:yVal>
            <c:numRef>
              <c:f>Phasendiagramm!$AL$5:$AL$29</c:f>
              <c:numCache>
                <c:formatCode>General</c:formatCode>
                <c:ptCount val="25"/>
                <c:pt idx="0">
                  <c:v>111</c:v>
                </c:pt>
                <c:pt idx="1">
                  <c:v>115.3</c:v>
                </c:pt>
                <c:pt idx="2">
                  <c:v>119.6</c:v>
                </c:pt>
                <c:pt idx="3">
                  <c:v>123.9</c:v>
                </c:pt>
                <c:pt idx="4">
                  <c:v>128.19999999999999</c:v>
                </c:pt>
                <c:pt idx="5">
                  <c:v>132.4</c:v>
                </c:pt>
                <c:pt idx="6">
                  <c:v>136.6</c:v>
                </c:pt>
                <c:pt idx="7">
                  <c:v>140.80000000000001</c:v>
                </c:pt>
                <c:pt idx="8">
                  <c:v>144.9</c:v>
                </c:pt>
                <c:pt idx="9">
                  <c:v>149.1</c:v>
                </c:pt>
                <c:pt idx="10">
                  <c:v>153.19999999999999</c:v>
                </c:pt>
                <c:pt idx="11">
                  <c:v>157.19999999999999</c:v>
                </c:pt>
                <c:pt idx="12">
                  <c:v>161.30000000000001</c:v>
                </c:pt>
                <c:pt idx="13">
                  <c:v>165.3</c:v>
                </c:pt>
                <c:pt idx="14">
                  <c:v>169.4</c:v>
                </c:pt>
                <c:pt idx="15">
                  <c:v>173.3</c:v>
                </c:pt>
                <c:pt idx="16">
                  <c:v>177.3</c:v>
                </c:pt>
                <c:pt idx="17">
                  <c:v>181.3</c:v>
                </c:pt>
                <c:pt idx="18">
                  <c:v>185.2</c:v>
                </c:pt>
                <c:pt idx="19">
                  <c:v>189.1</c:v>
                </c:pt>
                <c:pt idx="20">
                  <c:v>193</c:v>
                </c:pt>
                <c:pt idx="21">
                  <c:v>196.9</c:v>
                </c:pt>
                <c:pt idx="22">
                  <c:v>200.7</c:v>
                </c:pt>
                <c:pt idx="23">
                  <c:v>204.5</c:v>
                </c:pt>
                <c:pt idx="24">
                  <c:v>208.3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7F-4DDA-B3D8-1E77E17C7300}"/>
            </c:ext>
          </c:extLst>
        </c:ser>
        <c:ser>
          <c:idx val="7"/>
          <c:order val="7"/>
          <c:tx>
            <c:v>3) Bohrloch hoch: 217→120 bar, kühlt Richtung Kopf</c:v>
          </c:tx>
          <c:spPr>
            <a:ln w="21960">
              <a:solidFill>
                <a:srgbClr val="5DCAA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Phasendiagramm!$AN$5:$AN$29</c:f>
              <c:numCache>
                <c:formatCode>General</c:formatCode>
                <c:ptCount val="25"/>
                <c:pt idx="0">
                  <c:v>20</c:v>
                </c:pt>
                <c:pt idx="1">
                  <c:v>21.5</c:v>
                </c:pt>
                <c:pt idx="2">
                  <c:v>23</c:v>
                </c:pt>
                <c:pt idx="3">
                  <c:v>24.5</c:v>
                </c:pt>
                <c:pt idx="4">
                  <c:v>26</c:v>
                </c:pt>
                <c:pt idx="5">
                  <c:v>27.5</c:v>
                </c:pt>
                <c:pt idx="6">
                  <c:v>29</c:v>
                </c:pt>
                <c:pt idx="7">
                  <c:v>30.5</c:v>
                </c:pt>
                <c:pt idx="8">
                  <c:v>32</c:v>
                </c:pt>
                <c:pt idx="9">
                  <c:v>33.5</c:v>
                </c:pt>
                <c:pt idx="10">
                  <c:v>35</c:v>
                </c:pt>
                <c:pt idx="11">
                  <c:v>36.5</c:v>
                </c:pt>
                <c:pt idx="12">
                  <c:v>38</c:v>
                </c:pt>
                <c:pt idx="13">
                  <c:v>39.5</c:v>
                </c:pt>
                <c:pt idx="14">
                  <c:v>41</c:v>
                </c:pt>
                <c:pt idx="15">
                  <c:v>42.5</c:v>
                </c:pt>
                <c:pt idx="16">
                  <c:v>44</c:v>
                </c:pt>
                <c:pt idx="17">
                  <c:v>45.5</c:v>
                </c:pt>
                <c:pt idx="18">
                  <c:v>47</c:v>
                </c:pt>
                <c:pt idx="19">
                  <c:v>48.5</c:v>
                </c:pt>
                <c:pt idx="20">
                  <c:v>50</c:v>
                </c:pt>
                <c:pt idx="21">
                  <c:v>51.5</c:v>
                </c:pt>
                <c:pt idx="22">
                  <c:v>53</c:v>
                </c:pt>
                <c:pt idx="23">
                  <c:v>54.5</c:v>
                </c:pt>
                <c:pt idx="24">
                  <c:v>56</c:v>
                </c:pt>
              </c:numCache>
            </c:numRef>
          </c:xVal>
          <c:yVal>
            <c:numRef>
              <c:f>Phasendiagramm!$AO$5:$AO$29</c:f>
              <c:numCache>
                <c:formatCode>General</c:formatCode>
                <c:ptCount val="25"/>
                <c:pt idx="0">
                  <c:v>120</c:v>
                </c:pt>
                <c:pt idx="1">
                  <c:v>124.3</c:v>
                </c:pt>
                <c:pt idx="2">
                  <c:v>128.6</c:v>
                </c:pt>
                <c:pt idx="3">
                  <c:v>132.80000000000001</c:v>
                </c:pt>
                <c:pt idx="4">
                  <c:v>137.1</c:v>
                </c:pt>
                <c:pt idx="5">
                  <c:v>141.30000000000001</c:v>
                </c:pt>
                <c:pt idx="6">
                  <c:v>145.5</c:v>
                </c:pt>
                <c:pt idx="7">
                  <c:v>149.6</c:v>
                </c:pt>
                <c:pt idx="8">
                  <c:v>153.80000000000001</c:v>
                </c:pt>
                <c:pt idx="9">
                  <c:v>157.9</c:v>
                </c:pt>
                <c:pt idx="10">
                  <c:v>162</c:v>
                </c:pt>
                <c:pt idx="11">
                  <c:v>166</c:v>
                </c:pt>
                <c:pt idx="12">
                  <c:v>170.1</c:v>
                </c:pt>
                <c:pt idx="13">
                  <c:v>174.1</c:v>
                </c:pt>
                <c:pt idx="14">
                  <c:v>178.1</c:v>
                </c:pt>
                <c:pt idx="15">
                  <c:v>182.1</c:v>
                </c:pt>
                <c:pt idx="16">
                  <c:v>186.1</c:v>
                </c:pt>
                <c:pt idx="17">
                  <c:v>190</c:v>
                </c:pt>
                <c:pt idx="18">
                  <c:v>193.9</c:v>
                </c:pt>
                <c:pt idx="19">
                  <c:v>197.8</c:v>
                </c:pt>
                <c:pt idx="20">
                  <c:v>201.7</c:v>
                </c:pt>
                <c:pt idx="21">
                  <c:v>205.5</c:v>
                </c:pt>
                <c:pt idx="22">
                  <c:v>209.4</c:v>
                </c:pt>
                <c:pt idx="23">
                  <c:v>213.2</c:v>
                </c:pt>
                <c:pt idx="24">
                  <c:v>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57F-4DDA-B3D8-1E77E17C7300}"/>
            </c:ext>
          </c:extLst>
        </c:ser>
        <c:ser>
          <c:idx val="8"/>
          <c:order val="8"/>
          <c:tx>
            <c:v>4) Drossel 120→85 bar (−2,1 K)</c:v>
          </c:tx>
          <c:spPr>
            <a:ln w="2988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Phasendiagramm!$AB$5:$AB$12</c:f>
              <c:numCache>
                <c:formatCode>General</c:formatCode>
                <c:ptCount val="8"/>
                <c:pt idx="0">
                  <c:v>20</c:v>
                </c:pt>
                <c:pt idx="1">
                  <c:v>19.7</c:v>
                </c:pt>
                <c:pt idx="2">
                  <c:v>19.5</c:v>
                </c:pt>
                <c:pt idx="3">
                  <c:v>19.2</c:v>
                </c:pt>
                <c:pt idx="4">
                  <c:v>18.899999999999999</c:v>
                </c:pt>
                <c:pt idx="5">
                  <c:v>18.600000000000001</c:v>
                </c:pt>
                <c:pt idx="6">
                  <c:v>18.3</c:v>
                </c:pt>
                <c:pt idx="7">
                  <c:v>17.899999999999999</c:v>
                </c:pt>
              </c:numCache>
            </c:numRef>
          </c:xVal>
          <c:yVal>
            <c:numRef>
              <c:f>Phasendiagramm!$AC$5:$AC$12</c:f>
              <c:numCache>
                <c:formatCode>General</c:formatCode>
                <c:ptCount val="8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57F-4DDA-B3D8-1E77E17C7300}"/>
            </c:ext>
          </c:extLst>
        </c:ser>
        <c:ser>
          <c:idx val="9"/>
          <c:order val="9"/>
          <c:tx>
            <c:v>kritischer Punkt</c:v>
          </c:tx>
          <c:spPr>
            <a:ln w="2844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Phasendiagramm!$M$5</c:f>
              <c:numCache>
                <c:formatCode>General</c:formatCode>
                <c:ptCount val="1"/>
                <c:pt idx="0">
                  <c:v>31</c:v>
                </c:pt>
              </c:numCache>
            </c:numRef>
          </c:xVal>
          <c:yVal>
            <c:numRef>
              <c:f>Phasendiagramm!$N$5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57F-4DDA-B3D8-1E77E17C7300}"/>
            </c:ext>
          </c:extLst>
        </c:ser>
        <c:ser>
          <c:idx val="10"/>
          <c:order val="10"/>
          <c:tx>
            <c:v>3b) Bohrloch hoch bei NENNRATE (adiabat, ~41 °C)</c:v>
          </c:tx>
          <c:spPr>
            <a:ln w="20160">
              <a:solidFill>
                <a:srgbClr val="EF9F27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Phasendiagramm!$AQ$5:$AQ$29</c:f>
              <c:numCache>
                <c:formatCode>General</c:formatCode>
                <c:ptCount val="25"/>
                <c:pt idx="0">
                  <c:v>42.3</c:v>
                </c:pt>
                <c:pt idx="1">
                  <c:v>43</c:v>
                </c:pt>
                <c:pt idx="2">
                  <c:v>43.6</c:v>
                </c:pt>
                <c:pt idx="3">
                  <c:v>44.3</c:v>
                </c:pt>
                <c:pt idx="4">
                  <c:v>44.9</c:v>
                </c:pt>
                <c:pt idx="5">
                  <c:v>45.5</c:v>
                </c:pt>
                <c:pt idx="6">
                  <c:v>46.1</c:v>
                </c:pt>
                <c:pt idx="7">
                  <c:v>46.7</c:v>
                </c:pt>
                <c:pt idx="8">
                  <c:v>47.3</c:v>
                </c:pt>
                <c:pt idx="9">
                  <c:v>47.9</c:v>
                </c:pt>
                <c:pt idx="10">
                  <c:v>48.5</c:v>
                </c:pt>
                <c:pt idx="11">
                  <c:v>49.1</c:v>
                </c:pt>
                <c:pt idx="12">
                  <c:v>49.6</c:v>
                </c:pt>
                <c:pt idx="13">
                  <c:v>50.2</c:v>
                </c:pt>
                <c:pt idx="14">
                  <c:v>50.8</c:v>
                </c:pt>
                <c:pt idx="15">
                  <c:v>51.3</c:v>
                </c:pt>
                <c:pt idx="16">
                  <c:v>51.8</c:v>
                </c:pt>
                <c:pt idx="17">
                  <c:v>52.4</c:v>
                </c:pt>
                <c:pt idx="18">
                  <c:v>52.9</c:v>
                </c:pt>
                <c:pt idx="19">
                  <c:v>53.4</c:v>
                </c:pt>
                <c:pt idx="20">
                  <c:v>54</c:v>
                </c:pt>
                <c:pt idx="21">
                  <c:v>54.5</c:v>
                </c:pt>
                <c:pt idx="22">
                  <c:v>55</c:v>
                </c:pt>
                <c:pt idx="23">
                  <c:v>55.5</c:v>
                </c:pt>
                <c:pt idx="24">
                  <c:v>56</c:v>
                </c:pt>
              </c:numCache>
            </c:numRef>
          </c:xVal>
          <c:yVal>
            <c:numRef>
              <c:f>Phasendiagramm!$AR$5:$AR$29</c:f>
              <c:numCache>
                <c:formatCode>General</c:formatCode>
                <c:ptCount val="25"/>
                <c:pt idx="0">
                  <c:v>129</c:v>
                </c:pt>
                <c:pt idx="1">
                  <c:v>132.5</c:v>
                </c:pt>
                <c:pt idx="2">
                  <c:v>136.1</c:v>
                </c:pt>
                <c:pt idx="3">
                  <c:v>139.69999999999999</c:v>
                </c:pt>
                <c:pt idx="4">
                  <c:v>143.19999999999999</c:v>
                </c:pt>
                <c:pt idx="5">
                  <c:v>146.80000000000001</c:v>
                </c:pt>
                <c:pt idx="6">
                  <c:v>150.4</c:v>
                </c:pt>
                <c:pt idx="7">
                  <c:v>154</c:v>
                </c:pt>
                <c:pt idx="8">
                  <c:v>157.6</c:v>
                </c:pt>
                <c:pt idx="9">
                  <c:v>161.30000000000001</c:v>
                </c:pt>
                <c:pt idx="10">
                  <c:v>164.9</c:v>
                </c:pt>
                <c:pt idx="11">
                  <c:v>168.6</c:v>
                </c:pt>
                <c:pt idx="12">
                  <c:v>172.2</c:v>
                </c:pt>
                <c:pt idx="13">
                  <c:v>175.9</c:v>
                </c:pt>
                <c:pt idx="14">
                  <c:v>179.6</c:v>
                </c:pt>
                <c:pt idx="15">
                  <c:v>183.3</c:v>
                </c:pt>
                <c:pt idx="16">
                  <c:v>187</c:v>
                </c:pt>
                <c:pt idx="17">
                  <c:v>190.7</c:v>
                </c:pt>
                <c:pt idx="18">
                  <c:v>194.4</c:v>
                </c:pt>
                <c:pt idx="19">
                  <c:v>198.2</c:v>
                </c:pt>
                <c:pt idx="20">
                  <c:v>201.9</c:v>
                </c:pt>
                <c:pt idx="21">
                  <c:v>205.7</c:v>
                </c:pt>
                <c:pt idx="22">
                  <c:v>209.4</c:v>
                </c:pt>
                <c:pt idx="23">
                  <c:v>213.2</c:v>
                </c:pt>
                <c:pt idx="24">
                  <c:v>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57F-4DDA-B3D8-1E77E17C7300}"/>
            </c:ext>
          </c:extLst>
        </c:ser>
        <c:ser>
          <c:idx val="11"/>
          <c:order val="11"/>
          <c:tx>
            <c:v>4b) Drossel warm → 33,8 °C (Nachkühler auf ≤25 °C)</c:v>
          </c:tx>
          <c:spPr>
            <a:ln w="25920">
              <a:solidFill>
                <a:srgbClr val="EF9F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Phasendiagramm!$AT$5:$AT$12</c:f>
              <c:numCache>
                <c:formatCode>General</c:formatCode>
                <c:ptCount val="8"/>
                <c:pt idx="0">
                  <c:v>41</c:v>
                </c:pt>
                <c:pt idx="1">
                  <c:v>40.200000000000003</c:v>
                </c:pt>
                <c:pt idx="2">
                  <c:v>39.299999999999997</c:v>
                </c:pt>
                <c:pt idx="3">
                  <c:v>38.4</c:v>
                </c:pt>
                <c:pt idx="4">
                  <c:v>37.299999999999997</c:v>
                </c:pt>
                <c:pt idx="5">
                  <c:v>36.299999999999997</c:v>
                </c:pt>
                <c:pt idx="6">
                  <c:v>35.1</c:v>
                </c:pt>
                <c:pt idx="7">
                  <c:v>33.799999999999997</c:v>
                </c:pt>
              </c:numCache>
            </c:numRef>
          </c:xVal>
          <c:yVal>
            <c:numRef>
              <c:f>Phasendiagramm!$AU$5:$AU$12</c:f>
              <c:numCache>
                <c:formatCode>General</c:formatCode>
                <c:ptCount val="8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57F-4DDA-B3D8-1E77E17C7300}"/>
            </c:ext>
          </c:extLst>
        </c:ser>
        <c:ser>
          <c:idx val="12"/>
          <c:order val="12"/>
          <c:tx>
            <c:v>ZONE III: Bohrloch bei pLCCS 110 bar → endet auf der Sättigungslinie (Case 2)</c:v>
          </c:tx>
          <c:spPr>
            <a:ln w="25920">
              <a:solidFill>
                <a:srgbClr val="C0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Phasendiagramm!$AW$5:$AW$312</c:f>
              <c:numCache>
                <c:formatCode>General</c:formatCode>
                <c:ptCount val="308"/>
                <c:pt idx="0">
                  <c:v>51</c:v>
                </c:pt>
                <c:pt idx="1">
                  <c:v>50.9</c:v>
                </c:pt>
                <c:pt idx="2">
                  <c:v>50.9</c:v>
                </c:pt>
                <c:pt idx="3">
                  <c:v>50.8</c:v>
                </c:pt>
                <c:pt idx="4">
                  <c:v>50.7</c:v>
                </c:pt>
                <c:pt idx="5">
                  <c:v>50.6</c:v>
                </c:pt>
                <c:pt idx="6">
                  <c:v>50.5</c:v>
                </c:pt>
                <c:pt idx="7">
                  <c:v>50.5</c:v>
                </c:pt>
                <c:pt idx="8">
                  <c:v>50.4</c:v>
                </c:pt>
                <c:pt idx="9">
                  <c:v>50.3</c:v>
                </c:pt>
                <c:pt idx="10">
                  <c:v>50.2</c:v>
                </c:pt>
                <c:pt idx="11">
                  <c:v>50.2</c:v>
                </c:pt>
                <c:pt idx="12">
                  <c:v>50.1</c:v>
                </c:pt>
                <c:pt idx="13">
                  <c:v>50</c:v>
                </c:pt>
                <c:pt idx="14">
                  <c:v>49.9</c:v>
                </c:pt>
                <c:pt idx="15">
                  <c:v>49.9</c:v>
                </c:pt>
                <c:pt idx="16">
                  <c:v>49.8</c:v>
                </c:pt>
                <c:pt idx="17">
                  <c:v>49.7</c:v>
                </c:pt>
                <c:pt idx="18">
                  <c:v>49.6</c:v>
                </c:pt>
                <c:pt idx="19">
                  <c:v>49.6</c:v>
                </c:pt>
                <c:pt idx="20">
                  <c:v>49.5</c:v>
                </c:pt>
                <c:pt idx="21">
                  <c:v>49.4</c:v>
                </c:pt>
                <c:pt idx="22">
                  <c:v>49.4</c:v>
                </c:pt>
                <c:pt idx="23">
                  <c:v>49.3</c:v>
                </c:pt>
                <c:pt idx="24">
                  <c:v>49.2</c:v>
                </c:pt>
                <c:pt idx="25">
                  <c:v>49.1</c:v>
                </c:pt>
                <c:pt idx="26">
                  <c:v>49</c:v>
                </c:pt>
                <c:pt idx="27">
                  <c:v>49</c:v>
                </c:pt>
                <c:pt idx="28">
                  <c:v>48.9</c:v>
                </c:pt>
                <c:pt idx="29">
                  <c:v>48.8</c:v>
                </c:pt>
                <c:pt idx="30">
                  <c:v>48.8</c:v>
                </c:pt>
                <c:pt idx="31">
                  <c:v>48.7</c:v>
                </c:pt>
                <c:pt idx="32">
                  <c:v>48.6</c:v>
                </c:pt>
                <c:pt idx="33">
                  <c:v>48.5</c:v>
                </c:pt>
                <c:pt idx="34">
                  <c:v>48.4</c:v>
                </c:pt>
                <c:pt idx="35">
                  <c:v>48.4</c:v>
                </c:pt>
                <c:pt idx="36">
                  <c:v>48.3</c:v>
                </c:pt>
                <c:pt idx="37">
                  <c:v>48.2</c:v>
                </c:pt>
                <c:pt idx="38">
                  <c:v>48.1</c:v>
                </c:pt>
                <c:pt idx="39">
                  <c:v>48.1</c:v>
                </c:pt>
                <c:pt idx="40">
                  <c:v>48</c:v>
                </c:pt>
                <c:pt idx="41">
                  <c:v>47.9</c:v>
                </c:pt>
                <c:pt idx="42">
                  <c:v>47.9</c:v>
                </c:pt>
                <c:pt idx="43">
                  <c:v>47.8</c:v>
                </c:pt>
                <c:pt idx="44">
                  <c:v>47.7</c:v>
                </c:pt>
                <c:pt idx="45">
                  <c:v>47.6</c:v>
                </c:pt>
                <c:pt idx="46">
                  <c:v>47.5</c:v>
                </c:pt>
                <c:pt idx="47">
                  <c:v>47.5</c:v>
                </c:pt>
                <c:pt idx="48">
                  <c:v>47.4</c:v>
                </c:pt>
                <c:pt idx="49">
                  <c:v>47.3</c:v>
                </c:pt>
                <c:pt idx="50">
                  <c:v>47.2</c:v>
                </c:pt>
                <c:pt idx="51">
                  <c:v>47.2</c:v>
                </c:pt>
                <c:pt idx="52">
                  <c:v>47.1</c:v>
                </c:pt>
                <c:pt idx="53">
                  <c:v>47</c:v>
                </c:pt>
                <c:pt idx="54">
                  <c:v>47</c:v>
                </c:pt>
                <c:pt idx="55">
                  <c:v>46.9</c:v>
                </c:pt>
                <c:pt idx="56">
                  <c:v>46.8</c:v>
                </c:pt>
                <c:pt idx="57">
                  <c:v>46.7</c:v>
                </c:pt>
                <c:pt idx="58">
                  <c:v>46.6</c:v>
                </c:pt>
                <c:pt idx="59">
                  <c:v>46.6</c:v>
                </c:pt>
                <c:pt idx="60">
                  <c:v>46.5</c:v>
                </c:pt>
                <c:pt idx="61">
                  <c:v>46.4</c:v>
                </c:pt>
                <c:pt idx="62">
                  <c:v>46.3</c:v>
                </c:pt>
                <c:pt idx="63">
                  <c:v>46.3</c:v>
                </c:pt>
                <c:pt idx="64">
                  <c:v>46.2</c:v>
                </c:pt>
                <c:pt idx="65">
                  <c:v>46.1</c:v>
                </c:pt>
                <c:pt idx="66">
                  <c:v>46</c:v>
                </c:pt>
                <c:pt idx="67">
                  <c:v>46</c:v>
                </c:pt>
                <c:pt idx="68">
                  <c:v>45.9</c:v>
                </c:pt>
                <c:pt idx="69">
                  <c:v>45.8</c:v>
                </c:pt>
                <c:pt idx="70">
                  <c:v>45.8</c:v>
                </c:pt>
                <c:pt idx="71">
                  <c:v>45.7</c:v>
                </c:pt>
                <c:pt idx="72">
                  <c:v>45.6</c:v>
                </c:pt>
                <c:pt idx="73">
                  <c:v>45.5</c:v>
                </c:pt>
                <c:pt idx="74">
                  <c:v>45.5</c:v>
                </c:pt>
                <c:pt idx="75">
                  <c:v>45.4</c:v>
                </c:pt>
                <c:pt idx="76">
                  <c:v>45.3</c:v>
                </c:pt>
                <c:pt idx="77">
                  <c:v>45.2</c:v>
                </c:pt>
                <c:pt idx="78">
                  <c:v>45.1</c:v>
                </c:pt>
                <c:pt idx="79">
                  <c:v>45.1</c:v>
                </c:pt>
                <c:pt idx="80">
                  <c:v>45</c:v>
                </c:pt>
                <c:pt idx="81">
                  <c:v>44.9</c:v>
                </c:pt>
                <c:pt idx="82">
                  <c:v>44.8</c:v>
                </c:pt>
                <c:pt idx="83">
                  <c:v>44.8</c:v>
                </c:pt>
                <c:pt idx="84">
                  <c:v>44.7</c:v>
                </c:pt>
                <c:pt idx="85">
                  <c:v>44.6</c:v>
                </c:pt>
                <c:pt idx="86">
                  <c:v>44.5</c:v>
                </c:pt>
                <c:pt idx="87">
                  <c:v>44.5</c:v>
                </c:pt>
                <c:pt idx="88">
                  <c:v>44.4</c:v>
                </c:pt>
                <c:pt idx="89">
                  <c:v>44.3</c:v>
                </c:pt>
                <c:pt idx="90">
                  <c:v>44.2</c:v>
                </c:pt>
                <c:pt idx="91">
                  <c:v>44.2</c:v>
                </c:pt>
                <c:pt idx="92">
                  <c:v>44.1</c:v>
                </c:pt>
                <c:pt idx="93">
                  <c:v>44</c:v>
                </c:pt>
                <c:pt idx="94">
                  <c:v>44</c:v>
                </c:pt>
                <c:pt idx="95">
                  <c:v>43.9</c:v>
                </c:pt>
                <c:pt idx="96">
                  <c:v>43.8</c:v>
                </c:pt>
                <c:pt idx="97">
                  <c:v>43.7</c:v>
                </c:pt>
                <c:pt idx="98">
                  <c:v>43.6</c:v>
                </c:pt>
                <c:pt idx="99">
                  <c:v>43.6</c:v>
                </c:pt>
                <c:pt idx="100">
                  <c:v>43.5</c:v>
                </c:pt>
                <c:pt idx="101">
                  <c:v>43.4</c:v>
                </c:pt>
                <c:pt idx="102">
                  <c:v>43.3</c:v>
                </c:pt>
                <c:pt idx="103">
                  <c:v>43.3</c:v>
                </c:pt>
                <c:pt idx="104">
                  <c:v>43.2</c:v>
                </c:pt>
                <c:pt idx="105">
                  <c:v>43.1</c:v>
                </c:pt>
                <c:pt idx="106">
                  <c:v>43</c:v>
                </c:pt>
                <c:pt idx="107">
                  <c:v>43</c:v>
                </c:pt>
                <c:pt idx="108">
                  <c:v>42.9</c:v>
                </c:pt>
                <c:pt idx="109">
                  <c:v>42.8</c:v>
                </c:pt>
                <c:pt idx="110">
                  <c:v>42.8</c:v>
                </c:pt>
                <c:pt idx="111">
                  <c:v>42.7</c:v>
                </c:pt>
                <c:pt idx="112">
                  <c:v>42.6</c:v>
                </c:pt>
                <c:pt idx="113">
                  <c:v>42.5</c:v>
                </c:pt>
                <c:pt idx="114">
                  <c:v>42.5</c:v>
                </c:pt>
                <c:pt idx="115">
                  <c:v>42.4</c:v>
                </c:pt>
                <c:pt idx="116">
                  <c:v>42.3</c:v>
                </c:pt>
                <c:pt idx="117">
                  <c:v>42.2</c:v>
                </c:pt>
                <c:pt idx="118">
                  <c:v>42.1</c:v>
                </c:pt>
                <c:pt idx="119">
                  <c:v>42.1</c:v>
                </c:pt>
                <c:pt idx="120">
                  <c:v>42</c:v>
                </c:pt>
                <c:pt idx="121">
                  <c:v>41.9</c:v>
                </c:pt>
                <c:pt idx="122">
                  <c:v>41.8</c:v>
                </c:pt>
                <c:pt idx="123">
                  <c:v>41.8</c:v>
                </c:pt>
                <c:pt idx="124">
                  <c:v>41.7</c:v>
                </c:pt>
                <c:pt idx="125">
                  <c:v>41.6</c:v>
                </c:pt>
                <c:pt idx="126">
                  <c:v>41.5</c:v>
                </c:pt>
                <c:pt idx="127">
                  <c:v>41.5</c:v>
                </c:pt>
                <c:pt idx="128">
                  <c:v>41.4</c:v>
                </c:pt>
                <c:pt idx="129">
                  <c:v>41.3</c:v>
                </c:pt>
                <c:pt idx="130">
                  <c:v>41.2</c:v>
                </c:pt>
                <c:pt idx="131">
                  <c:v>41.2</c:v>
                </c:pt>
                <c:pt idx="132">
                  <c:v>41.1</c:v>
                </c:pt>
                <c:pt idx="133">
                  <c:v>41</c:v>
                </c:pt>
                <c:pt idx="134">
                  <c:v>41</c:v>
                </c:pt>
                <c:pt idx="135">
                  <c:v>40.9</c:v>
                </c:pt>
                <c:pt idx="136">
                  <c:v>40.799999999999997</c:v>
                </c:pt>
                <c:pt idx="137">
                  <c:v>40.700000000000003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40.4</c:v>
                </c:pt>
                <c:pt idx="142">
                  <c:v>40.299999999999997</c:v>
                </c:pt>
                <c:pt idx="143">
                  <c:v>40.299999999999997</c:v>
                </c:pt>
                <c:pt idx="144">
                  <c:v>40.200000000000003</c:v>
                </c:pt>
                <c:pt idx="145">
                  <c:v>40.1</c:v>
                </c:pt>
                <c:pt idx="146">
                  <c:v>40</c:v>
                </c:pt>
                <c:pt idx="147">
                  <c:v>40</c:v>
                </c:pt>
                <c:pt idx="148">
                  <c:v>39.9</c:v>
                </c:pt>
                <c:pt idx="149">
                  <c:v>39.799999999999997</c:v>
                </c:pt>
                <c:pt idx="150">
                  <c:v>39.799999999999997</c:v>
                </c:pt>
                <c:pt idx="151">
                  <c:v>39.700000000000003</c:v>
                </c:pt>
                <c:pt idx="152">
                  <c:v>39.6</c:v>
                </c:pt>
                <c:pt idx="153">
                  <c:v>39.5</c:v>
                </c:pt>
                <c:pt idx="154">
                  <c:v>39.5</c:v>
                </c:pt>
                <c:pt idx="155">
                  <c:v>39.4</c:v>
                </c:pt>
                <c:pt idx="156">
                  <c:v>39.299999999999997</c:v>
                </c:pt>
                <c:pt idx="157">
                  <c:v>39.200000000000003</c:v>
                </c:pt>
                <c:pt idx="158">
                  <c:v>39.1</c:v>
                </c:pt>
                <c:pt idx="159">
                  <c:v>39.1</c:v>
                </c:pt>
                <c:pt idx="160">
                  <c:v>39</c:v>
                </c:pt>
                <c:pt idx="161">
                  <c:v>38.9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38.700000000000003</c:v>
                </c:pt>
                <c:pt idx="165">
                  <c:v>38.6</c:v>
                </c:pt>
                <c:pt idx="166">
                  <c:v>38.5</c:v>
                </c:pt>
                <c:pt idx="167">
                  <c:v>38.5</c:v>
                </c:pt>
                <c:pt idx="168">
                  <c:v>38.4</c:v>
                </c:pt>
                <c:pt idx="169">
                  <c:v>38.299999999999997</c:v>
                </c:pt>
                <c:pt idx="170">
                  <c:v>38.200000000000003</c:v>
                </c:pt>
                <c:pt idx="171">
                  <c:v>38.200000000000003</c:v>
                </c:pt>
                <c:pt idx="172">
                  <c:v>38.1</c:v>
                </c:pt>
                <c:pt idx="173">
                  <c:v>38</c:v>
                </c:pt>
                <c:pt idx="174">
                  <c:v>38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37.700000000000003</c:v>
                </c:pt>
                <c:pt idx="178">
                  <c:v>37.6</c:v>
                </c:pt>
                <c:pt idx="179">
                  <c:v>37.6</c:v>
                </c:pt>
                <c:pt idx="180">
                  <c:v>37.5</c:v>
                </c:pt>
                <c:pt idx="181">
                  <c:v>37.4</c:v>
                </c:pt>
                <c:pt idx="182">
                  <c:v>37.299999999999997</c:v>
                </c:pt>
                <c:pt idx="183">
                  <c:v>37.299999999999997</c:v>
                </c:pt>
                <c:pt idx="184">
                  <c:v>37.200000000000003</c:v>
                </c:pt>
                <c:pt idx="185">
                  <c:v>37.1</c:v>
                </c:pt>
                <c:pt idx="186">
                  <c:v>37</c:v>
                </c:pt>
                <c:pt idx="187">
                  <c:v>37</c:v>
                </c:pt>
                <c:pt idx="188">
                  <c:v>36.9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36.6</c:v>
                </c:pt>
                <c:pt idx="193">
                  <c:v>36.5</c:v>
                </c:pt>
                <c:pt idx="194">
                  <c:v>36.5</c:v>
                </c:pt>
                <c:pt idx="195">
                  <c:v>36.4</c:v>
                </c:pt>
                <c:pt idx="196">
                  <c:v>36.299999999999997</c:v>
                </c:pt>
                <c:pt idx="197">
                  <c:v>36.200000000000003</c:v>
                </c:pt>
                <c:pt idx="198">
                  <c:v>36.1</c:v>
                </c:pt>
                <c:pt idx="199">
                  <c:v>36.1</c:v>
                </c:pt>
                <c:pt idx="200">
                  <c:v>36</c:v>
                </c:pt>
                <c:pt idx="201">
                  <c:v>35.9</c:v>
                </c:pt>
                <c:pt idx="202">
                  <c:v>35.799999999999997</c:v>
                </c:pt>
                <c:pt idx="203">
                  <c:v>35.799999999999997</c:v>
                </c:pt>
                <c:pt idx="204">
                  <c:v>35.700000000000003</c:v>
                </c:pt>
                <c:pt idx="205">
                  <c:v>35.6</c:v>
                </c:pt>
                <c:pt idx="206">
                  <c:v>35.5</c:v>
                </c:pt>
                <c:pt idx="207">
                  <c:v>35.5</c:v>
                </c:pt>
                <c:pt idx="208">
                  <c:v>35.4</c:v>
                </c:pt>
                <c:pt idx="209">
                  <c:v>35.299999999999997</c:v>
                </c:pt>
                <c:pt idx="210">
                  <c:v>35.200000000000003</c:v>
                </c:pt>
                <c:pt idx="211">
                  <c:v>35.200000000000003</c:v>
                </c:pt>
                <c:pt idx="212">
                  <c:v>35.1</c:v>
                </c:pt>
                <c:pt idx="213">
                  <c:v>35</c:v>
                </c:pt>
                <c:pt idx="214">
                  <c:v>35</c:v>
                </c:pt>
                <c:pt idx="215">
                  <c:v>34.9</c:v>
                </c:pt>
                <c:pt idx="216">
                  <c:v>34.799999999999997</c:v>
                </c:pt>
                <c:pt idx="217">
                  <c:v>34.700000000000003</c:v>
                </c:pt>
                <c:pt idx="218">
                  <c:v>34.6</c:v>
                </c:pt>
                <c:pt idx="219">
                  <c:v>34.6</c:v>
                </c:pt>
                <c:pt idx="220">
                  <c:v>34.5</c:v>
                </c:pt>
                <c:pt idx="221">
                  <c:v>34.4</c:v>
                </c:pt>
                <c:pt idx="222">
                  <c:v>34.299999999999997</c:v>
                </c:pt>
                <c:pt idx="223">
                  <c:v>34.299999999999997</c:v>
                </c:pt>
                <c:pt idx="224">
                  <c:v>34.200000000000003</c:v>
                </c:pt>
                <c:pt idx="225">
                  <c:v>34.1</c:v>
                </c:pt>
                <c:pt idx="226">
                  <c:v>34</c:v>
                </c:pt>
                <c:pt idx="227">
                  <c:v>34</c:v>
                </c:pt>
                <c:pt idx="228">
                  <c:v>33.9</c:v>
                </c:pt>
                <c:pt idx="229">
                  <c:v>33.799999999999997</c:v>
                </c:pt>
                <c:pt idx="230">
                  <c:v>33.799999999999997</c:v>
                </c:pt>
                <c:pt idx="231">
                  <c:v>33.700000000000003</c:v>
                </c:pt>
                <c:pt idx="232">
                  <c:v>33.6</c:v>
                </c:pt>
                <c:pt idx="233">
                  <c:v>33.5</c:v>
                </c:pt>
                <c:pt idx="234">
                  <c:v>33.5</c:v>
                </c:pt>
                <c:pt idx="235">
                  <c:v>33.4</c:v>
                </c:pt>
                <c:pt idx="236">
                  <c:v>33.299999999999997</c:v>
                </c:pt>
                <c:pt idx="237">
                  <c:v>33.200000000000003</c:v>
                </c:pt>
                <c:pt idx="238">
                  <c:v>33.1</c:v>
                </c:pt>
                <c:pt idx="239">
                  <c:v>33.1</c:v>
                </c:pt>
                <c:pt idx="240">
                  <c:v>33</c:v>
                </c:pt>
                <c:pt idx="241">
                  <c:v>32.9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32.700000000000003</c:v>
                </c:pt>
                <c:pt idx="245">
                  <c:v>32.6</c:v>
                </c:pt>
                <c:pt idx="246">
                  <c:v>32.5</c:v>
                </c:pt>
                <c:pt idx="247">
                  <c:v>32.5</c:v>
                </c:pt>
                <c:pt idx="248">
                  <c:v>32.4</c:v>
                </c:pt>
                <c:pt idx="249">
                  <c:v>32.299999999999997</c:v>
                </c:pt>
                <c:pt idx="250">
                  <c:v>32.200000000000003</c:v>
                </c:pt>
                <c:pt idx="251">
                  <c:v>32.200000000000003</c:v>
                </c:pt>
                <c:pt idx="252">
                  <c:v>32.1</c:v>
                </c:pt>
                <c:pt idx="253">
                  <c:v>32</c:v>
                </c:pt>
                <c:pt idx="254">
                  <c:v>31.9</c:v>
                </c:pt>
                <c:pt idx="255">
                  <c:v>31.9</c:v>
                </c:pt>
                <c:pt idx="256">
                  <c:v>31.8</c:v>
                </c:pt>
                <c:pt idx="257">
                  <c:v>31.7</c:v>
                </c:pt>
                <c:pt idx="258">
                  <c:v>31.6</c:v>
                </c:pt>
                <c:pt idx="259">
                  <c:v>31.6</c:v>
                </c:pt>
                <c:pt idx="260">
                  <c:v>31.5</c:v>
                </c:pt>
                <c:pt idx="261">
                  <c:v>31.4</c:v>
                </c:pt>
                <c:pt idx="262">
                  <c:v>31.3</c:v>
                </c:pt>
                <c:pt idx="263">
                  <c:v>31.3</c:v>
                </c:pt>
                <c:pt idx="264">
                  <c:v>31.2</c:v>
                </c:pt>
                <c:pt idx="265">
                  <c:v>31.1</c:v>
                </c:pt>
                <c:pt idx="266">
                  <c:v>31.1</c:v>
                </c:pt>
                <c:pt idx="267">
                  <c:v>31</c:v>
                </c:pt>
                <c:pt idx="268">
                  <c:v>30.9</c:v>
                </c:pt>
                <c:pt idx="269">
                  <c:v>30.8</c:v>
                </c:pt>
                <c:pt idx="270">
                  <c:v>30.8</c:v>
                </c:pt>
                <c:pt idx="271">
                  <c:v>30.7</c:v>
                </c:pt>
                <c:pt idx="272">
                  <c:v>30.6</c:v>
                </c:pt>
                <c:pt idx="273">
                  <c:v>30.5</c:v>
                </c:pt>
                <c:pt idx="274">
                  <c:v>30.4</c:v>
                </c:pt>
                <c:pt idx="275">
                  <c:v>30.4</c:v>
                </c:pt>
                <c:pt idx="276">
                  <c:v>30.3</c:v>
                </c:pt>
                <c:pt idx="277">
                  <c:v>30.2</c:v>
                </c:pt>
                <c:pt idx="278">
                  <c:v>30.1</c:v>
                </c:pt>
                <c:pt idx="279">
                  <c:v>30.1</c:v>
                </c:pt>
                <c:pt idx="280">
                  <c:v>30</c:v>
                </c:pt>
                <c:pt idx="281">
                  <c:v>29.9</c:v>
                </c:pt>
                <c:pt idx="282">
                  <c:v>29.9</c:v>
                </c:pt>
                <c:pt idx="283">
                  <c:v>29.8</c:v>
                </c:pt>
                <c:pt idx="284">
                  <c:v>29.7</c:v>
                </c:pt>
                <c:pt idx="285">
                  <c:v>29.6</c:v>
                </c:pt>
                <c:pt idx="286">
                  <c:v>29.5</c:v>
                </c:pt>
                <c:pt idx="287">
                  <c:v>29.5</c:v>
                </c:pt>
                <c:pt idx="288">
                  <c:v>29.4</c:v>
                </c:pt>
                <c:pt idx="289">
                  <c:v>29.3</c:v>
                </c:pt>
                <c:pt idx="290">
                  <c:v>29.2</c:v>
                </c:pt>
                <c:pt idx="291">
                  <c:v>29.2</c:v>
                </c:pt>
                <c:pt idx="292">
                  <c:v>29.1</c:v>
                </c:pt>
                <c:pt idx="293">
                  <c:v>29</c:v>
                </c:pt>
                <c:pt idx="294">
                  <c:v>28.9</c:v>
                </c:pt>
                <c:pt idx="295">
                  <c:v>28.9</c:v>
                </c:pt>
                <c:pt idx="296">
                  <c:v>28.8</c:v>
                </c:pt>
                <c:pt idx="297">
                  <c:v>28.7</c:v>
                </c:pt>
                <c:pt idx="298">
                  <c:v>28.6</c:v>
                </c:pt>
                <c:pt idx="299">
                  <c:v>28.6</c:v>
                </c:pt>
                <c:pt idx="300">
                  <c:v>28.5</c:v>
                </c:pt>
                <c:pt idx="301">
                  <c:v>28.4</c:v>
                </c:pt>
                <c:pt idx="302">
                  <c:v>28.4</c:v>
                </c:pt>
                <c:pt idx="303">
                  <c:v>28.3</c:v>
                </c:pt>
                <c:pt idx="304">
                  <c:v>28.2</c:v>
                </c:pt>
                <c:pt idx="305">
                  <c:v>28.1</c:v>
                </c:pt>
                <c:pt idx="306">
                  <c:v>28</c:v>
                </c:pt>
                <c:pt idx="307">
                  <c:v>28</c:v>
                </c:pt>
              </c:numCache>
            </c:numRef>
          </c:xVal>
          <c:yVal>
            <c:numRef>
              <c:f>Phasendiagramm!$AX$5:$AX$312</c:f>
              <c:numCache>
                <c:formatCode>General</c:formatCode>
                <c:ptCount val="308"/>
                <c:pt idx="0">
                  <c:v>110</c:v>
                </c:pt>
                <c:pt idx="1">
                  <c:v>109.9</c:v>
                </c:pt>
                <c:pt idx="2">
                  <c:v>109.8</c:v>
                </c:pt>
                <c:pt idx="3">
                  <c:v>109.6</c:v>
                </c:pt>
                <c:pt idx="4">
                  <c:v>109.5</c:v>
                </c:pt>
                <c:pt idx="5">
                  <c:v>109.4</c:v>
                </c:pt>
                <c:pt idx="6">
                  <c:v>109.3</c:v>
                </c:pt>
                <c:pt idx="7">
                  <c:v>109.2</c:v>
                </c:pt>
                <c:pt idx="8">
                  <c:v>109.1</c:v>
                </c:pt>
                <c:pt idx="9">
                  <c:v>108.9</c:v>
                </c:pt>
                <c:pt idx="10">
                  <c:v>108.8</c:v>
                </c:pt>
                <c:pt idx="11">
                  <c:v>108.7</c:v>
                </c:pt>
                <c:pt idx="12">
                  <c:v>108.6</c:v>
                </c:pt>
                <c:pt idx="13">
                  <c:v>108.5</c:v>
                </c:pt>
                <c:pt idx="14">
                  <c:v>108.3</c:v>
                </c:pt>
                <c:pt idx="15">
                  <c:v>108.2</c:v>
                </c:pt>
                <c:pt idx="16">
                  <c:v>108.1</c:v>
                </c:pt>
                <c:pt idx="17">
                  <c:v>108</c:v>
                </c:pt>
                <c:pt idx="18">
                  <c:v>107.9</c:v>
                </c:pt>
                <c:pt idx="19">
                  <c:v>107.7</c:v>
                </c:pt>
                <c:pt idx="20">
                  <c:v>107.6</c:v>
                </c:pt>
                <c:pt idx="21">
                  <c:v>107.5</c:v>
                </c:pt>
                <c:pt idx="22">
                  <c:v>107.4</c:v>
                </c:pt>
                <c:pt idx="23">
                  <c:v>107.3</c:v>
                </c:pt>
                <c:pt idx="24">
                  <c:v>107.1</c:v>
                </c:pt>
                <c:pt idx="25">
                  <c:v>107</c:v>
                </c:pt>
                <c:pt idx="26">
                  <c:v>106.9</c:v>
                </c:pt>
                <c:pt idx="27">
                  <c:v>106.8</c:v>
                </c:pt>
                <c:pt idx="28">
                  <c:v>106.7</c:v>
                </c:pt>
                <c:pt idx="29">
                  <c:v>106.5</c:v>
                </c:pt>
                <c:pt idx="30">
                  <c:v>106.4</c:v>
                </c:pt>
                <c:pt idx="31">
                  <c:v>106.3</c:v>
                </c:pt>
                <c:pt idx="32">
                  <c:v>106.2</c:v>
                </c:pt>
                <c:pt idx="33">
                  <c:v>106.1</c:v>
                </c:pt>
                <c:pt idx="34">
                  <c:v>105.9</c:v>
                </c:pt>
                <c:pt idx="35">
                  <c:v>105.8</c:v>
                </c:pt>
                <c:pt idx="36">
                  <c:v>105.7</c:v>
                </c:pt>
                <c:pt idx="37">
                  <c:v>105.6</c:v>
                </c:pt>
                <c:pt idx="38">
                  <c:v>105.5</c:v>
                </c:pt>
                <c:pt idx="39">
                  <c:v>105.3</c:v>
                </c:pt>
                <c:pt idx="40">
                  <c:v>105.2</c:v>
                </c:pt>
                <c:pt idx="41">
                  <c:v>105.1</c:v>
                </c:pt>
                <c:pt idx="42">
                  <c:v>105</c:v>
                </c:pt>
                <c:pt idx="43">
                  <c:v>104.9</c:v>
                </c:pt>
                <c:pt idx="44">
                  <c:v>104.7</c:v>
                </c:pt>
                <c:pt idx="45">
                  <c:v>104.6</c:v>
                </c:pt>
                <c:pt idx="46">
                  <c:v>104.5</c:v>
                </c:pt>
                <c:pt idx="47">
                  <c:v>104.4</c:v>
                </c:pt>
                <c:pt idx="48">
                  <c:v>104.3</c:v>
                </c:pt>
                <c:pt idx="49">
                  <c:v>104.1</c:v>
                </c:pt>
                <c:pt idx="50">
                  <c:v>104</c:v>
                </c:pt>
                <c:pt idx="51">
                  <c:v>103.9</c:v>
                </c:pt>
                <c:pt idx="52">
                  <c:v>103.8</c:v>
                </c:pt>
                <c:pt idx="53">
                  <c:v>103.6</c:v>
                </c:pt>
                <c:pt idx="54">
                  <c:v>103.5</c:v>
                </c:pt>
                <c:pt idx="55">
                  <c:v>103.4</c:v>
                </c:pt>
                <c:pt idx="56">
                  <c:v>103.3</c:v>
                </c:pt>
                <c:pt idx="57">
                  <c:v>103.2</c:v>
                </c:pt>
                <c:pt idx="58">
                  <c:v>103</c:v>
                </c:pt>
                <c:pt idx="59">
                  <c:v>102.9</c:v>
                </c:pt>
                <c:pt idx="60">
                  <c:v>102.8</c:v>
                </c:pt>
                <c:pt idx="61">
                  <c:v>102.7</c:v>
                </c:pt>
                <c:pt idx="62">
                  <c:v>102.6</c:v>
                </c:pt>
                <c:pt idx="63">
                  <c:v>102.4</c:v>
                </c:pt>
                <c:pt idx="64">
                  <c:v>102.3</c:v>
                </c:pt>
                <c:pt idx="65">
                  <c:v>102.2</c:v>
                </c:pt>
                <c:pt idx="66">
                  <c:v>102.1</c:v>
                </c:pt>
                <c:pt idx="67">
                  <c:v>101.9</c:v>
                </c:pt>
                <c:pt idx="68">
                  <c:v>101.8</c:v>
                </c:pt>
                <c:pt idx="69">
                  <c:v>101.7</c:v>
                </c:pt>
                <c:pt idx="70">
                  <c:v>101.6</c:v>
                </c:pt>
                <c:pt idx="71">
                  <c:v>101.5</c:v>
                </c:pt>
                <c:pt idx="72">
                  <c:v>101.3</c:v>
                </c:pt>
                <c:pt idx="73">
                  <c:v>101.2</c:v>
                </c:pt>
                <c:pt idx="74">
                  <c:v>101.1</c:v>
                </c:pt>
                <c:pt idx="75">
                  <c:v>101</c:v>
                </c:pt>
                <c:pt idx="76">
                  <c:v>100.8</c:v>
                </c:pt>
                <c:pt idx="77">
                  <c:v>100.7</c:v>
                </c:pt>
                <c:pt idx="78">
                  <c:v>100.6</c:v>
                </c:pt>
                <c:pt idx="79">
                  <c:v>100.5</c:v>
                </c:pt>
                <c:pt idx="80">
                  <c:v>100.3</c:v>
                </c:pt>
                <c:pt idx="81">
                  <c:v>100.2</c:v>
                </c:pt>
                <c:pt idx="82">
                  <c:v>100.1</c:v>
                </c:pt>
                <c:pt idx="83">
                  <c:v>100</c:v>
                </c:pt>
                <c:pt idx="84">
                  <c:v>99.8</c:v>
                </c:pt>
                <c:pt idx="85">
                  <c:v>99.7</c:v>
                </c:pt>
                <c:pt idx="86">
                  <c:v>99.6</c:v>
                </c:pt>
                <c:pt idx="87">
                  <c:v>99.5</c:v>
                </c:pt>
                <c:pt idx="88">
                  <c:v>99.4</c:v>
                </c:pt>
                <c:pt idx="89">
                  <c:v>99.2</c:v>
                </c:pt>
                <c:pt idx="90">
                  <c:v>99.1</c:v>
                </c:pt>
                <c:pt idx="91">
                  <c:v>99</c:v>
                </c:pt>
                <c:pt idx="92">
                  <c:v>98.9</c:v>
                </c:pt>
                <c:pt idx="93">
                  <c:v>98.7</c:v>
                </c:pt>
                <c:pt idx="94">
                  <c:v>98.6</c:v>
                </c:pt>
                <c:pt idx="95">
                  <c:v>98.5</c:v>
                </c:pt>
                <c:pt idx="96">
                  <c:v>98.4</c:v>
                </c:pt>
                <c:pt idx="97">
                  <c:v>98.2</c:v>
                </c:pt>
                <c:pt idx="98">
                  <c:v>98.1</c:v>
                </c:pt>
                <c:pt idx="99">
                  <c:v>98</c:v>
                </c:pt>
                <c:pt idx="100">
                  <c:v>97.9</c:v>
                </c:pt>
                <c:pt idx="101">
                  <c:v>97.7</c:v>
                </c:pt>
                <c:pt idx="102">
                  <c:v>97.6</c:v>
                </c:pt>
                <c:pt idx="103">
                  <c:v>97.5</c:v>
                </c:pt>
                <c:pt idx="104">
                  <c:v>97.4</c:v>
                </c:pt>
                <c:pt idx="105">
                  <c:v>97.2</c:v>
                </c:pt>
                <c:pt idx="106">
                  <c:v>97.1</c:v>
                </c:pt>
                <c:pt idx="107">
                  <c:v>97</c:v>
                </c:pt>
                <c:pt idx="108">
                  <c:v>96.9</c:v>
                </c:pt>
                <c:pt idx="109">
                  <c:v>96.7</c:v>
                </c:pt>
                <c:pt idx="110">
                  <c:v>96.6</c:v>
                </c:pt>
                <c:pt idx="111">
                  <c:v>96.5</c:v>
                </c:pt>
                <c:pt idx="112">
                  <c:v>96.4</c:v>
                </c:pt>
                <c:pt idx="113">
                  <c:v>96.2</c:v>
                </c:pt>
                <c:pt idx="114">
                  <c:v>96.1</c:v>
                </c:pt>
                <c:pt idx="115">
                  <c:v>96</c:v>
                </c:pt>
                <c:pt idx="116">
                  <c:v>95.8</c:v>
                </c:pt>
                <c:pt idx="117">
                  <c:v>95.7</c:v>
                </c:pt>
                <c:pt idx="118">
                  <c:v>95.6</c:v>
                </c:pt>
                <c:pt idx="119">
                  <c:v>95.5</c:v>
                </c:pt>
                <c:pt idx="120">
                  <c:v>95.3</c:v>
                </c:pt>
                <c:pt idx="121">
                  <c:v>95.2</c:v>
                </c:pt>
                <c:pt idx="122">
                  <c:v>95.1</c:v>
                </c:pt>
                <c:pt idx="123">
                  <c:v>95</c:v>
                </c:pt>
                <c:pt idx="124">
                  <c:v>94.8</c:v>
                </c:pt>
                <c:pt idx="125">
                  <c:v>94.7</c:v>
                </c:pt>
                <c:pt idx="126">
                  <c:v>94.6</c:v>
                </c:pt>
                <c:pt idx="127">
                  <c:v>94.4</c:v>
                </c:pt>
                <c:pt idx="128">
                  <c:v>94.3</c:v>
                </c:pt>
                <c:pt idx="129">
                  <c:v>94.2</c:v>
                </c:pt>
                <c:pt idx="130">
                  <c:v>94.1</c:v>
                </c:pt>
                <c:pt idx="131">
                  <c:v>93.9</c:v>
                </c:pt>
                <c:pt idx="132">
                  <c:v>93.8</c:v>
                </c:pt>
                <c:pt idx="133">
                  <c:v>93.7</c:v>
                </c:pt>
                <c:pt idx="134">
                  <c:v>93.6</c:v>
                </c:pt>
                <c:pt idx="135">
                  <c:v>93.4</c:v>
                </c:pt>
                <c:pt idx="136">
                  <c:v>93.3</c:v>
                </c:pt>
                <c:pt idx="137">
                  <c:v>93.2</c:v>
                </c:pt>
                <c:pt idx="138">
                  <c:v>93</c:v>
                </c:pt>
                <c:pt idx="139">
                  <c:v>92.9</c:v>
                </c:pt>
                <c:pt idx="140">
                  <c:v>92.8</c:v>
                </c:pt>
                <c:pt idx="141">
                  <c:v>92.6</c:v>
                </c:pt>
                <c:pt idx="142">
                  <c:v>92.5</c:v>
                </c:pt>
                <c:pt idx="143">
                  <c:v>92.4</c:v>
                </c:pt>
                <c:pt idx="144">
                  <c:v>92.3</c:v>
                </c:pt>
                <c:pt idx="145">
                  <c:v>92.1</c:v>
                </c:pt>
                <c:pt idx="146">
                  <c:v>92</c:v>
                </c:pt>
                <c:pt idx="147">
                  <c:v>91.9</c:v>
                </c:pt>
                <c:pt idx="148">
                  <c:v>91.7</c:v>
                </c:pt>
                <c:pt idx="149">
                  <c:v>91.6</c:v>
                </c:pt>
                <c:pt idx="150">
                  <c:v>91.5</c:v>
                </c:pt>
                <c:pt idx="151">
                  <c:v>91.3</c:v>
                </c:pt>
                <c:pt idx="152">
                  <c:v>91.2</c:v>
                </c:pt>
                <c:pt idx="153">
                  <c:v>91.1</c:v>
                </c:pt>
                <c:pt idx="154">
                  <c:v>91</c:v>
                </c:pt>
                <c:pt idx="155">
                  <c:v>90.8</c:v>
                </c:pt>
                <c:pt idx="156">
                  <c:v>90.7</c:v>
                </c:pt>
                <c:pt idx="157">
                  <c:v>90.6</c:v>
                </c:pt>
                <c:pt idx="158">
                  <c:v>90.4</c:v>
                </c:pt>
                <c:pt idx="159">
                  <c:v>90.3</c:v>
                </c:pt>
                <c:pt idx="160">
                  <c:v>90.2</c:v>
                </c:pt>
                <c:pt idx="161">
                  <c:v>90</c:v>
                </c:pt>
                <c:pt idx="162">
                  <c:v>89.9</c:v>
                </c:pt>
                <c:pt idx="163">
                  <c:v>89.8</c:v>
                </c:pt>
                <c:pt idx="164">
                  <c:v>89.6</c:v>
                </c:pt>
                <c:pt idx="165">
                  <c:v>89.5</c:v>
                </c:pt>
                <c:pt idx="166">
                  <c:v>89.4</c:v>
                </c:pt>
                <c:pt idx="167">
                  <c:v>89.2</c:v>
                </c:pt>
                <c:pt idx="168">
                  <c:v>89.1</c:v>
                </c:pt>
                <c:pt idx="169">
                  <c:v>89</c:v>
                </c:pt>
                <c:pt idx="170">
                  <c:v>88.8</c:v>
                </c:pt>
                <c:pt idx="171">
                  <c:v>88.7</c:v>
                </c:pt>
                <c:pt idx="172">
                  <c:v>88.6</c:v>
                </c:pt>
                <c:pt idx="173">
                  <c:v>88.4</c:v>
                </c:pt>
                <c:pt idx="174">
                  <c:v>88.3</c:v>
                </c:pt>
                <c:pt idx="175">
                  <c:v>88.2</c:v>
                </c:pt>
                <c:pt idx="176">
                  <c:v>88</c:v>
                </c:pt>
                <c:pt idx="177">
                  <c:v>87.9</c:v>
                </c:pt>
                <c:pt idx="178">
                  <c:v>87.8</c:v>
                </c:pt>
                <c:pt idx="179">
                  <c:v>87.6</c:v>
                </c:pt>
                <c:pt idx="180">
                  <c:v>87.5</c:v>
                </c:pt>
                <c:pt idx="181">
                  <c:v>87.4</c:v>
                </c:pt>
                <c:pt idx="182">
                  <c:v>87.2</c:v>
                </c:pt>
                <c:pt idx="183">
                  <c:v>87.1</c:v>
                </c:pt>
                <c:pt idx="184">
                  <c:v>87</c:v>
                </c:pt>
                <c:pt idx="185">
                  <c:v>86.8</c:v>
                </c:pt>
                <c:pt idx="186">
                  <c:v>86.7</c:v>
                </c:pt>
                <c:pt idx="187">
                  <c:v>86.6</c:v>
                </c:pt>
                <c:pt idx="188">
                  <c:v>86.4</c:v>
                </c:pt>
                <c:pt idx="189">
                  <c:v>86.3</c:v>
                </c:pt>
                <c:pt idx="190">
                  <c:v>86.2</c:v>
                </c:pt>
                <c:pt idx="191">
                  <c:v>86</c:v>
                </c:pt>
                <c:pt idx="192">
                  <c:v>85.9</c:v>
                </c:pt>
                <c:pt idx="193">
                  <c:v>85.7</c:v>
                </c:pt>
                <c:pt idx="194">
                  <c:v>85.6</c:v>
                </c:pt>
                <c:pt idx="195">
                  <c:v>85.5</c:v>
                </c:pt>
                <c:pt idx="196">
                  <c:v>85.3</c:v>
                </c:pt>
                <c:pt idx="197">
                  <c:v>85.2</c:v>
                </c:pt>
                <c:pt idx="198">
                  <c:v>85.1</c:v>
                </c:pt>
                <c:pt idx="199">
                  <c:v>84.9</c:v>
                </c:pt>
                <c:pt idx="200">
                  <c:v>84.8</c:v>
                </c:pt>
                <c:pt idx="201">
                  <c:v>84.6</c:v>
                </c:pt>
                <c:pt idx="202">
                  <c:v>84.5</c:v>
                </c:pt>
                <c:pt idx="203">
                  <c:v>84.4</c:v>
                </c:pt>
                <c:pt idx="204">
                  <c:v>84.2</c:v>
                </c:pt>
                <c:pt idx="205">
                  <c:v>84.1</c:v>
                </c:pt>
                <c:pt idx="206">
                  <c:v>84</c:v>
                </c:pt>
                <c:pt idx="207">
                  <c:v>83.8</c:v>
                </c:pt>
                <c:pt idx="208">
                  <c:v>83.7</c:v>
                </c:pt>
                <c:pt idx="209">
                  <c:v>83.5</c:v>
                </c:pt>
                <c:pt idx="210">
                  <c:v>83.4</c:v>
                </c:pt>
                <c:pt idx="211">
                  <c:v>83.3</c:v>
                </c:pt>
                <c:pt idx="212">
                  <c:v>83.1</c:v>
                </c:pt>
                <c:pt idx="213">
                  <c:v>83</c:v>
                </c:pt>
                <c:pt idx="214">
                  <c:v>82.8</c:v>
                </c:pt>
                <c:pt idx="215">
                  <c:v>82.7</c:v>
                </c:pt>
                <c:pt idx="216">
                  <c:v>82.6</c:v>
                </c:pt>
                <c:pt idx="217">
                  <c:v>82.4</c:v>
                </c:pt>
                <c:pt idx="218">
                  <c:v>82.3</c:v>
                </c:pt>
                <c:pt idx="219">
                  <c:v>82.1</c:v>
                </c:pt>
                <c:pt idx="220">
                  <c:v>82</c:v>
                </c:pt>
                <c:pt idx="221">
                  <c:v>81.8</c:v>
                </c:pt>
                <c:pt idx="222">
                  <c:v>81.7</c:v>
                </c:pt>
                <c:pt idx="223">
                  <c:v>81.599999999999994</c:v>
                </c:pt>
                <c:pt idx="224">
                  <c:v>81.400000000000006</c:v>
                </c:pt>
                <c:pt idx="225">
                  <c:v>81.3</c:v>
                </c:pt>
                <c:pt idx="226">
                  <c:v>81.099999999999994</c:v>
                </c:pt>
                <c:pt idx="227">
                  <c:v>81</c:v>
                </c:pt>
                <c:pt idx="228">
                  <c:v>80.900000000000006</c:v>
                </c:pt>
                <c:pt idx="229">
                  <c:v>80.7</c:v>
                </c:pt>
                <c:pt idx="230">
                  <c:v>80.599999999999994</c:v>
                </c:pt>
                <c:pt idx="231">
                  <c:v>80.400000000000006</c:v>
                </c:pt>
                <c:pt idx="232">
                  <c:v>80.3</c:v>
                </c:pt>
                <c:pt idx="233">
                  <c:v>80.099999999999994</c:v>
                </c:pt>
                <c:pt idx="234">
                  <c:v>80</c:v>
                </c:pt>
                <c:pt idx="235">
                  <c:v>79.8</c:v>
                </c:pt>
                <c:pt idx="236">
                  <c:v>79.7</c:v>
                </c:pt>
                <c:pt idx="237">
                  <c:v>79.599999999999994</c:v>
                </c:pt>
                <c:pt idx="238">
                  <c:v>79.400000000000006</c:v>
                </c:pt>
                <c:pt idx="239">
                  <c:v>79.3</c:v>
                </c:pt>
                <c:pt idx="240">
                  <c:v>79.099999999999994</c:v>
                </c:pt>
                <c:pt idx="241">
                  <c:v>79</c:v>
                </c:pt>
                <c:pt idx="242">
                  <c:v>78.8</c:v>
                </c:pt>
                <c:pt idx="243">
                  <c:v>78.7</c:v>
                </c:pt>
                <c:pt idx="244">
                  <c:v>78.5</c:v>
                </c:pt>
                <c:pt idx="245">
                  <c:v>78.400000000000006</c:v>
                </c:pt>
                <c:pt idx="246">
                  <c:v>78.2</c:v>
                </c:pt>
                <c:pt idx="247">
                  <c:v>78.099999999999994</c:v>
                </c:pt>
                <c:pt idx="248">
                  <c:v>77.900000000000006</c:v>
                </c:pt>
                <c:pt idx="249">
                  <c:v>77.8</c:v>
                </c:pt>
                <c:pt idx="250">
                  <c:v>77.7</c:v>
                </c:pt>
                <c:pt idx="251">
                  <c:v>77.5</c:v>
                </c:pt>
                <c:pt idx="252">
                  <c:v>77.400000000000006</c:v>
                </c:pt>
                <c:pt idx="253">
                  <c:v>77.2</c:v>
                </c:pt>
                <c:pt idx="254">
                  <c:v>77.099999999999994</c:v>
                </c:pt>
                <c:pt idx="255">
                  <c:v>76.900000000000006</c:v>
                </c:pt>
                <c:pt idx="256">
                  <c:v>76.8</c:v>
                </c:pt>
                <c:pt idx="257">
                  <c:v>76.599999999999994</c:v>
                </c:pt>
                <c:pt idx="258">
                  <c:v>76.5</c:v>
                </c:pt>
                <c:pt idx="259">
                  <c:v>76.3</c:v>
                </c:pt>
                <c:pt idx="260">
                  <c:v>76.2</c:v>
                </c:pt>
                <c:pt idx="261">
                  <c:v>76</c:v>
                </c:pt>
                <c:pt idx="262">
                  <c:v>75.900000000000006</c:v>
                </c:pt>
                <c:pt idx="263">
                  <c:v>75.7</c:v>
                </c:pt>
                <c:pt idx="264">
                  <c:v>75.599999999999994</c:v>
                </c:pt>
                <c:pt idx="265">
                  <c:v>75.400000000000006</c:v>
                </c:pt>
                <c:pt idx="266">
                  <c:v>75.3</c:v>
                </c:pt>
                <c:pt idx="267">
                  <c:v>75.099999999999994</c:v>
                </c:pt>
                <c:pt idx="268">
                  <c:v>75</c:v>
                </c:pt>
                <c:pt idx="269">
                  <c:v>74.8</c:v>
                </c:pt>
                <c:pt idx="270">
                  <c:v>74.7</c:v>
                </c:pt>
                <c:pt idx="271">
                  <c:v>74.5</c:v>
                </c:pt>
                <c:pt idx="272">
                  <c:v>74.3</c:v>
                </c:pt>
                <c:pt idx="273">
                  <c:v>74.2</c:v>
                </c:pt>
                <c:pt idx="274">
                  <c:v>74</c:v>
                </c:pt>
                <c:pt idx="275">
                  <c:v>73.900000000000006</c:v>
                </c:pt>
                <c:pt idx="276">
                  <c:v>73.7</c:v>
                </c:pt>
                <c:pt idx="277">
                  <c:v>73.599999999999994</c:v>
                </c:pt>
                <c:pt idx="278">
                  <c:v>73.400000000000006</c:v>
                </c:pt>
                <c:pt idx="279">
                  <c:v>73.3</c:v>
                </c:pt>
                <c:pt idx="280">
                  <c:v>73.099999999999994</c:v>
                </c:pt>
                <c:pt idx="281">
                  <c:v>73</c:v>
                </c:pt>
                <c:pt idx="282">
                  <c:v>72.8</c:v>
                </c:pt>
                <c:pt idx="283">
                  <c:v>72.7</c:v>
                </c:pt>
                <c:pt idx="284">
                  <c:v>72.5</c:v>
                </c:pt>
                <c:pt idx="285">
                  <c:v>72.3</c:v>
                </c:pt>
                <c:pt idx="286">
                  <c:v>72.2</c:v>
                </c:pt>
                <c:pt idx="287">
                  <c:v>72</c:v>
                </c:pt>
                <c:pt idx="288">
                  <c:v>71.900000000000006</c:v>
                </c:pt>
                <c:pt idx="289">
                  <c:v>71.7</c:v>
                </c:pt>
                <c:pt idx="290">
                  <c:v>71.599999999999994</c:v>
                </c:pt>
                <c:pt idx="291">
                  <c:v>71.400000000000006</c:v>
                </c:pt>
                <c:pt idx="292">
                  <c:v>71.2</c:v>
                </c:pt>
                <c:pt idx="293">
                  <c:v>71.099999999999994</c:v>
                </c:pt>
                <c:pt idx="294">
                  <c:v>70.900000000000006</c:v>
                </c:pt>
                <c:pt idx="295">
                  <c:v>70.8</c:v>
                </c:pt>
                <c:pt idx="296">
                  <c:v>70.599999999999994</c:v>
                </c:pt>
                <c:pt idx="297">
                  <c:v>70.5</c:v>
                </c:pt>
                <c:pt idx="298">
                  <c:v>70.3</c:v>
                </c:pt>
                <c:pt idx="299">
                  <c:v>70.099999999999994</c:v>
                </c:pt>
                <c:pt idx="300">
                  <c:v>70</c:v>
                </c:pt>
                <c:pt idx="301">
                  <c:v>69.8</c:v>
                </c:pt>
                <c:pt idx="302">
                  <c:v>69.7</c:v>
                </c:pt>
                <c:pt idx="303">
                  <c:v>69.5</c:v>
                </c:pt>
                <c:pt idx="304">
                  <c:v>69.3</c:v>
                </c:pt>
                <c:pt idx="305">
                  <c:v>69.2</c:v>
                </c:pt>
                <c:pt idx="306">
                  <c:v>69</c:v>
                </c:pt>
                <c:pt idx="307">
                  <c:v>68.900000000000006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57F-4DDA-B3D8-1E77E17C7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12893"/>
        <c:axId val="39035769"/>
      </c:scatterChart>
      <c:valAx>
        <c:axId val="2571289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Temperatur [°C]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39035769"/>
        <c:crosses val="autoZero"/>
        <c:crossBetween val="midCat"/>
      </c:valAx>
      <c:valAx>
        <c:axId val="390357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2571289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p-h: alle Szenarien (log 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Nassdampfdom (innen = zweiphasig)</c:v>
          </c:tx>
          <c:spPr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Diagramm'!$A$5:$A$74</c:f>
              <c:numCache>
                <c:formatCode>General</c:formatCode>
                <c:ptCount val="70"/>
                <c:pt idx="0">
                  <c:v>81</c:v>
                </c:pt>
                <c:pt idx="1">
                  <c:v>86</c:v>
                </c:pt>
                <c:pt idx="2">
                  <c:v>91.1</c:v>
                </c:pt>
                <c:pt idx="3">
                  <c:v>96.1</c:v>
                </c:pt>
                <c:pt idx="4">
                  <c:v>101.2</c:v>
                </c:pt>
                <c:pt idx="5">
                  <c:v>106.3</c:v>
                </c:pt>
                <c:pt idx="6">
                  <c:v>111.5</c:v>
                </c:pt>
                <c:pt idx="7">
                  <c:v>116.6</c:v>
                </c:pt>
                <c:pt idx="8">
                  <c:v>121.8</c:v>
                </c:pt>
                <c:pt idx="9">
                  <c:v>127.1</c:v>
                </c:pt>
                <c:pt idx="10">
                  <c:v>132.4</c:v>
                </c:pt>
                <c:pt idx="11">
                  <c:v>137.69999999999999</c:v>
                </c:pt>
                <c:pt idx="12">
                  <c:v>143</c:v>
                </c:pt>
                <c:pt idx="13">
                  <c:v>148.5</c:v>
                </c:pt>
                <c:pt idx="14">
                  <c:v>153.9</c:v>
                </c:pt>
                <c:pt idx="15">
                  <c:v>159.5</c:v>
                </c:pt>
                <c:pt idx="16">
                  <c:v>165.1</c:v>
                </c:pt>
                <c:pt idx="17">
                  <c:v>170.7</c:v>
                </c:pt>
                <c:pt idx="18">
                  <c:v>176.5</c:v>
                </c:pt>
                <c:pt idx="19">
                  <c:v>182.4</c:v>
                </c:pt>
                <c:pt idx="20">
                  <c:v>188.3</c:v>
                </c:pt>
                <c:pt idx="21">
                  <c:v>194.4</c:v>
                </c:pt>
                <c:pt idx="22">
                  <c:v>200.6</c:v>
                </c:pt>
                <c:pt idx="23">
                  <c:v>206.9</c:v>
                </c:pt>
                <c:pt idx="24">
                  <c:v>213.4</c:v>
                </c:pt>
                <c:pt idx="25">
                  <c:v>220.1</c:v>
                </c:pt>
                <c:pt idx="26">
                  <c:v>227</c:v>
                </c:pt>
                <c:pt idx="27">
                  <c:v>234.2</c:v>
                </c:pt>
                <c:pt idx="28">
                  <c:v>241.7</c:v>
                </c:pt>
                <c:pt idx="29">
                  <c:v>249.7</c:v>
                </c:pt>
                <c:pt idx="30">
                  <c:v>258.3</c:v>
                </c:pt>
                <c:pt idx="31">
                  <c:v>267.7</c:v>
                </c:pt>
                <c:pt idx="32">
                  <c:v>278.39999999999998</c:v>
                </c:pt>
                <c:pt idx="33">
                  <c:v>291.89999999999998</c:v>
                </c:pt>
                <c:pt idx="34">
                  <c:v>321.8</c:v>
                </c:pt>
                <c:pt idx="35">
                  <c:v>343.5</c:v>
                </c:pt>
                <c:pt idx="36">
                  <c:v>379</c:v>
                </c:pt>
                <c:pt idx="37">
                  <c:v>391.4</c:v>
                </c:pt>
                <c:pt idx="38">
                  <c:v>399.9</c:v>
                </c:pt>
                <c:pt idx="39">
                  <c:v>406.4</c:v>
                </c:pt>
                <c:pt idx="40">
                  <c:v>411.5</c:v>
                </c:pt>
                <c:pt idx="41">
                  <c:v>415.8</c:v>
                </c:pt>
                <c:pt idx="42">
                  <c:v>419.3</c:v>
                </c:pt>
                <c:pt idx="43">
                  <c:v>422.4</c:v>
                </c:pt>
                <c:pt idx="44">
                  <c:v>425</c:v>
                </c:pt>
                <c:pt idx="45">
                  <c:v>427.2</c:v>
                </c:pt>
                <c:pt idx="46">
                  <c:v>429.1</c:v>
                </c:pt>
                <c:pt idx="47">
                  <c:v>430.8</c:v>
                </c:pt>
                <c:pt idx="48">
                  <c:v>432.2</c:v>
                </c:pt>
                <c:pt idx="49">
                  <c:v>433.3</c:v>
                </c:pt>
                <c:pt idx="50">
                  <c:v>434.3</c:v>
                </c:pt>
                <c:pt idx="51">
                  <c:v>435.1</c:v>
                </c:pt>
                <c:pt idx="52">
                  <c:v>435.8</c:v>
                </c:pt>
                <c:pt idx="53">
                  <c:v>436.3</c:v>
                </c:pt>
                <c:pt idx="54">
                  <c:v>436.7</c:v>
                </c:pt>
                <c:pt idx="55">
                  <c:v>436.9</c:v>
                </c:pt>
                <c:pt idx="56">
                  <c:v>437</c:v>
                </c:pt>
                <c:pt idx="57">
                  <c:v>437.1</c:v>
                </c:pt>
                <c:pt idx="58">
                  <c:v>437</c:v>
                </c:pt>
                <c:pt idx="59">
                  <c:v>436.8</c:v>
                </c:pt>
                <c:pt idx="60">
                  <c:v>436.5</c:v>
                </c:pt>
                <c:pt idx="61">
                  <c:v>436.1</c:v>
                </c:pt>
                <c:pt idx="62">
                  <c:v>435.7</c:v>
                </c:pt>
                <c:pt idx="63">
                  <c:v>435.2</c:v>
                </c:pt>
                <c:pt idx="64">
                  <c:v>434.6</c:v>
                </c:pt>
                <c:pt idx="65">
                  <c:v>433.9</c:v>
                </c:pt>
                <c:pt idx="66">
                  <c:v>433.2</c:v>
                </c:pt>
                <c:pt idx="67">
                  <c:v>432.4</c:v>
                </c:pt>
                <c:pt idx="68">
                  <c:v>431.5</c:v>
                </c:pt>
                <c:pt idx="69">
                  <c:v>430.6</c:v>
                </c:pt>
              </c:numCache>
            </c:numRef>
          </c:xVal>
          <c:yVal>
            <c:numRef>
              <c:f>'p-h Diagramm'!$B$5:$B$74</c:f>
              <c:numCache>
                <c:formatCode>General</c:formatCode>
                <c:ptCount val="70"/>
                <c:pt idx="0">
                  <c:v>5.3</c:v>
                </c:pt>
                <c:pt idx="1">
                  <c:v>5.9</c:v>
                </c:pt>
                <c:pt idx="2">
                  <c:v>6.6</c:v>
                </c:pt>
                <c:pt idx="3">
                  <c:v>7.3</c:v>
                </c:pt>
                <c:pt idx="4">
                  <c:v>8.1</c:v>
                </c:pt>
                <c:pt idx="5">
                  <c:v>8.9</c:v>
                </c:pt>
                <c:pt idx="6">
                  <c:v>9.8000000000000007</c:v>
                </c:pt>
                <c:pt idx="7">
                  <c:v>10.7</c:v>
                </c:pt>
                <c:pt idx="8">
                  <c:v>11.8</c:v>
                </c:pt>
                <c:pt idx="9">
                  <c:v>12.9</c:v>
                </c:pt>
                <c:pt idx="10">
                  <c:v>14.1</c:v>
                </c:pt>
                <c:pt idx="11">
                  <c:v>15.3</c:v>
                </c:pt>
                <c:pt idx="12">
                  <c:v>16.600000000000001</c:v>
                </c:pt>
                <c:pt idx="13">
                  <c:v>18</c:v>
                </c:pt>
                <c:pt idx="14">
                  <c:v>19.600000000000001</c:v>
                </c:pt>
                <c:pt idx="15">
                  <c:v>21.1</c:v>
                </c:pt>
                <c:pt idx="16">
                  <c:v>22.8</c:v>
                </c:pt>
                <c:pt idx="17">
                  <c:v>24.6</c:v>
                </c:pt>
                <c:pt idx="18">
                  <c:v>26.5</c:v>
                </c:pt>
                <c:pt idx="19">
                  <c:v>28.5</c:v>
                </c:pt>
                <c:pt idx="20">
                  <c:v>30.6</c:v>
                </c:pt>
                <c:pt idx="21">
                  <c:v>32.700000000000003</c:v>
                </c:pt>
                <c:pt idx="22">
                  <c:v>35.1</c:v>
                </c:pt>
                <c:pt idx="23">
                  <c:v>37.5</c:v>
                </c:pt>
                <c:pt idx="24">
                  <c:v>40</c:v>
                </c:pt>
                <c:pt idx="25">
                  <c:v>42.7</c:v>
                </c:pt>
                <c:pt idx="26">
                  <c:v>45.5</c:v>
                </c:pt>
                <c:pt idx="27">
                  <c:v>48.5</c:v>
                </c:pt>
                <c:pt idx="28">
                  <c:v>51.6</c:v>
                </c:pt>
                <c:pt idx="29">
                  <c:v>54.8</c:v>
                </c:pt>
                <c:pt idx="30">
                  <c:v>58.2</c:v>
                </c:pt>
                <c:pt idx="31">
                  <c:v>61.8</c:v>
                </c:pt>
                <c:pt idx="32">
                  <c:v>65.599999999999994</c:v>
                </c:pt>
                <c:pt idx="33">
                  <c:v>69.5</c:v>
                </c:pt>
                <c:pt idx="34">
                  <c:v>73.7</c:v>
                </c:pt>
                <c:pt idx="35">
                  <c:v>73.7</c:v>
                </c:pt>
                <c:pt idx="36">
                  <c:v>69.5</c:v>
                </c:pt>
                <c:pt idx="37">
                  <c:v>65.599999999999994</c:v>
                </c:pt>
                <c:pt idx="38">
                  <c:v>61.8</c:v>
                </c:pt>
                <c:pt idx="39">
                  <c:v>58.2</c:v>
                </c:pt>
                <c:pt idx="40">
                  <c:v>54.8</c:v>
                </c:pt>
                <c:pt idx="41">
                  <c:v>51.6</c:v>
                </c:pt>
                <c:pt idx="42">
                  <c:v>48.5</c:v>
                </c:pt>
                <c:pt idx="43">
                  <c:v>45.5</c:v>
                </c:pt>
                <c:pt idx="44">
                  <c:v>42.7</c:v>
                </c:pt>
                <c:pt idx="45">
                  <c:v>40</c:v>
                </c:pt>
                <c:pt idx="46">
                  <c:v>37.5</c:v>
                </c:pt>
                <c:pt idx="47">
                  <c:v>35.1</c:v>
                </c:pt>
                <c:pt idx="48">
                  <c:v>32.700000000000003</c:v>
                </c:pt>
                <c:pt idx="49">
                  <c:v>30.6</c:v>
                </c:pt>
                <c:pt idx="50">
                  <c:v>28.5</c:v>
                </c:pt>
                <c:pt idx="51">
                  <c:v>26.5</c:v>
                </c:pt>
                <c:pt idx="52">
                  <c:v>24.6</c:v>
                </c:pt>
                <c:pt idx="53">
                  <c:v>22.8</c:v>
                </c:pt>
                <c:pt idx="54">
                  <c:v>21.1</c:v>
                </c:pt>
                <c:pt idx="55">
                  <c:v>19.600000000000001</c:v>
                </c:pt>
                <c:pt idx="56">
                  <c:v>18</c:v>
                </c:pt>
                <c:pt idx="57">
                  <c:v>16.600000000000001</c:v>
                </c:pt>
                <c:pt idx="58">
                  <c:v>15.3</c:v>
                </c:pt>
                <c:pt idx="59">
                  <c:v>14.1</c:v>
                </c:pt>
                <c:pt idx="60">
                  <c:v>12.9</c:v>
                </c:pt>
                <c:pt idx="61">
                  <c:v>11.8</c:v>
                </c:pt>
                <c:pt idx="62">
                  <c:v>10.7</c:v>
                </c:pt>
                <c:pt idx="63">
                  <c:v>9.8000000000000007</c:v>
                </c:pt>
                <c:pt idx="64">
                  <c:v>8.9</c:v>
                </c:pt>
                <c:pt idx="65">
                  <c:v>8.1</c:v>
                </c:pt>
                <c:pt idx="66">
                  <c:v>7.3</c:v>
                </c:pt>
                <c:pt idx="67">
                  <c:v>6.6</c:v>
                </c:pt>
                <c:pt idx="68">
                  <c:v>5.9</c:v>
                </c:pt>
                <c:pt idx="69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5C-46DD-82C6-8A2B8EB3165A}"/>
            </c:ext>
          </c:extLst>
        </c:ser>
        <c:ser>
          <c:idx val="1"/>
          <c:order val="1"/>
          <c:tx>
            <c:v>Betriebsbereich Kaverne</c:v>
          </c:tx>
          <c:spPr>
            <a:ln w="15840">
              <a:solidFill>
                <a:srgbClr val="7F77DD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Diagramm'!$AB$5:$AB$9</c:f>
              <c:numCache>
                <c:formatCode>General</c:formatCode>
                <c:ptCount val="5"/>
                <c:pt idx="0">
                  <c:v>392.7</c:v>
                </c:pt>
                <c:pt idx="1">
                  <c:v>471.5</c:v>
                </c:pt>
                <c:pt idx="2">
                  <c:v>322.10000000000002</c:v>
                </c:pt>
                <c:pt idx="3">
                  <c:v>254.3</c:v>
                </c:pt>
                <c:pt idx="4">
                  <c:v>392.7</c:v>
                </c:pt>
              </c:numCache>
            </c:numRef>
          </c:xVal>
          <c:yVal>
            <c:numRef>
              <c:f>'p-h Diagramm'!$AC$5:$AC$9</c:f>
              <c:numCache>
                <c:formatCode>General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210</c:v>
                </c:pt>
                <c:pt idx="3">
                  <c:v>210</c:v>
                </c:pt>
                <c:pt idx="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5C-46DD-82C6-8A2B8EB3165A}"/>
            </c:ext>
          </c:extLst>
        </c:ser>
        <c:ser>
          <c:idx val="2"/>
          <c:order val="2"/>
          <c:tx>
            <c:v>OGE-Lieferfenster</c:v>
          </c:tx>
          <c:spPr>
            <a:ln w="14040">
              <a:solidFill>
                <a:srgbClr val="639922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Diagramm'!$Y$5:$Y$9</c:f>
              <c:numCache>
                <c:formatCode>General</c:formatCode>
                <c:ptCount val="5"/>
                <c:pt idx="0">
                  <c:v>208</c:v>
                </c:pt>
                <c:pt idx="1">
                  <c:v>263.10000000000002</c:v>
                </c:pt>
                <c:pt idx="2">
                  <c:v>259.2</c:v>
                </c:pt>
                <c:pt idx="3">
                  <c:v>207.2</c:v>
                </c:pt>
                <c:pt idx="4">
                  <c:v>208</c:v>
                </c:pt>
              </c:numCache>
            </c:numRef>
          </c:xVal>
          <c:yVal>
            <c:numRef>
              <c:f>'p-h Diagramm'!$Z$5:$Z$9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90</c:v>
                </c:pt>
                <c:pt idx="3">
                  <c:v>90</c:v>
                </c:pt>
                <c:pt idx="4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5C-46DD-82C6-8A2B8EB3165A}"/>
            </c:ext>
          </c:extLst>
        </c:ser>
        <c:ser>
          <c:idx val="3"/>
          <c:order val="3"/>
          <c:tx>
            <c:v>dicht: Pumpe (Δh=3,7 kJ/kg)</c:v>
          </c:tx>
          <c:spPr>
            <a:ln w="2808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Diagramm'!$S$5:$S$10</c:f>
              <c:numCache>
                <c:formatCode>General</c:formatCode>
                <c:ptCount val="6"/>
                <c:pt idx="0">
                  <c:v>232.1</c:v>
                </c:pt>
                <c:pt idx="1">
                  <c:v>232.8</c:v>
                </c:pt>
                <c:pt idx="2">
                  <c:v>233.5</c:v>
                </c:pt>
                <c:pt idx="3">
                  <c:v>234.3</c:v>
                </c:pt>
                <c:pt idx="4">
                  <c:v>235</c:v>
                </c:pt>
                <c:pt idx="5">
                  <c:v>235.8</c:v>
                </c:pt>
              </c:numCache>
            </c:numRef>
          </c:xVal>
          <c:yVal>
            <c:numRef>
              <c:f>'p-h Diagramm'!$T$5:$T$10</c:f>
              <c:numCache>
                <c:formatCode>General</c:formatCode>
                <c:ptCount val="6"/>
                <c:pt idx="0">
                  <c:v>85</c:v>
                </c:pt>
                <c:pt idx="1">
                  <c:v>90.2</c:v>
                </c:pt>
                <c:pt idx="2">
                  <c:v>95.4</c:v>
                </c:pt>
                <c:pt idx="3">
                  <c:v>100.6</c:v>
                </c:pt>
                <c:pt idx="4">
                  <c:v>105.8</c:v>
                </c:pt>
                <c:pt idx="5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5C-46DD-82C6-8A2B8EB3165A}"/>
            </c:ext>
          </c:extLst>
        </c:ser>
        <c:ser>
          <c:idx val="4"/>
          <c:order val="4"/>
          <c:tx>
            <c:v>dicht: Drossel 120→85 bar</c:v>
          </c:tx>
          <c:spPr>
            <a:ln w="28080">
              <a:solidFill>
                <a:srgbClr val="1D9E7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Diagramm'!$V$5:$V$6</c:f>
              <c:numCache>
                <c:formatCode>General</c:formatCode>
                <c:ptCount val="2"/>
                <c:pt idx="0">
                  <c:v>239.8</c:v>
                </c:pt>
                <c:pt idx="1">
                  <c:v>239.8</c:v>
                </c:pt>
              </c:numCache>
            </c:numRef>
          </c:xVal>
          <c:yVal>
            <c:numRef>
              <c:f>'p-h Diagramm'!$W$5:$W$6</c:f>
              <c:numCache>
                <c:formatCode>General</c:formatCode>
                <c:ptCount val="2"/>
                <c:pt idx="0">
                  <c:v>120</c:v>
                </c:pt>
                <c:pt idx="1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5C-46DD-82C6-8A2B8EB3165A}"/>
            </c:ext>
          </c:extLst>
        </c:ser>
        <c:ser>
          <c:idx val="5"/>
          <c:order val="5"/>
          <c:tx>
            <c:v>gasförmig: 3 Stufen + Kühlung</c:v>
          </c:tx>
          <c:spPr>
            <a:ln w="21960">
              <a:solidFill>
                <a:srgbClr val="378AD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Diagramm'!$D$5:$D$13</c:f>
              <c:numCache>
                <c:formatCode>General</c:formatCode>
                <c:ptCount val="9"/>
                <c:pt idx="0">
                  <c:v>487.9</c:v>
                </c:pt>
                <c:pt idx="1">
                  <c:v>544.1</c:v>
                </c:pt>
                <c:pt idx="2">
                  <c:v>499.4</c:v>
                </c:pt>
                <c:pt idx="3">
                  <c:v>499.4</c:v>
                </c:pt>
                <c:pt idx="4">
                  <c:v>557.5</c:v>
                </c:pt>
                <c:pt idx="5">
                  <c:v>467.5</c:v>
                </c:pt>
                <c:pt idx="6">
                  <c:v>467.5</c:v>
                </c:pt>
                <c:pt idx="7">
                  <c:v>516.29999999999995</c:v>
                </c:pt>
                <c:pt idx="8">
                  <c:v>301.60000000000002</c:v>
                </c:pt>
              </c:numCache>
            </c:numRef>
          </c:xVal>
          <c:yVal>
            <c:numRef>
              <c:f>'p-h Diagramm'!$E$5:$E$13</c:f>
              <c:numCache>
                <c:formatCode>General</c:formatCode>
                <c:ptCount val="9"/>
                <c:pt idx="0">
                  <c:v>10</c:v>
                </c:pt>
                <c:pt idx="1">
                  <c:v>22.3</c:v>
                </c:pt>
                <c:pt idx="2">
                  <c:v>22.3</c:v>
                </c:pt>
                <c:pt idx="3">
                  <c:v>22.3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111</c:v>
                </c:pt>
                <c:pt idx="8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5C-46DD-82C6-8A2B8EB3165A}"/>
            </c:ext>
          </c:extLst>
        </c:ser>
        <c:ser>
          <c:idx val="6"/>
          <c:order val="6"/>
          <c:tx>
            <c:v>gasförmig: einstufig (263 °C)</c:v>
          </c:tx>
          <c:spPr>
            <a:ln w="21960">
              <a:solidFill>
                <a:srgbClr val="17BEC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Diagramm'!$G$5:$G$34</c:f>
              <c:numCache>
                <c:formatCode>General</c:formatCode>
                <c:ptCount val="30"/>
                <c:pt idx="0">
                  <c:v>487.9</c:v>
                </c:pt>
                <c:pt idx="1">
                  <c:v>507.7</c:v>
                </c:pt>
                <c:pt idx="2">
                  <c:v>524.1</c:v>
                </c:pt>
                <c:pt idx="3">
                  <c:v>538.20000000000005</c:v>
                </c:pt>
                <c:pt idx="4">
                  <c:v>550.6</c:v>
                </c:pt>
                <c:pt idx="5">
                  <c:v>561.79999999999995</c:v>
                </c:pt>
                <c:pt idx="6">
                  <c:v>571.9</c:v>
                </c:pt>
                <c:pt idx="7">
                  <c:v>581.29999999999995</c:v>
                </c:pt>
                <c:pt idx="8">
                  <c:v>589.9</c:v>
                </c:pt>
                <c:pt idx="9">
                  <c:v>598</c:v>
                </c:pt>
                <c:pt idx="10">
                  <c:v>605.6</c:v>
                </c:pt>
                <c:pt idx="11">
                  <c:v>612.79999999999995</c:v>
                </c:pt>
                <c:pt idx="12">
                  <c:v>619.6</c:v>
                </c:pt>
                <c:pt idx="13">
                  <c:v>626.1</c:v>
                </c:pt>
                <c:pt idx="14">
                  <c:v>632.20000000000005</c:v>
                </c:pt>
                <c:pt idx="15">
                  <c:v>638.1</c:v>
                </c:pt>
                <c:pt idx="16">
                  <c:v>643.79999999999995</c:v>
                </c:pt>
                <c:pt idx="17">
                  <c:v>649.29999999999995</c:v>
                </c:pt>
                <c:pt idx="18">
                  <c:v>654.5</c:v>
                </c:pt>
                <c:pt idx="19">
                  <c:v>659.6</c:v>
                </c:pt>
                <c:pt idx="20">
                  <c:v>664.5</c:v>
                </c:pt>
                <c:pt idx="21">
                  <c:v>669.2</c:v>
                </c:pt>
                <c:pt idx="22">
                  <c:v>673.8</c:v>
                </c:pt>
                <c:pt idx="23">
                  <c:v>678.3</c:v>
                </c:pt>
                <c:pt idx="24">
                  <c:v>682.6</c:v>
                </c:pt>
                <c:pt idx="25">
                  <c:v>686.9</c:v>
                </c:pt>
                <c:pt idx="26">
                  <c:v>691</c:v>
                </c:pt>
                <c:pt idx="27">
                  <c:v>695</c:v>
                </c:pt>
                <c:pt idx="28">
                  <c:v>698.9</c:v>
                </c:pt>
                <c:pt idx="29">
                  <c:v>702.8</c:v>
                </c:pt>
              </c:numCache>
            </c:numRef>
          </c:xVal>
          <c:yVal>
            <c:numRef>
              <c:f>'p-h Diagramm'!$H$5:$H$34</c:f>
              <c:numCache>
                <c:formatCode>General</c:formatCode>
                <c:ptCount val="30"/>
                <c:pt idx="0">
                  <c:v>10</c:v>
                </c:pt>
                <c:pt idx="1">
                  <c:v>13.5</c:v>
                </c:pt>
                <c:pt idx="2">
                  <c:v>17</c:v>
                </c:pt>
                <c:pt idx="3">
                  <c:v>20.399999999999999</c:v>
                </c:pt>
                <c:pt idx="4">
                  <c:v>23.9</c:v>
                </c:pt>
                <c:pt idx="5">
                  <c:v>27.4</c:v>
                </c:pt>
                <c:pt idx="6">
                  <c:v>30.9</c:v>
                </c:pt>
                <c:pt idx="7">
                  <c:v>34.4</c:v>
                </c:pt>
                <c:pt idx="8">
                  <c:v>37.9</c:v>
                </c:pt>
                <c:pt idx="9">
                  <c:v>41.3</c:v>
                </c:pt>
                <c:pt idx="10">
                  <c:v>44.8</c:v>
                </c:pt>
                <c:pt idx="11">
                  <c:v>48.3</c:v>
                </c:pt>
                <c:pt idx="12">
                  <c:v>51.8</c:v>
                </c:pt>
                <c:pt idx="13">
                  <c:v>55.3</c:v>
                </c:pt>
                <c:pt idx="14">
                  <c:v>58.8</c:v>
                </c:pt>
                <c:pt idx="15">
                  <c:v>62.2</c:v>
                </c:pt>
                <c:pt idx="16">
                  <c:v>65.7</c:v>
                </c:pt>
                <c:pt idx="17">
                  <c:v>69.2</c:v>
                </c:pt>
                <c:pt idx="18">
                  <c:v>72.7</c:v>
                </c:pt>
                <c:pt idx="19">
                  <c:v>76.2</c:v>
                </c:pt>
                <c:pt idx="20">
                  <c:v>79.7</c:v>
                </c:pt>
                <c:pt idx="21">
                  <c:v>83.1</c:v>
                </c:pt>
                <c:pt idx="22">
                  <c:v>86.6</c:v>
                </c:pt>
                <c:pt idx="23">
                  <c:v>90.1</c:v>
                </c:pt>
                <c:pt idx="24">
                  <c:v>93.6</c:v>
                </c:pt>
                <c:pt idx="25">
                  <c:v>97.1</c:v>
                </c:pt>
                <c:pt idx="26">
                  <c:v>100.6</c:v>
                </c:pt>
                <c:pt idx="27">
                  <c:v>104</c:v>
                </c:pt>
                <c:pt idx="28">
                  <c:v>107.5</c:v>
                </c:pt>
                <c:pt idx="29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5C-46DD-82C6-8A2B8EB3165A}"/>
            </c:ext>
          </c:extLst>
        </c:ser>
        <c:ser>
          <c:idx val="7"/>
          <c:order val="7"/>
          <c:tx>
            <c:v>gasförmig: Drossel OHNE Vorwärmung</c:v>
          </c:tx>
          <c:spPr>
            <a:ln w="2196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Diagramm'!$J$5:$J$6</c:f>
              <c:numCache>
                <c:formatCode>General</c:formatCode>
                <c:ptCount val="2"/>
                <c:pt idx="0">
                  <c:v>239.8</c:v>
                </c:pt>
                <c:pt idx="1">
                  <c:v>239.8</c:v>
                </c:pt>
              </c:numCache>
            </c:numRef>
          </c:xVal>
          <c:yVal>
            <c:numRef>
              <c:f>'p-h Diagramm'!$K$5:$K$6</c:f>
              <c:numCache>
                <c:formatCode>General</c:formatCode>
                <c:ptCount val="2"/>
                <c:pt idx="0">
                  <c:v>120</c:v>
                </c:pt>
                <c:pt idx="1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5C-46DD-82C6-8A2B8EB3165A}"/>
            </c:ext>
          </c:extLst>
        </c:ser>
        <c:ser>
          <c:idx val="8"/>
          <c:order val="8"/>
          <c:tx>
            <c:v>gasförmig: Drossel MIT Vorwärmung</c:v>
          </c:tx>
          <c:spPr>
            <a:ln w="21960">
              <a:solidFill>
                <a:srgbClr val="8B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Diagramm'!$M$5:$M$7</c:f>
              <c:numCache>
                <c:formatCode>General</c:formatCode>
                <c:ptCount val="3"/>
                <c:pt idx="0">
                  <c:v>239.8</c:v>
                </c:pt>
                <c:pt idx="1">
                  <c:v>445.7</c:v>
                </c:pt>
                <c:pt idx="2">
                  <c:v>445.7</c:v>
                </c:pt>
              </c:numCache>
            </c:numRef>
          </c:xVal>
          <c:yVal>
            <c:numRef>
              <c:f>'p-h Diagramm'!$N$5:$N$7</c:f>
              <c:numCache>
                <c:formatCode>General</c:formatCode>
                <c:ptCount val="3"/>
                <c:pt idx="0">
                  <c:v>120</c:v>
                </c:pt>
                <c:pt idx="1">
                  <c:v>120</c:v>
                </c:pt>
                <c:pt idx="2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5C-46DD-82C6-8A2B8EB3165A}"/>
            </c:ext>
          </c:extLst>
        </c:ser>
        <c:ser>
          <c:idx val="9"/>
          <c:order val="9"/>
          <c:tx>
            <c:v>kritischer Punkt</c:v>
          </c:tx>
          <c:spPr>
            <a:ln w="28440">
              <a:noFill/>
            </a:ln>
          </c:spPr>
          <c:marker>
            <c:symbol val="circle"/>
            <c:size val="9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Diagramm'!$P$5</c:f>
              <c:numCache>
                <c:formatCode>General</c:formatCode>
                <c:ptCount val="1"/>
                <c:pt idx="0">
                  <c:v>332.2</c:v>
                </c:pt>
              </c:numCache>
            </c:numRef>
          </c:xVal>
          <c:yVal>
            <c:numRef>
              <c:f>'p-h Diagramm'!$Q$5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5C-46DD-82C6-8A2B8EB3165A}"/>
            </c:ext>
          </c:extLst>
        </c:ser>
        <c:ser>
          <c:idx val="10"/>
          <c:order val="10"/>
          <c:tx>
            <c:v>dicht: Drossel warm (Nennrate)</c:v>
          </c:tx>
          <c:spPr>
            <a:ln w="25920">
              <a:solidFill>
                <a:srgbClr val="EF9F2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'p-h Diagramm'!$AE$5:$AE$6</c:f>
              <c:numCache>
                <c:formatCode>General</c:formatCode>
                <c:ptCount val="2"/>
                <c:pt idx="0">
                  <c:v>299.5</c:v>
                </c:pt>
                <c:pt idx="1">
                  <c:v>299.5</c:v>
                </c:pt>
              </c:numCache>
            </c:numRef>
          </c:xVal>
          <c:yVal>
            <c:numRef>
              <c:f>'p-h Diagramm'!$AF$5:$AF$6</c:f>
              <c:numCache>
                <c:formatCode>General</c:formatCode>
                <c:ptCount val="2"/>
                <c:pt idx="0">
                  <c:v>120</c:v>
                </c:pt>
                <c:pt idx="1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5C-46DD-82C6-8A2B8EB31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96230"/>
        <c:axId val="15727848"/>
      </c:scatterChart>
      <c:valAx>
        <c:axId val="7189623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spezifische Enthalpie h [kJ/kg]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15727848"/>
        <c:crosses val="autoZero"/>
        <c:crossBetween val="midCat"/>
      </c:valAx>
      <c:valAx>
        <c:axId val="15727848"/>
        <c:scaling>
          <c:logBase val="10"/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[bar, log]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718962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lang="de-DE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p-T: Szenario gasförmig – Verdichtung (3 Stufen vs. einstufig) &amp; Drossel (ohne/mit Vorwärmung)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Sättigungslinie</c:v>
          </c:tx>
          <c:spPr>
            <a:ln w="2196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gasförmig'!$A$5:$A$44</c:f>
              <c:numCache>
                <c:formatCode>General</c:formatCode>
                <c:ptCount val="40"/>
                <c:pt idx="0">
                  <c:v>-56.1</c:v>
                </c:pt>
                <c:pt idx="1">
                  <c:v>-53.8</c:v>
                </c:pt>
                <c:pt idx="2">
                  <c:v>-51.6</c:v>
                </c:pt>
                <c:pt idx="3">
                  <c:v>-49.4</c:v>
                </c:pt>
                <c:pt idx="4">
                  <c:v>-47.1</c:v>
                </c:pt>
                <c:pt idx="5">
                  <c:v>-44.9</c:v>
                </c:pt>
                <c:pt idx="6">
                  <c:v>-42.7</c:v>
                </c:pt>
                <c:pt idx="7">
                  <c:v>-40.4</c:v>
                </c:pt>
                <c:pt idx="8">
                  <c:v>-38.200000000000003</c:v>
                </c:pt>
                <c:pt idx="9">
                  <c:v>-36</c:v>
                </c:pt>
                <c:pt idx="10">
                  <c:v>-33.799999999999997</c:v>
                </c:pt>
                <c:pt idx="11">
                  <c:v>-31.5</c:v>
                </c:pt>
                <c:pt idx="12">
                  <c:v>-29.3</c:v>
                </c:pt>
                <c:pt idx="13">
                  <c:v>-27.1</c:v>
                </c:pt>
                <c:pt idx="14">
                  <c:v>-24.8</c:v>
                </c:pt>
                <c:pt idx="15">
                  <c:v>-22.6</c:v>
                </c:pt>
                <c:pt idx="16">
                  <c:v>-20.399999999999999</c:v>
                </c:pt>
                <c:pt idx="17">
                  <c:v>-18.100000000000001</c:v>
                </c:pt>
                <c:pt idx="18">
                  <c:v>-15.9</c:v>
                </c:pt>
                <c:pt idx="19">
                  <c:v>-13.7</c:v>
                </c:pt>
                <c:pt idx="20">
                  <c:v>-11.4</c:v>
                </c:pt>
                <c:pt idx="21">
                  <c:v>-9.1999999999999993</c:v>
                </c:pt>
                <c:pt idx="22">
                  <c:v>-7</c:v>
                </c:pt>
                <c:pt idx="23">
                  <c:v>-4.8</c:v>
                </c:pt>
                <c:pt idx="24">
                  <c:v>-2.5</c:v>
                </c:pt>
                <c:pt idx="25">
                  <c:v>-0.3</c:v>
                </c:pt>
                <c:pt idx="26">
                  <c:v>1.9</c:v>
                </c:pt>
                <c:pt idx="27">
                  <c:v>4.2</c:v>
                </c:pt>
                <c:pt idx="28">
                  <c:v>6.4</c:v>
                </c:pt>
                <c:pt idx="29">
                  <c:v>8.6</c:v>
                </c:pt>
                <c:pt idx="30">
                  <c:v>10.9</c:v>
                </c:pt>
                <c:pt idx="31">
                  <c:v>13.1</c:v>
                </c:pt>
                <c:pt idx="32">
                  <c:v>15.3</c:v>
                </c:pt>
                <c:pt idx="33">
                  <c:v>17.5</c:v>
                </c:pt>
                <c:pt idx="34">
                  <c:v>19.8</c:v>
                </c:pt>
                <c:pt idx="35">
                  <c:v>22</c:v>
                </c:pt>
                <c:pt idx="36">
                  <c:v>24.2</c:v>
                </c:pt>
                <c:pt idx="37">
                  <c:v>26.5</c:v>
                </c:pt>
                <c:pt idx="38">
                  <c:v>28.7</c:v>
                </c:pt>
                <c:pt idx="39">
                  <c:v>30.9</c:v>
                </c:pt>
              </c:numCache>
            </c:numRef>
          </c:xVal>
          <c:yVal>
            <c:numRef>
              <c:f>'Phasendiagramm gasförmig'!$B$5:$B$44</c:f>
              <c:numCache>
                <c:formatCode>General</c:formatCode>
                <c:ptCount val="40"/>
                <c:pt idx="0">
                  <c:v>5.3</c:v>
                </c:pt>
                <c:pt idx="1">
                  <c:v>5.8</c:v>
                </c:pt>
                <c:pt idx="2">
                  <c:v>6.4</c:v>
                </c:pt>
                <c:pt idx="3">
                  <c:v>7</c:v>
                </c:pt>
                <c:pt idx="4">
                  <c:v>7.7</c:v>
                </c:pt>
                <c:pt idx="5">
                  <c:v>8.3000000000000007</c:v>
                </c:pt>
                <c:pt idx="6">
                  <c:v>9.1</c:v>
                </c:pt>
                <c:pt idx="7">
                  <c:v>9.9</c:v>
                </c:pt>
                <c:pt idx="8">
                  <c:v>10.7</c:v>
                </c:pt>
                <c:pt idx="9">
                  <c:v>11.6</c:v>
                </c:pt>
                <c:pt idx="10">
                  <c:v>12.6</c:v>
                </c:pt>
                <c:pt idx="11">
                  <c:v>13.6</c:v>
                </c:pt>
                <c:pt idx="12">
                  <c:v>14.6</c:v>
                </c:pt>
                <c:pt idx="13">
                  <c:v>15.7</c:v>
                </c:pt>
                <c:pt idx="14">
                  <c:v>16.899999999999999</c:v>
                </c:pt>
                <c:pt idx="15">
                  <c:v>18.2</c:v>
                </c:pt>
                <c:pt idx="16">
                  <c:v>19.5</c:v>
                </c:pt>
                <c:pt idx="17">
                  <c:v>20.8</c:v>
                </c:pt>
                <c:pt idx="18">
                  <c:v>22.3</c:v>
                </c:pt>
                <c:pt idx="19">
                  <c:v>23.8</c:v>
                </c:pt>
                <c:pt idx="20">
                  <c:v>25.4</c:v>
                </c:pt>
                <c:pt idx="21">
                  <c:v>27.1</c:v>
                </c:pt>
                <c:pt idx="22">
                  <c:v>28.8</c:v>
                </c:pt>
                <c:pt idx="23">
                  <c:v>30.7</c:v>
                </c:pt>
                <c:pt idx="24">
                  <c:v>32.6</c:v>
                </c:pt>
                <c:pt idx="25">
                  <c:v>34.6</c:v>
                </c:pt>
                <c:pt idx="26">
                  <c:v>36.700000000000003</c:v>
                </c:pt>
                <c:pt idx="27">
                  <c:v>38.9</c:v>
                </c:pt>
                <c:pt idx="28">
                  <c:v>41.1</c:v>
                </c:pt>
                <c:pt idx="29">
                  <c:v>43.5</c:v>
                </c:pt>
                <c:pt idx="30">
                  <c:v>46</c:v>
                </c:pt>
                <c:pt idx="31">
                  <c:v>48.6</c:v>
                </c:pt>
                <c:pt idx="32">
                  <c:v>51.3</c:v>
                </c:pt>
                <c:pt idx="33">
                  <c:v>54.1</c:v>
                </c:pt>
                <c:pt idx="34">
                  <c:v>57</c:v>
                </c:pt>
                <c:pt idx="35">
                  <c:v>60</c:v>
                </c:pt>
                <c:pt idx="36">
                  <c:v>63.2</c:v>
                </c:pt>
                <c:pt idx="37">
                  <c:v>66.5</c:v>
                </c:pt>
                <c:pt idx="38">
                  <c:v>70</c:v>
                </c:pt>
                <c:pt idx="39">
                  <c:v>73.7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5B-49F8-BE56-21E2DD642A2A}"/>
            </c:ext>
          </c:extLst>
        </c:ser>
        <c:ser>
          <c:idx val="1"/>
          <c:order val="1"/>
          <c:tx>
            <c:v>krit. Isotherme 31 °C</c:v>
          </c:tx>
          <c:spPr>
            <a:ln w="11880">
              <a:solidFill>
                <a:srgbClr val="A6A6A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gasförmig'!$S$5:$S$6</c:f>
              <c:numCache>
                <c:formatCode>General</c:formatCode>
                <c:ptCount val="2"/>
                <c:pt idx="0">
                  <c:v>31</c:v>
                </c:pt>
                <c:pt idx="1">
                  <c:v>31</c:v>
                </c:pt>
              </c:numCache>
            </c:numRef>
          </c:xVal>
          <c:yVal>
            <c:numRef>
              <c:f>'Phasendiagramm gasförmig'!$T$5:$T$6</c:f>
              <c:numCache>
                <c:formatCode>General</c:formatCode>
                <c:ptCount val="2"/>
                <c:pt idx="0">
                  <c:v>73.8</c:v>
                </c:pt>
                <c:pt idx="1">
                  <c:v>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5B-49F8-BE56-21E2DD642A2A}"/>
            </c:ext>
          </c:extLst>
        </c:ser>
        <c:ser>
          <c:idx val="2"/>
          <c:order val="2"/>
          <c:tx>
            <c:v>pkrit 73,8 bar = Phasenreinheits-Grenze</c:v>
          </c:tx>
          <c:spPr>
            <a:ln w="11880">
              <a:solidFill>
                <a:srgbClr val="A6A6A6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gasförmig'!$V$5:$V$6</c:f>
              <c:numCache>
                <c:formatCode>General</c:formatCode>
                <c:ptCount val="2"/>
                <c:pt idx="0">
                  <c:v>31</c:v>
                </c:pt>
                <c:pt idx="1">
                  <c:v>140</c:v>
                </c:pt>
              </c:numCache>
            </c:numRef>
          </c:xVal>
          <c:yVal>
            <c:numRef>
              <c:f>'Phasendiagramm gasförmig'!$W$5:$W$6</c:f>
              <c:numCache>
                <c:formatCode>General</c:formatCode>
                <c:ptCount val="2"/>
                <c:pt idx="0">
                  <c:v>73.8</c:v>
                </c:pt>
                <c:pt idx="1">
                  <c:v>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5B-49F8-BE56-21E2DD642A2A}"/>
            </c:ext>
          </c:extLst>
        </c:ser>
        <c:ser>
          <c:idx val="3"/>
          <c:order val="3"/>
          <c:tx>
            <c:v>Betriebsbereich Kaverne (Buzogany/Kruck 2022)</c:v>
          </c:tx>
          <c:spPr>
            <a:ln w="15840">
              <a:solidFill>
                <a:srgbClr val="7F77DD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gasförmig'!$Y$5:$Y$9</c:f>
              <c:numCache>
                <c:formatCode>General</c:formatCode>
                <c:ptCount val="5"/>
                <c:pt idx="0">
                  <c:v>30</c:v>
                </c:pt>
                <c:pt idx="1">
                  <c:v>60</c:v>
                </c:pt>
                <c:pt idx="2">
                  <c:v>60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'Phasendiagramm gasförmig'!$Z$5:$Z$9</c:f>
              <c:numCache>
                <c:formatCode>General</c:formatCode>
                <c:ptCount val="5"/>
                <c:pt idx="0">
                  <c:v>70</c:v>
                </c:pt>
                <c:pt idx="1">
                  <c:v>70</c:v>
                </c:pt>
                <c:pt idx="2">
                  <c:v>210</c:v>
                </c:pt>
                <c:pt idx="3">
                  <c:v>210</c:v>
                </c:pt>
                <c:pt idx="4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5B-49F8-BE56-21E2DD642A2A}"/>
            </c:ext>
          </c:extLst>
        </c:ser>
        <c:ser>
          <c:idx val="4"/>
          <c:order val="4"/>
          <c:tx>
            <c:v>Einspeichern EINSTUFIG (η=0,8) → 263 °C, nicht machbar</c:v>
          </c:tx>
          <c:spPr>
            <a:ln w="21960">
              <a:solidFill>
                <a:srgbClr val="17BEC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gasförmig'!$G$5:$G$34</c:f>
              <c:numCache>
                <c:formatCode>General</c:formatCode>
                <c:ptCount val="30"/>
                <c:pt idx="0">
                  <c:v>15</c:v>
                </c:pt>
                <c:pt idx="1">
                  <c:v>39.9</c:v>
                </c:pt>
                <c:pt idx="2">
                  <c:v>60.1</c:v>
                </c:pt>
                <c:pt idx="3">
                  <c:v>77.2</c:v>
                </c:pt>
                <c:pt idx="4">
                  <c:v>92.1</c:v>
                </c:pt>
                <c:pt idx="5">
                  <c:v>105.3</c:v>
                </c:pt>
                <c:pt idx="6">
                  <c:v>117.2</c:v>
                </c:pt>
                <c:pt idx="7">
                  <c:v>128.1</c:v>
                </c:pt>
                <c:pt idx="8">
                  <c:v>138.1</c:v>
                </c:pt>
                <c:pt idx="9">
                  <c:v>147.4</c:v>
                </c:pt>
                <c:pt idx="10">
                  <c:v>156.1</c:v>
                </c:pt>
                <c:pt idx="11">
                  <c:v>164.3</c:v>
                </c:pt>
                <c:pt idx="12">
                  <c:v>172</c:v>
                </c:pt>
                <c:pt idx="13">
                  <c:v>179.3</c:v>
                </c:pt>
                <c:pt idx="14">
                  <c:v>186.2</c:v>
                </c:pt>
                <c:pt idx="15">
                  <c:v>192.8</c:v>
                </c:pt>
                <c:pt idx="16">
                  <c:v>199.1</c:v>
                </c:pt>
                <c:pt idx="17">
                  <c:v>205.1</c:v>
                </c:pt>
                <c:pt idx="18">
                  <c:v>210.9</c:v>
                </c:pt>
                <c:pt idx="19">
                  <c:v>216.4</c:v>
                </c:pt>
                <c:pt idx="20">
                  <c:v>221.8</c:v>
                </c:pt>
                <c:pt idx="21">
                  <c:v>227</c:v>
                </c:pt>
                <c:pt idx="22">
                  <c:v>232</c:v>
                </c:pt>
                <c:pt idx="23">
                  <c:v>236.8</c:v>
                </c:pt>
                <c:pt idx="24">
                  <c:v>241.5</c:v>
                </c:pt>
                <c:pt idx="25">
                  <c:v>246</c:v>
                </c:pt>
                <c:pt idx="26">
                  <c:v>250.5</c:v>
                </c:pt>
                <c:pt idx="27">
                  <c:v>254.8</c:v>
                </c:pt>
                <c:pt idx="28">
                  <c:v>258.89999999999998</c:v>
                </c:pt>
                <c:pt idx="29">
                  <c:v>263</c:v>
                </c:pt>
              </c:numCache>
            </c:numRef>
          </c:xVal>
          <c:yVal>
            <c:numRef>
              <c:f>'Phasendiagramm gasförmig'!$H$5:$H$34</c:f>
              <c:numCache>
                <c:formatCode>General</c:formatCode>
                <c:ptCount val="30"/>
                <c:pt idx="0">
                  <c:v>10</c:v>
                </c:pt>
                <c:pt idx="1">
                  <c:v>13.5</c:v>
                </c:pt>
                <c:pt idx="2">
                  <c:v>17</c:v>
                </c:pt>
                <c:pt idx="3">
                  <c:v>20.399999999999999</c:v>
                </c:pt>
                <c:pt idx="4">
                  <c:v>23.9</c:v>
                </c:pt>
                <c:pt idx="5">
                  <c:v>27.4</c:v>
                </c:pt>
                <c:pt idx="6">
                  <c:v>30.9</c:v>
                </c:pt>
                <c:pt idx="7">
                  <c:v>34.4</c:v>
                </c:pt>
                <c:pt idx="8">
                  <c:v>37.9</c:v>
                </c:pt>
                <c:pt idx="9">
                  <c:v>41.3</c:v>
                </c:pt>
                <c:pt idx="10">
                  <c:v>44.8</c:v>
                </c:pt>
                <c:pt idx="11">
                  <c:v>48.3</c:v>
                </c:pt>
                <c:pt idx="12">
                  <c:v>51.8</c:v>
                </c:pt>
                <c:pt idx="13">
                  <c:v>55.3</c:v>
                </c:pt>
                <c:pt idx="14">
                  <c:v>58.8</c:v>
                </c:pt>
                <c:pt idx="15">
                  <c:v>62.2</c:v>
                </c:pt>
                <c:pt idx="16">
                  <c:v>65.7</c:v>
                </c:pt>
                <c:pt idx="17">
                  <c:v>69.2</c:v>
                </c:pt>
                <c:pt idx="18">
                  <c:v>72.7</c:v>
                </c:pt>
                <c:pt idx="19">
                  <c:v>76.2</c:v>
                </c:pt>
                <c:pt idx="20">
                  <c:v>79.7</c:v>
                </c:pt>
                <c:pt idx="21">
                  <c:v>83.1</c:v>
                </c:pt>
                <c:pt idx="22">
                  <c:v>86.6</c:v>
                </c:pt>
                <c:pt idx="23">
                  <c:v>90.1</c:v>
                </c:pt>
                <c:pt idx="24">
                  <c:v>93.6</c:v>
                </c:pt>
                <c:pt idx="25">
                  <c:v>97.1</c:v>
                </c:pt>
                <c:pt idx="26">
                  <c:v>100.6</c:v>
                </c:pt>
                <c:pt idx="27">
                  <c:v>104</c:v>
                </c:pt>
                <c:pt idx="28">
                  <c:v>107.5</c:v>
                </c:pt>
                <c:pt idx="29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5B-49F8-BE56-21E2DD642A2A}"/>
            </c:ext>
          </c:extLst>
        </c:ser>
        <c:ser>
          <c:idx val="5"/>
          <c:order val="5"/>
          <c:tx>
            <c:v>Einspeichern 3 Stufen + Zwischenkühlung (max. 114 °C)</c:v>
          </c:tx>
          <c:spPr>
            <a:ln w="2196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gasförmig'!$D$5:$D$13</c:f>
              <c:numCache>
                <c:formatCode>General</c:formatCode>
                <c:ptCount val="9"/>
                <c:pt idx="0">
                  <c:v>15</c:v>
                </c:pt>
                <c:pt idx="1">
                  <c:v>84.5</c:v>
                </c:pt>
                <c:pt idx="2">
                  <c:v>40</c:v>
                </c:pt>
                <c:pt idx="3">
                  <c:v>40</c:v>
                </c:pt>
                <c:pt idx="4">
                  <c:v>114.2</c:v>
                </c:pt>
                <c:pt idx="5">
                  <c:v>40</c:v>
                </c:pt>
                <c:pt idx="6">
                  <c:v>40</c:v>
                </c:pt>
                <c:pt idx="7">
                  <c:v>113.6</c:v>
                </c:pt>
                <c:pt idx="8">
                  <c:v>40</c:v>
                </c:pt>
              </c:numCache>
            </c:numRef>
          </c:xVal>
          <c:yVal>
            <c:numRef>
              <c:f>'Phasendiagramm gasförmig'!$E$5:$E$13</c:f>
              <c:numCache>
                <c:formatCode>General</c:formatCode>
                <c:ptCount val="9"/>
                <c:pt idx="0">
                  <c:v>10</c:v>
                </c:pt>
                <c:pt idx="1">
                  <c:v>22.3</c:v>
                </c:pt>
                <c:pt idx="2">
                  <c:v>22.3</c:v>
                </c:pt>
                <c:pt idx="3">
                  <c:v>22.3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111</c:v>
                </c:pt>
                <c:pt idx="8">
                  <c:v>111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75B-49F8-BE56-21E2DD642A2A}"/>
            </c:ext>
          </c:extLst>
        </c:ser>
        <c:ser>
          <c:idx val="6"/>
          <c:order val="6"/>
          <c:tx>
            <c:v>Ausspeichern OHNE Vorwärmung → zweiphasig (q≈0,12)</c:v>
          </c:tx>
          <c:spPr>
            <a:ln w="21960">
              <a:solidFill>
                <a:srgbClr val="FF7F0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gasförmig'!$J$5:$J$21</c:f>
              <c:numCache>
                <c:formatCode>General</c:formatCode>
                <c:ptCount val="17"/>
                <c:pt idx="0">
                  <c:v>20</c:v>
                </c:pt>
                <c:pt idx="1">
                  <c:v>19.7</c:v>
                </c:pt>
                <c:pt idx="2">
                  <c:v>19.5</c:v>
                </c:pt>
                <c:pt idx="3">
                  <c:v>19.2</c:v>
                </c:pt>
                <c:pt idx="4">
                  <c:v>18.899999999999999</c:v>
                </c:pt>
                <c:pt idx="5">
                  <c:v>18.600000000000001</c:v>
                </c:pt>
                <c:pt idx="6">
                  <c:v>18.3</c:v>
                </c:pt>
                <c:pt idx="7">
                  <c:v>17.899999999999999</c:v>
                </c:pt>
                <c:pt idx="8">
                  <c:v>17.5</c:v>
                </c:pt>
                <c:pt idx="9">
                  <c:v>17.2</c:v>
                </c:pt>
                <c:pt idx="10">
                  <c:v>16.7</c:v>
                </c:pt>
                <c:pt idx="11">
                  <c:v>16.3</c:v>
                </c:pt>
                <c:pt idx="12">
                  <c:v>15.9</c:v>
                </c:pt>
                <c:pt idx="13">
                  <c:v>15.4</c:v>
                </c:pt>
                <c:pt idx="14">
                  <c:v>14.3</c:v>
                </c:pt>
                <c:pt idx="15">
                  <c:v>10</c:v>
                </c:pt>
                <c:pt idx="16">
                  <c:v>5.3</c:v>
                </c:pt>
              </c:numCache>
            </c:numRef>
          </c:xVal>
          <c:yVal>
            <c:numRef>
              <c:f>'Phasendiagramm gasförmig'!$K$5:$K$21</c:f>
              <c:numCache>
                <c:formatCode>General</c:formatCode>
                <c:ptCount val="17"/>
                <c:pt idx="0">
                  <c:v>120</c:v>
                </c:pt>
                <c:pt idx="1">
                  <c:v>115</c:v>
                </c:pt>
                <c:pt idx="2">
                  <c:v>110</c:v>
                </c:pt>
                <c:pt idx="3">
                  <c:v>105</c:v>
                </c:pt>
                <c:pt idx="4">
                  <c:v>100</c:v>
                </c:pt>
                <c:pt idx="5">
                  <c:v>95</c:v>
                </c:pt>
                <c:pt idx="6">
                  <c:v>90</c:v>
                </c:pt>
                <c:pt idx="7">
                  <c:v>85</c:v>
                </c:pt>
                <c:pt idx="8">
                  <c:v>80</c:v>
                </c:pt>
                <c:pt idx="9">
                  <c:v>75</c:v>
                </c:pt>
                <c:pt idx="10">
                  <c:v>70</c:v>
                </c:pt>
                <c:pt idx="11">
                  <c:v>65</c:v>
                </c:pt>
                <c:pt idx="12">
                  <c:v>60</c:v>
                </c:pt>
                <c:pt idx="13">
                  <c:v>55</c:v>
                </c:pt>
                <c:pt idx="14">
                  <c:v>50</c:v>
                </c:pt>
                <c:pt idx="15">
                  <c:v>45</c:v>
                </c:pt>
                <c:pt idx="16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75B-49F8-BE56-21E2DD642A2A}"/>
            </c:ext>
          </c:extLst>
        </c:ser>
        <c:ser>
          <c:idx val="7"/>
          <c:order val="7"/>
          <c:tx>
            <c:v>Ausspeichern MIT Vorwärmung 79 °C → einphasig</c:v>
          </c:tx>
          <c:spPr>
            <a:ln w="21960">
              <a:solidFill>
                <a:srgbClr val="8B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gasförmig'!$M$5:$M$22</c:f>
              <c:numCache>
                <c:formatCode>General</c:formatCode>
                <c:ptCount val="18"/>
                <c:pt idx="0">
                  <c:v>20</c:v>
                </c:pt>
                <c:pt idx="1">
                  <c:v>79.2</c:v>
                </c:pt>
                <c:pt idx="2">
                  <c:v>76.5</c:v>
                </c:pt>
                <c:pt idx="3">
                  <c:v>73.8</c:v>
                </c:pt>
                <c:pt idx="4">
                  <c:v>70.900000000000006</c:v>
                </c:pt>
                <c:pt idx="5">
                  <c:v>67.8</c:v>
                </c:pt>
                <c:pt idx="6">
                  <c:v>64.599999999999994</c:v>
                </c:pt>
                <c:pt idx="7">
                  <c:v>61.2</c:v>
                </c:pt>
                <c:pt idx="8">
                  <c:v>57.7</c:v>
                </c:pt>
                <c:pt idx="9">
                  <c:v>53.9</c:v>
                </c:pt>
                <c:pt idx="10">
                  <c:v>50</c:v>
                </c:pt>
                <c:pt idx="11">
                  <c:v>45.8</c:v>
                </c:pt>
                <c:pt idx="12">
                  <c:v>41.5</c:v>
                </c:pt>
                <c:pt idx="13">
                  <c:v>36.799999999999997</c:v>
                </c:pt>
                <c:pt idx="14">
                  <c:v>31.9</c:v>
                </c:pt>
                <c:pt idx="15">
                  <c:v>26.7</c:v>
                </c:pt>
                <c:pt idx="16">
                  <c:v>21.2</c:v>
                </c:pt>
                <c:pt idx="17">
                  <c:v>15.3</c:v>
                </c:pt>
              </c:numCache>
            </c:numRef>
          </c:xVal>
          <c:yVal>
            <c:numRef>
              <c:f>'Phasendiagramm gasförmig'!$N$5:$N$22</c:f>
              <c:numCache>
                <c:formatCode>General</c:formatCode>
                <c:ptCount val="18"/>
                <c:pt idx="0">
                  <c:v>120</c:v>
                </c:pt>
                <c:pt idx="1">
                  <c:v>120</c:v>
                </c:pt>
                <c:pt idx="2">
                  <c:v>115</c:v>
                </c:pt>
                <c:pt idx="3">
                  <c:v>110</c:v>
                </c:pt>
                <c:pt idx="4">
                  <c:v>105</c:v>
                </c:pt>
                <c:pt idx="5">
                  <c:v>100</c:v>
                </c:pt>
                <c:pt idx="6">
                  <c:v>95</c:v>
                </c:pt>
                <c:pt idx="7">
                  <c:v>90</c:v>
                </c:pt>
                <c:pt idx="8">
                  <c:v>85</c:v>
                </c:pt>
                <c:pt idx="9">
                  <c:v>80</c:v>
                </c:pt>
                <c:pt idx="10">
                  <c:v>75</c:v>
                </c:pt>
                <c:pt idx="11">
                  <c:v>70</c:v>
                </c:pt>
                <c:pt idx="12">
                  <c:v>65</c:v>
                </c:pt>
                <c:pt idx="13">
                  <c:v>60</c:v>
                </c:pt>
                <c:pt idx="14">
                  <c:v>55</c:v>
                </c:pt>
                <c:pt idx="15">
                  <c:v>50</c:v>
                </c:pt>
                <c:pt idx="16">
                  <c:v>45</c:v>
                </c:pt>
                <c:pt idx="1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75B-49F8-BE56-21E2DD642A2A}"/>
            </c:ext>
          </c:extLst>
        </c:ser>
        <c:ser>
          <c:idx val="8"/>
          <c:order val="8"/>
          <c:tx>
            <c:v>kritischer Punkt</c:v>
          </c:tx>
          <c:spPr>
            <a:ln w="28440">
              <a:solidFill>
                <a:srgbClr val="C0504D"/>
              </a:solidFill>
              <a:round/>
            </a:ln>
          </c:spPr>
          <c:marker>
            <c:symbol val="circle"/>
            <c:size val="9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de-DE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'Phasendiagramm gasförmig'!$P$5</c:f>
              <c:numCache>
                <c:formatCode>General</c:formatCode>
                <c:ptCount val="1"/>
                <c:pt idx="0">
                  <c:v>31</c:v>
                </c:pt>
              </c:numCache>
            </c:numRef>
          </c:xVal>
          <c:yVal>
            <c:numRef>
              <c:f>'Phasendiagramm gasförmig'!$Q$5</c:f>
              <c:numCache>
                <c:formatCode>General</c:formatCode>
                <c:ptCount val="1"/>
                <c:pt idx="0">
                  <c:v>73.8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75B-49F8-BE56-21E2DD642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2006"/>
        <c:axId val="90963481"/>
      </c:scatterChart>
      <c:valAx>
        <c:axId val="1322200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Temperatur [°C]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90963481"/>
        <c:crosses val="autoZero"/>
        <c:crossBetween val="midCat"/>
      </c:valAx>
      <c:valAx>
        <c:axId val="909634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de-DE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Druck [bar]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1322200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17</xdr:col>
      <xdr:colOff>1440</xdr:colOff>
      <xdr:row>23</xdr:row>
      <xdr:rowOff>112320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52</xdr:row>
      <xdr:rowOff>0</xdr:rowOff>
    </xdr:from>
    <xdr:to>
      <xdr:col>14</xdr:col>
      <xdr:colOff>348120</xdr:colOff>
      <xdr:row>74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52</xdr:row>
      <xdr:rowOff>0</xdr:rowOff>
    </xdr:from>
    <xdr:to>
      <xdr:col>23</xdr:col>
      <xdr:colOff>274320</xdr:colOff>
      <xdr:row>74</xdr:row>
      <xdr:rowOff>127440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25</xdr:col>
      <xdr:colOff>0</xdr:colOff>
      <xdr:row>52</xdr:row>
      <xdr:rowOff>0</xdr:rowOff>
    </xdr:from>
    <xdr:to>
      <xdr:col>31</xdr:col>
      <xdr:colOff>274320</xdr:colOff>
      <xdr:row>74</xdr:row>
      <xdr:rowOff>127440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409680</xdr:colOff>
      <xdr:row>3</xdr:row>
      <xdr:rowOff>18000</xdr:rowOff>
    </xdr:from>
    <xdr:to>
      <xdr:col>19</xdr:col>
      <xdr:colOff>175680</xdr:colOff>
      <xdr:row>21</xdr:row>
      <xdr:rowOff>183960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23</xdr:row>
      <xdr:rowOff>160560</xdr:rowOff>
    </xdr:from>
    <xdr:to>
      <xdr:col>23</xdr:col>
      <xdr:colOff>468720</xdr:colOff>
      <xdr:row>46</xdr:row>
      <xdr:rowOff>93960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160560</xdr:rowOff>
    </xdr:from>
    <xdr:to>
      <xdr:col>22</xdr:col>
      <xdr:colOff>581040</xdr:colOff>
      <xdr:row>33</xdr:row>
      <xdr:rowOff>98280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27</xdr:row>
      <xdr:rowOff>169920</xdr:rowOff>
    </xdr:from>
    <xdr:to>
      <xdr:col>17</xdr:col>
      <xdr:colOff>65160</xdr:colOff>
      <xdr:row>50</xdr:row>
      <xdr:rowOff>108360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10</xdr:col>
      <xdr:colOff>889920</xdr:colOff>
      <xdr:row>74</xdr:row>
      <xdr:rowOff>59760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0</xdr:rowOff>
    </xdr:from>
    <xdr:to>
      <xdr:col>12</xdr:col>
      <xdr:colOff>297000</xdr:colOff>
      <xdr:row>74</xdr:row>
      <xdr:rowOff>59400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12</xdr:col>
      <xdr:colOff>298800</xdr:colOff>
      <xdr:row>75</xdr:row>
      <xdr:rowOff>61200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opLeftCell="A33" zoomScale="85" zoomScaleNormal="85" workbookViewId="0"/>
  </sheetViews>
  <sheetFormatPr baseColWidth="10" defaultColWidth="8.7109375" defaultRowHeight="15" x14ac:dyDescent="0.25"/>
  <cols>
    <col min="1" max="1" width="42" customWidth="1"/>
    <col min="2" max="2" width="46" customWidth="1"/>
    <col min="3" max="3" width="20" customWidth="1"/>
    <col min="4" max="4" width="40" customWidth="1"/>
    <col min="5" max="5" width="32.28515625" customWidth="1"/>
    <col min="6" max="6" width="44" customWidth="1"/>
  </cols>
  <sheetData>
    <row r="1" spans="1:6" ht="17.25" customHeight="1" x14ac:dyDescent="0.25">
      <c r="A1" s="1" t="s">
        <v>0</v>
      </c>
    </row>
    <row r="2" spans="1:6" ht="15" customHeight="1" x14ac:dyDescent="0.25">
      <c r="A2" s="2" t="s">
        <v>1</v>
      </c>
    </row>
    <row r="4" spans="1:6" ht="15" customHeight="1" x14ac:dyDescent="0.25">
      <c r="A4" s="3" t="s">
        <v>2</v>
      </c>
    </row>
    <row r="5" spans="1:6" ht="15" customHeight="1" x14ac:dyDescent="0.25">
      <c r="A5" s="4" t="s">
        <v>3</v>
      </c>
    </row>
    <row r="6" spans="1:6" ht="15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 x14ac:dyDescent="0.25">
      <c r="A7" s="6">
        <v>1</v>
      </c>
      <c r="B7" s="7" t="s">
        <v>10</v>
      </c>
      <c r="C7" s="8">
        <v>85</v>
      </c>
      <c r="D7" s="8">
        <v>15</v>
      </c>
      <c r="E7" s="9" t="s">
        <v>11</v>
      </c>
      <c r="F7" s="10" t="s">
        <v>12</v>
      </c>
    </row>
    <row r="8" spans="1:6" ht="15" customHeight="1" x14ac:dyDescent="0.25">
      <c r="A8" s="6">
        <v>2</v>
      </c>
      <c r="B8" s="7" t="s">
        <v>13</v>
      </c>
      <c r="C8" s="8">
        <v>110.8</v>
      </c>
      <c r="D8" s="8">
        <v>17.899999999999999</v>
      </c>
      <c r="E8" s="9" t="s">
        <v>11</v>
      </c>
      <c r="F8" s="11" t="s">
        <v>14</v>
      </c>
    </row>
    <row r="9" spans="1:6" ht="15" customHeight="1" x14ac:dyDescent="0.25">
      <c r="A9" s="6">
        <v>3</v>
      </c>
      <c r="B9" s="7" t="s">
        <v>15</v>
      </c>
      <c r="C9" s="8" t="s">
        <v>16</v>
      </c>
      <c r="D9" s="8" t="s">
        <v>17</v>
      </c>
      <c r="E9" s="9" t="s">
        <v>18</v>
      </c>
      <c r="F9" s="10" t="s">
        <v>19</v>
      </c>
    </row>
    <row r="10" spans="1:6" ht="15" customHeight="1" x14ac:dyDescent="0.25">
      <c r="A10" s="6">
        <v>4</v>
      </c>
      <c r="B10" s="7" t="s">
        <v>20</v>
      </c>
      <c r="C10" s="8">
        <v>210</v>
      </c>
      <c r="D10" s="8">
        <v>51</v>
      </c>
      <c r="E10" s="9" t="s">
        <v>21</v>
      </c>
      <c r="F10" s="10" t="s">
        <v>22</v>
      </c>
    </row>
    <row r="12" spans="1:6" ht="15" customHeight="1" x14ac:dyDescent="0.25">
      <c r="A12" s="4" t="s">
        <v>23</v>
      </c>
    </row>
    <row r="13" spans="1:6" ht="15" customHeight="1" x14ac:dyDescent="0.25">
      <c r="A13" s="5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</row>
    <row r="14" spans="1:6" ht="15" customHeight="1" x14ac:dyDescent="0.25">
      <c r="A14" s="6">
        <v>1</v>
      </c>
      <c r="B14" s="7" t="s">
        <v>24</v>
      </c>
      <c r="C14" s="8">
        <v>210</v>
      </c>
      <c r="D14" s="8">
        <v>51</v>
      </c>
      <c r="E14" s="9" t="s">
        <v>21</v>
      </c>
      <c r="F14" s="11" t="s">
        <v>25</v>
      </c>
    </row>
    <row r="15" spans="1:6" ht="15" customHeight="1" x14ac:dyDescent="0.25">
      <c r="A15" s="6">
        <v>2</v>
      </c>
      <c r="B15" s="7" t="s">
        <v>26</v>
      </c>
      <c r="C15" s="8">
        <v>120</v>
      </c>
      <c r="D15" s="8">
        <v>37.9</v>
      </c>
      <c r="E15" s="9" t="s">
        <v>11</v>
      </c>
      <c r="F15" s="10" t="s">
        <v>27</v>
      </c>
    </row>
    <row r="16" spans="1:6" ht="15" customHeight="1" x14ac:dyDescent="0.25">
      <c r="A16" s="6">
        <v>3</v>
      </c>
      <c r="B16" s="7" t="s">
        <v>28</v>
      </c>
      <c r="C16" s="8">
        <v>85</v>
      </c>
      <c r="D16" s="8">
        <v>32</v>
      </c>
      <c r="E16" s="9" t="s">
        <v>11</v>
      </c>
      <c r="F16" s="10" t="s">
        <v>29</v>
      </c>
    </row>
    <row r="17" spans="1:6" ht="15" customHeight="1" x14ac:dyDescent="0.25">
      <c r="A17" s="6">
        <v>4</v>
      </c>
      <c r="B17" s="12" t="s">
        <v>30</v>
      </c>
      <c r="C17" s="8">
        <v>85</v>
      </c>
      <c r="D17" s="8" t="s">
        <v>31</v>
      </c>
      <c r="E17" s="9" t="s">
        <v>11</v>
      </c>
      <c r="F17" s="13" t="s">
        <v>32</v>
      </c>
    </row>
    <row r="18" spans="1:6" ht="15" customHeight="1" x14ac:dyDescent="0.25">
      <c r="A18" s="6">
        <v>5</v>
      </c>
      <c r="B18" s="7" t="s">
        <v>33</v>
      </c>
      <c r="C18" s="8">
        <v>85</v>
      </c>
      <c r="D18" s="8" t="s">
        <v>34</v>
      </c>
      <c r="E18" s="9" t="s">
        <v>11</v>
      </c>
      <c r="F18" s="10" t="s">
        <v>35</v>
      </c>
    </row>
    <row r="19" spans="1:6" ht="15" customHeight="1" x14ac:dyDescent="0.25"/>
    <row r="20" spans="1:6" ht="15" customHeight="1" x14ac:dyDescent="0.25">
      <c r="A20" s="14" t="s">
        <v>36</v>
      </c>
    </row>
    <row r="21" spans="1:6" ht="15" customHeight="1" x14ac:dyDescent="0.25">
      <c r="A21" s="15" t="s">
        <v>37</v>
      </c>
    </row>
    <row r="22" spans="1:6" ht="15" customHeight="1" x14ac:dyDescent="0.25">
      <c r="A22" s="16" t="s">
        <v>38</v>
      </c>
    </row>
    <row r="23" spans="1:6" ht="15" customHeight="1" x14ac:dyDescent="0.25">
      <c r="A23" s="4" t="s">
        <v>39</v>
      </c>
    </row>
    <row r="24" spans="1:6" ht="15" customHeight="1" x14ac:dyDescent="0.25">
      <c r="A24" s="5" t="s">
        <v>4</v>
      </c>
      <c r="B24" s="5" t="s">
        <v>5</v>
      </c>
      <c r="C24" s="5" t="s">
        <v>6</v>
      </c>
      <c r="D24" s="5" t="s">
        <v>7</v>
      </c>
      <c r="E24" s="5" t="s">
        <v>8</v>
      </c>
      <c r="F24" s="5" t="s">
        <v>9</v>
      </c>
    </row>
    <row r="25" spans="1:6" ht="15" customHeight="1" x14ac:dyDescent="0.25">
      <c r="A25" s="6">
        <v>1</v>
      </c>
      <c r="B25" s="17" t="s">
        <v>40</v>
      </c>
      <c r="C25" s="8">
        <v>30</v>
      </c>
      <c r="D25" s="8">
        <v>15</v>
      </c>
      <c r="E25" s="9" t="s">
        <v>41</v>
      </c>
      <c r="F25" s="10" t="s">
        <v>42</v>
      </c>
    </row>
    <row r="26" spans="1:6" ht="15" customHeight="1" x14ac:dyDescent="0.25">
      <c r="A26" s="6">
        <v>2</v>
      </c>
      <c r="B26" s="17" t="s">
        <v>43</v>
      </c>
      <c r="C26" s="8">
        <v>49</v>
      </c>
      <c r="D26" s="8">
        <v>56.4</v>
      </c>
      <c r="E26" s="9" t="s">
        <v>41</v>
      </c>
      <c r="F26" s="10" t="s">
        <v>44</v>
      </c>
    </row>
    <row r="27" spans="1:6" ht="15" customHeight="1" x14ac:dyDescent="0.25">
      <c r="A27" s="6">
        <v>3</v>
      </c>
      <c r="B27" s="17" t="s">
        <v>45</v>
      </c>
      <c r="C27" s="8">
        <v>49</v>
      </c>
      <c r="D27" s="8">
        <v>40</v>
      </c>
      <c r="E27" s="9" t="s">
        <v>41</v>
      </c>
      <c r="F27" s="10"/>
    </row>
    <row r="28" spans="1:6" ht="15" customHeight="1" x14ac:dyDescent="0.25">
      <c r="A28" s="6">
        <v>4</v>
      </c>
      <c r="B28" s="17" t="s">
        <v>46</v>
      </c>
      <c r="C28" s="8">
        <v>80</v>
      </c>
      <c r="D28" s="8">
        <v>83.8</v>
      </c>
      <c r="E28" s="9" t="s">
        <v>47</v>
      </c>
      <c r="F28" s="10" t="s">
        <v>48</v>
      </c>
    </row>
    <row r="29" spans="1:6" ht="15" customHeight="1" x14ac:dyDescent="0.25">
      <c r="A29" s="6">
        <v>5</v>
      </c>
      <c r="B29" s="17" t="s">
        <v>49</v>
      </c>
      <c r="C29" s="8">
        <v>80</v>
      </c>
      <c r="D29" s="8">
        <v>25</v>
      </c>
      <c r="E29" s="9" t="s">
        <v>11</v>
      </c>
      <c r="F29" s="10" t="s">
        <v>50</v>
      </c>
    </row>
    <row r="30" spans="1:6" ht="15" customHeight="1" x14ac:dyDescent="0.25">
      <c r="A30" s="6">
        <v>6</v>
      </c>
      <c r="B30" s="17" t="s">
        <v>51</v>
      </c>
      <c r="C30" s="8">
        <v>111</v>
      </c>
      <c r="D30" s="8">
        <v>30</v>
      </c>
      <c r="E30" s="9" t="s">
        <v>11</v>
      </c>
      <c r="F30" s="10" t="s">
        <v>52</v>
      </c>
    </row>
    <row r="31" spans="1:6" ht="15" customHeight="1" x14ac:dyDescent="0.25"/>
    <row r="32" spans="1:6" ht="15" customHeight="1" x14ac:dyDescent="0.25">
      <c r="A32" s="4" t="s">
        <v>53</v>
      </c>
    </row>
    <row r="33" spans="1:6" ht="15" customHeight="1" x14ac:dyDescent="0.25">
      <c r="A33" s="5" t="s">
        <v>4</v>
      </c>
      <c r="B33" s="5" t="s">
        <v>5</v>
      </c>
      <c r="C33" s="5" t="s">
        <v>6</v>
      </c>
      <c r="D33" s="5" t="s">
        <v>7</v>
      </c>
      <c r="E33" s="5" t="s">
        <v>8</v>
      </c>
      <c r="F33" s="5" t="s">
        <v>9</v>
      </c>
    </row>
    <row r="34" spans="1:6" ht="15" customHeight="1" x14ac:dyDescent="0.25">
      <c r="A34" s="6">
        <v>1</v>
      </c>
      <c r="B34" s="17" t="s">
        <v>26</v>
      </c>
      <c r="C34" s="8">
        <v>120</v>
      </c>
      <c r="D34" s="8">
        <v>41</v>
      </c>
      <c r="E34" s="9" t="s">
        <v>11</v>
      </c>
      <c r="F34" s="11" t="s">
        <v>54</v>
      </c>
    </row>
    <row r="35" spans="1:6" ht="15" customHeight="1" x14ac:dyDescent="0.25">
      <c r="A35" s="6">
        <v>2</v>
      </c>
      <c r="B35" s="17" t="s">
        <v>55</v>
      </c>
      <c r="C35" s="8">
        <v>120</v>
      </c>
      <c r="D35" s="8">
        <v>75</v>
      </c>
      <c r="E35" s="9" t="s">
        <v>21</v>
      </c>
      <c r="F35" s="11" t="s">
        <v>56</v>
      </c>
    </row>
    <row r="36" spans="1:6" ht="15" customHeight="1" x14ac:dyDescent="0.25">
      <c r="A36" s="6">
        <v>3</v>
      </c>
      <c r="B36" s="17" t="s">
        <v>57</v>
      </c>
      <c r="C36" s="8">
        <v>60</v>
      </c>
      <c r="D36" s="8">
        <v>32</v>
      </c>
      <c r="E36" s="9" t="s">
        <v>47</v>
      </c>
      <c r="F36" s="10" t="s">
        <v>58</v>
      </c>
    </row>
    <row r="37" spans="1:6" ht="15" customHeight="1" x14ac:dyDescent="0.25">
      <c r="A37" s="6">
        <v>4</v>
      </c>
      <c r="B37" s="17" t="s">
        <v>59</v>
      </c>
      <c r="C37" s="8">
        <v>60</v>
      </c>
      <c r="D37" s="8">
        <v>46</v>
      </c>
      <c r="E37" s="9" t="s">
        <v>41</v>
      </c>
      <c r="F37" s="10"/>
    </row>
    <row r="38" spans="1:6" ht="15" customHeight="1" x14ac:dyDescent="0.25">
      <c r="A38" s="6">
        <v>5</v>
      </c>
      <c r="B38" s="17" t="s">
        <v>60</v>
      </c>
      <c r="C38" s="8">
        <v>30</v>
      </c>
      <c r="D38" s="8">
        <v>15</v>
      </c>
      <c r="E38" s="9" t="s">
        <v>41</v>
      </c>
      <c r="F38" s="10" t="s">
        <v>61</v>
      </c>
    </row>
    <row r="39" spans="1:6" ht="15" customHeight="1" x14ac:dyDescent="0.25">
      <c r="A39" s="6" t="s">
        <v>62</v>
      </c>
      <c r="B39" s="17" t="s">
        <v>63</v>
      </c>
      <c r="C39" s="8">
        <v>30</v>
      </c>
      <c r="D39" s="8">
        <v>-5.6</v>
      </c>
      <c r="E39" s="18" t="s">
        <v>64</v>
      </c>
      <c r="F39" s="10" t="s">
        <v>65</v>
      </c>
    </row>
    <row r="40" spans="1:6" ht="15" customHeight="1" x14ac:dyDescent="0.25"/>
    <row r="41" spans="1:6" ht="15" customHeight="1" x14ac:dyDescent="0.25">
      <c r="A41" s="2" t="s">
        <v>66</v>
      </c>
    </row>
    <row r="42" spans="1:6" ht="15" customHeight="1" x14ac:dyDescent="0.25">
      <c r="A42" s="2" t="s">
        <v>67</v>
      </c>
    </row>
    <row r="43" spans="1:6" ht="15" customHeight="1" x14ac:dyDescent="0.25">
      <c r="A43" s="2" t="s">
        <v>68</v>
      </c>
    </row>
    <row r="44" spans="1:6" ht="15" customHeight="1" x14ac:dyDescent="0.25"/>
    <row r="45" spans="1:6" ht="15" customHeight="1" x14ac:dyDescent="0.25">
      <c r="A45" s="2" t="s">
        <v>69</v>
      </c>
    </row>
    <row r="46" spans="1:6" ht="15" customHeight="1" x14ac:dyDescent="0.25">
      <c r="A46" s="2" t="s">
        <v>70</v>
      </c>
    </row>
    <row r="48" spans="1:6" ht="15" customHeight="1" x14ac:dyDescent="0.25"/>
    <row r="49" spans="1:4" ht="15" customHeight="1" x14ac:dyDescent="0.25">
      <c r="A49" s="4" t="s">
        <v>71</v>
      </c>
    </row>
    <row r="50" spans="1:4" ht="15" customHeight="1" x14ac:dyDescent="0.25">
      <c r="A50" s="2" t="s">
        <v>72</v>
      </c>
    </row>
    <row r="51" spans="1:4" ht="15" customHeight="1" x14ac:dyDescent="0.25"/>
    <row r="52" spans="1:4" ht="15" customHeight="1" x14ac:dyDescent="0.25">
      <c r="A52" s="5" t="s">
        <v>73</v>
      </c>
      <c r="B52" s="5" t="s">
        <v>74</v>
      </c>
      <c r="C52" s="5" t="s">
        <v>75</v>
      </c>
      <c r="D52" s="5" t="s">
        <v>9</v>
      </c>
    </row>
    <row r="53" spans="1:4" ht="15" customHeight="1" x14ac:dyDescent="0.25">
      <c r="A53" s="19" t="s">
        <v>76</v>
      </c>
      <c r="B53" s="8" t="s">
        <v>77</v>
      </c>
      <c r="C53" s="8" t="s">
        <v>78</v>
      </c>
      <c r="D53" s="11" t="s">
        <v>79</v>
      </c>
    </row>
    <row r="54" spans="1:4" ht="15" customHeight="1" x14ac:dyDescent="0.25">
      <c r="A54" s="19" t="s">
        <v>80</v>
      </c>
      <c r="B54" s="8" t="s">
        <v>81</v>
      </c>
      <c r="C54" s="8" t="s">
        <v>82</v>
      </c>
      <c r="D54" s="11" t="s">
        <v>83</v>
      </c>
    </row>
    <row r="55" spans="1:4" ht="15" customHeight="1" x14ac:dyDescent="0.25">
      <c r="A55" s="19" t="s">
        <v>84</v>
      </c>
      <c r="B55" s="8" t="s">
        <v>85</v>
      </c>
      <c r="C55" s="8" t="s">
        <v>86</v>
      </c>
      <c r="D55" s="11" t="s">
        <v>87</v>
      </c>
    </row>
    <row r="56" spans="1:4" ht="15" customHeight="1" x14ac:dyDescent="0.25">
      <c r="A56" s="19" t="s">
        <v>88</v>
      </c>
      <c r="B56" s="8" t="s">
        <v>89</v>
      </c>
      <c r="C56" s="8" t="s">
        <v>90</v>
      </c>
      <c r="D56" s="11" t="s">
        <v>91</v>
      </c>
    </row>
    <row r="57" spans="1:4" ht="15" customHeight="1" x14ac:dyDescent="0.25">
      <c r="A57" s="19" t="s">
        <v>92</v>
      </c>
      <c r="B57" s="8" t="s">
        <v>93</v>
      </c>
      <c r="C57" s="8" t="s">
        <v>94</v>
      </c>
      <c r="D57" s="11" t="s">
        <v>95</v>
      </c>
    </row>
    <row r="58" spans="1:4" ht="15" customHeight="1" x14ac:dyDescent="0.25">
      <c r="A58" s="19" t="s">
        <v>96</v>
      </c>
      <c r="B58" s="8" t="s">
        <v>97</v>
      </c>
      <c r="C58" s="8" t="s">
        <v>98</v>
      </c>
      <c r="D58" s="11" t="s">
        <v>99</v>
      </c>
    </row>
    <row r="59" spans="1:4" ht="15" customHeight="1" x14ac:dyDescent="0.25">
      <c r="A59" s="19" t="s">
        <v>100</v>
      </c>
      <c r="B59" s="8" t="s">
        <v>101</v>
      </c>
      <c r="C59" s="8" t="s">
        <v>102</v>
      </c>
      <c r="D59" s="11"/>
    </row>
    <row r="60" spans="1:4" ht="15" customHeight="1" x14ac:dyDescent="0.25">
      <c r="A60" s="19" t="s">
        <v>103</v>
      </c>
      <c r="B60" s="8" t="s">
        <v>104</v>
      </c>
      <c r="C60" s="8" t="s">
        <v>105</v>
      </c>
      <c r="D60" s="11" t="s">
        <v>106</v>
      </c>
    </row>
    <row r="61" spans="1:4" ht="15" customHeight="1" x14ac:dyDescent="0.25"/>
    <row r="62" spans="1:4" ht="15" customHeight="1" x14ac:dyDescent="0.25">
      <c r="A62" s="3" t="s">
        <v>107</v>
      </c>
    </row>
    <row r="63" spans="1:4" ht="15" customHeight="1" x14ac:dyDescent="0.25">
      <c r="A63" s="20" t="s">
        <v>108</v>
      </c>
    </row>
    <row r="64" spans="1:4" ht="15" customHeight="1" x14ac:dyDescent="0.25">
      <c r="A64" s="20" t="s">
        <v>109</v>
      </c>
    </row>
    <row r="65" spans="1:1" ht="15" customHeight="1" x14ac:dyDescent="0.25">
      <c r="A65" s="21" t="s">
        <v>110</v>
      </c>
    </row>
    <row r="66" spans="1:1" ht="15" customHeight="1" x14ac:dyDescent="0.25">
      <c r="A66" s="2" t="s">
        <v>111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zoomScaleNormal="100" workbookViewId="0">
      <selection activeCell="B7" sqref="B7"/>
    </sheetView>
  </sheetViews>
  <sheetFormatPr baseColWidth="10" defaultColWidth="8.7109375" defaultRowHeight="15" x14ac:dyDescent="0.25"/>
  <cols>
    <col min="1" max="1" width="42" customWidth="1"/>
    <col min="2" max="2" width="90" customWidth="1"/>
    <col min="3" max="3" width="12" customWidth="1"/>
    <col min="4" max="4" width="55" customWidth="1"/>
  </cols>
  <sheetData>
    <row r="1" spans="1:4" ht="17.25" customHeight="1" x14ac:dyDescent="0.25">
      <c r="A1" s="1" t="s">
        <v>112</v>
      </c>
    </row>
    <row r="2" spans="1:4" ht="15" customHeight="1" x14ac:dyDescent="0.25">
      <c r="A2" s="2" t="s">
        <v>113</v>
      </c>
    </row>
    <row r="3" spans="1:4" ht="15" customHeight="1" x14ac:dyDescent="0.25">
      <c r="A3" s="2" t="s">
        <v>114</v>
      </c>
    </row>
    <row r="5" spans="1:4" ht="15" customHeight="1" x14ac:dyDescent="0.25">
      <c r="A5" s="4" t="s">
        <v>115</v>
      </c>
    </row>
    <row r="6" spans="1:4" ht="15" customHeight="1" x14ac:dyDescent="0.25">
      <c r="A6" s="20" t="s">
        <v>116</v>
      </c>
      <c r="B6" s="22">
        <v>210</v>
      </c>
      <c r="C6" s="2" t="s">
        <v>117</v>
      </c>
    </row>
    <row r="7" spans="1:4" ht="15" customHeight="1" x14ac:dyDescent="0.25">
      <c r="A7" s="20" t="s">
        <v>118</v>
      </c>
      <c r="B7" s="22">
        <v>1200</v>
      </c>
      <c r="C7" s="2" t="s">
        <v>119</v>
      </c>
    </row>
    <row r="8" spans="1:4" ht="15" customHeight="1" x14ac:dyDescent="0.25">
      <c r="A8" s="20" t="s">
        <v>120</v>
      </c>
      <c r="B8" s="22">
        <v>15</v>
      </c>
      <c r="C8" s="2" t="s">
        <v>121</v>
      </c>
      <c r="D8" s="2" t="s">
        <v>122</v>
      </c>
    </row>
    <row r="9" spans="1:4" ht="15" customHeight="1" x14ac:dyDescent="0.25">
      <c r="A9" s="20" t="s">
        <v>123</v>
      </c>
      <c r="B9" s="22">
        <v>3</v>
      </c>
      <c r="C9" s="2" t="s">
        <v>124</v>
      </c>
    </row>
    <row r="10" spans="1:4" ht="15" customHeight="1" x14ac:dyDescent="0.25">
      <c r="A10" s="20" t="s">
        <v>125</v>
      </c>
      <c r="B10" s="22">
        <v>9.81</v>
      </c>
      <c r="C10" s="2" t="s">
        <v>126</v>
      </c>
    </row>
    <row r="11" spans="1:4" ht="15" customHeight="1" x14ac:dyDescent="0.25">
      <c r="A11" s="20" t="s">
        <v>127</v>
      </c>
      <c r="B11" s="22">
        <v>24</v>
      </c>
      <c r="C11" s="2" t="s">
        <v>62</v>
      </c>
    </row>
    <row r="13" spans="1:4" ht="15" customHeight="1" x14ac:dyDescent="0.25">
      <c r="A13" s="4" t="s">
        <v>128</v>
      </c>
    </row>
    <row r="14" spans="1:4" ht="15" customHeight="1" x14ac:dyDescent="0.25">
      <c r="A14" t="s">
        <v>129</v>
      </c>
      <c r="B14" s="20">
        <f>B7/B11</f>
        <v>50</v>
      </c>
      <c r="C14" s="2" t="s">
        <v>119</v>
      </c>
    </row>
    <row r="15" spans="1:4" ht="15" customHeight="1" x14ac:dyDescent="0.25">
      <c r="A15" s="20" t="s">
        <v>130</v>
      </c>
      <c r="B15" s="23">
        <v>110.785393107011</v>
      </c>
      <c r="C15" s="2" t="s">
        <v>117</v>
      </c>
    </row>
    <row r="16" spans="1:4" ht="15" customHeight="1" x14ac:dyDescent="0.25">
      <c r="A16" s="2" t="s">
        <v>131</v>
      </c>
    </row>
    <row r="18" spans="1:2" ht="15" customHeight="1" x14ac:dyDescent="0.25">
      <c r="A18" s="4" t="s">
        <v>132</v>
      </c>
    </row>
    <row r="19" spans="1:2" ht="15" customHeight="1" x14ac:dyDescent="0.25">
      <c r="A19" s="2" t="s">
        <v>133</v>
      </c>
    </row>
    <row r="20" spans="1:2" ht="15" customHeight="1" x14ac:dyDescent="0.25">
      <c r="A20" s="2" t="s">
        <v>134</v>
      </c>
    </row>
    <row r="21" spans="1:2" ht="15" customHeight="1" x14ac:dyDescent="0.25">
      <c r="A21" s="2" t="s">
        <v>135</v>
      </c>
    </row>
    <row r="22" spans="1:2" ht="15" customHeight="1" x14ac:dyDescent="0.25">
      <c r="A22" s="2" t="s">
        <v>136</v>
      </c>
    </row>
    <row r="24" spans="1:2" ht="15" customHeight="1" x14ac:dyDescent="0.25">
      <c r="A24" s="4" t="s">
        <v>137</v>
      </c>
    </row>
    <row r="25" spans="1:2" ht="15" customHeight="1" x14ac:dyDescent="0.25">
      <c r="A25" s="24" t="s">
        <v>138</v>
      </c>
      <c r="B25" s="2" t="s">
        <v>139</v>
      </c>
    </row>
    <row r="26" spans="1:2" ht="15" customHeight="1" x14ac:dyDescent="0.25">
      <c r="A26" s="25" t="s">
        <v>140</v>
      </c>
      <c r="B26" s="2" t="s">
        <v>141</v>
      </c>
    </row>
    <row r="27" spans="1:2" ht="15" customHeight="1" x14ac:dyDescent="0.25">
      <c r="A27" s="26" t="s">
        <v>142</v>
      </c>
      <c r="B27" s="2" t="s">
        <v>143</v>
      </c>
    </row>
    <row r="28" spans="1:2" ht="15" customHeight="1" x14ac:dyDescent="0.25">
      <c r="A28" s="25" t="s">
        <v>144</v>
      </c>
      <c r="B28" s="2" t="s">
        <v>145</v>
      </c>
    </row>
    <row r="30" spans="1:2" ht="15" customHeight="1" x14ac:dyDescent="0.25">
      <c r="A30" s="3" t="s">
        <v>146</v>
      </c>
    </row>
    <row r="31" spans="1:2" ht="15" customHeight="1" x14ac:dyDescent="0.25">
      <c r="A31" s="2" t="s">
        <v>147</v>
      </c>
    </row>
    <row r="32" spans="1:2" ht="15" customHeight="1" x14ac:dyDescent="0.25">
      <c r="A32" s="2" t="s">
        <v>148</v>
      </c>
    </row>
    <row r="33" spans="1:1" ht="15" customHeight="1" x14ac:dyDescent="0.25">
      <c r="A33" s="2" t="s">
        <v>149</v>
      </c>
    </row>
    <row r="34" spans="1:1" ht="15" customHeight="1" x14ac:dyDescent="0.25">
      <c r="A34" s="2" t="s">
        <v>150</v>
      </c>
    </row>
    <row r="36" spans="1:1" ht="15" customHeight="1" x14ac:dyDescent="0.25">
      <c r="A36" s="2" t="s">
        <v>151</v>
      </c>
    </row>
    <row r="37" spans="1:1" ht="15" customHeight="1" x14ac:dyDescent="0.25">
      <c r="A37" s="2" t="s">
        <v>152</v>
      </c>
    </row>
  </sheetData>
  <pageMargins left="0.75" right="0.75" top="1" bottom="1" header="0.51180555555555596" footer="0.511811023622047"/>
  <pageSetup paperSize="9" orientation="portrait" horizontalDpi="300" verticalDpi="300"/>
  <headerFooter>
    <oddHeader>&amp;C&amp;"Arial"&amp;10&amp;K000000 General - Unencrypted&amp;1#_x000D_&amp;"Calibri"&amp;11&amp;K000000&amp;"Arial,Regular"&amp;1  General - Unencrypted#_x005F_x000d_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3"/>
  <sheetViews>
    <sheetView topLeftCell="E45" zoomScaleNormal="100" workbookViewId="0">
      <selection activeCell="C55" sqref="C55"/>
    </sheetView>
  </sheetViews>
  <sheetFormatPr baseColWidth="10" defaultColWidth="8.7109375" defaultRowHeight="15" x14ac:dyDescent="0.25"/>
  <cols>
    <col min="1" max="1" width="43.140625" customWidth="1"/>
    <col min="2" max="2" width="23.5703125" customWidth="1"/>
    <col min="3" max="3" width="16" customWidth="1"/>
    <col min="4" max="4" width="48" customWidth="1"/>
    <col min="5" max="5" width="20" customWidth="1"/>
    <col min="6" max="6" width="14" customWidth="1"/>
  </cols>
  <sheetData>
    <row r="1" spans="1:6" ht="17.25" customHeight="1" x14ac:dyDescent="0.25">
      <c r="A1" s="1" t="s">
        <v>153</v>
      </c>
    </row>
    <row r="2" spans="1:6" ht="15" customHeight="1" x14ac:dyDescent="0.25">
      <c r="A2" s="2" t="s">
        <v>154</v>
      </c>
    </row>
    <row r="4" spans="1:6" ht="15" customHeight="1" x14ac:dyDescent="0.25">
      <c r="A4" s="5" t="s">
        <v>155</v>
      </c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</row>
    <row r="5" spans="1:6" ht="15" customHeight="1" x14ac:dyDescent="0.25">
      <c r="A5" s="6">
        <v>0</v>
      </c>
      <c r="B5" s="6">
        <f>A5*Annahmen!$B$14</f>
        <v>0</v>
      </c>
      <c r="C5" s="6">
        <f>Annahmen!$B$8+Annahmen!$B$9/100*B5</f>
        <v>15</v>
      </c>
      <c r="D5" s="8">
        <v>900.03</v>
      </c>
      <c r="E5" s="6">
        <f>D5*Annahmen!$B$10*Annahmen!$B$14/100000</f>
        <v>4.4146471499999995</v>
      </c>
      <c r="F5" s="6">
        <f>Annahmen!$B$15</f>
        <v>110.785393107011</v>
      </c>
    </row>
    <row r="6" spans="1:6" ht="15" customHeight="1" x14ac:dyDescent="0.25">
      <c r="A6" s="6">
        <v>1</v>
      </c>
      <c r="B6" s="6">
        <f>A6*Annahmen!$B$14</f>
        <v>50</v>
      </c>
      <c r="C6" s="6">
        <f>Annahmen!$B$8+Annahmen!$B$9/100*B6</f>
        <v>16.5</v>
      </c>
      <c r="D6" s="8">
        <v>894.96</v>
      </c>
      <c r="E6" s="6">
        <f>D6*Annahmen!$B$10*Annahmen!$B$14/100000</f>
        <v>4.3897788000000002</v>
      </c>
      <c r="F6" s="6">
        <f t="shared" ref="F6:F29" si="0">F5+E5</f>
        <v>115.200040257011</v>
      </c>
    </row>
    <row r="7" spans="1:6" ht="15" customHeight="1" x14ac:dyDescent="0.25">
      <c r="A7" s="6">
        <v>2</v>
      </c>
      <c r="B7" s="6">
        <f>A7*Annahmen!$B$14</f>
        <v>100</v>
      </c>
      <c r="C7" s="6">
        <f>Annahmen!$B$8+Annahmen!$B$9/100*B7</f>
        <v>18</v>
      </c>
      <c r="D7" s="8">
        <v>889.92</v>
      </c>
      <c r="E7" s="6">
        <f>D7*Annahmen!$B$10*Annahmen!$B$14/100000</f>
        <v>4.3650576000000001</v>
      </c>
      <c r="F7" s="6">
        <f t="shared" si="0"/>
        <v>119.589819057011</v>
      </c>
    </row>
    <row r="8" spans="1:6" ht="15" customHeight="1" x14ac:dyDescent="0.25">
      <c r="A8" s="6">
        <v>3</v>
      </c>
      <c r="B8" s="6">
        <f>A8*Annahmen!$B$14</f>
        <v>150</v>
      </c>
      <c r="C8" s="6">
        <f>Annahmen!$B$8+Annahmen!$B$9/100*B8</f>
        <v>19.5</v>
      </c>
      <c r="D8" s="8">
        <v>884.91</v>
      </c>
      <c r="E8" s="6">
        <f>D8*Annahmen!$B$10*Annahmen!$B$14/100000</f>
        <v>4.3404835500000001</v>
      </c>
      <c r="F8" s="6">
        <f t="shared" si="0"/>
        <v>123.954876657011</v>
      </c>
    </row>
    <row r="9" spans="1:6" ht="15" customHeight="1" x14ac:dyDescent="0.25">
      <c r="A9" s="6">
        <v>4</v>
      </c>
      <c r="B9" s="6">
        <f>A9*Annahmen!$B$14</f>
        <v>200</v>
      </c>
      <c r="C9" s="6">
        <f>Annahmen!$B$8+Annahmen!$B$9/100*B9</f>
        <v>21</v>
      </c>
      <c r="D9" s="8">
        <v>879.94</v>
      </c>
      <c r="E9" s="6">
        <f>D9*Annahmen!$B$10*Annahmen!$B$14/100000</f>
        <v>4.3161057000000005</v>
      </c>
      <c r="F9" s="6">
        <f t="shared" si="0"/>
        <v>128.29536020701099</v>
      </c>
    </row>
    <row r="10" spans="1:6" ht="15" customHeight="1" x14ac:dyDescent="0.25">
      <c r="A10" s="6">
        <v>5</v>
      </c>
      <c r="B10" s="6">
        <f>A10*Annahmen!$B$14</f>
        <v>250</v>
      </c>
      <c r="C10" s="6">
        <f>Annahmen!$B$8+Annahmen!$B$9/100*B10</f>
        <v>22.5</v>
      </c>
      <c r="D10" s="8">
        <v>875.01</v>
      </c>
      <c r="E10" s="6">
        <f>D10*Annahmen!$B$10*Annahmen!$B$14/100000</f>
        <v>4.2919240500000004</v>
      </c>
      <c r="F10" s="6">
        <f t="shared" si="0"/>
        <v>132.611465907011</v>
      </c>
    </row>
    <row r="11" spans="1:6" ht="15" customHeight="1" x14ac:dyDescent="0.25">
      <c r="A11" s="6">
        <v>6</v>
      </c>
      <c r="B11" s="6">
        <f>A11*Annahmen!$B$14</f>
        <v>300</v>
      </c>
      <c r="C11" s="6">
        <f>Annahmen!$B$8+Annahmen!$B$9/100*B11</f>
        <v>24</v>
      </c>
      <c r="D11" s="8">
        <v>870.12</v>
      </c>
      <c r="E11" s="6">
        <f>D11*Annahmen!$B$10*Annahmen!$B$14/100000</f>
        <v>4.2679386000000008</v>
      </c>
      <c r="F11" s="6">
        <f t="shared" si="0"/>
        <v>136.903389957011</v>
      </c>
    </row>
    <row r="12" spans="1:6" ht="15" customHeight="1" x14ac:dyDescent="0.25">
      <c r="A12" s="6">
        <v>7</v>
      </c>
      <c r="B12" s="6">
        <f>A12*Annahmen!$B$14</f>
        <v>350</v>
      </c>
      <c r="C12" s="6">
        <f>Annahmen!$B$8+Annahmen!$B$9/100*B12</f>
        <v>25.5</v>
      </c>
      <c r="D12" s="8">
        <v>865.27</v>
      </c>
      <c r="E12" s="6">
        <f>D12*Annahmen!$B$10*Annahmen!$B$14/100000</f>
        <v>4.2441493499999998</v>
      </c>
      <c r="F12" s="6">
        <f t="shared" si="0"/>
        <v>141.17132855701101</v>
      </c>
    </row>
    <row r="13" spans="1:6" ht="15" customHeight="1" x14ac:dyDescent="0.25">
      <c r="A13" s="6">
        <v>8</v>
      </c>
      <c r="B13" s="6">
        <f>A13*Annahmen!$B$14</f>
        <v>400</v>
      </c>
      <c r="C13" s="6">
        <f>Annahmen!$B$8+Annahmen!$B$9/100*B13</f>
        <v>27</v>
      </c>
      <c r="D13" s="8">
        <v>860.46</v>
      </c>
      <c r="E13" s="6">
        <f>D13*Annahmen!$B$10*Annahmen!$B$14/100000</f>
        <v>4.2205563000000001</v>
      </c>
      <c r="F13" s="6">
        <f t="shared" si="0"/>
        <v>145.415477907011</v>
      </c>
    </row>
    <row r="14" spans="1:6" ht="15" customHeight="1" x14ac:dyDescent="0.25">
      <c r="A14" s="6">
        <v>9</v>
      </c>
      <c r="B14" s="6">
        <f>A14*Annahmen!$B$14</f>
        <v>450</v>
      </c>
      <c r="C14" s="6">
        <f>Annahmen!$B$8+Annahmen!$B$9/100*B14</f>
        <v>28.5</v>
      </c>
      <c r="D14" s="8">
        <v>855.7</v>
      </c>
      <c r="E14" s="6">
        <f>D14*Annahmen!$B$10*Annahmen!$B$14/100000</f>
        <v>4.1972085000000012</v>
      </c>
      <c r="F14" s="6">
        <f t="shared" si="0"/>
        <v>149.63603420701099</v>
      </c>
    </row>
    <row r="15" spans="1:6" ht="15" customHeight="1" x14ac:dyDescent="0.25">
      <c r="A15" s="6">
        <v>10</v>
      </c>
      <c r="B15" s="6">
        <f>A15*Annahmen!$B$14</f>
        <v>500</v>
      </c>
      <c r="C15" s="6">
        <f>Annahmen!$B$8+Annahmen!$B$9/100*B15</f>
        <v>30</v>
      </c>
      <c r="D15" s="8">
        <v>850.98</v>
      </c>
      <c r="E15" s="6">
        <f>D15*Annahmen!$B$10*Annahmen!$B$14/100000</f>
        <v>4.174056900000001</v>
      </c>
      <c r="F15" s="6">
        <f t="shared" si="0"/>
        <v>153.83324270701098</v>
      </c>
    </row>
    <row r="16" spans="1:6" ht="15" customHeight="1" x14ac:dyDescent="0.25">
      <c r="A16" s="6">
        <v>11</v>
      </c>
      <c r="B16" s="6">
        <f>A16*Annahmen!$B$14</f>
        <v>550</v>
      </c>
      <c r="C16" s="6">
        <f>Annahmen!$B$8+Annahmen!$B$9/100*B16</f>
        <v>31.5</v>
      </c>
      <c r="D16" s="8">
        <v>846.31</v>
      </c>
      <c r="E16" s="6">
        <f>D16*Annahmen!$B$10*Annahmen!$B$14/100000</f>
        <v>4.1511505500000005</v>
      </c>
      <c r="F16" s="6">
        <f t="shared" si="0"/>
        <v>158.00729960701099</v>
      </c>
    </row>
    <row r="17" spans="1:6" ht="15" customHeight="1" x14ac:dyDescent="0.25">
      <c r="A17" s="6">
        <v>12</v>
      </c>
      <c r="B17" s="6">
        <f>A17*Annahmen!$B$14</f>
        <v>600</v>
      </c>
      <c r="C17" s="6">
        <f>Annahmen!$B$8+Annahmen!$B$9/100*B17</f>
        <v>33</v>
      </c>
      <c r="D17" s="8">
        <v>841.7</v>
      </c>
      <c r="E17" s="6">
        <f>D17*Annahmen!$B$10*Annahmen!$B$14/100000</f>
        <v>4.1285385000000003</v>
      </c>
      <c r="F17" s="6">
        <f t="shared" si="0"/>
        <v>162.158450157011</v>
      </c>
    </row>
    <row r="18" spans="1:6" ht="15" customHeight="1" x14ac:dyDescent="0.25">
      <c r="A18" s="6">
        <v>13</v>
      </c>
      <c r="B18" s="6">
        <f>A18*Annahmen!$B$14</f>
        <v>650</v>
      </c>
      <c r="C18" s="6">
        <f>Annahmen!$B$8+Annahmen!$B$9/100*B18</f>
        <v>34.5</v>
      </c>
      <c r="D18" s="8">
        <v>837.13</v>
      </c>
      <c r="E18" s="6">
        <f>D18*Annahmen!$B$10*Annahmen!$B$14/100000</f>
        <v>4.1061226500000005</v>
      </c>
      <c r="F18" s="6">
        <f t="shared" si="0"/>
        <v>166.28698865701099</v>
      </c>
    </row>
    <row r="19" spans="1:6" ht="15" customHeight="1" x14ac:dyDescent="0.25">
      <c r="A19" s="6">
        <v>14</v>
      </c>
      <c r="B19" s="6">
        <f>A19*Annahmen!$B$14</f>
        <v>700</v>
      </c>
      <c r="C19" s="6">
        <f>Annahmen!$B$8+Annahmen!$B$9/100*B19</f>
        <v>36</v>
      </c>
      <c r="D19" s="8">
        <v>832.62</v>
      </c>
      <c r="E19" s="6">
        <f>D19*Annahmen!$B$10*Annahmen!$B$14/100000</f>
        <v>4.0840011000000001</v>
      </c>
      <c r="F19" s="6">
        <f t="shared" si="0"/>
        <v>170.393111307011</v>
      </c>
    </row>
    <row r="20" spans="1:6" ht="15" customHeight="1" x14ac:dyDescent="0.25">
      <c r="A20" s="6">
        <v>15</v>
      </c>
      <c r="B20" s="6">
        <f>A20*Annahmen!$B$14</f>
        <v>750</v>
      </c>
      <c r="C20" s="6">
        <f>Annahmen!$B$8+Annahmen!$B$9/100*B20</f>
        <v>37.5</v>
      </c>
      <c r="D20" s="8">
        <v>828.17</v>
      </c>
      <c r="E20" s="6">
        <f>D20*Annahmen!$B$10*Annahmen!$B$14/100000</f>
        <v>4.0621738499999998</v>
      </c>
      <c r="F20" s="6">
        <f t="shared" si="0"/>
        <v>174.47711240701099</v>
      </c>
    </row>
    <row r="21" spans="1:6" ht="15" customHeight="1" x14ac:dyDescent="0.25">
      <c r="A21" s="6">
        <v>16</v>
      </c>
      <c r="B21" s="6">
        <f>A21*Annahmen!$B$14</f>
        <v>800</v>
      </c>
      <c r="C21" s="6">
        <f>Annahmen!$B$8+Annahmen!$B$9/100*B21</f>
        <v>39</v>
      </c>
      <c r="D21" s="8">
        <v>823.77</v>
      </c>
      <c r="E21" s="6">
        <f>D21*Annahmen!$B$10*Annahmen!$B$14/100000</f>
        <v>4.0405918500000002</v>
      </c>
      <c r="F21" s="6">
        <f t="shared" si="0"/>
        <v>178.53928625701099</v>
      </c>
    </row>
    <row r="22" spans="1:6" ht="15" customHeight="1" x14ac:dyDescent="0.25">
      <c r="A22" s="6">
        <v>17</v>
      </c>
      <c r="B22" s="6">
        <f>A22*Annahmen!$B$14</f>
        <v>850</v>
      </c>
      <c r="C22" s="6">
        <f>Annahmen!$B$8+Annahmen!$B$9/100*B22</f>
        <v>40.5</v>
      </c>
      <c r="D22" s="8">
        <v>819.43</v>
      </c>
      <c r="E22" s="6">
        <f>D22*Annahmen!$B$10*Annahmen!$B$14/100000</f>
        <v>4.01930415</v>
      </c>
      <c r="F22" s="6">
        <f t="shared" si="0"/>
        <v>182.57987810701098</v>
      </c>
    </row>
    <row r="23" spans="1:6" ht="15" customHeight="1" x14ac:dyDescent="0.25">
      <c r="A23" s="6">
        <v>18</v>
      </c>
      <c r="B23" s="6">
        <f>A23*Annahmen!$B$14</f>
        <v>900</v>
      </c>
      <c r="C23" s="6">
        <f>Annahmen!$B$8+Annahmen!$B$9/100*B23</f>
        <v>42</v>
      </c>
      <c r="D23" s="8">
        <v>815.15</v>
      </c>
      <c r="E23" s="6">
        <f>D23*Annahmen!$B$10*Annahmen!$B$14/100000</f>
        <v>3.9983107499999999</v>
      </c>
      <c r="F23" s="6">
        <f t="shared" si="0"/>
        <v>186.59918225701099</v>
      </c>
    </row>
    <row r="24" spans="1:6" ht="15" customHeight="1" x14ac:dyDescent="0.25">
      <c r="A24" s="6">
        <v>19</v>
      </c>
      <c r="B24" s="6">
        <f>A24*Annahmen!$B$14</f>
        <v>950</v>
      </c>
      <c r="C24" s="6">
        <f>Annahmen!$B$8+Annahmen!$B$9/100*B24</f>
        <v>43.5</v>
      </c>
      <c r="D24" s="8">
        <v>810.92</v>
      </c>
      <c r="E24" s="6">
        <f>D24*Annahmen!$B$10*Annahmen!$B$14/100000</f>
        <v>3.9775626000000002</v>
      </c>
      <c r="F24" s="6">
        <f t="shared" si="0"/>
        <v>190.597493007011</v>
      </c>
    </row>
    <row r="25" spans="1:6" ht="15" customHeight="1" x14ac:dyDescent="0.25">
      <c r="A25" s="6">
        <v>20</v>
      </c>
      <c r="B25" s="6">
        <f>A25*Annahmen!$B$14</f>
        <v>1000</v>
      </c>
      <c r="C25" s="6">
        <f>Annahmen!$B$8+Annahmen!$B$9/100*B25</f>
        <v>45</v>
      </c>
      <c r="D25" s="8">
        <v>806.76</v>
      </c>
      <c r="E25" s="6">
        <f>D25*Annahmen!$B$10*Annahmen!$B$14/100000</f>
        <v>3.9571577999999996</v>
      </c>
      <c r="F25" s="6">
        <f t="shared" si="0"/>
        <v>194.575055607011</v>
      </c>
    </row>
    <row r="26" spans="1:6" ht="15" customHeight="1" x14ac:dyDescent="0.25">
      <c r="A26" s="6">
        <v>21</v>
      </c>
      <c r="B26" s="6">
        <f>A26*Annahmen!$B$14</f>
        <v>1050</v>
      </c>
      <c r="C26" s="6">
        <f>Annahmen!$B$8+Annahmen!$B$9/100*B26</f>
        <v>46.5</v>
      </c>
      <c r="D26" s="8">
        <v>802.66</v>
      </c>
      <c r="E26" s="6">
        <f>D26*Annahmen!$B$10*Annahmen!$B$14/100000</f>
        <v>3.9370473000000006</v>
      </c>
      <c r="F26" s="6">
        <f t="shared" si="0"/>
        <v>198.532213407011</v>
      </c>
    </row>
    <row r="27" spans="1:6" ht="15" customHeight="1" x14ac:dyDescent="0.25">
      <c r="A27" s="6">
        <v>22</v>
      </c>
      <c r="B27" s="6">
        <f>A27*Annahmen!$B$14</f>
        <v>1100</v>
      </c>
      <c r="C27" s="6">
        <f>Annahmen!$B$8+Annahmen!$B$9/100*B27</f>
        <v>48</v>
      </c>
      <c r="D27" s="8">
        <v>798.63</v>
      </c>
      <c r="E27" s="6">
        <f>D27*Annahmen!$B$10*Annahmen!$B$14/100000</f>
        <v>3.9172801500000003</v>
      </c>
      <c r="F27" s="6">
        <f t="shared" si="0"/>
        <v>202.46926070701099</v>
      </c>
    </row>
    <row r="28" spans="1:6" ht="15" customHeight="1" x14ac:dyDescent="0.25">
      <c r="A28" s="6">
        <v>23</v>
      </c>
      <c r="B28" s="6">
        <f>A28*Annahmen!$B$14</f>
        <v>1150</v>
      </c>
      <c r="C28" s="6">
        <f>Annahmen!$B$8+Annahmen!$B$9/100*B28</f>
        <v>49.5</v>
      </c>
      <c r="D28" s="8">
        <v>794.65</v>
      </c>
      <c r="E28" s="6">
        <f>D28*Annahmen!$B$10*Annahmen!$B$14/100000</f>
        <v>3.8977582500000003</v>
      </c>
      <c r="F28" s="6">
        <f t="shared" si="0"/>
        <v>206.386540857011</v>
      </c>
    </row>
    <row r="29" spans="1:6" ht="15" customHeight="1" x14ac:dyDescent="0.25">
      <c r="A29" s="6">
        <v>24</v>
      </c>
      <c r="B29" s="6">
        <f>A29*Annahmen!$B$14</f>
        <v>1200</v>
      </c>
      <c r="C29" s="6">
        <f>Annahmen!$B$8+Annahmen!$B$9/100*B29</f>
        <v>51</v>
      </c>
      <c r="D29" s="8">
        <v>790.74</v>
      </c>
      <c r="E29" s="27" t="s">
        <v>62</v>
      </c>
      <c r="F29" s="6">
        <f t="shared" si="0"/>
        <v>210.28429910701101</v>
      </c>
    </row>
    <row r="31" spans="1:6" ht="15" customHeight="1" x14ac:dyDescent="0.25">
      <c r="A31" s="3" t="s">
        <v>161</v>
      </c>
      <c r="E31" s="3" t="s">
        <v>162</v>
      </c>
      <c r="F31" s="28">
        <f>F29</f>
        <v>210.28429910701101</v>
      </c>
    </row>
    <row r="32" spans="1:6" ht="15" customHeight="1" x14ac:dyDescent="0.25">
      <c r="E32" s="20" t="s">
        <v>163</v>
      </c>
      <c r="F32" s="20">
        <f>Annahmen!$B$6</f>
        <v>210</v>
      </c>
    </row>
    <row r="33" spans="1:6" ht="15" customHeight="1" x14ac:dyDescent="0.25">
      <c r="E33" s="20" t="s">
        <v>164</v>
      </c>
      <c r="F33" s="29">
        <f>F29-F5</f>
        <v>99.498906000000005</v>
      </c>
    </row>
    <row r="34" spans="1:6" ht="15" customHeight="1" x14ac:dyDescent="0.25">
      <c r="A34" s="2" t="s">
        <v>165</v>
      </c>
    </row>
    <row r="36" spans="1:6" ht="15" customHeight="1" x14ac:dyDescent="0.25">
      <c r="A36" s="4" t="s">
        <v>166</v>
      </c>
    </row>
    <row r="37" spans="1:6" ht="15" customHeight="1" x14ac:dyDescent="0.25">
      <c r="A37" s="2" t="s">
        <v>167</v>
      </c>
    </row>
    <row r="38" spans="1:6" ht="15" customHeight="1" x14ac:dyDescent="0.25">
      <c r="A38" s="2" t="s">
        <v>168</v>
      </c>
    </row>
    <row r="40" spans="1:6" ht="15" customHeight="1" x14ac:dyDescent="0.25">
      <c r="A40" s="5" t="s">
        <v>73</v>
      </c>
      <c r="B40" s="5" t="s">
        <v>169</v>
      </c>
      <c r="C40" s="5" t="s">
        <v>170</v>
      </c>
      <c r="D40" s="5" t="s">
        <v>171</v>
      </c>
    </row>
    <row r="41" spans="1:6" ht="15" customHeight="1" x14ac:dyDescent="0.25">
      <c r="A41" s="25" t="s">
        <v>172</v>
      </c>
      <c r="B41" s="8" t="s">
        <v>173</v>
      </c>
      <c r="C41" s="30"/>
      <c r="D41" s="30" t="s">
        <v>174</v>
      </c>
    </row>
    <row r="42" spans="1:6" ht="15" customHeight="1" x14ac:dyDescent="0.25">
      <c r="A42" s="31" t="s">
        <v>175</v>
      </c>
      <c r="B42" s="8">
        <v>311.2</v>
      </c>
      <c r="C42" s="30" t="s">
        <v>176</v>
      </c>
      <c r="D42" s="30" t="s">
        <v>177</v>
      </c>
    </row>
    <row r="43" spans="1:6" ht="15" customHeight="1" x14ac:dyDescent="0.25">
      <c r="A43" s="31" t="s">
        <v>178</v>
      </c>
      <c r="B43" s="6">
        <f>Annahmen!B10*Annahmen!B7/1000</f>
        <v>11.772</v>
      </c>
      <c r="C43" s="30" t="s">
        <v>176</v>
      </c>
      <c r="D43" s="30" t="s">
        <v>179</v>
      </c>
    </row>
    <row r="44" spans="1:6" ht="15" customHeight="1" x14ac:dyDescent="0.25">
      <c r="A44" s="31" t="s">
        <v>180</v>
      </c>
      <c r="B44" s="6">
        <f>B42-B43</f>
        <v>299.428</v>
      </c>
      <c r="C44" s="30" t="s">
        <v>176</v>
      </c>
      <c r="D44" s="30" t="s">
        <v>181</v>
      </c>
    </row>
    <row r="45" spans="1:6" ht="15" customHeight="1" x14ac:dyDescent="0.25">
      <c r="A45" s="31" t="s">
        <v>182</v>
      </c>
      <c r="B45" s="22">
        <v>41</v>
      </c>
      <c r="C45" s="30" t="s">
        <v>121</v>
      </c>
      <c r="D45" s="30" t="s">
        <v>183</v>
      </c>
    </row>
    <row r="47" spans="1:6" ht="15" customHeight="1" x14ac:dyDescent="0.25">
      <c r="A47" s="2" t="s">
        <v>184</v>
      </c>
    </row>
    <row r="48" spans="1:6" ht="15" customHeight="1" x14ac:dyDescent="0.25">
      <c r="A48" s="2" t="s">
        <v>185</v>
      </c>
    </row>
    <row r="49" spans="1:8" ht="15" customHeight="1" x14ac:dyDescent="0.25">
      <c r="A49" s="2" t="s">
        <v>186</v>
      </c>
    </row>
    <row r="50" spans="1:8" ht="15" customHeight="1" x14ac:dyDescent="0.25">
      <c r="A50" s="2" t="s">
        <v>187</v>
      </c>
    </row>
    <row r="53" spans="1:8" ht="15" customHeight="1" x14ac:dyDescent="0.25">
      <c r="A53" s="4" t="s">
        <v>188</v>
      </c>
    </row>
    <row r="54" spans="1:8" ht="15" customHeight="1" x14ac:dyDescent="0.25">
      <c r="A54" s="2" t="s">
        <v>189</v>
      </c>
    </row>
    <row r="55" spans="1:8" ht="15" customHeight="1" x14ac:dyDescent="0.25">
      <c r="A55" s="2" t="s">
        <v>190</v>
      </c>
    </row>
    <row r="56" spans="1:8" ht="15" customHeight="1" x14ac:dyDescent="0.25">
      <c r="A56" s="32" t="s">
        <v>191</v>
      </c>
    </row>
    <row r="57" spans="1:8" ht="15" customHeight="1" x14ac:dyDescent="0.25">
      <c r="A57" s="5" t="s">
        <v>156</v>
      </c>
      <c r="B57" s="5" t="s">
        <v>192</v>
      </c>
      <c r="C57" s="5" t="s">
        <v>193</v>
      </c>
      <c r="D57" s="5" t="s">
        <v>194</v>
      </c>
      <c r="E57" s="5" t="s">
        <v>195</v>
      </c>
      <c r="F57" s="5" t="s">
        <v>196</v>
      </c>
      <c r="G57" s="5" t="s">
        <v>197</v>
      </c>
      <c r="H57" s="5" t="s">
        <v>198</v>
      </c>
    </row>
    <row r="58" spans="1:8" ht="15" customHeight="1" x14ac:dyDescent="0.25">
      <c r="A58" s="6">
        <v>0</v>
      </c>
      <c r="B58" s="6">
        <v>15</v>
      </c>
      <c r="C58" s="8">
        <v>111</v>
      </c>
      <c r="D58" s="8">
        <v>73.8</v>
      </c>
      <c r="E58" s="8">
        <v>50.6</v>
      </c>
      <c r="F58" s="8">
        <v>900.3</v>
      </c>
      <c r="G58" s="8">
        <v>860.5</v>
      </c>
      <c r="H58" s="8">
        <v>158.9</v>
      </c>
    </row>
    <row r="59" spans="1:8" ht="15" customHeight="1" x14ac:dyDescent="0.25">
      <c r="A59" s="6">
        <v>50</v>
      </c>
      <c r="B59" s="6">
        <v>16.5</v>
      </c>
      <c r="C59" s="8">
        <v>115.4</v>
      </c>
      <c r="D59" s="8">
        <v>78</v>
      </c>
      <c r="E59" s="8">
        <v>51.4</v>
      </c>
      <c r="F59" s="8">
        <v>895.2</v>
      </c>
      <c r="G59" s="8">
        <v>854.2</v>
      </c>
      <c r="H59" s="8">
        <v>159.19999999999999</v>
      </c>
    </row>
    <row r="60" spans="1:8" ht="15" customHeight="1" x14ac:dyDescent="0.25">
      <c r="A60" s="6">
        <v>100</v>
      </c>
      <c r="B60" s="6">
        <v>18</v>
      </c>
      <c r="C60" s="8">
        <v>119.8</v>
      </c>
      <c r="D60" s="8">
        <v>82.2</v>
      </c>
      <c r="E60" s="8">
        <v>52.2</v>
      </c>
      <c r="F60" s="8">
        <v>890.1</v>
      </c>
      <c r="G60" s="8">
        <v>848</v>
      </c>
      <c r="H60" s="8">
        <v>159.6</v>
      </c>
    </row>
    <row r="61" spans="1:8" ht="15" customHeight="1" x14ac:dyDescent="0.25">
      <c r="A61" s="6">
        <v>150</v>
      </c>
      <c r="B61" s="6">
        <v>19.5</v>
      </c>
      <c r="C61" s="8">
        <v>124.1</v>
      </c>
      <c r="D61" s="8">
        <v>86.3</v>
      </c>
      <c r="E61" s="8">
        <v>53</v>
      </c>
      <c r="F61" s="8">
        <v>885.1</v>
      </c>
      <c r="G61" s="8">
        <v>841.8</v>
      </c>
      <c r="H61" s="8">
        <v>160</v>
      </c>
    </row>
    <row r="62" spans="1:8" ht="15" customHeight="1" x14ac:dyDescent="0.25">
      <c r="A62" s="6">
        <v>200</v>
      </c>
      <c r="B62" s="6">
        <v>21</v>
      </c>
      <c r="C62" s="8">
        <v>128.5</v>
      </c>
      <c r="D62" s="8">
        <v>90.4</v>
      </c>
      <c r="E62" s="8">
        <v>53.8</v>
      </c>
      <c r="F62" s="8">
        <v>880.1</v>
      </c>
      <c r="G62" s="8">
        <v>835.7</v>
      </c>
      <c r="H62" s="8">
        <v>160.4</v>
      </c>
    </row>
    <row r="63" spans="1:8" ht="15" customHeight="1" x14ac:dyDescent="0.25">
      <c r="A63" s="6">
        <v>250</v>
      </c>
      <c r="B63" s="6">
        <v>22.5</v>
      </c>
      <c r="C63" s="8">
        <v>132.80000000000001</v>
      </c>
      <c r="D63" s="8">
        <v>94.5</v>
      </c>
      <c r="E63" s="8">
        <v>54.6</v>
      </c>
      <c r="F63" s="8">
        <v>875.1</v>
      </c>
      <c r="G63" s="8">
        <v>829.6</v>
      </c>
      <c r="H63" s="8">
        <v>160.80000000000001</v>
      </c>
    </row>
    <row r="64" spans="1:8" ht="15" customHeight="1" x14ac:dyDescent="0.25">
      <c r="A64" s="6">
        <v>300</v>
      </c>
      <c r="B64" s="6">
        <v>24</v>
      </c>
      <c r="C64" s="8">
        <v>137</v>
      </c>
      <c r="D64" s="8">
        <v>98.5</v>
      </c>
      <c r="E64" s="8">
        <v>55.4</v>
      </c>
      <c r="F64" s="8">
        <v>870.2</v>
      </c>
      <c r="G64" s="8">
        <v>823.5</v>
      </c>
      <c r="H64" s="8">
        <v>161.30000000000001</v>
      </c>
    </row>
    <row r="65" spans="1:8" ht="15" customHeight="1" x14ac:dyDescent="0.25">
      <c r="A65" s="6">
        <v>350</v>
      </c>
      <c r="B65" s="6">
        <v>25.5</v>
      </c>
      <c r="C65" s="8">
        <v>141.30000000000001</v>
      </c>
      <c r="D65" s="8">
        <v>102.5</v>
      </c>
      <c r="E65" s="8">
        <v>56.1</v>
      </c>
      <c r="F65" s="8">
        <v>865.4</v>
      </c>
      <c r="G65" s="8">
        <v>817.5</v>
      </c>
      <c r="H65" s="8">
        <v>161.69999999999999</v>
      </c>
    </row>
    <row r="66" spans="1:8" ht="15" customHeight="1" x14ac:dyDescent="0.25">
      <c r="A66" s="6">
        <v>400</v>
      </c>
      <c r="B66" s="6">
        <v>27</v>
      </c>
      <c r="C66" s="8">
        <v>145.5</v>
      </c>
      <c r="D66" s="8">
        <v>106.5</v>
      </c>
      <c r="E66" s="8">
        <v>56.9</v>
      </c>
      <c r="F66" s="8">
        <v>860.5</v>
      </c>
      <c r="G66" s="8">
        <v>811.5</v>
      </c>
      <c r="H66" s="8">
        <v>162.19999999999999</v>
      </c>
    </row>
    <row r="67" spans="1:8" ht="15" customHeight="1" x14ac:dyDescent="0.25">
      <c r="A67" s="6">
        <v>450</v>
      </c>
      <c r="B67" s="6">
        <v>28.5</v>
      </c>
      <c r="C67" s="8">
        <v>149.69999999999999</v>
      </c>
      <c r="D67" s="8">
        <v>110.4</v>
      </c>
      <c r="E67" s="8">
        <v>57.7</v>
      </c>
      <c r="F67" s="8">
        <v>855.7</v>
      </c>
      <c r="G67" s="8">
        <v>805.6</v>
      </c>
      <c r="H67" s="8">
        <v>162.69999999999999</v>
      </c>
    </row>
    <row r="68" spans="1:8" ht="15" customHeight="1" x14ac:dyDescent="0.25">
      <c r="A68" s="6">
        <v>500</v>
      </c>
      <c r="B68" s="6">
        <v>30</v>
      </c>
      <c r="C68" s="8">
        <v>153.9</v>
      </c>
      <c r="D68" s="8">
        <v>114.4</v>
      </c>
      <c r="E68" s="8">
        <v>58.5</v>
      </c>
      <c r="F68" s="8">
        <v>851</v>
      </c>
      <c r="G68" s="8">
        <v>799.8</v>
      </c>
      <c r="H68" s="8">
        <v>163.19999999999999</v>
      </c>
    </row>
    <row r="69" spans="1:8" ht="15" customHeight="1" x14ac:dyDescent="0.25">
      <c r="A69" s="6">
        <v>550</v>
      </c>
      <c r="B69" s="6">
        <v>31.5</v>
      </c>
      <c r="C69" s="8">
        <v>158</v>
      </c>
      <c r="D69" s="8">
        <v>118.2</v>
      </c>
      <c r="E69" s="8">
        <v>59.3</v>
      </c>
      <c r="F69" s="8">
        <v>846.3</v>
      </c>
      <c r="G69" s="8">
        <v>794</v>
      </c>
      <c r="H69" s="8">
        <v>163.6</v>
      </c>
    </row>
    <row r="70" spans="1:8" ht="15" customHeight="1" x14ac:dyDescent="0.25">
      <c r="A70" s="6">
        <v>600</v>
      </c>
      <c r="B70" s="6">
        <v>33</v>
      </c>
      <c r="C70" s="8">
        <v>162.1</v>
      </c>
      <c r="D70" s="8">
        <v>122.1</v>
      </c>
      <c r="E70" s="8">
        <v>60.1</v>
      </c>
      <c r="F70" s="8">
        <v>841.7</v>
      </c>
      <c r="G70" s="8">
        <v>788.3</v>
      </c>
      <c r="H70" s="8">
        <v>164.1</v>
      </c>
    </row>
    <row r="71" spans="1:8" ht="15" customHeight="1" x14ac:dyDescent="0.25">
      <c r="A71" s="6">
        <v>650</v>
      </c>
      <c r="B71" s="6">
        <v>34.5</v>
      </c>
      <c r="C71" s="8">
        <v>166.2</v>
      </c>
      <c r="D71" s="8">
        <v>126</v>
      </c>
      <c r="E71" s="8">
        <v>61</v>
      </c>
      <c r="F71" s="8">
        <v>837.1</v>
      </c>
      <c r="G71" s="8">
        <v>782.7</v>
      </c>
      <c r="H71" s="8">
        <v>164.6</v>
      </c>
    </row>
    <row r="72" spans="1:8" ht="15" customHeight="1" x14ac:dyDescent="0.25">
      <c r="A72" s="6">
        <v>700</v>
      </c>
      <c r="B72" s="6">
        <v>36</v>
      </c>
      <c r="C72" s="8">
        <v>170.3</v>
      </c>
      <c r="D72" s="8">
        <v>129.80000000000001</v>
      </c>
      <c r="E72" s="8">
        <v>61.8</v>
      </c>
      <c r="F72" s="8">
        <v>832.5</v>
      </c>
      <c r="G72" s="8">
        <v>777.2</v>
      </c>
      <c r="H72" s="8">
        <v>165.1</v>
      </c>
    </row>
    <row r="73" spans="1:8" ht="15" customHeight="1" x14ac:dyDescent="0.25">
      <c r="A73" s="6">
        <v>750</v>
      </c>
      <c r="B73" s="6">
        <v>37.5</v>
      </c>
      <c r="C73" s="8">
        <v>174.4</v>
      </c>
      <c r="D73" s="8">
        <v>133.6</v>
      </c>
      <c r="E73" s="8">
        <v>62.6</v>
      </c>
      <c r="F73" s="8">
        <v>828.1</v>
      </c>
      <c r="G73" s="8">
        <v>771.8</v>
      </c>
      <c r="H73" s="8">
        <v>165.6</v>
      </c>
    </row>
    <row r="74" spans="1:8" ht="15" customHeight="1" x14ac:dyDescent="0.25">
      <c r="A74" s="6">
        <v>800</v>
      </c>
      <c r="B74" s="6">
        <v>39</v>
      </c>
      <c r="C74" s="8">
        <v>178.4</v>
      </c>
      <c r="D74" s="8">
        <v>137.30000000000001</v>
      </c>
      <c r="E74" s="8">
        <v>63.4</v>
      </c>
      <c r="F74" s="8">
        <v>823.6</v>
      </c>
      <c r="G74" s="8">
        <v>766.4</v>
      </c>
      <c r="H74" s="8">
        <v>166.1</v>
      </c>
    </row>
    <row r="75" spans="1:8" ht="15" customHeight="1" x14ac:dyDescent="0.25">
      <c r="A75" s="6">
        <v>850</v>
      </c>
      <c r="B75" s="6">
        <v>40.5</v>
      </c>
      <c r="C75" s="8">
        <v>182.4</v>
      </c>
      <c r="D75" s="8">
        <v>141</v>
      </c>
      <c r="E75" s="8">
        <v>64.2</v>
      </c>
      <c r="F75" s="8">
        <v>819.3</v>
      </c>
      <c r="G75" s="8">
        <v>761.2</v>
      </c>
      <c r="H75" s="8">
        <v>166.6</v>
      </c>
    </row>
    <row r="76" spans="1:8" ht="15" customHeight="1" x14ac:dyDescent="0.25">
      <c r="A76" s="6">
        <v>900</v>
      </c>
      <c r="B76" s="6">
        <v>42</v>
      </c>
      <c r="C76" s="8">
        <v>186.4</v>
      </c>
      <c r="D76" s="8">
        <v>144.80000000000001</v>
      </c>
      <c r="E76" s="8">
        <v>65</v>
      </c>
      <c r="F76" s="8">
        <v>815</v>
      </c>
      <c r="G76" s="8">
        <v>756</v>
      </c>
      <c r="H76" s="8">
        <v>167.1</v>
      </c>
    </row>
    <row r="77" spans="1:8" ht="15" customHeight="1" x14ac:dyDescent="0.25">
      <c r="A77" s="6">
        <v>950</v>
      </c>
      <c r="B77" s="6">
        <v>43.5</v>
      </c>
      <c r="C77" s="8">
        <v>190.4</v>
      </c>
      <c r="D77" s="8">
        <v>148.4</v>
      </c>
      <c r="E77" s="8">
        <v>65.900000000000006</v>
      </c>
      <c r="F77" s="8">
        <v>810.7</v>
      </c>
      <c r="G77" s="8">
        <v>751</v>
      </c>
      <c r="H77" s="8">
        <v>167.6</v>
      </c>
    </row>
    <row r="78" spans="1:8" ht="15" customHeight="1" x14ac:dyDescent="0.25">
      <c r="A78" s="6">
        <v>1000</v>
      </c>
      <c r="B78" s="6">
        <v>45</v>
      </c>
      <c r="C78" s="8">
        <v>194.4</v>
      </c>
      <c r="D78" s="8">
        <v>152.1</v>
      </c>
      <c r="E78" s="8">
        <v>66.7</v>
      </c>
      <c r="F78" s="8">
        <v>806.5</v>
      </c>
      <c r="G78" s="8">
        <v>746</v>
      </c>
      <c r="H78" s="8">
        <v>168.1</v>
      </c>
    </row>
    <row r="79" spans="1:8" ht="15" customHeight="1" x14ac:dyDescent="0.25">
      <c r="A79" s="6">
        <v>1050</v>
      </c>
      <c r="B79" s="6">
        <v>46.5</v>
      </c>
      <c r="C79" s="8">
        <v>198.3</v>
      </c>
      <c r="D79" s="8">
        <v>155.69999999999999</v>
      </c>
      <c r="E79" s="8">
        <v>67.5</v>
      </c>
      <c r="F79" s="8">
        <v>802.4</v>
      </c>
      <c r="G79" s="8">
        <v>741.1</v>
      </c>
      <c r="H79" s="8">
        <v>168.6</v>
      </c>
    </row>
    <row r="80" spans="1:8" ht="15" customHeight="1" x14ac:dyDescent="0.25">
      <c r="A80" s="6">
        <v>1100</v>
      </c>
      <c r="B80" s="6">
        <v>48</v>
      </c>
      <c r="C80" s="8">
        <v>202.2</v>
      </c>
      <c r="D80" s="8">
        <v>159.30000000000001</v>
      </c>
      <c r="E80" s="8">
        <v>68.3</v>
      </c>
      <c r="F80" s="8">
        <v>798.4</v>
      </c>
      <c r="G80" s="8">
        <v>736.4</v>
      </c>
      <c r="H80" s="8">
        <v>169.1</v>
      </c>
    </row>
    <row r="81" spans="1:8" ht="15" customHeight="1" x14ac:dyDescent="0.25">
      <c r="A81" s="6">
        <v>1150</v>
      </c>
      <c r="B81" s="6">
        <v>49.5</v>
      </c>
      <c r="C81" s="8">
        <v>206.1</v>
      </c>
      <c r="D81" s="8">
        <v>162.9</v>
      </c>
      <c r="E81" s="8">
        <v>69.2</v>
      </c>
      <c r="F81" s="8">
        <v>794.4</v>
      </c>
      <c r="G81" s="8">
        <v>731.7</v>
      </c>
      <c r="H81" s="8">
        <v>169.6</v>
      </c>
    </row>
    <row r="82" spans="1:8" ht="15" customHeight="1" x14ac:dyDescent="0.25">
      <c r="A82" s="6">
        <v>1200</v>
      </c>
      <c r="B82" s="6">
        <v>51</v>
      </c>
      <c r="C82" s="8">
        <v>210</v>
      </c>
      <c r="D82" s="8">
        <v>166.5</v>
      </c>
      <c r="E82" s="8">
        <v>70</v>
      </c>
      <c r="F82" s="8">
        <v>790.4</v>
      </c>
      <c r="G82" s="8">
        <v>727.2</v>
      </c>
      <c r="H82" s="8">
        <v>170.1</v>
      </c>
    </row>
    <row r="84" spans="1:8" ht="15" customHeight="1" x14ac:dyDescent="0.25">
      <c r="A84" s="4" t="s">
        <v>199</v>
      </c>
    </row>
    <row r="85" spans="1:8" ht="15" customHeight="1" x14ac:dyDescent="0.25">
      <c r="A85" s="14" t="s">
        <v>200</v>
      </c>
      <c r="B85" s="2" t="s">
        <v>201</v>
      </c>
    </row>
    <row r="86" spans="1:8" ht="15" customHeight="1" x14ac:dyDescent="0.25">
      <c r="A86" s="20" t="s">
        <v>202</v>
      </c>
      <c r="B86" s="2" t="s">
        <v>203</v>
      </c>
    </row>
    <row r="87" spans="1:8" ht="15" customHeight="1" x14ac:dyDescent="0.25">
      <c r="A87" s="16" t="s">
        <v>204</v>
      </c>
      <c r="B87" s="2" t="s">
        <v>205</v>
      </c>
    </row>
    <row r="88" spans="1:8" ht="15" customHeight="1" x14ac:dyDescent="0.25">
      <c r="A88" s="16" t="s">
        <v>206</v>
      </c>
      <c r="B88" s="2" t="s">
        <v>207</v>
      </c>
    </row>
    <row r="89" spans="1:8" ht="15" customHeight="1" x14ac:dyDescent="0.25">
      <c r="A89" s="20" t="s">
        <v>208</v>
      </c>
      <c r="B89" s="2" t="s">
        <v>209</v>
      </c>
    </row>
    <row r="90" spans="1:8" ht="15" customHeight="1" x14ac:dyDescent="0.25">
      <c r="A90" s="20" t="s">
        <v>210</v>
      </c>
      <c r="B90" s="2" t="s">
        <v>211</v>
      </c>
    </row>
    <row r="92" spans="1:8" ht="15" customHeight="1" x14ac:dyDescent="0.25">
      <c r="A92" s="2" t="s">
        <v>212</v>
      </c>
    </row>
    <row r="93" spans="1:8" ht="15" customHeight="1" x14ac:dyDescent="0.25">
      <c r="A93" s="2" t="s">
        <v>213</v>
      </c>
    </row>
  </sheetData>
  <pageMargins left="0.75" right="0.75" top="1" bottom="1" header="0.51180555555555596" footer="0.511811023622047"/>
  <pageSetup paperSize="9" orientation="portrait" horizontalDpi="300" verticalDpi="300"/>
  <headerFooter>
    <oddHeader>&amp;C&amp;"Arial"&amp;10&amp;K000000 General - Unencrypted&amp;1#_x000D_&amp;"Calibri"&amp;11&amp;K000000&amp;"Arial,Regular"&amp;1  General - Unencrypted#_x005F_x000d_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topLeftCell="A18" zoomScale="85" zoomScaleNormal="85" workbookViewId="0">
      <selection activeCell="H37" sqref="H37"/>
    </sheetView>
  </sheetViews>
  <sheetFormatPr baseColWidth="10" defaultColWidth="8.7109375" defaultRowHeight="15" x14ac:dyDescent="0.25"/>
  <cols>
    <col min="1" max="1" width="12" customWidth="1"/>
    <col min="2" max="5" width="15" customWidth="1"/>
    <col min="6" max="7" width="11" customWidth="1"/>
    <col min="8" max="8" width="4" customWidth="1"/>
    <col min="9" max="9" width="11" customWidth="1"/>
    <col min="10" max="10" width="10" customWidth="1"/>
    <col min="11" max="11" width="11" customWidth="1"/>
  </cols>
  <sheetData>
    <row r="1" spans="1:5" ht="17.25" customHeight="1" x14ac:dyDescent="0.25">
      <c r="A1" s="1" t="s">
        <v>214</v>
      </c>
    </row>
    <row r="2" spans="1:5" ht="15" customHeight="1" x14ac:dyDescent="0.25">
      <c r="A2" s="2" t="s">
        <v>215</v>
      </c>
    </row>
    <row r="4" spans="1:5" ht="15" customHeight="1" x14ac:dyDescent="0.25">
      <c r="A4" s="4" t="s">
        <v>216</v>
      </c>
    </row>
    <row r="5" spans="1:5" ht="15" customHeight="1" x14ac:dyDescent="0.25">
      <c r="A5" s="5" t="s">
        <v>217</v>
      </c>
      <c r="B5" s="5" t="s">
        <v>218</v>
      </c>
      <c r="C5" s="5" t="s">
        <v>219</v>
      </c>
      <c r="D5" s="5" t="s">
        <v>220</v>
      </c>
      <c r="E5" s="5" t="s">
        <v>221</v>
      </c>
    </row>
    <row r="6" spans="1:5" ht="15" customHeight="1" x14ac:dyDescent="0.25">
      <c r="A6" s="8">
        <v>600</v>
      </c>
      <c r="B6" s="8">
        <v>156.5</v>
      </c>
      <c r="C6" s="8">
        <v>200.5</v>
      </c>
      <c r="D6" s="8">
        <v>209.1</v>
      </c>
      <c r="E6" s="6">
        <v>210</v>
      </c>
    </row>
    <row r="7" spans="1:5" ht="15" customHeight="1" x14ac:dyDescent="0.25">
      <c r="A7" s="8">
        <v>800</v>
      </c>
      <c r="B7" s="8">
        <v>140.30000000000001</v>
      </c>
      <c r="C7" s="8">
        <v>197.6</v>
      </c>
      <c r="D7" s="8">
        <v>208.8</v>
      </c>
      <c r="E7" s="6">
        <v>210</v>
      </c>
    </row>
    <row r="8" spans="1:5" ht="15" customHeight="1" x14ac:dyDescent="0.25">
      <c r="A8" s="8">
        <v>1000</v>
      </c>
      <c r="B8" s="8">
        <v>125</v>
      </c>
      <c r="C8" s="8">
        <v>194.9</v>
      </c>
      <c r="D8" s="8">
        <v>208.5</v>
      </c>
      <c r="E8" s="6">
        <v>210</v>
      </c>
    </row>
    <row r="9" spans="1:5" ht="15" customHeight="1" x14ac:dyDescent="0.25">
      <c r="A9" s="8">
        <v>1200</v>
      </c>
      <c r="B9" s="8">
        <v>110.8</v>
      </c>
      <c r="C9" s="8">
        <v>192.2</v>
      </c>
      <c r="D9" s="8">
        <v>208.3</v>
      </c>
      <c r="E9" s="6">
        <v>210</v>
      </c>
    </row>
    <row r="10" spans="1:5" ht="15" customHeight="1" x14ac:dyDescent="0.25">
      <c r="A10" s="8">
        <v>1400</v>
      </c>
      <c r="B10" s="8">
        <v>97.6</v>
      </c>
      <c r="C10" s="8">
        <v>189.7</v>
      </c>
      <c r="D10" s="8">
        <v>208</v>
      </c>
      <c r="E10" s="6">
        <v>210</v>
      </c>
    </row>
    <row r="11" spans="1:5" ht="15" customHeight="1" x14ac:dyDescent="0.25">
      <c r="A11" s="8">
        <v>1600</v>
      </c>
      <c r="B11" s="8">
        <v>85.7</v>
      </c>
      <c r="C11" s="8">
        <v>187.3</v>
      </c>
      <c r="D11" s="8">
        <v>207.7</v>
      </c>
      <c r="E11" s="6">
        <v>210</v>
      </c>
    </row>
    <row r="13" spans="1:5" ht="15" customHeight="1" x14ac:dyDescent="0.25">
      <c r="A13" s="2" t="s">
        <v>222</v>
      </c>
    </row>
    <row r="14" spans="1:5" ht="15" customHeight="1" x14ac:dyDescent="0.25">
      <c r="A14" s="2" t="s">
        <v>223</v>
      </c>
    </row>
    <row r="16" spans="1:5" ht="15" customHeight="1" x14ac:dyDescent="0.25">
      <c r="A16" s="4" t="s">
        <v>224</v>
      </c>
    </row>
    <row r="17" spans="1:11" ht="15" customHeight="1" x14ac:dyDescent="0.25">
      <c r="A17" s="5" t="s">
        <v>225</v>
      </c>
      <c r="B17" s="5" t="s">
        <v>226</v>
      </c>
      <c r="C17" s="5" t="s">
        <v>227</v>
      </c>
      <c r="D17" s="5" t="s">
        <v>228</v>
      </c>
      <c r="E17" s="5" t="s">
        <v>229</v>
      </c>
      <c r="F17" s="5" t="s">
        <v>230</v>
      </c>
    </row>
    <row r="18" spans="1:11" ht="15" customHeight="1" x14ac:dyDescent="0.25">
      <c r="A18" s="33" t="s">
        <v>231</v>
      </c>
      <c r="B18" s="8">
        <v>110.8</v>
      </c>
      <c r="C18" s="8">
        <v>99.2</v>
      </c>
      <c r="D18" s="8">
        <v>900</v>
      </c>
      <c r="E18" s="8">
        <v>790.7</v>
      </c>
      <c r="F18" s="6" t="s">
        <v>232</v>
      </c>
    </row>
    <row r="19" spans="1:11" ht="15" customHeight="1" x14ac:dyDescent="0.25">
      <c r="A19" s="33" t="s">
        <v>233</v>
      </c>
      <c r="B19" s="8">
        <v>192.2</v>
      </c>
      <c r="C19" s="8">
        <v>17.8</v>
      </c>
      <c r="D19" s="8">
        <v>162.1</v>
      </c>
      <c r="E19" s="8">
        <v>141.4</v>
      </c>
      <c r="F19" s="6" t="s">
        <v>234</v>
      </c>
    </row>
    <row r="20" spans="1:11" ht="15" customHeight="1" x14ac:dyDescent="0.25">
      <c r="A20" s="33" t="s">
        <v>235</v>
      </c>
      <c r="B20" s="8">
        <v>208.3</v>
      </c>
      <c r="C20" s="8">
        <v>1.7</v>
      </c>
      <c r="D20" s="8">
        <v>15.5</v>
      </c>
      <c r="E20" s="8">
        <v>14</v>
      </c>
      <c r="F20" s="6" t="s">
        <v>236</v>
      </c>
    </row>
    <row r="22" spans="1:11" ht="15" customHeight="1" x14ac:dyDescent="0.25">
      <c r="A22" s="2" t="s">
        <v>237</v>
      </c>
    </row>
    <row r="24" spans="1:11" ht="15" customHeight="1" x14ac:dyDescent="0.25">
      <c r="A24" s="4" t="s">
        <v>238</v>
      </c>
    </row>
    <row r="25" spans="1:11" ht="15" customHeight="1" x14ac:dyDescent="0.25">
      <c r="A25" s="3" t="s">
        <v>239</v>
      </c>
      <c r="E25" s="3" t="s">
        <v>233</v>
      </c>
      <c r="I25" s="3" t="s">
        <v>235</v>
      </c>
    </row>
    <row r="26" spans="1:11" ht="15" customHeight="1" x14ac:dyDescent="0.25">
      <c r="A26" s="5" t="s">
        <v>217</v>
      </c>
      <c r="B26" s="5" t="s">
        <v>6</v>
      </c>
      <c r="C26" s="5" t="s">
        <v>240</v>
      </c>
      <c r="E26" s="5" t="s">
        <v>217</v>
      </c>
      <c r="F26" s="5" t="s">
        <v>6</v>
      </c>
      <c r="G26" s="5" t="s">
        <v>240</v>
      </c>
      <c r="I26" s="5" t="s">
        <v>217</v>
      </c>
      <c r="J26" s="5" t="s">
        <v>6</v>
      </c>
      <c r="K26" s="5" t="s">
        <v>240</v>
      </c>
    </row>
    <row r="27" spans="1:11" ht="15" customHeight="1" x14ac:dyDescent="0.25">
      <c r="A27" s="6">
        <v>0</v>
      </c>
      <c r="B27" s="8">
        <v>110.8</v>
      </c>
      <c r="C27" s="8">
        <v>900</v>
      </c>
      <c r="E27" s="6">
        <v>0</v>
      </c>
      <c r="F27" s="8">
        <v>192.2</v>
      </c>
      <c r="G27" s="8">
        <v>162.1</v>
      </c>
      <c r="I27" s="6">
        <v>0</v>
      </c>
      <c r="J27" s="8">
        <v>208.3</v>
      </c>
      <c r="K27" s="8">
        <v>15.5</v>
      </c>
    </row>
    <row r="28" spans="1:11" ht="15" customHeight="1" x14ac:dyDescent="0.25">
      <c r="A28" s="6">
        <v>50</v>
      </c>
      <c r="B28" s="8">
        <v>115.2</v>
      </c>
      <c r="C28" s="8">
        <v>895</v>
      </c>
      <c r="E28" s="6">
        <v>50</v>
      </c>
      <c r="F28" s="8">
        <v>193</v>
      </c>
      <c r="G28" s="8">
        <v>161</v>
      </c>
      <c r="I28" s="6">
        <v>50</v>
      </c>
      <c r="J28" s="8">
        <v>208.3</v>
      </c>
      <c r="K28" s="8">
        <v>15.4</v>
      </c>
    </row>
    <row r="29" spans="1:11" ht="15" customHeight="1" x14ac:dyDescent="0.25">
      <c r="A29" s="6">
        <v>100</v>
      </c>
      <c r="B29" s="8">
        <v>119.6</v>
      </c>
      <c r="C29" s="8">
        <v>889.9</v>
      </c>
      <c r="E29" s="6">
        <v>100</v>
      </c>
      <c r="F29" s="8">
        <v>193.8</v>
      </c>
      <c r="G29" s="8">
        <v>159.9</v>
      </c>
      <c r="I29" s="6">
        <v>100</v>
      </c>
      <c r="J29" s="8">
        <v>208.4</v>
      </c>
      <c r="K29" s="8">
        <v>15.3</v>
      </c>
    </row>
    <row r="30" spans="1:11" ht="15" customHeight="1" x14ac:dyDescent="0.25">
      <c r="A30" s="6">
        <v>150</v>
      </c>
      <c r="B30" s="8">
        <v>124</v>
      </c>
      <c r="C30" s="8">
        <v>884.9</v>
      </c>
      <c r="E30" s="6">
        <v>150</v>
      </c>
      <c r="F30" s="8">
        <v>194.6</v>
      </c>
      <c r="G30" s="8">
        <v>158.9</v>
      </c>
      <c r="I30" s="6">
        <v>150</v>
      </c>
      <c r="J30" s="8">
        <v>208.5</v>
      </c>
      <c r="K30" s="8">
        <v>15.3</v>
      </c>
    </row>
    <row r="31" spans="1:11" ht="15" customHeight="1" x14ac:dyDescent="0.25">
      <c r="A31" s="6">
        <v>200</v>
      </c>
      <c r="B31" s="8">
        <v>128.30000000000001</v>
      </c>
      <c r="C31" s="8">
        <v>879.9</v>
      </c>
      <c r="E31" s="6">
        <v>200</v>
      </c>
      <c r="F31" s="8">
        <v>195.4</v>
      </c>
      <c r="G31" s="8">
        <v>157.9</v>
      </c>
      <c r="I31" s="6">
        <v>200</v>
      </c>
      <c r="J31" s="8">
        <v>208.6</v>
      </c>
      <c r="K31" s="8">
        <v>15.2</v>
      </c>
    </row>
    <row r="32" spans="1:11" ht="15" customHeight="1" x14ac:dyDescent="0.25">
      <c r="A32" s="6">
        <v>250</v>
      </c>
      <c r="B32" s="8">
        <v>132.6</v>
      </c>
      <c r="C32" s="8">
        <v>875</v>
      </c>
      <c r="E32" s="6">
        <v>250</v>
      </c>
      <c r="F32" s="8">
        <v>196.2</v>
      </c>
      <c r="G32" s="8">
        <v>156.9</v>
      </c>
      <c r="I32" s="6">
        <v>250</v>
      </c>
      <c r="J32" s="8">
        <v>208.6</v>
      </c>
      <c r="K32" s="8">
        <v>15.1</v>
      </c>
    </row>
    <row r="33" spans="1:11" ht="15" customHeight="1" x14ac:dyDescent="0.25">
      <c r="A33" s="6">
        <v>300</v>
      </c>
      <c r="B33" s="8">
        <v>136.9</v>
      </c>
      <c r="C33" s="8">
        <v>870.1</v>
      </c>
      <c r="E33" s="6">
        <v>300</v>
      </c>
      <c r="F33" s="8">
        <v>196.9</v>
      </c>
      <c r="G33" s="8">
        <v>155.9</v>
      </c>
      <c r="I33" s="6">
        <v>300</v>
      </c>
      <c r="J33" s="8">
        <v>208.7</v>
      </c>
      <c r="K33" s="8">
        <v>15.1</v>
      </c>
    </row>
    <row r="34" spans="1:11" ht="15" customHeight="1" x14ac:dyDescent="0.25">
      <c r="A34" s="6">
        <v>350</v>
      </c>
      <c r="B34" s="8">
        <v>141.19999999999999</v>
      </c>
      <c r="C34" s="8">
        <v>865.3</v>
      </c>
      <c r="E34" s="6">
        <v>350</v>
      </c>
      <c r="F34" s="8">
        <v>197.7</v>
      </c>
      <c r="G34" s="8">
        <v>155</v>
      </c>
      <c r="I34" s="6">
        <v>350</v>
      </c>
      <c r="J34" s="8">
        <v>208.8</v>
      </c>
      <c r="K34" s="8">
        <v>15</v>
      </c>
    </row>
    <row r="35" spans="1:11" ht="15" customHeight="1" x14ac:dyDescent="0.25">
      <c r="A35" s="6">
        <v>400</v>
      </c>
      <c r="B35" s="8">
        <v>145.4</v>
      </c>
      <c r="C35" s="8">
        <v>860.5</v>
      </c>
      <c r="E35" s="6">
        <v>400</v>
      </c>
      <c r="F35" s="8">
        <v>198.5</v>
      </c>
      <c r="G35" s="8">
        <v>154.1</v>
      </c>
      <c r="I35" s="6">
        <v>400</v>
      </c>
      <c r="J35" s="8">
        <v>208.9</v>
      </c>
      <c r="K35" s="8">
        <v>15</v>
      </c>
    </row>
    <row r="36" spans="1:11" ht="15" customHeight="1" x14ac:dyDescent="0.25">
      <c r="A36" s="6">
        <v>450</v>
      </c>
      <c r="B36" s="8">
        <v>149.6</v>
      </c>
      <c r="C36" s="8">
        <v>855.7</v>
      </c>
      <c r="E36" s="6">
        <v>450</v>
      </c>
      <c r="F36" s="8">
        <v>199.2</v>
      </c>
      <c r="G36" s="8">
        <v>153.1</v>
      </c>
      <c r="I36" s="6">
        <v>450</v>
      </c>
      <c r="J36" s="8">
        <v>208.9</v>
      </c>
      <c r="K36" s="8">
        <v>14.9</v>
      </c>
    </row>
    <row r="37" spans="1:11" ht="15" customHeight="1" x14ac:dyDescent="0.25">
      <c r="A37" s="6">
        <v>500</v>
      </c>
      <c r="B37" s="8">
        <v>153.80000000000001</v>
      </c>
      <c r="C37" s="8">
        <v>851</v>
      </c>
      <c r="E37" s="6">
        <v>500</v>
      </c>
      <c r="F37" s="8">
        <v>200</v>
      </c>
      <c r="G37" s="8">
        <v>152.30000000000001</v>
      </c>
      <c r="I37" s="6">
        <v>500</v>
      </c>
      <c r="J37" s="8">
        <v>209</v>
      </c>
      <c r="K37" s="8">
        <v>14.8</v>
      </c>
    </row>
    <row r="38" spans="1:11" ht="15" customHeight="1" x14ac:dyDescent="0.25">
      <c r="A38" s="6">
        <v>550</v>
      </c>
      <c r="B38" s="8">
        <v>158</v>
      </c>
      <c r="C38" s="8">
        <v>846.3</v>
      </c>
      <c r="E38" s="6">
        <v>550</v>
      </c>
      <c r="F38" s="8">
        <v>200.7</v>
      </c>
      <c r="G38" s="8">
        <v>151.4</v>
      </c>
      <c r="I38" s="6">
        <v>550</v>
      </c>
      <c r="J38" s="8">
        <v>209.1</v>
      </c>
      <c r="K38" s="8">
        <v>14.8</v>
      </c>
    </row>
    <row r="39" spans="1:11" ht="15" customHeight="1" x14ac:dyDescent="0.25">
      <c r="A39" s="6">
        <v>600</v>
      </c>
      <c r="B39" s="8">
        <v>162.19999999999999</v>
      </c>
      <c r="C39" s="8">
        <v>841.7</v>
      </c>
      <c r="E39" s="6">
        <v>600</v>
      </c>
      <c r="F39" s="8">
        <v>201.4</v>
      </c>
      <c r="G39" s="8">
        <v>150.5</v>
      </c>
      <c r="I39" s="6">
        <v>600</v>
      </c>
      <c r="J39" s="8">
        <v>209.2</v>
      </c>
      <c r="K39" s="8">
        <v>14.7</v>
      </c>
    </row>
    <row r="40" spans="1:11" ht="15" customHeight="1" x14ac:dyDescent="0.25">
      <c r="A40" s="6">
        <v>650</v>
      </c>
      <c r="B40" s="8">
        <v>166.3</v>
      </c>
      <c r="C40" s="8">
        <v>837.1</v>
      </c>
      <c r="E40" s="6">
        <v>650</v>
      </c>
      <c r="F40" s="8">
        <v>202.2</v>
      </c>
      <c r="G40" s="8">
        <v>149.69999999999999</v>
      </c>
      <c r="I40" s="6">
        <v>650</v>
      </c>
      <c r="J40" s="8">
        <v>209.2</v>
      </c>
      <c r="K40" s="8">
        <v>14.6</v>
      </c>
    </row>
    <row r="41" spans="1:11" ht="15" customHeight="1" x14ac:dyDescent="0.25">
      <c r="A41" s="6">
        <v>700</v>
      </c>
      <c r="B41" s="8">
        <v>170.4</v>
      </c>
      <c r="C41" s="8">
        <v>832.6</v>
      </c>
      <c r="E41" s="6">
        <v>700</v>
      </c>
      <c r="F41" s="8">
        <v>202.9</v>
      </c>
      <c r="G41" s="8">
        <v>148.9</v>
      </c>
      <c r="I41" s="6">
        <v>700</v>
      </c>
      <c r="J41" s="8">
        <v>209.3</v>
      </c>
      <c r="K41" s="8">
        <v>14.6</v>
      </c>
    </row>
    <row r="42" spans="1:11" ht="15" customHeight="1" x14ac:dyDescent="0.25">
      <c r="A42" s="6">
        <v>750</v>
      </c>
      <c r="B42" s="8">
        <v>174.5</v>
      </c>
      <c r="C42" s="8">
        <v>828.2</v>
      </c>
      <c r="E42" s="6">
        <v>750</v>
      </c>
      <c r="F42" s="8">
        <v>203.7</v>
      </c>
      <c r="G42" s="8">
        <v>148.1</v>
      </c>
      <c r="I42" s="6">
        <v>750</v>
      </c>
      <c r="J42" s="8">
        <v>209.4</v>
      </c>
      <c r="K42" s="8">
        <v>14.5</v>
      </c>
    </row>
    <row r="43" spans="1:11" ht="15" customHeight="1" x14ac:dyDescent="0.25">
      <c r="A43" s="6">
        <v>800</v>
      </c>
      <c r="B43" s="8">
        <v>178.5</v>
      </c>
      <c r="C43" s="8">
        <v>823.8</v>
      </c>
      <c r="E43" s="6">
        <v>800</v>
      </c>
      <c r="F43" s="8">
        <v>204.4</v>
      </c>
      <c r="G43" s="8">
        <v>147.30000000000001</v>
      </c>
      <c r="I43" s="6">
        <v>800</v>
      </c>
      <c r="J43" s="8">
        <v>209.4</v>
      </c>
      <c r="K43" s="8">
        <v>14.5</v>
      </c>
    </row>
    <row r="44" spans="1:11" ht="15" customHeight="1" x14ac:dyDescent="0.25">
      <c r="A44" s="6">
        <v>850</v>
      </c>
      <c r="B44" s="8">
        <v>182.6</v>
      </c>
      <c r="C44" s="8">
        <v>819.4</v>
      </c>
      <c r="E44" s="6">
        <v>850</v>
      </c>
      <c r="F44" s="8">
        <v>205.1</v>
      </c>
      <c r="G44" s="8">
        <v>146.5</v>
      </c>
      <c r="I44" s="6">
        <v>850</v>
      </c>
      <c r="J44" s="8">
        <v>209.5</v>
      </c>
      <c r="K44" s="8">
        <v>14.4</v>
      </c>
    </row>
    <row r="45" spans="1:11" ht="15" customHeight="1" x14ac:dyDescent="0.25">
      <c r="A45" s="6">
        <v>900</v>
      </c>
      <c r="B45" s="8">
        <v>186.6</v>
      </c>
      <c r="C45" s="8">
        <v>815.1</v>
      </c>
      <c r="E45" s="6">
        <v>900</v>
      </c>
      <c r="F45" s="8">
        <v>205.8</v>
      </c>
      <c r="G45" s="8">
        <v>145.69999999999999</v>
      </c>
      <c r="I45" s="6">
        <v>900</v>
      </c>
      <c r="J45" s="8">
        <v>209.6</v>
      </c>
      <c r="K45" s="8">
        <v>14.3</v>
      </c>
    </row>
    <row r="46" spans="1:11" ht="15" customHeight="1" x14ac:dyDescent="0.25">
      <c r="A46" s="6">
        <v>950</v>
      </c>
      <c r="B46" s="8">
        <v>190.6</v>
      </c>
      <c r="C46" s="8">
        <v>810.9</v>
      </c>
      <c r="E46" s="6">
        <v>950</v>
      </c>
      <c r="F46" s="8">
        <v>206.5</v>
      </c>
      <c r="G46" s="8">
        <v>145</v>
      </c>
      <c r="I46" s="6">
        <v>950</v>
      </c>
      <c r="J46" s="8">
        <v>209.7</v>
      </c>
      <c r="K46" s="8">
        <v>14.3</v>
      </c>
    </row>
    <row r="47" spans="1:11" ht="15" customHeight="1" x14ac:dyDescent="0.25">
      <c r="A47" s="6">
        <v>1000</v>
      </c>
      <c r="B47" s="8">
        <v>194.6</v>
      </c>
      <c r="C47" s="8">
        <v>806.8</v>
      </c>
      <c r="E47" s="6">
        <v>1000</v>
      </c>
      <c r="F47" s="8">
        <v>207.2</v>
      </c>
      <c r="G47" s="8">
        <v>144.19999999999999</v>
      </c>
      <c r="I47" s="6">
        <v>1000</v>
      </c>
      <c r="J47" s="8">
        <v>209.7</v>
      </c>
      <c r="K47" s="8">
        <v>14.2</v>
      </c>
    </row>
    <row r="48" spans="1:11" ht="15" customHeight="1" x14ac:dyDescent="0.25">
      <c r="A48" s="6">
        <v>1050</v>
      </c>
      <c r="B48" s="8">
        <v>198.5</v>
      </c>
      <c r="C48" s="8">
        <v>802.7</v>
      </c>
      <c r="E48" s="6">
        <v>1050</v>
      </c>
      <c r="F48" s="8">
        <v>208</v>
      </c>
      <c r="G48" s="8">
        <v>143.5</v>
      </c>
      <c r="I48" s="6">
        <v>1050</v>
      </c>
      <c r="J48" s="8">
        <v>209.8</v>
      </c>
      <c r="K48" s="8">
        <v>14.2</v>
      </c>
    </row>
    <row r="49" spans="1:11" ht="15" customHeight="1" x14ac:dyDescent="0.25">
      <c r="A49" s="6">
        <v>1100</v>
      </c>
      <c r="B49" s="8">
        <v>202.5</v>
      </c>
      <c r="C49" s="8">
        <v>798.6</v>
      </c>
      <c r="E49" s="6">
        <v>1100</v>
      </c>
      <c r="F49" s="8">
        <v>208.7</v>
      </c>
      <c r="G49" s="8">
        <v>142.80000000000001</v>
      </c>
      <c r="I49" s="6">
        <v>1100</v>
      </c>
      <c r="J49" s="8">
        <v>209.9</v>
      </c>
      <c r="K49" s="8">
        <v>14.1</v>
      </c>
    </row>
    <row r="50" spans="1:11" ht="15" customHeight="1" x14ac:dyDescent="0.25">
      <c r="A50" s="6">
        <v>1150</v>
      </c>
      <c r="B50" s="8">
        <v>206.4</v>
      </c>
      <c r="C50" s="8">
        <v>794.7</v>
      </c>
      <c r="E50" s="6">
        <v>1150</v>
      </c>
      <c r="F50" s="8">
        <v>209.4</v>
      </c>
      <c r="G50" s="8">
        <v>142.1</v>
      </c>
      <c r="I50" s="6">
        <v>1150</v>
      </c>
      <c r="J50" s="8">
        <v>209.9</v>
      </c>
      <c r="K50" s="8">
        <v>14.1</v>
      </c>
    </row>
    <row r="51" spans="1:11" ht="15" customHeight="1" x14ac:dyDescent="0.25">
      <c r="A51" s="6">
        <v>1200</v>
      </c>
      <c r="B51" s="8">
        <v>210.3</v>
      </c>
      <c r="C51" s="8">
        <v>790.7</v>
      </c>
      <c r="E51" s="6">
        <v>1200</v>
      </c>
      <c r="F51" s="8">
        <v>210.1</v>
      </c>
      <c r="G51" s="8">
        <v>141.4</v>
      </c>
      <c r="I51" s="6">
        <v>1200</v>
      </c>
      <c r="J51" s="8">
        <v>210</v>
      </c>
      <c r="K51" s="8">
        <v>14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3"/>
  <sheetViews>
    <sheetView topLeftCell="B1" zoomScaleNormal="100" workbookViewId="0"/>
  </sheetViews>
  <sheetFormatPr baseColWidth="10" defaultColWidth="8.7109375" defaultRowHeight="15" x14ac:dyDescent="0.25"/>
  <cols>
    <col min="1" max="1" width="16" customWidth="1"/>
    <col min="2" max="2" width="44" customWidth="1"/>
    <col min="3" max="3" width="13" customWidth="1"/>
    <col min="4" max="4" width="20" customWidth="1"/>
    <col min="5" max="5" width="24" customWidth="1"/>
    <col min="6" max="6" width="18" customWidth="1"/>
    <col min="7" max="7" width="13" customWidth="1"/>
    <col min="8" max="8" width="14" customWidth="1"/>
    <col min="9" max="9" width="20" customWidth="1"/>
  </cols>
  <sheetData>
    <row r="1" spans="1:9" ht="17.25" customHeight="1" x14ac:dyDescent="0.25">
      <c r="A1" s="1" t="s">
        <v>241</v>
      </c>
    </row>
    <row r="2" spans="1:9" ht="15" customHeight="1" x14ac:dyDescent="0.25">
      <c r="A2" s="2" t="s">
        <v>242</v>
      </c>
    </row>
    <row r="3" spans="1:9" ht="15" customHeight="1" x14ac:dyDescent="0.25">
      <c r="A3" s="16" t="s">
        <v>243</v>
      </c>
    </row>
    <row r="4" spans="1:9" ht="15" customHeight="1" x14ac:dyDescent="0.25">
      <c r="A4" s="2" t="s">
        <v>244</v>
      </c>
    </row>
    <row r="6" spans="1:9" ht="15" customHeight="1" x14ac:dyDescent="0.25">
      <c r="A6" s="4" t="s">
        <v>245</v>
      </c>
    </row>
    <row r="7" spans="1:9" ht="15" customHeight="1" x14ac:dyDescent="0.25">
      <c r="A7" s="20" t="s">
        <v>246</v>
      </c>
      <c r="B7" s="22">
        <v>650000</v>
      </c>
      <c r="C7" s="2" t="s">
        <v>247</v>
      </c>
      <c r="D7" s="2" t="s">
        <v>248</v>
      </c>
    </row>
    <row r="8" spans="1:9" ht="15" customHeight="1" x14ac:dyDescent="0.25">
      <c r="A8" s="20" t="s">
        <v>249</v>
      </c>
      <c r="B8" s="22">
        <v>210</v>
      </c>
      <c r="C8" s="2" t="s">
        <v>117</v>
      </c>
      <c r="D8" s="2" t="s">
        <v>250</v>
      </c>
    </row>
    <row r="9" spans="1:9" ht="15" customHeight="1" x14ac:dyDescent="0.25">
      <c r="A9" s="20" t="s">
        <v>251</v>
      </c>
      <c r="B9" s="22">
        <v>50</v>
      </c>
      <c r="C9" s="2" t="s">
        <v>121</v>
      </c>
      <c r="D9" s="2" t="s">
        <v>252</v>
      </c>
    </row>
    <row r="10" spans="1:9" ht="15" customHeight="1" x14ac:dyDescent="0.25">
      <c r="A10" s="20" t="s">
        <v>253</v>
      </c>
      <c r="B10" s="22" t="s">
        <v>254</v>
      </c>
      <c r="C10" s="2"/>
      <c r="D10" s="2" t="s">
        <v>255</v>
      </c>
    </row>
    <row r="12" spans="1:9" ht="15" customHeight="1" x14ac:dyDescent="0.25">
      <c r="A12" s="5" t="s">
        <v>256</v>
      </c>
      <c r="B12" s="5" t="s">
        <v>257</v>
      </c>
      <c r="C12" s="5" t="s">
        <v>240</v>
      </c>
      <c r="D12" s="5" t="s">
        <v>258</v>
      </c>
      <c r="E12" s="5" t="s">
        <v>259</v>
      </c>
      <c r="F12" s="5" t="s">
        <v>260</v>
      </c>
      <c r="G12" s="5" t="s">
        <v>240</v>
      </c>
      <c r="H12" s="5" t="s">
        <v>258</v>
      </c>
      <c r="I12" s="5" t="s">
        <v>259</v>
      </c>
    </row>
    <row r="13" spans="1:9" ht="15" customHeight="1" x14ac:dyDescent="0.25">
      <c r="A13" s="8">
        <v>70</v>
      </c>
      <c r="B13" s="6">
        <v>50</v>
      </c>
      <c r="C13" s="8">
        <v>172</v>
      </c>
      <c r="D13" s="6">
        <v>111.8</v>
      </c>
      <c r="E13" s="6">
        <f t="shared" ref="E13:E27" si="0">($D$27-D13)/$D$27*100</f>
        <v>78.391959798994975</v>
      </c>
      <c r="F13" s="8">
        <v>31.8</v>
      </c>
      <c r="G13" s="8">
        <v>243.2</v>
      </c>
      <c r="H13" s="6">
        <v>158</v>
      </c>
      <c r="I13" s="6">
        <f t="shared" ref="I13:I27" si="1">($H$27-H13)/$H$27*100</f>
        <v>68.343017431376467</v>
      </c>
    </row>
    <row r="14" spans="1:9" ht="15" customHeight="1" x14ac:dyDescent="0.25">
      <c r="A14" s="8">
        <v>73.8</v>
      </c>
      <c r="B14" s="6">
        <v>50</v>
      </c>
      <c r="C14" s="8">
        <v>188.4</v>
      </c>
      <c r="D14" s="6">
        <v>122.5</v>
      </c>
      <c r="E14" s="6">
        <f t="shared" si="0"/>
        <v>76.32392732895245</v>
      </c>
      <c r="F14" s="8">
        <v>32.5</v>
      </c>
      <c r="G14" s="8">
        <v>295.5</v>
      </c>
      <c r="H14" s="6">
        <v>192.1</v>
      </c>
      <c r="I14" s="6">
        <f t="shared" si="1"/>
        <v>61.510719294730507</v>
      </c>
    </row>
    <row r="15" spans="1:9" ht="15" customHeight="1" x14ac:dyDescent="0.25">
      <c r="A15" s="8">
        <v>80</v>
      </c>
      <c r="B15" s="6">
        <v>50</v>
      </c>
      <c r="C15" s="8">
        <v>219.2</v>
      </c>
      <c r="D15" s="6">
        <v>142.5</v>
      </c>
      <c r="E15" s="6">
        <f t="shared" si="0"/>
        <v>72.458446076536532</v>
      </c>
      <c r="F15" s="8">
        <v>33.5</v>
      </c>
      <c r="G15" s="8">
        <v>586.29999999999995</v>
      </c>
      <c r="H15" s="6">
        <v>381.1</v>
      </c>
      <c r="I15" s="6">
        <f t="shared" si="1"/>
        <v>23.642556601883388</v>
      </c>
    </row>
    <row r="16" spans="1:9" ht="15" customHeight="1" x14ac:dyDescent="0.25">
      <c r="A16" s="8">
        <v>90</v>
      </c>
      <c r="B16" s="6">
        <v>50</v>
      </c>
      <c r="C16" s="8">
        <v>285</v>
      </c>
      <c r="D16" s="6">
        <v>185.2</v>
      </c>
      <c r="E16" s="6">
        <f t="shared" si="0"/>
        <v>64.205643602628527</v>
      </c>
      <c r="F16" s="8">
        <v>35.200000000000003</v>
      </c>
      <c r="G16" s="8">
        <v>658.8</v>
      </c>
      <c r="H16" s="6">
        <v>428.2</v>
      </c>
      <c r="I16" s="6">
        <f t="shared" si="1"/>
        <v>14.205570026046891</v>
      </c>
    </row>
    <row r="17" spans="1:9" ht="15" customHeight="1" x14ac:dyDescent="0.25">
      <c r="A17" s="8">
        <v>100</v>
      </c>
      <c r="B17" s="6">
        <v>50</v>
      </c>
      <c r="C17" s="8">
        <v>384.3</v>
      </c>
      <c r="D17" s="6">
        <v>249.8</v>
      </c>
      <c r="E17" s="6">
        <f t="shared" si="0"/>
        <v>51.720139157325086</v>
      </c>
      <c r="F17" s="8">
        <v>36.799999999999997</v>
      </c>
      <c r="G17" s="8">
        <v>686.5</v>
      </c>
      <c r="H17" s="6">
        <v>446.2</v>
      </c>
      <c r="I17" s="6">
        <f t="shared" si="1"/>
        <v>10.599078341013831</v>
      </c>
    </row>
    <row r="18" spans="1:9" ht="15" customHeight="1" x14ac:dyDescent="0.25">
      <c r="A18" s="8">
        <v>110</v>
      </c>
      <c r="B18" s="6">
        <v>50</v>
      </c>
      <c r="C18" s="8">
        <v>502.6</v>
      </c>
      <c r="D18" s="6">
        <v>326.7</v>
      </c>
      <c r="E18" s="6">
        <f t="shared" si="0"/>
        <v>36.857363741785854</v>
      </c>
      <c r="F18" s="8">
        <v>38.5</v>
      </c>
      <c r="G18" s="8">
        <v>703.9</v>
      </c>
      <c r="H18" s="6">
        <v>457.5</v>
      </c>
      <c r="I18" s="6">
        <f t="shared" si="1"/>
        <v>8.3350030054097406</v>
      </c>
    </row>
    <row r="19" spans="1:9" ht="15" customHeight="1" x14ac:dyDescent="0.25">
      <c r="A19" s="8">
        <v>120</v>
      </c>
      <c r="B19" s="6">
        <v>50</v>
      </c>
      <c r="C19" s="8">
        <v>584.70000000000005</v>
      </c>
      <c r="D19" s="6">
        <v>380.1</v>
      </c>
      <c r="E19" s="6">
        <f t="shared" si="0"/>
        <v>26.536528797835324</v>
      </c>
      <c r="F19" s="8">
        <v>40.1</v>
      </c>
      <c r="G19" s="8">
        <v>716.5</v>
      </c>
      <c r="H19" s="6">
        <v>465.7</v>
      </c>
      <c r="I19" s="6">
        <f t="shared" si="1"/>
        <v>6.6920456822280165</v>
      </c>
    </row>
    <row r="20" spans="1:9" ht="15" customHeight="1" x14ac:dyDescent="0.25">
      <c r="A20" s="8">
        <v>130</v>
      </c>
      <c r="B20" s="6">
        <v>50</v>
      </c>
      <c r="C20" s="8">
        <v>636.1</v>
      </c>
      <c r="D20" s="6">
        <v>413.5</v>
      </c>
      <c r="E20" s="6">
        <f t="shared" si="0"/>
        <v>20.08117510630073</v>
      </c>
      <c r="F20" s="8">
        <v>41.8</v>
      </c>
      <c r="G20" s="8">
        <v>726.4</v>
      </c>
      <c r="H20" s="6">
        <v>472.2</v>
      </c>
      <c r="I20" s="6">
        <f t="shared" si="1"/>
        <v>5.3897014626327451</v>
      </c>
    </row>
    <row r="21" spans="1:9" ht="15" customHeight="1" x14ac:dyDescent="0.25">
      <c r="A21" s="8">
        <v>140</v>
      </c>
      <c r="B21" s="6">
        <v>50</v>
      </c>
      <c r="C21" s="8">
        <v>672.2</v>
      </c>
      <c r="D21" s="6">
        <v>436.9</v>
      </c>
      <c r="E21" s="6">
        <f t="shared" si="0"/>
        <v>15.558562040974103</v>
      </c>
      <c r="F21" s="8">
        <v>43.4</v>
      </c>
      <c r="G21" s="8">
        <v>734.5</v>
      </c>
      <c r="H21" s="6">
        <v>477.5</v>
      </c>
      <c r="I21" s="6">
        <f t="shared" si="1"/>
        <v>4.3277900220396761</v>
      </c>
    </row>
    <row r="22" spans="1:9" ht="15" customHeight="1" x14ac:dyDescent="0.25">
      <c r="A22" s="8">
        <v>150</v>
      </c>
      <c r="B22" s="6">
        <v>50</v>
      </c>
      <c r="C22" s="8">
        <v>699.8</v>
      </c>
      <c r="D22" s="6">
        <v>454.8</v>
      </c>
      <c r="E22" s="6">
        <f t="shared" si="0"/>
        <v>12.098956320061841</v>
      </c>
      <c r="F22" s="8">
        <v>45.1</v>
      </c>
      <c r="G22" s="8">
        <v>741.4</v>
      </c>
      <c r="H22" s="6">
        <v>481.9</v>
      </c>
      <c r="I22" s="6">
        <f t="shared" si="1"/>
        <v>3.4462031656982659</v>
      </c>
    </row>
    <row r="23" spans="1:9" ht="15" customHeight="1" x14ac:dyDescent="0.25">
      <c r="A23" s="8">
        <v>166.5</v>
      </c>
      <c r="B23" s="6">
        <v>50</v>
      </c>
      <c r="C23" s="8">
        <v>734.6</v>
      </c>
      <c r="D23" s="6">
        <v>477.5</v>
      </c>
      <c r="E23" s="6">
        <f t="shared" si="0"/>
        <v>7.7116350985697677</v>
      </c>
      <c r="F23" s="8">
        <v>47.8</v>
      </c>
      <c r="G23" s="8">
        <v>750.6</v>
      </c>
      <c r="H23" s="6">
        <v>487.9</v>
      </c>
      <c r="I23" s="6">
        <f t="shared" si="1"/>
        <v>2.2440392706872458</v>
      </c>
    </row>
    <row r="24" spans="1:9" ht="15" customHeight="1" x14ac:dyDescent="0.25">
      <c r="A24" s="8">
        <v>180</v>
      </c>
      <c r="B24" s="6">
        <v>50</v>
      </c>
      <c r="C24" s="8">
        <v>757.1</v>
      </c>
      <c r="D24" s="6">
        <v>492.1</v>
      </c>
      <c r="E24" s="6">
        <f t="shared" si="0"/>
        <v>4.8898337843061377</v>
      </c>
      <c r="F24" s="8">
        <v>50</v>
      </c>
      <c r="G24" s="8">
        <v>756.9</v>
      </c>
      <c r="H24" s="6">
        <v>492</v>
      </c>
      <c r="I24" s="6">
        <f t="shared" si="1"/>
        <v>1.422560609096378</v>
      </c>
    </row>
    <row r="25" spans="1:9" ht="15" customHeight="1" x14ac:dyDescent="0.25">
      <c r="A25" s="8">
        <v>190</v>
      </c>
      <c r="B25" s="6">
        <v>50</v>
      </c>
      <c r="C25" s="8">
        <v>771.5</v>
      </c>
      <c r="D25" s="6">
        <v>501.4</v>
      </c>
      <c r="E25" s="6">
        <f t="shared" si="0"/>
        <v>3.0923850019327408</v>
      </c>
      <c r="F25" s="8">
        <v>51.7</v>
      </c>
      <c r="G25" s="8">
        <v>760.9</v>
      </c>
      <c r="H25" s="6">
        <v>494.6</v>
      </c>
      <c r="I25" s="6">
        <f t="shared" si="1"/>
        <v>0.90162292125826482</v>
      </c>
    </row>
    <row r="26" spans="1:9" ht="15" customHeight="1" x14ac:dyDescent="0.25">
      <c r="A26" s="8">
        <v>200</v>
      </c>
      <c r="B26" s="6">
        <v>50</v>
      </c>
      <c r="C26" s="8">
        <v>784.3</v>
      </c>
      <c r="D26" s="6">
        <v>509.8</v>
      </c>
      <c r="E26" s="6">
        <f t="shared" si="0"/>
        <v>1.4688828759180452</v>
      </c>
      <c r="F26" s="8">
        <v>53.3</v>
      </c>
      <c r="G26" s="8">
        <v>764.6</v>
      </c>
      <c r="H26" s="6">
        <v>497</v>
      </c>
      <c r="I26" s="6">
        <f t="shared" si="1"/>
        <v>0.42075736325386143</v>
      </c>
    </row>
    <row r="27" spans="1:9" ht="15" customHeight="1" x14ac:dyDescent="0.25">
      <c r="A27" s="8">
        <v>210</v>
      </c>
      <c r="B27" s="6">
        <v>50</v>
      </c>
      <c r="C27" s="8">
        <v>795.9</v>
      </c>
      <c r="D27" s="6">
        <v>517.4</v>
      </c>
      <c r="E27" s="6">
        <f t="shared" si="0"/>
        <v>0</v>
      </c>
      <c r="F27" s="8">
        <v>55</v>
      </c>
      <c r="G27" s="8">
        <v>767.9</v>
      </c>
      <c r="H27" s="6">
        <v>499.1</v>
      </c>
      <c r="I27" s="6">
        <f t="shared" si="1"/>
        <v>0</v>
      </c>
    </row>
    <row r="29" spans="1:9" ht="15" customHeight="1" x14ac:dyDescent="0.25">
      <c r="A29" s="4" t="s">
        <v>261</v>
      </c>
    </row>
    <row r="30" spans="1:9" ht="15" customHeight="1" x14ac:dyDescent="0.25">
      <c r="A30" s="5" t="s">
        <v>262</v>
      </c>
      <c r="B30" s="5" t="s">
        <v>263</v>
      </c>
      <c r="C30" s="5" t="s">
        <v>264</v>
      </c>
      <c r="D30" s="5" t="s">
        <v>265</v>
      </c>
      <c r="E30" s="5" t="s">
        <v>266</v>
      </c>
      <c r="F30" s="5" t="s">
        <v>267</v>
      </c>
    </row>
    <row r="31" spans="1:9" ht="15" customHeight="1" x14ac:dyDescent="0.25">
      <c r="A31" s="33" t="s">
        <v>268</v>
      </c>
      <c r="B31" s="10" t="s">
        <v>269</v>
      </c>
      <c r="C31" s="8">
        <v>166.5</v>
      </c>
      <c r="D31" s="8">
        <v>7.7</v>
      </c>
      <c r="E31" s="8">
        <v>2.2000000000000002</v>
      </c>
      <c r="F31" s="34" t="s">
        <v>270</v>
      </c>
    </row>
    <row r="32" spans="1:9" ht="15" customHeight="1" x14ac:dyDescent="0.25">
      <c r="A32" s="33" t="s">
        <v>271</v>
      </c>
      <c r="B32" s="10" t="s">
        <v>272</v>
      </c>
      <c r="C32" s="8">
        <v>73.8</v>
      </c>
      <c r="D32" s="8">
        <v>76.3</v>
      </c>
      <c r="E32" s="8">
        <v>61.5</v>
      </c>
      <c r="F32" s="10" t="s">
        <v>273</v>
      </c>
    </row>
    <row r="33" spans="1:6" ht="15" customHeight="1" x14ac:dyDescent="0.25">
      <c r="A33" s="33" t="s">
        <v>274</v>
      </c>
      <c r="B33" s="10" t="s">
        <v>275</v>
      </c>
      <c r="C33" s="8">
        <v>70</v>
      </c>
      <c r="D33" s="8">
        <v>78.400000000000006</v>
      </c>
      <c r="E33" s="8">
        <v>68.3</v>
      </c>
      <c r="F33" s="10" t="s">
        <v>276</v>
      </c>
    </row>
    <row r="34" spans="1:6" ht="15" customHeight="1" x14ac:dyDescent="0.25">
      <c r="A34" s="3" t="s">
        <v>277</v>
      </c>
    </row>
    <row r="35" spans="1:6" ht="15" customHeight="1" x14ac:dyDescent="0.25">
      <c r="A35" s="16" t="s">
        <v>278</v>
      </c>
    </row>
    <row r="36" spans="1:6" ht="15" customHeight="1" x14ac:dyDescent="0.25">
      <c r="A36" s="14" t="s">
        <v>279</v>
      </c>
    </row>
    <row r="38" spans="1:6" ht="15" customHeight="1" x14ac:dyDescent="0.25">
      <c r="A38" s="4" t="s">
        <v>280</v>
      </c>
    </row>
    <row r="39" spans="1:6" ht="15" customHeight="1" x14ac:dyDescent="0.25">
      <c r="A39" s="5" t="s">
        <v>281</v>
      </c>
      <c r="B39" s="5" t="s">
        <v>282</v>
      </c>
      <c r="C39" s="5" t="s">
        <v>283</v>
      </c>
      <c r="D39" s="5" t="s">
        <v>284</v>
      </c>
      <c r="E39" s="5" t="s">
        <v>285</v>
      </c>
    </row>
    <row r="40" spans="1:6" ht="64.5" customHeight="1" x14ac:dyDescent="0.25">
      <c r="A40" s="35" t="s">
        <v>286</v>
      </c>
      <c r="B40" s="36" t="s">
        <v>287</v>
      </c>
      <c r="C40" s="36" t="s">
        <v>288</v>
      </c>
      <c r="D40" s="36" t="s">
        <v>289</v>
      </c>
      <c r="E40" s="36" t="s">
        <v>290</v>
      </c>
    </row>
    <row r="41" spans="1:6" ht="90" customHeight="1" x14ac:dyDescent="0.25">
      <c r="A41" s="37" t="s">
        <v>291</v>
      </c>
      <c r="B41" s="36" t="s">
        <v>292</v>
      </c>
      <c r="C41" s="36" t="s">
        <v>293</v>
      </c>
      <c r="D41" s="36" t="s">
        <v>294</v>
      </c>
      <c r="E41" s="36" t="s">
        <v>295</v>
      </c>
    </row>
    <row r="43" spans="1:6" ht="15" customHeight="1" x14ac:dyDescent="0.25">
      <c r="A43" s="3" t="s">
        <v>296</v>
      </c>
    </row>
    <row r="45" spans="1:6" ht="15" customHeight="1" x14ac:dyDescent="0.25">
      <c r="A45" s="4" t="s">
        <v>297</v>
      </c>
    </row>
    <row r="46" spans="1:6" ht="15" customHeight="1" x14ac:dyDescent="0.25">
      <c r="A46" s="2" t="s">
        <v>298</v>
      </c>
    </row>
    <row r="47" spans="1:6" ht="15" customHeight="1" x14ac:dyDescent="0.25">
      <c r="A47" s="2" t="s">
        <v>299</v>
      </c>
    </row>
    <row r="48" spans="1:6" ht="15" customHeight="1" x14ac:dyDescent="0.25">
      <c r="A48" s="2" t="s">
        <v>300</v>
      </c>
    </row>
    <row r="49" spans="1:6" ht="15" customHeight="1" x14ac:dyDescent="0.25">
      <c r="A49" s="2" t="s">
        <v>301</v>
      </c>
    </row>
    <row r="50" spans="1:6" ht="15" customHeight="1" x14ac:dyDescent="0.25">
      <c r="A50" s="2" t="s">
        <v>302</v>
      </c>
    </row>
    <row r="53" spans="1:6" ht="15" customHeight="1" x14ac:dyDescent="0.25">
      <c r="A53" s="4" t="s">
        <v>303</v>
      </c>
    </row>
    <row r="54" spans="1:6" ht="15" customHeight="1" x14ac:dyDescent="0.25">
      <c r="A54" s="2" t="s">
        <v>304</v>
      </c>
    </row>
    <row r="55" spans="1:6" ht="15" customHeight="1" x14ac:dyDescent="0.25">
      <c r="A55" s="5" t="s">
        <v>305</v>
      </c>
      <c r="B55" s="5" t="s">
        <v>256</v>
      </c>
      <c r="C55" s="5" t="s">
        <v>226</v>
      </c>
      <c r="D55" s="5" t="s">
        <v>283</v>
      </c>
      <c r="E55" s="5" t="s">
        <v>306</v>
      </c>
      <c r="F55" s="5" t="s">
        <v>284</v>
      </c>
    </row>
    <row r="56" spans="1:6" ht="39" customHeight="1" x14ac:dyDescent="0.25">
      <c r="A56" s="9" t="s">
        <v>307</v>
      </c>
      <c r="B56" s="6" t="s">
        <v>308</v>
      </c>
      <c r="C56" s="6" t="s">
        <v>309</v>
      </c>
      <c r="D56" s="36" t="s">
        <v>310</v>
      </c>
      <c r="E56" s="36" t="s">
        <v>311</v>
      </c>
      <c r="F56" s="36" t="s">
        <v>312</v>
      </c>
    </row>
    <row r="57" spans="1:6" ht="51.75" customHeight="1" x14ac:dyDescent="0.25">
      <c r="A57" s="38" t="s">
        <v>313</v>
      </c>
      <c r="B57" s="6" t="s">
        <v>314</v>
      </c>
      <c r="C57" s="6" t="s">
        <v>315</v>
      </c>
      <c r="D57" s="36" t="s">
        <v>316</v>
      </c>
      <c r="E57" s="36" t="s">
        <v>317</v>
      </c>
      <c r="F57" s="36" t="s">
        <v>318</v>
      </c>
    </row>
    <row r="58" spans="1:6" ht="64.5" customHeight="1" x14ac:dyDescent="0.25">
      <c r="A58" s="18" t="s">
        <v>319</v>
      </c>
      <c r="B58" s="6" t="s">
        <v>320</v>
      </c>
      <c r="C58" s="6" t="s">
        <v>321</v>
      </c>
      <c r="D58" s="36" t="s">
        <v>322</v>
      </c>
      <c r="E58" s="36" t="s">
        <v>323</v>
      </c>
      <c r="F58" s="36" t="s">
        <v>324</v>
      </c>
    </row>
    <row r="60" spans="1:6" ht="15" customHeight="1" x14ac:dyDescent="0.25">
      <c r="A60" s="2" t="s">
        <v>325</v>
      </c>
    </row>
    <row r="61" spans="1:6" ht="15" customHeight="1" x14ac:dyDescent="0.25">
      <c r="A61" s="16" t="s">
        <v>326</v>
      </c>
    </row>
    <row r="62" spans="1:6" ht="15" customHeight="1" x14ac:dyDescent="0.25">
      <c r="A62" s="16" t="s">
        <v>327</v>
      </c>
    </row>
    <row r="63" spans="1:6" ht="15" customHeight="1" x14ac:dyDescent="0.25">
      <c r="A63" s="3" t="s">
        <v>328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60"/>
  <sheetViews>
    <sheetView zoomScaleNormal="100" workbookViewId="0"/>
  </sheetViews>
  <sheetFormatPr baseColWidth="10" defaultColWidth="8.7109375" defaultRowHeight="15" x14ac:dyDescent="0.25"/>
  <cols>
    <col min="1" max="1" width="34" customWidth="1"/>
    <col min="2" max="2" width="26" customWidth="1"/>
    <col min="3" max="3" width="34" customWidth="1"/>
    <col min="4" max="4" width="40" customWidth="1"/>
    <col min="5" max="5" width="18" customWidth="1"/>
    <col min="6" max="6" width="16" customWidth="1"/>
  </cols>
  <sheetData>
    <row r="1" spans="1:6" ht="18" x14ac:dyDescent="0.25">
      <c r="A1" s="1" t="s">
        <v>329</v>
      </c>
    </row>
    <row r="2" spans="1:6" x14ac:dyDescent="0.25">
      <c r="A2" s="2" t="s">
        <v>330</v>
      </c>
    </row>
    <row r="3" spans="1:6" x14ac:dyDescent="0.25">
      <c r="A3" s="2" t="s">
        <v>331</v>
      </c>
    </row>
    <row r="5" spans="1:6" ht="15.75" x14ac:dyDescent="0.25">
      <c r="A5" s="4" t="s">
        <v>332</v>
      </c>
    </row>
    <row r="6" spans="1:6" x14ac:dyDescent="0.25">
      <c r="A6" s="5" t="s">
        <v>333</v>
      </c>
      <c r="B6" s="5" t="s">
        <v>334</v>
      </c>
      <c r="C6" s="5" t="s">
        <v>335</v>
      </c>
      <c r="D6" s="5" t="s">
        <v>336</v>
      </c>
      <c r="E6" s="5" t="s">
        <v>337</v>
      </c>
      <c r="F6" s="5" t="s">
        <v>338</v>
      </c>
    </row>
    <row r="7" spans="1:6" x14ac:dyDescent="0.25">
      <c r="A7" s="19" t="s">
        <v>339</v>
      </c>
      <c r="B7" s="8">
        <v>55</v>
      </c>
      <c r="C7" s="8">
        <v>56.8</v>
      </c>
      <c r="D7" s="8">
        <v>45.5</v>
      </c>
      <c r="E7" s="8">
        <v>118.2</v>
      </c>
      <c r="F7" s="8">
        <v>74.2</v>
      </c>
    </row>
    <row r="8" spans="1:6" x14ac:dyDescent="0.25">
      <c r="A8" s="19" t="s">
        <v>340</v>
      </c>
      <c r="B8" s="8">
        <v>234</v>
      </c>
      <c r="C8" s="8">
        <v>14.3</v>
      </c>
      <c r="D8" s="8">
        <v>28.7</v>
      </c>
      <c r="E8" s="8">
        <v>226.9</v>
      </c>
      <c r="F8" s="8">
        <v>50.4</v>
      </c>
    </row>
    <row r="9" spans="1:6" x14ac:dyDescent="0.25">
      <c r="A9" s="2" t="s">
        <v>341</v>
      </c>
    </row>
    <row r="10" spans="1:6" x14ac:dyDescent="0.25">
      <c r="A10" s="14" t="s">
        <v>342</v>
      </c>
    </row>
    <row r="11" spans="1:6" x14ac:dyDescent="0.25">
      <c r="A11" s="14" t="s">
        <v>343</v>
      </c>
    </row>
    <row r="12" spans="1:6" x14ac:dyDescent="0.25">
      <c r="A12" s="3" t="s">
        <v>344</v>
      </c>
    </row>
    <row r="13" spans="1:6" x14ac:dyDescent="0.25">
      <c r="A13" s="20" t="s">
        <v>345</v>
      </c>
    </row>
    <row r="14" spans="1:6" x14ac:dyDescent="0.25">
      <c r="A14" s="16" t="s">
        <v>346</v>
      </c>
    </row>
    <row r="16" spans="1:6" ht="15.75" x14ac:dyDescent="0.25">
      <c r="A16" s="4" t="s">
        <v>347</v>
      </c>
    </row>
    <row r="17" spans="1:4" x14ac:dyDescent="0.25">
      <c r="A17" s="5" t="s">
        <v>348</v>
      </c>
      <c r="B17" s="5" t="s">
        <v>349</v>
      </c>
      <c r="C17" s="5" t="s">
        <v>350</v>
      </c>
      <c r="D17" s="5" t="s">
        <v>351</v>
      </c>
    </row>
    <row r="18" spans="1:4" ht="30" x14ac:dyDescent="0.25">
      <c r="A18" s="36" t="s">
        <v>352</v>
      </c>
      <c r="B18" s="36" t="s">
        <v>353</v>
      </c>
      <c r="C18" s="35" t="s">
        <v>354</v>
      </c>
      <c r="D18" s="36" t="s">
        <v>355</v>
      </c>
    </row>
    <row r="19" spans="1:4" ht="30" x14ac:dyDescent="0.25">
      <c r="A19" s="36" t="s">
        <v>356</v>
      </c>
      <c r="B19" s="36" t="s">
        <v>357</v>
      </c>
      <c r="C19" s="37" t="s">
        <v>358</v>
      </c>
      <c r="D19" s="36" t="s">
        <v>359</v>
      </c>
    </row>
    <row r="21" spans="1:4" ht="15.75" x14ac:dyDescent="0.25">
      <c r="A21" s="4" t="s">
        <v>360</v>
      </c>
    </row>
    <row r="22" spans="1:4" x14ac:dyDescent="0.25">
      <c r="A22" s="5" t="s">
        <v>361</v>
      </c>
      <c r="B22" s="5" t="s">
        <v>362</v>
      </c>
      <c r="C22" s="5" t="s">
        <v>363</v>
      </c>
      <c r="D22" s="5" t="s">
        <v>364</v>
      </c>
    </row>
    <row r="23" spans="1:4" x14ac:dyDescent="0.25">
      <c r="A23" s="39" t="s">
        <v>365</v>
      </c>
      <c r="B23" s="36" t="s">
        <v>366</v>
      </c>
      <c r="C23" s="36" t="s">
        <v>367</v>
      </c>
      <c r="D23" s="36" t="s">
        <v>368</v>
      </c>
    </row>
    <row r="24" spans="1:4" ht="28.5" x14ac:dyDescent="0.25">
      <c r="A24" s="39" t="s">
        <v>369</v>
      </c>
      <c r="B24" s="36" t="s">
        <v>370</v>
      </c>
      <c r="C24" s="36" t="s">
        <v>371</v>
      </c>
      <c r="D24" s="36" t="s">
        <v>372</v>
      </c>
    </row>
    <row r="25" spans="1:4" ht="28.5" x14ac:dyDescent="0.25">
      <c r="A25" s="39" t="s">
        <v>373</v>
      </c>
      <c r="B25" s="36" t="s">
        <v>374</v>
      </c>
      <c r="C25" s="36" t="s">
        <v>375</v>
      </c>
      <c r="D25" s="36" t="s">
        <v>376</v>
      </c>
    </row>
    <row r="26" spans="1:4" ht="28.5" x14ac:dyDescent="0.25">
      <c r="A26" s="39" t="s">
        <v>377</v>
      </c>
      <c r="B26" s="36" t="s">
        <v>378</v>
      </c>
      <c r="C26" s="36" t="s">
        <v>379</v>
      </c>
      <c r="D26" s="36" t="s">
        <v>380</v>
      </c>
    </row>
    <row r="27" spans="1:4" ht="28.5" x14ac:dyDescent="0.25">
      <c r="A27" s="39" t="s">
        <v>381</v>
      </c>
      <c r="B27" s="36" t="s">
        <v>382</v>
      </c>
      <c r="C27" s="36" t="s">
        <v>383</v>
      </c>
      <c r="D27" s="36" t="s">
        <v>384</v>
      </c>
    </row>
    <row r="29" spans="1:4" x14ac:dyDescent="0.25">
      <c r="A29" s="3" t="s">
        <v>385</v>
      </c>
    </row>
    <row r="30" spans="1:4" x14ac:dyDescent="0.25">
      <c r="A30" s="2" t="s">
        <v>386</v>
      </c>
    </row>
    <row r="33" spans="1:4" ht="15.75" x14ac:dyDescent="0.25">
      <c r="A33" s="4" t="s">
        <v>387</v>
      </c>
    </row>
    <row r="34" spans="1:4" x14ac:dyDescent="0.25">
      <c r="A34" s="5" t="s">
        <v>388</v>
      </c>
      <c r="B34" s="5" t="s">
        <v>6</v>
      </c>
      <c r="C34" s="5" t="s">
        <v>7</v>
      </c>
      <c r="D34" s="5" t="s">
        <v>258</v>
      </c>
    </row>
    <row r="35" spans="1:4" x14ac:dyDescent="0.25">
      <c r="A35" s="8">
        <v>0</v>
      </c>
      <c r="B35" s="8">
        <v>135</v>
      </c>
      <c r="C35" s="8">
        <v>55</v>
      </c>
      <c r="D35" s="8">
        <v>387.9</v>
      </c>
    </row>
    <row r="36" spans="1:4" x14ac:dyDescent="0.25">
      <c r="A36" s="8">
        <v>0.2</v>
      </c>
      <c r="B36" s="8">
        <v>133.80000000000001</v>
      </c>
      <c r="C36" s="8">
        <v>54.7</v>
      </c>
      <c r="D36" s="8">
        <v>387</v>
      </c>
    </row>
    <row r="37" spans="1:4" x14ac:dyDescent="0.25">
      <c r="A37" s="8">
        <v>0.4</v>
      </c>
      <c r="B37" s="8">
        <v>132.6</v>
      </c>
      <c r="C37" s="8">
        <v>54.3</v>
      </c>
      <c r="D37" s="8">
        <v>386.1</v>
      </c>
    </row>
    <row r="38" spans="1:4" x14ac:dyDescent="0.25">
      <c r="A38" s="8">
        <v>0.6</v>
      </c>
      <c r="B38" s="8">
        <v>131.4</v>
      </c>
      <c r="C38" s="8">
        <v>54</v>
      </c>
      <c r="D38" s="8">
        <v>385.1</v>
      </c>
    </row>
    <row r="39" spans="1:4" x14ac:dyDescent="0.25">
      <c r="A39" s="8">
        <v>0.8</v>
      </c>
      <c r="B39" s="8">
        <v>130.30000000000001</v>
      </c>
      <c r="C39" s="8">
        <v>53.6</v>
      </c>
      <c r="D39" s="8">
        <v>384.2</v>
      </c>
    </row>
    <row r="40" spans="1:4" x14ac:dyDescent="0.25">
      <c r="A40" s="8">
        <v>1</v>
      </c>
      <c r="B40" s="8">
        <v>129.19999999999999</v>
      </c>
      <c r="C40" s="8">
        <v>53.3</v>
      </c>
      <c r="D40" s="8">
        <v>383.2</v>
      </c>
    </row>
    <row r="41" spans="1:4" x14ac:dyDescent="0.25">
      <c r="A41" s="8">
        <v>1.2</v>
      </c>
      <c r="B41" s="8">
        <v>128.19999999999999</v>
      </c>
      <c r="C41" s="8">
        <v>53</v>
      </c>
      <c r="D41" s="8">
        <v>382.3</v>
      </c>
    </row>
    <row r="42" spans="1:4" x14ac:dyDescent="0.25">
      <c r="A42" s="8">
        <v>1.4</v>
      </c>
      <c r="B42" s="8">
        <v>127.1</v>
      </c>
      <c r="C42" s="8">
        <v>52.7</v>
      </c>
      <c r="D42" s="8">
        <v>381.3</v>
      </c>
    </row>
    <row r="43" spans="1:4" x14ac:dyDescent="0.25">
      <c r="A43" s="8">
        <v>1.6</v>
      </c>
      <c r="B43" s="8">
        <v>126.1</v>
      </c>
      <c r="C43" s="8">
        <v>52.4</v>
      </c>
      <c r="D43" s="8">
        <v>380.4</v>
      </c>
    </row>
    <row r="44" spans="1:4" x14ac:dyDescent="0.25">
      <c r="A44" s="8">
        <v>1.8</v>
      </c>
      <c r="B44" s="8">
        <v>125.2</v>
      </c>
      <c r="C44" s="8">
        <v>52.1</v>
      </c>
      <c r="D44" s="8">
        <v>379.4</v>
      </c>
    </row>
    <row r="45" spans="1:4" x14ac:dyDescent="0.25">
      <c r="A45" s="8">
        <v>2</v>
      </c>
      <c r="B45" s="8">
        <v>124.2</v>
      </c>
      <c r="C45" s="8">
        <v>51.9</v>
      </c>
      <c r="D45" s="8">
        <v>378.5</v>
      </c>
    </row>
    <row r="46" spans="1:4" x14ac:dyDescent="0.25">
      <c r="A46" s="8">
        <v>2.2000000000000002</v>
      </c>
      <c r="B46" s="8">
        <v>123.3</v>
      </c>
      <c r="C46" s="8">
        <v>51.6</v>
      </c>
      <c r="D46" s="8">
        <v>377.5</v>
      </c>
    </row>
    <row r="47" spans="1:4" x14ac:dyDescent="0.25">
      <c r="A47" s="8">
        <v>2.4</v>
      </c>
      <c r="B47" s="8">
        <v>122.4</v>
      </c>
      <c r="C47" s="8">
        <v>51.3</v>
      </c>
      <c r="D47" s="8">
        <v>376.6</v>
      </c>
    </row>
    <row r="48" spans="1:4" x14ac:dyDescent="0.25">
      <c r="A48" s="8">
        <v>2.6</v>
      </c>
      <c r="B48" s="8">
        <v>121.6</v>
      </c>
      <c r="C48" s="8">
        <v>51.1</v>
      </c>
      <c r="D48" s="8">
        <v>375.6</v>
      </c>
    </row>
    <row r="49" spans="1:4" x14ac:dyDescent="0.25">
      <c r="A49" s="8">
        <v>2.8</v>
      </c>
      <c r="B49" s="8">
        <v>120.7</v>
      </c>
      <c r="C49" s="8">
        <v>50.8</v>
      </c>
      <c r="D49" s="8">
        <v>374.7</v>
      </c>
    </row>
    <row r="50" spans="1:4" x14ac:dyDescent="0.25">
      <c r="A50" s="8">
        <v>3</v>
      </c>
      <c r="B50" s="8">
        <v>119.9</v>
      </c>
      <c r="C50" s="8">
        <v>50.6</v>
      </c>
      <c r="D50" s="8">
        <v>373.7</v>
      </c>
    </row>
    <row r="51" spans="1:4" x14ac:dyDescent="0.25">
      <c r="A51" s="8">
        <v>3.2</v>
      </c>
      <c r="B51" s="8">
        <v>119.1</v>
      </c>
      <c r="C51" s="8">
        <v>50.3</v>
      </c>
      <c r="D51" s="8">
        <v>372.8</v>
      </c>
    </row>
    <row r="52" spans="1:4" x14ac:dyDescent="0.25">
      <c r="A52" s="8">
        <v>3.4</v>
      </c>
      <c r="B52" s="8">
        <v>118.4</v>
      </c>
      <c r="C52" s="8">
        <v>50.1</v>
      </c>
      <c r="D52" s="8">
        <v>371.8</v>
      </c>
    </row>
    <row r="53" spans="1:4" x14ac:dyDescent="0.25">
      <c r="A53" s="8">
        <v>3.6</v>
      </c>
      <c r="B53" s="8">
        <v>117.6</v>
      </c>
      <c r="C53" s="8">
        <v>49.9</v>
      </c>
      <c r="D53" s="8">
        <v>370.9</v>
      </c>
    </row>
    <row r="54" spans="1:4" x14ac:dyDescent="0.25">
      <c r="A54" s="8">
        <v>3.8</v>
      </c>
      <c r="B54" s="8">
        <v>116.9</v>
      </c>
      <c r="C54" s="8">
        <v>49.7</v>
      </c>
      <c r="D54" s="8">
        <v>369.9</v>
      </c>
    </row>
    <row r="55" spans="1:4" x14ac:dyDescent="0.25">
      <c r="A55" s="8">
        <v>4</v>
      </c>
      <c r="B55" s="8">
        <v>116.2</v>
      </c>
      <c r="C55" s="8">
        <v>49.5</v>
      </c>
      <c r="D55" s="8">
        <v>369</v>
      </c>
    </row>
    <row r="56" spans="1:4" x14ac:dyDescent="0.25">
      <c r="A56" s="8">
        <v>4.2</v>
      </c>
      <c r="B56" s="8">
        <v>115.6</v>
      </c>
      <c r="C56" s="8">
        <v>49.3</v>
      </c>
      <c r="D56" s="8">
        <v>368</v>
      </c>
    </row>
    <row r="57" spans="1:4" x14ac:dyDescent="0.25">
      <c r="A57" s="8">
        <v>4.4000000000000004</v>
      </c>
      <c r="B57" s="8">
        <v>114.9</v>
      </c>
      <c r="C57" s="8">
        <v>49.1</v>
      </c>
      <c r="D57" s="8">
        <v>367</v>
      </c>
    </row>
    <row r="58" spans="1:4" x14ac:dyDescent="0.25">
      <c r="A58" s="8">
        <v>4.5999999999999996</v>
      </c>
      <c r="B58" s="8">
        <v>114.3</v>
      </c>
      <c r="C58" s="8">
        <v>48.9</v>
      </c>
      <c r="D58" s="8">
        <v>366.1</v>
      </c>
    </row>
    <row r="59" spans="1:4" x14ac:dyDescent="0.25">
      <c r="A59" s="8">
        <v>4.8</v>
      </c>
      <c r="B59" s="8">
        <v>113.7</v>
      </c>
      <c r="C59" s="8">
        <v>48.7</v>
      </c>
      <c r="D59" s="8">
        <v>365.1</v>
      </c>
    </row>
    <row r="60" spans="1:4" x14ac:dyDescent="0.25">
      <c r="A60" s="8">
        <v>5</v>
      </c>
      <c r="B60" s="8">
        <v>113.1</v>
      </c>
      <c r="C60" s="8">
        <v>48.5</v>
      </c>
      <c r="D60" s="8">
        <v>364.2</v>
      </c>
    </row>
    <row r="61" spans="1:4" x14ac:dyDescent="0.25">
      <c r="A61" s="8">
        <v>5.2</v>
      </c>
      <c r="B61" s="8">
        <v>112.5</v>
      </c>
      <c r="C61" s="8">
        <v>48.4</v>
      </c>
      <c r="D61" s="8">
        <v>363.2</v>
      </c>
    </row>
    <row r="62" spans="1:4" x14ac:dyDescent="0.25">
      <c r="A62" s="8">
        <v>5.4</v>
      </c>
      <c r="B62" s="8">
        <v>111.9</v>
      </c>
      <c r="C62" s="8">
        <v>48.2</v>
      </c>
      <c r="D62" s="8">
        <v>362.3</v>
      </c>
    </row>
    <row r="63" spans="1:4" x14ac:dyDescent="0.25">
      <c r="A63" s="8">
        <v>5.6</v>
      </c>
      <c r="B63" s="8">
        <v>111.4</v>
      </c>
      <c r="C63" s="8">
        <v>48</v>
      </c>
      <c r="D63" s="8">
        <v>361.3</v>
      </c>
    </row>
    <row r="64" spans="1:4" x14ac:dyDescent="0.25">
      <c r="A64" s="8">
        <v>5.8</v>
      </c>
      <c r="B64" s="8">
        <v>110.9</v>
      </c>
      <c r="C64" s="8">
        <v>47.9</v>
      </c>
      <c r="D64" s="8">
        <v>360.4</v>
      </c>
    </row>
    <row r="65" spans="1:4" x14ac:dyDescent="0.25">
      <c r="A65" s="8">
        <v>6</v>
      </c>
      <c r="B65" s="8">
        <v>110.3</v>
      </c>
      <c r="C65" s="8">
        <v>47.7</v>
      </c>
      <c r="D65" s="8">
        <v>359.4</v>
      </c>
    </row>
    <row r="66" spans="1:4" x14ac:dyDescent="0.25">
      <c r="A66" s="8">
        <v>6.2</v>
      </c>
      <c r="B66" s="8">
        <v>109.8</v>
      </c>
      <c r="C66" s="8">
        <v>47.6</v>
      </c>
      <c r="D66" s="8">
        <v>358.5</v>
      </c>
    </row>
    <row r="67" spans="1:4" x14ac:dyDescent="0.25">
      <c r="A67" s="8">
        <v>6.4</v>
      </c>
      <c r="B67" s="8">
        <v>109.4</v>
      </c>
      <c r="C67" s="8">
        <v>47.4</v>
      </c>
      <c r="D67" s="8">
        <v>357.5</v>
      </c>
    </row>
    <row r="68" spans="1:4" x14ac:dyDescent="0.25">
      <c r="A68" s="8">
        <v>6.6</v>
      </c>
      <c r="B68" s="8">
        <v>108.9</v>
      </c>
      <c r="C68" s="8">
        <v>47.3</v>
      </c>
      <c r="D68" s="8">
        <v>356.6</v>
      </c>
    </row>
    <row r="69" spans="1:4" x14ac:dyDescent="0.25">
      <c r="A69" s="8">
        <v>6.8</v>
      </c>
      <c r="B69" s="8">
        <v>108.4</v>
      </c>
      <c r="C69" s="8">
        <v>47.1</v>
      </c>
      <c r="D69" s="8">
        <v>355.6</v>
      </c>
    </row>
    <row r="70" spans="1:4" x14ac:dyDescent="0.25">
      <c r="A70" s="8">
        <v>7</v>
      </c>
      <c r="B70" s="8">
        <v>108</v>
      </c>
      <c r="C70" s="8">
        <v>47</v>
      </c>
      <c r="D70" s="8">
        <v>354.7</v>
      </c>
    </row>
    <row r="71" spans="1:4" x14ac:dyDescent="0.25">
      <c r="A71" s="8">
        <v>7.2</v>
      </c>
      <c r="B71" s="8">
        <v>107.6</v>
      </c>
      <c r="C71" s="8">
        <v>46.9</v>
      </c>
      <c r="D71" s="8">
        <v>353.7</v>
      </c>
    </row>
    <row r="72" spans="1:4" x14ac:dyDescent="0.25">
      <c r="A72" s="8">
        <v>7.4</v>
      </c>
      <c r="B72" s="8">
        <v>107.2</v>
      </c>
      <c r="C72" s="8">
        <v>46.7</v>
      </c>
      <c r="D72" s="8">
        <v>352.8</v>
      </c>
    </row>
    <row r="73" spans="1:4" x14ac:dyDescent="0.25">
      <c r="A73" s="8">
        <v>7.6</v>
      </c>
      <c r="B73" s="8">
        <v>106.8</v>
      </c>
      <c r="C73" s="8">
        <v>46.6</v>
      </c>
      <c r="D73" s="8">
        <v>351.8</v>
      </c>
    </row>
    <row r="74" spans="1:4" x14ac:dyDescent="0.25">
      <c r="A74" s="8">
        <v>7.8</v>
      </c>
      <c r="B74" s="8">
        <v>106.4</v>
      </c>
      <c r="C74" s="8">
        <v>46.5</v>
      </c>
      <c r="D74" s="8">
        <v>350.9</v>
      </c>
    </row>
    <row r="75" spans="1:4" x14ac:dyDescent="0.25">
      <c r="A75" s="8">
        <v>8</v>
      </c>
      <c r="B75" s="8">
        <v>106</v>
      </c>
      <c r="C75" s="8">
        <v>46.4</v>
      </c>
      <c r="D75" s="8">
        <v>349.9</v>
      </c>
    </row>
    <row r="76" spans="1:4" x14ac:dyDescent="0.25">
      <c r="A76" s="8">
        <v>8.1999999999999993</v>
      </c>
      <c r="B76" s="8">
        <v>105.6</v>
      </c>
      <c r="C76" s="8">
        <v>46.3</v>
      </c>
      <c r="D76" s="8">
        <v>349</v>
      </c>
    </row>
    <row r="77" spans="1:4" x14ac:dyDescent="0.25">
      <c r="A77" s="8">
        <v>8.4</v>
      </c>
      <c r="B77" s="8">
        <v>105.3</v>
      </c>
      <c r="C77" s="8">
        <v>46.2</v>
      </c>
      <c r="D77" s="8">
        <v>348</v>
      </c>
    </row>
    <row r="78" spans="1:4" x14ac:dyDescent="0.25">
      <c r="A78" s="8">
        <v>8.6</v>
      </c>
      <c r="B78" s="8">
        <v>104.9</v>
      </c>
      <c r="C78" s="8">
        <v>46.1</v>
      </c>
      <c r="D78" s="8">
        <v>347.1</v>
      </c>
    </row>
    <row r="79" spans="1:4" x14ac:dyDescent="0.25">
      <c r="A79" s="8">
        <v>8.8000000000000007</v>
      </c>
      <c r="B79" s="8">
        <v>104.6</v>
      </c>
      <c r="C79" s="8">
        <v>46</v>
      </c>
      <c r="D79" s="8">
        <v>346.1</v>
      </c>
    </row>
    <row r="80" spans="1:4" x14ac:dyDescent="0.25">
      <c r="A80" s="8">
        <v>9</v>
      </c>
      <c r="B80" s="8">
        <v>104.2</v>
      </c>
      <c r="C80" s="8">
        <v>45.9</v>
      </c>
      <c r="D80" s="8">
        <v>345.2</v>
      </c>
    </row>
    <row r="81" spans="1:4" x14ac:dyDescent="0.25">
      <c r="A81" s="8">
        <v>9.1999999999999993</v>
      </c>
      <c r="B81" s="8">
        <v>103.9</v>
      </c>
      <c r="C81" s="8">
        <v>45.8</v>
      </c>
      <c r="D81" s="8">
        <v>344.2</v>
      </c>
    </row>
    <row r="82" spans="1:4" x14ac:dyDescent="0.25">
      <c r="A82" s="8">
        <v>9.4</v>
      </c>
      <c r="B82" s="8">
        <v>103.6</v>
      </c>
      <c r="C82" s="8">
        <v>45.7</v>
      </c>
      <c r="D82" s="8">
        <v>343.3</v>
      </c>
    </row>
    <row r="83" spans="1:4" x14ac:dyDescent="0.25">
      <c r="A83" s="8">
        <v>9.6</v>
      </c>
      <c r="B83" s="8">
        <v>103.3</v>
      </c>
      <c r="C83" s="8">
        <v>45.6</v>
      </c>
      <c r="D83" s="8">
        <v>342.3</v>
      </c>
    </row>
    <row r="84" spans="1:4" x14ac:dyDescent="0.25">
      <c r="A84" s="8">
        <v>9.8000000000000007</v>
      </c>
      <c r="B84" s="8">
        <v>103</v>
      </c>
      <c r="C84" s="8">
        <v>45.5</v>
      </c>
      <c r="D84" s="8">
        <v>341.4</v>
      </c>
    </row>
    <row r="85" spans="1:4" x14ac:dyDescent="0.25">
      <c r="A85" s="8">
        <v>10</v>
      </c>
      <c r="B85" s="8">
        <v>102.7</v>
      </c>
      <c r="C85" s="8">
        <v>45.4</v>
      </c>
      <c r="D85" s="8">
        <v>340.4</v>
      </c>
    </row>
    <row r="86" spans="1:4" x14ac:dyDescent="0.25">
      <c r="A86" s="8">
        <v>10.199999999999999</v>
      </c>
      <c r="B86" s="8">
        <v>102.5</v>
      </c>
      <c r="C86" s="8">
        <v>45.4</v>
      </c>
      <c r="D86" s="8">
        <v>339.5</v>
      </c>
    </row>
    <row r="87" spans="1:4" x14ac:dyDescent="0.25">
      <c r="A87" s="8">
        <v>10.4</v>
      </c>
      <c r="B87" s="8">
        <v>102.2</v>
      </c>
      <c r="C87" s="8">
        <v>45.3</v>
      </c>
      <c r="D87" s="8">
        <v>338.5</v>
      </c>
    </row>
    <row r="88" spans="1:4" x14ac:dyDescent="0.25">
      <c r="A88" s="8">
        <v>10.6</v>
      </c>
      <c r="B88" s="8">
        <v>101.9</v>
      </c>
      <c r="C88" s="8">
        <v>45.2</v>
      </c>
      <c r="D88" s="8">
        <v>337.6</v>
      </c>
    </row>
    <row r="89" spans="1:4" x14ac:dyDescent="0.25">
      <c r="A89" s="8">
        <v>10.8</v>
      </c>
      <c r="B89" s="8">
        <v>101.7</v>
      </c>
      <c r="C89" s="8">
        <v>45.1</v>
      </c>
      <c r="D89" s="8">
        <v>336.6</v>
      </c>
    </row>
    <row r="90" spans="1:4" x14ac:dyDescent="0.25">
      <c r="A90" s="8">
        <v>11</v>
      </c>
      <c r="B90" s="8">
        <v>101.4</v>
      </c>
      <c r="C90" s="8">
        <v>45.1</v>
      </c>
      <c r="D90" s="8">
        <v>335.7</v>
      </c>
    </row>
    <row r="91" spans="1:4" x14ac:dyDescent="0.25">
      <c r="A91" s="8">
        <v>11.2</v>
      </c>
      <c r="B91" s="8">
        <v>101.2</v>
      </c>
      <c r="C91" s="8">
        <v>45</v>
      </c>
      <c r="D91" s="8">
        <v>334.7</v>
      </c>
    </row>
    <row r="92" spans="1:4" x14ac:dyDescent="0.25">
      <c r="A92" s="8">
        <v>11.4</v>
      </c>
      <c r="B92" s="8">
        <v>100.9</v>
      </c>
      <c r="C92" s="8">
        <v>44.9</v>
      </c>
      <c r="D92" s="8">
        <v>333.8</v>
      </c>
    </row>
    <row r="93" spans="1:4" x14ac:dyDescent="0.25">
      <c r="A93" s="8">
        <v>11.6</v>
      </c>
      <c r="B93" s="8">
        <v>100.7</v>
      </c>
      <c r="C93" s="8">
        <v>44.9</v>
      </c>
      <c r="D93" s="8">
        <v>332.8</v>
      </c>
    </row>
    <row r="94" spans="1:4" x14ac:dyDescent="0.25">
      <c r="A94" s="8">
        <v>11.8</v>
      </c>
      <c r="B94" s="8">
        <v>100.5</v>
      </c>
      <c r="C94" s="8">
        <v>44.8</v>
      </c>
      <c r="D94" s="8">
        <v>331.9</v>
      </c>
    </row>
    <row r="95" spans="1:4" x14ac:dyDescent="0.25">
      <c r="A95" s="8">
        <v>12</v>
      </c>
      <c r="B95" s="8">
        <v>100.3</v>
      </c>
      <c r="C95" s="8">
        <v>44.8</v>
      </c>
      <c r="D95" s="8">
        <v>330.9</v>
      </c>
    </row>
    <row r="96" spans="1:4" x14ac:dyDescent="0.25">
      <c r="A96" s="8">
        <v>12.2</v>
      </c>
      <c r="B96" s="8">
        <v>100.1</v>
      </c>
      <c r="C96" s="8">
        <v>44.7</v>
      </c>
      <c r="D96" s="8">
        <v>330</v>
      </c>
    </row>
    <row r="97" spans="1:4" x14ac:dyDescent="0.25">
      <c r="A97" s="8">
        <v>12.4</v>
      </c>
      <c r="B97" s="8">
        <v>99.9</v>
      </c>
      <c r="C97" s="8">
        <v>44.7</v>
      </c>
      <c r="D97" s="8">
        <v>329</v>
      </c>
    </row>
    <row r="98" spans="1:4" x14ac:dyDescent="0.25">
      <c r="A98" s="8">
        <v>12.6</v>
      </c>
      <c r="B98" s="8">
        <v>99.7</v>
      </c>
      <c r="C98" s="8">
        <v>44.6</v>
      </c>
      <c r="D98" s="8">
        <v>328.1</v>
      </c>
    </row>
    <row r="99" spans="1:4" x14ac:dyDescent="0.25">
      <c r="A99" s="8">
        <v>12.8</v>
      </c>
      <c r="B99" s="8">
        <v>99.5</v>
      </c>
      <c r="C99" s="8">
        <v>44.5</v>
      </c>
      <c r="D99" s="8">
        <v>327.10000000000002</v>
      </c>
    </row>
    <row r="100" spans="1:4" x14ac:dyDescent="0.25">
      <c r="A100" s="8">
        <v>13</v>
      </c>
      <c r="B100" s="8">
        <v>99.3</v>
      </c>
      <c r="C100" s="8">
        <v>44.5</v>
      </c>
      <c r="D100" s="8">
        <v>326.2</v>
      </c>
    </row>
    <row r="101" spans="1:4" x14ac:dyDescent="0.25">
      <c r="A101" s="8">
        <v>13.2</v>
      </c>
      <c r="B101" s="8">
        <v>99.1</v>
      </c>
      <c r="C101" s="8">
        <v>44.5</v>
      </c>
      <c r="D101" s="8">
        <v>325.2</v>
      </c>
    </row>
    <row r="102" spans="1:4" x14ac:dyDescent="0.25">
      <c r="A102" s="8">
        <v>13.4</v>
      </c>
      <c r="B102" s="8">
        <v>98.9</v>
      </c>
      <c r="C102" s="8">
        <v>44.4</v>
      </c>
      <c r="D102" s="8">
        <v>324.3</v>
      </c>
    </row>
    <row r="103" spans="1:4" x14ac:dyDescent="0.25">
      <c r="A103" s="8">
        <v>13.6</v>
      </c>
      <c r="B103" s="8">
        <v>98.7</v>
      </c>
      <c r="C103" s="8">
        <v>44.4</v>
      </c>
      <c r="D103" s="8">
        <v>323.3</v>
      </c>
    </row>
    <row r="104" spans="1:4" x14ac:dyDescent="0.25">
      <c r="A104" s="8">
        <v>13.8</v>
      </c>
      <c r="B104" s="8">
        <v>98.6</v>
      </c>
      <c r="C104" s="8">
        <v>44.3</v>
      </c>
      <c r="D104" s="8">
        <v>322.39999999999998</v>
      </c>
    </row>
    <row r="105" spans="1:4" x14ac:dyDescent="0.25">
      <c r="A105" s="8">
        <v>14</v>
      </c>
      <c r="B105" s="8">
        <v>98.4</v>
      </c>
      <c r="C105" s="8">
        <v>44.3</v>
      </c>
      <c r="D105" s="8">
        <v>321.39999999999998</v>
      </c>
    </row>
    <row r="106" spans="1:4" x14ac:dyDescent="0.25">
      <c r="A106" s="8">
        <v>14.2</v>
      </c>
      <c r="B106" s="8">
        <v>98.2</v>
      </c>
      <c r="C106" s="8">
        <v>44.2</v>
      </c>
      <c r="D106" s="8">
        <v>320.5</v>
      </c>
    </row>
    <row r="107" spans="1:4" x14ac:dyDescent="0.25">
      <c r="A107" s="8">
        <v>14.4</v>
      </c>
      <c r="B107" s="8">
        <v>98.1</v>
      </c>
      <c r="C107" s="8">
        <v>44.2</v>
      </c>
      <c r="D107" s="8">
        <v>319.5</v>
      </c>
    </row>
    <row r="108" spans="1:4" x14ac:dyDescent="0.25">
      <c r="A108" s="8">
        <v>14.6</v>
      </c>
      <c r="B108" s="8">
        <v>97.9</v>
      </c>
      <c r="C108" s="8">
        <v>44.2</v>
      </c>
      <c r="D108" s="8">
        <v>318.60000000000002</v>
      </c>
    </row>
    <row r="109" spans="1:4" x14ac:dyDescent="0.25">
      <c r="A109" s="8">
        <v>14.8</v>
      </c>
      <c r="B109" s="8">
        <v>97.8</v>
      </c>
      <c r="C109" s="8">
        <v>44.1</v>
      </c>
      <c r="D109" s="8">
        <v>317.60000000000002</v>
      </c>
    </row>
    <row r="110" spans="1:4" x14ac:dyDescent="0.25">
      <c r="A110" s="8">
        <v>15</v>
      </c>
      <c r="B110" s="8">
        <v>97.6</v>
      </c>
      <c r="C110" s="8">
        <v>44.1</v>
      </c>
      <c r="D110" s="8">
        <v>316.7</v>
      </c>
    </row>
    <row r="111" spans="1:4" x14ac:dyDescent="0.25">
      <c r="A111" s="8">
        <v>15.2</v>
      </c>
      <c r="B111" s="8">
        <v>97.5</v>
      </c>
      <c r="C111" s="8">
        <v>44.1</v>
      </c>
      <c r="D111" s="8">
        <v>315.7</v>
      </c>
    </row>
    <row r="112" spans="1:4" x14ac:dyDescent="0.25">
      <c r="A112" s="8">
        <v>15.4</v>
      </c>
      <c r="B112" s="8">
        <v>97.3</v>
      </c>
      <c r="C112" s="8">
        <v>44</v>
      </c>
      <c r="D112" s="8">
        <v>314.8</v>
      </c>
    </row>
    <row r="113" spans="1:4" x14ac:dyDescent="0.25">
      <c r="A113" s="8">
        <v>15.6</v>
      </c>
      <c r="B113" s="8">
        <v>97.2</v>
      </c>
      <c r="C113" s="8">
        <v>44</v>
      </c>
      <c r="D113" s="8">
        <v>313.8</v>
      </c>
    </row>
    <row r="114" spans="1:4" x14ac:dyDescent="0.25">
      <c r="A114" s="8">
        <v>15.8</v>
      </c>
      <c r="B114" s="8">
        <v>97</v>
      </c>
      <c r="C114" s="8">
        <v>44</v>
      </c>
      <c r="D114" s="8">
        <v>312.89999999999998</v>
      </c>
    </row>
    <row r="115" spans="1:4" x14ac:dyDescent="0.25">
      <c r="A115" s="8">
        <v>16</v>
      </c>
      <c r="B115" s="8">
        <v>96.9</v>
      </c>
      <c r="C115" s="8">
        <v>43.9</v>
      </c>
      <c r="D115" s="8">
        <v>311.89999999999998</v>
      </c>
    </row>
    <row r="116" spans="1:4" x14ac:dyDescent="0.25">
      <c r="A116" s="8">
        <v>16.2</v>
      </c>
      <c r="B116" s="8">
        <v>96.8</v>
      </c>
      <c r="C116" s="8">
        <v>43.9</v>
      </c>
      <c r="D116" s="8">
        <v>311</v>
      </c>
    </row>
    <row r="117" spans="1:4" x14ac:dyDescent="0.25">
      <c r="A117" s="8">
        <v>16.399999999999999</v>
      </c>
      <c r="B117" s="8">
        <v>96.6</v>
      </c>
      <c r="C117" s="8">
        <v>43.9</v>
      </c>
      <c r="D117" s="8">
        <v>310</v>
      </c>
    </row>
    <row r="118" spans="1:4" x14ac:dyDescent="0.25">
      <c r="A118" s="8">
        <v>16.600000000000001</v>
      </c>
      <c r="B118" s="8">
        <v>96.5</v>
      </c>
      <c r="C118" s="8">
        <v>43.9</v>
      </c>
      <c r="D118" s="8">
        <v>309.10000000000002</v>
      </c>
    </row>
    <row r="119" spans="1:4" x14ac:dyDescent="0.25">
      <c r="A119" s="8">
        <v>16.8</v>
      </c>
      <c r="B119" s="8">
        <v>96.4</v>
      </c>
      <c r="C119" s="8">
        <v>43.8</v>
      </c>
      <c r="D119" s="8">
        <v>308.10000000000002</v>
      </c>
    </row>
    <row r="120" spans="1:4" x14ac:dyDescent="0.25">
      <c r="A120" s="8">
        <v>17</v>
      </c>
      <c r="B120" s="8">
        <v>96.3</v>
      </c>
      <c r="C120" s="8">
        <v>43.8</v>
      </c>
      <c r="D120" s="8">
        <v>307.2</v>
      </c>
    </row>
    <row r="121" spans="1:4" x14ac:dyDescent="0.25">
      <c r="A121" s="8">
        <v>17.2</v>
      </c>
      <c r="B121" s="8">
        <v>96.2</v>
      </c>
      <c r="C121" s="8">
        <v>43.8</v>
      </c>
      <c r="D121" s="8">
        <v>306.2</v>
      </c>
    </row>
    <row r="122" spans="1:4" x14ac:dyDescent="0.25">
      <c r="A122" s="8">
        <v>17.399999999999999</v>
      </c>
      <c r="B122" s="8">
        <v>96</v>
      </c>
      <c r="C122" s="8">
        <v>43.8</v>
      </c>
      <c r="D122" s="8">
        <v>305.3</v>
      </c>
    </row>
    <row r="123" spans="1:4" x14ac:dyDescent="0.25">
      <c r="A123" s="8">
        <v>17.600000000000001</v>
      </c>
      <c r="B123" s="8">
        <v>95.9</v>
      </c>
      <c r="C123" s="8">
        <v>43.8</v>
      </c>
      <c r="D123" s="8">
        <v>304.3</v>
      </c>
    </row>
    <row r="124" spans="1:4" x14ac:dyDescent="0.25">
      <c r="A124" s="8">
        <v>17.8</v>
      </c>
      <c r="B124" s="8">
        <v>95.8</v>
      </c>
      <c r="C124" s="8">
        <v>43.7</v>
      </c>
      <c r="D124" s="8">
        <v>303.39999999999998</v>
      </c>
    </row>
    <row r="125" spans="1:4" x14ac:dyDescent="0.25">
      <c r="A125" s="8">
        <v>18</v>
      </c>
      <c r="B125" s="8">
        <v>95.7</v>
      </c>
      <c r="C125" s="8">
        <v>43.7</v>
      </c>
      <c r="D125" s="8">
        <v>302.39999999999998</v>
      </c>
    </row>
    <row r="126" spans="1:4" x14ac:dyDescent="0.25">
      <c r="A126" s="8">
        <v>18.2</v>
      </c>
      <c r="B126" s="8">
        <v>95.6</v>
      </c>
      <c r="C126" s="8">
        <v>43.7</v>
      </c>
      <c r="D126" s="8">
        <v>301.5</v>
      </c>
    </row>
    <row r="127" spans="1:4" x14ac:dyDescent="0.25">
      <c r="A127" s="8">
        <v>18.399999999999999</v>
      </c>
      <c r="B127" s="8">
        <v>95.5</v>
      </c>
      <c r="C127" s="8">
        <v>43.7</v>
      </c>
      <c r="D127" s="8">
        <v>300.5</v>
      </c>
    </row>
    <row r="128" spans="1:4" x14ac:dyDescent="0.25">
      <c r="A128" s="8">
        <v>18.600000000000001</v>
      </c>
      <c r="B128" s="8">
        <v>95.4</v>
      </c>
      <c r="C128" s="8">
        <v>43.7</v>
      </c>
      <c r="D128" s="8">
        <v>299.60000000000002</v>
      </c>
    </row>
    <row r="129" spans="1:4" x14ac:dyDescent="0.25">
      <c r="A129" s="8">
        <v>18.8</v>
      </c>
      <c r="B129" s="8">
        <v>95.3</v>
      </c>
      <c r="C129" s="8">
        <v>43.7</v>
      </c>
      <c r="D129" s="8">
        <v>298.60000000000002</v>
      </c>
    </row>
    <row r="130" spans="1:4" x14ac:dyDescent="0.25">
      <c r="A130" s="8">
        <v>19</v>
      </c>
      <c r="B130" s="8">
        <v>95.2</v>
      </c>
      <c r="C130" s="8">
        <v>43.6</v>
      </c>
      <c r="D130" s="8">
        <v>297.7</v>
      </c>
    </row>
    <row r="131" spans="1:4" x14ac:dyDescent="0.25">
      <c r="A131" s="8">
        <v>19.2</v>
      </c>
      <c r="B131" s="8">
        <v>95.1</v>
      </c>
      <c r="C131" s="8">
        <v>43.6</v>
      </c>
      <c r="D131" s="8">
        <v>296.7</v>
      </c>
    </row>
    <row r="132" spans="1:4" x14ac:dyDescent="0.25">
      <c r="A132" s="8">
        <v>19.399999999999999</v>
      </c>
      <c r="B132" s="8">
        <v>95</v>
      </c>
      <c r="C132" s="8">
        <v>43.6</v>
      </c>
      <c r="D132" s="8">
        <v>295.8</v>
      </c>
    </row>
    <row r="133" spans="1:4" x14ac:dyDescent="0.25">
      <c r="A133" s="8">
        <v>19.600000000000001</v>
      </c>
      <c r="B133" s="8">
        <v>94.9</v>
      </c>
      <c r="C133" s="8">
        <v>43.6</v>
      </c>
      <c r="D133" s="8">
        <v>294.8</v>
      </c>
    </row>
    <row r="134" spans="1:4" x14ac:dyDescent="0.25">
      <c r="A134" s="8">
        <v>19.8</v>
      </c>
      <c r="B134" s="8">
        <v>94.8</v>
      </c>
      <c r="C134" s="8">
        <v>43.6</v>
      </c>
      <c r="D134" s="8">
        <v>293.89999999999998</v>
      </c>
    </row>
    <row r="135" spans="1:4" x14ac:dyDescent="0.25">
      <c r="A135" s="8">
        <v>20</v>
      </c>
      <c r="B135" s="8">
        <v>94.7</v>
      </c>
      <c r="C135" s="8">
        <v>43.6</v>
      </c>
      <c r="D135" s="8">
        <v>292.89999999999998</v>
      </c>
    </row>
    <row r="136" spans="1:4" x14ac:dyDescent="0.25">
      <c r="A136" s="8">
        <v>20.2</v>
      </c>
      <c r="B136" s="8">
        <v>94.6</v>
      </c>
      <c r="C136" s="8">
        <v>43.6</v>
      </c>
      <c r="D136" s="8">
        <v>292</v>
      </c>
    </row>
    <row r="137" spans="1:4" x14ac:dyDescent="0.25">
      <c r="A137" s="8">
        <v>20.399999999999999</v>
      </c>
      <c r="B137" s="8">
        <v>94.5</v>
      </c>
      <c r="C137" s="8">
        <v>43.6</v>
      </c>
      <c r="D137" s="8">
        <v>291</v>
      </c>
    </row>
    <row r="138" spans="1:4" x14ac:dyDescent="0.25">
      <c r="A138" s="8">
        <v>20.6</v>
      </c>
      <c r="B138" s="8">
        <v>94.4</v>
      </c>
      <c r="C138" s="8">
        <v>43.5</v>
      </c>
      <c r="D138" s="8">
        <v>290.10000000000002</v>
      </c>
    </row>
    <row r="139" spans="1:4" x14ac:dyDescent="0.25">
      <c r="A139" s="8">
        <v>20.8</v>
      </c>
      <c r="B139" s="8">
        <v>94.3</v>
      </c>
      <c r="C139" s="8">
        <v>43.5</v>
      </c>
      <c r="D139" s="8">
        <v>289.10000000000002</v>
      </c>
    </row>
    <row r="140" spans="1:4" x14ac:dyDescent="0.25">
      <c r="A140" s="8">
        <v>21</v>
      </c>
      <c r="B140" s="8">
        <v>94.2</v>
      </c>
      <c r="C140" s="8">
        <v>43.5</v>
      </c>
      <c r="D140" s="8">
        <v>288.2</v>
      </c>
    </row>
    <row r="141" spans="1:4" x14ac:dyDescent="0.25">
      <c r="A141" s="8">
        <v>21.2</v>
      </c>
      <c r="B141" s="8">
        <v>94.2</v>
      </c>
      <c r="C141" s="8">
        <v>43.5</v>
      </c>
      <c r="D141" s="8">
        <v>287.2</v>
      </c>
    </row>
    <row r="142" spans="1:4" x14ac:dyDescent="0.25">
      <c r="A142" s="8">
        <v>21.4</v>
      </c>
      <c r="B142" s="8">
        <v>94.1</v>
      </c>
      <c r="C142" s="8">
        <v>43.5</v>
      </c>
      <c r="D142" s="8">
        <v>286.3</v>
      </c>
    </row>
    <row r="143" spans="1:4" x14ac:dyDescent="0.25">
      <c r="A143" s="8">
        <v>21.6</v>
      </c>
      <c r="B143" s="8">
        <v>94</v>
      </c>
      <c r="C143" s="8">
        <v>43.5</v>
      </c>
      <c r="D143" s="8">
        <v>285.3</v>
      </c>
    </row>
    <row r="144" spans="1:4" x14ac:dyDescent="0.25">
      <c r="A144" s="8">
        <v>21.8</v>
      </c>
      <c r="B144" s="8">
        <v>93.9</v>
      </c>
      <c r="C144" s="8">
        <v>43.5</v>
      </c>
      <c r="D144" s="8">
        <v>284.39999999999998</v>
      </c>
    </row>
    <row r="145" spans="1:4" x14ac:dyDescent="0.25">
      <c r="A145" s="8">
        <v>22</v>
      </c>
      <c r="B145" s="8">
        <v>93.8</v>
      </c>
      <c r="C145" s="8">
        <v>43.5</v>
      </c>
      <c r="D145" s="8">
        <v>283.39999999999998</v>
      </c>
    </row>
    <row r="146" spans="1:4" x14ac:dyDescent="0.25">
      <c r="A146" s="8">
        <v>22.2</v>
      </c>
      <c r="B146" s="8">
        <v>93.7</v>
      </c>
      <c r="C146" s="8">
        <v>43.5</v>
      </c>
      <c r="D146" s="8">
        <v>282.5</v>
      </c>
    </row>
    <row r="147" spans="1:4" x14ac:dyDescent="0.25">
      <c r="A147" s="8">
        <v>22.4</v>
      </c>
      <c r="B147" s="8">
        <v>93.7</v>
      </c>
      <c r="C147" s="8">
        <v>43.5</v>
      </c>
      <c r="D147" s="8">
        <v>281.5</v>
      </c>
    </row>
    <row r="148" spans="1:4" x14ac:dyDescent="0.25">
      <c r="A148" s="8">
        <v>22.6</v>
      </c>
      <c r="B148" s="8">
        <v>93.6</v>
      </c>
      <c r="C148" s="8">
        <v>43.5</v>
      </c>
      <c r="D148" s="8">
        <v>280.60000000000002</v>
      </c>
    </row>
    <row r="149" spans="1:4" x14ac:dyDescent="0.25">
      <c r="A149" s="8">
        <v>22.8</v>
      </c>
      <c r="B149" s="8">
        <v>93.5</v>
      </c>
      <c r="C149" s="8">
        <v>43.5</v>
      </c>
      <c r="D149" s="8">
        <v>279.60000000000002</v>
      </c>
    </row>
    <row r="150" spans="1:4" x14ac:dyDescent="0.25">
      <c r="A150" s="8">
        <v>23</v>
      </c>
      <c r="B150" s="8">
        <v>93.4</v>
      </c>
      <c r="C150" s="8">
        <v>43.5</v>
      </c>
      <c r="D150" s="8">
        <v>278.7</v>
      </c>
    </row>
    <row r="151" spans="1:4" x14ac:dyDescent="0.25">
      <c r="A151" s="8">
        <v>23.2</v>
      </c>
      <c r="B151" s="8">
        <v>93.3</v>
      </c>
      <c r="C151" s="8">
        <v>43.5</v>
      </c>
      <c r="D151" s="8">
        <v>277.7</v>
      </c>
    </row>
    <row r="152" spans="1:4" x14ac:dyDescent="0.25">
      <c r="A152" s="8">
        <v>23.4</v>
      </c>
      <c r="B152" s="8">
        <v>93.3</v>
      </c>
      <c r="C152" s="8">
        <v>43.5</v>
      </c>
      <c r="D152" s="8">
        <v>276.8</v>
      </c>
    </row>
    <row r="153" spans="1:4" x14ac:dyDescent="0.25">
      <c r="A153" s="8">
        <v>23.6</v>
      </c>
      <c r="B153" s="8">
        <v>93.2</v>
      </c>
      <c r="C153" s="8">
        <v>43.5</v>
      </c>
      <c r="D153" s="8">
        <v>275.8</v>
      </c>
    </row>
    <row r="154" spans="1:4" x14ac:dyDescent="0.25">
      <c r="A154" s="8">
        <v>23.8</v>
      </c>
      <c r="B154" s="8">
        <v>93.1</v>
      </c>
      <c r="C154" s="8">
        <v>43.5</v>
      </c>
      <c r="D154" s="8">
        <v>274.89999999999998</v>
      </c>
    </row>
    <row r="155" spans="1:4" x14ac:dyDescent="0.25">
      <c r="A155" s="8">
        <v>24</v>
      </c>
      <c r="B155" s="8">
        <v>93</v>
      </c>
      <c r="C155" s="8">
        <v>43.5</v>
      </c>
      <c r="D155" s="8">
        <v>273.89999999999998</v>
      </c>
    </row>
    <row r="156" spans="1:4" x14ac:dyDescent="0.25">
      <c r="A156" s="8">
        <v>24.2</v>
      </c>
      <c r="B156" s="8">
        <v>93</v>
      </c>
      <c r="C156" s="8">
        <v>43.5</v>
      </c>
      <c r="D156" s="8">
        <v>273</v>
      </c>
    </row>
    <row r="157" spans="1:4" x14ac:dyDescent="0.25">
      <c r="A157" s="8">
        <v>24.4</v>
      </c>
      <c r="B157" s="8">
        <v>92.9</v>
      </c>
      <c r="C157" s="8">
        <v>43.5</v>
      </c>
      <c r="D157" s="8">
        <v>272</v>
      </c>
    </row>
    <row r="158" spans="1:4" x14ac:dyDescent="0.25">
      <c r="A158" s="8">
        <v>24.6</v>
      </c>
      <c r="B158" s="8">
        <v>92.8</v>
      </c>
      <c r="C158" s="8">
        <v>43.5</v>
      </c>
      <c r="D158" s="8">
        <v>271.10000000000002</v>
      </c>
    </row>
    <row r="159" spans="1:4" x14ac:dyDescent="0.25">
      <c r="A159" s="8">
        <v>24.8</v>
      </c>
      <c r="B159" s="8">
        <v>92.7</v>
      </c>
      <c r="C159" s="8">
        <v>43.5</v>
      </c>
      <c r="D159" s="8">
        <v>270.10000000000002</v>
      </c>
    </row>
    <row r="160" spans="1:4" x14ac:dyDescent="0.25">
      <c r="A160" s="8">
        <v>25</v>
      </c>
      <c r="B160" s="8">
        <v>92.7</v>
      </c>
      <c r="C160" s="8">
        <v>43.5</v>
      </c>
      <c r="D160" s="8">
        <v>269.2</v>
      </c>
    </row>
    <row r="161" spans="1:4" x14ac:dyDescent="0.25">
      <c r="A161" s="8">
        <v>25.2</v>
      </c>
      <c r="B161" s="8">
        <v>92.6</v>
      </c>
      <c r="C161" s="8">
        <v>43.5</v>
      </c>
      <c r="D161" s="8">
        <v>268.2</v>
      </c>
    </row>
    <row r="162" spans="1:4" x14ac:dyDescent="0.25">
      <c r="A162" s="8">
        <v>25.4</v>
      </c>
      <c r="B162" s="8">
        <v>92.5</v>
      </c>
      <c r="C162" s="8">
        <v>43.5</v>
      </c>
      <c r="D162" s="8">
        <v>267.3</v>
      </c>
    </row>
    <row r="163" spans="1:4" x14ac:dyDescent="0.25">
      <c r="A163" s="8">
        <v>25.6</v>
      </c>
      <c r="B163" s="8">
        <v>92.4</v>
      </c>
      <c r="C163" s="8">
        <v>43.5</v>
      </c>
      <c r="D163" s="8">
        <v>266.3</v>
      </c>
    </row>
    <row r="164" spans="1:4" x14ac:dyDescent="0.25">
      <c r="A164" s="8">
        <v>25.8</v>
      </c>
      <c r="B164" s="8">
        <v>92.4</v>
      </c>
      <c r="C164" s="8">
        <v>43.5</v>
      </c>
      <c r="D164" s="8">
        <v>265.39999999999998</v>
      </c>
    </row>
    <row r="165" spans="1:4" x14ac:dyDescent="0.25">
      <c r="A165" s="8">
        <v>26</v>
      </c>
      <c r="B165" s="8">
        <v>92.3</v>
      </c>
      <c r="C165" s="8">
        <v>43.5</v>
      </c>
      <c r="D165" s="8">
        <v>264.39999999999998</v>
      </c>
    </row>
    <row r="166" spans="1:4" x14ac:dyDescent="0.25">
      <c r="A166" s="8">
        <v>26.2</v>
      </c>
      <c r="B166" s="8">
        <v>92.2</v>
      </c>
      <c r="C166" s="8">
        <v>43.5</v>
      </c>
      <c r="D166" s="8">
        <v>263.5</v>
      </c>
    </row>
    <row r="167" spans="1:4" x14ac:dyDescent="0.25">
      <c r="A167" s="8">
        <v>26.4</v>
      </c>
      <c r="B167" s="8">
        <v>92.1</v>
      </c>
      <c r="C167" s="8">
        <v>43.5</v>
      </c>
      <c r="D167" s="8">
        <v>262.5</v>
      </c>
    </row>
    <row r="168" spans="1:4" x14ac:dyDescent="0.25">
      <c r="A168" s="8">
        <v>26.6</v>
      </c>
      <c r="B168" s="8">
        <v>92.1</v>
      </c>
      <c r="C168" s="8">
        <v>43.5</v>
      </c>
      <c r="D168" s="8">
        <v>261.60000000000002</v>
      </c>
    </row>
    <row r="169" spans="1:4" x14ac:dyDescent="0.25">
      <c r="A169" s="8">
        <v>26.8</v>
      </c>
      <c r="B169" s="8">
        <v>92</v>
      </c>
      <c r="C169" s="8">
        <v>43.5</v>
      </c>
      <c r="D169" s="8">
        <v>260.60000000000002</v>
      </c>
    </row>
    <row r="170" spans="1:4" x14ac:dyDescent="0.25">
      <c r="A170" s="8">
        <v>27</v>
      </c>
      <c r="B170" s="8">
        <v>91.9</v>
      </c>
      <c r="C170" s="8">
        <v>43.5</v>
      </c>
      <c r="D170" s="8">
        <v>259.7</v>
      </c>
    </row>
    <row r="171" spans="1:4" x14ac:dyDescent="0.25">
      <c r="A171" s="8">
        <v>27.2</v>
      </c>
      <c r="B171" s="8">
        <v>91.9</v>
      </c>
      <c r="C171" s="8">
        <v>43.5</v>
      </c>
      <c r="D171" s="8">
        <v>258.7</v>
      </c>
    </row>
    <row r="172" spans="1:4" x14ac:dyDescent="0.25">
      <c r="A172" s="8">
        <v>27.4</v>
      </c>
      <c r="B172" s="8">
        <v>91.8</v>
      </c>
      <c r="C172" s="8">
        <v>43.5</v>
      </c>
      <c r="D172" s="8">
        <v>257.8</v>
      </c>
    </row>
    <row r="173" spans="1:4" x14ac:dyDescent="0.25">
      <c r="A173" s="8">
        <v>27.6</v>
      </c>
      <c r="B173" s="8">
        <v>91.7</v>
      </c>
      <c r="C173" s="8">
        <v>43.5</v>
      </c>
      <c r="D173" s="8">
        <v>256.8</v>
      </c>
    </row>
    <row r="174" spans="1:4" x14ac:dyDescent="0.25">
      <c r="A174" s="8">
        <v>27.8</v>
      </c>
      <c r="B174" s="8">
        <v>91.6</v>
      </c>
      <c r="C174" s="8">
        <v>43.5</v>
      </c>
      <c r="D174" s="8">
        <v>255.9</v>
      </c>
    </row>
    <row r="175" spans="1:4" x14ac:dyDescent="0.25">
      <c r="A175" s="8">
        <v>28</v>
      </c>
      <c r="B175" s="8">
        <v>91.6</v>
      </c>
      <c r="C175" s="8">
        <v>43.5</v>
      </c>
      <c r="D175" s="8">
        <v>254.9</v>
      </c>
    </row>
    <row r="176" spans="1:4" x14ac:dyDescent="0.25">
      <c r="A176" s="8">
        <v>28.2</v>
      </c>
      <c r="B176" s="8">
        <v>91.5</v>
      </c>
      <c r="C176" s="8">
        <v>43.5</v>
      </c>
      <c r="D176" s="8">
        <v>254</v>
      </c>
    </row>
    <row r="177" spans="1:4" x14ac:dyDescent="0.25">
      <c r="A177" s="8">
        <v>28.4</v>
      </c>
      <c r="B177" s="8">
        <v>91.4</v>
      </c>
      <c r="C177" s="8">
        <v>43.5</v>
      </c>
      <c r="D177" s="8">
        <v>253</v>
      </c>
    </row>
    <row r="178" spans="1:4" x14ac:dyDescent="0.25">
      <c r="A178" s="8">
        <v>28.6</v>
      </c>
      <c r="B178" s="8">
        <v>91.3</v>
      </c>
      <c r="C178" s="8">
        <v>43.5</v>
      </c>
      <c r="D178" s="8">
        <v>252.1</v>
      </c>
    </row>
    <row r="179" spans="1:4" x14ac:dyDescent="0.25">
      <c r="A179" s="8">
        <v>28.8</v>
      </c>
      <c r="B179" s="8">
        <v>91.3</v>
      </c>
      <c r="C179" s="8">
        <v>43.5</v>
      </c>
      <c r="D179" s="8">
        <v>251.1</v>
      </c>
    </row>
    <row r="180" spans="1:4" x14ac:dyDescent="0.25">
      <c r="A180" s="8">
        <v>29</v>
      </c>
      <c r="B180" s="8">
        <v>91.2</v>
      </c>
      <c r="C180" s="8">
        <v>43.5</v>
      </c>
      <c r="D180" s="8">
        <v>250.2</v>
      </c>
    </row>
    <row r="181" spans="1:4" x14ac:dyDescent="0.25">
      <c r="A181" s="8">
        <v>29.2</v>
      </c>
      <c r="B181" s="8">
        <v>91.1</v>
      </c>
      <c r="C181" s="8">
        <v>43.5</v>
      </c>
      <c r="D181" s="8">
        <v>249.2</v>
      </c>
    </row>
    <row r="182" spans="1:4" x14ac:dyDescent="0.25">
      <c r="A182" s="8">
        <v>29.4</v>
      </c>
      <c r="B182" s="8">
        <v>91</v>
      </c>
      <c r="C182" s="8">
        <v>43.5</v>
      </c>
      <c r="D182" s="8">
        <v>248.2</v>
      </c>
    </row>
    <row r="183" spans="1:4" x14ac:dyDescent="0.25">
      <c r="A183" s="8">
        <v>29.6</v>
      </c>
      <c r="B183" s="8">
        <v>91</v>
      </c>
      <c r="C183" s="8">
        <v>43.5</v>
      </c>
      <c r="D183" s="8">
        <v>247.3</v>
      </c>
    </row>
    <row r="184" spans="1:4" x14ac:dyDescent="0.25">
      <c r="A184" s="8">
        <v>29.8</v>
      </c>
      <c r="B184" s="8">
        <v>90.9</v>
      </c>
      <c r="C184" s="8">
        <v>43.5</v>
      </c>
      <c r="D184" s="8">
        <v>246.3</v>
      </c>
    </row>
    <row r="185" spans="1:4" x14ac:dyDescent="0.25">
      <c r="A185" s="8">
        <v>30</v>
      </c>
      <c r="B185" s="8">
        <v>90.8</v>
      </c>
      <c r="C185" s="8">
        <v>43.5</v>
      </c>
      <c r="D185" s="8">
        <v>245.4</v>
      </c>
    </row>
    <row r="186" spans="1:4" x14ac:dyDescent="0.25">
      <c r="A186" s="8">
        <v>30.2</v>
      </c>
      <c r="B186" s="8">
        <v>90.7</v>
      </c>
      <c r="C186" s="8">
        <v>43.5</v>
      </c>
      <c r="D186" s="8">
        <v>244.4</v>
      </c>
    </row>
    <row r="187" spans="1:4" x14ac:dyDescent="0.25">
      <c r="A187" s="8">
        <v>30.4</v>
      </c>
      <c r="B187" s="8">
        <v>90.7</v>
      </c>
      <c r="C187" s="8">
        <v>43.5</v>
      </c>
      <c r="D187" s="8">
        <v>243.5</v>
      </c>
    </row>
    <row r="188" spans="1:4" x14ac:dyDescent="0.25">
      <c r="A188" s="8">
        <v>30.6</v>
      </c>
      <c r="B188" s="8">
        <v>90.6</v>
      </c>
      <c r="C188" s="8">
        <v>43.6</v>
      </c>
      <c r="D188" s="8">
        <v>242.5</v>
      </c>
    </row>
    <row r="189" spans="1:4" x14ac:dyDescent="0.25">
      <c r="A189" s="8">
        <v>30.8</v>
      </c>
      <c r="B189" s="8">
        <v>90.5</v>
      </c>
      <c r="C189" s="8">
        <v>43.6</v>
      </c>
      <c r="D189" s="8">
        <v>241.6</v>
      </c>
    </row>
    <row r="190" spans="1:4" x14ac:dyDescent="0.25">
      <c r="A190" s="8">
        <v>31</v>
      </c>
      <c r="B190" s="8">
        <v>90.4</v>
      </c>
      <c r="C190" s="8">
        <v>43.6</v>
      </c>
      <c r="D190" s="8">
        <v>240.6</v>
      </c>
    </row>
    <row r="191" spans="1:4" x14ac:dyDescent="0.25">
      <c r="A191" s="8">
        <v>31.2</v>
      </c>
      <c r="B191" s="8">
        <v>90.4</v>
      </c>
      <c r="C191" s="8">
        <v>43.6</v>
      </c>
      <c r="D191" s="8">
        <v>239.7</v>
      </c>
    </row>
    <row r="192" spans="1:4" x14ac:dyDescent="0.25">
      <c r="A192" s="8">
        <v>31.4</v>
      </c>
      <c r="B192" s="8">
        <v>90.3</v>
      </c>
      <c r="C192" s="8">
        <v>43.6</v>
      </c>
      <c r="D192" s="8">
        <v>238.7</v>
      </c>
    </row>
    <row r="193" spans="1:4" x14ac:dyDescent="0.25">
      <c r="A193" s="8">
        <v>31.6</v>
      </c>
      <c r="B193" s="8">
        <v>90.2</v>
      </c>
      <c r="C193" s="8">
        <v>43.6</v>
      </c>
      <c r="D193" s="8">
        <v>237.8</v>
      </c>
    </row>
    <row r="194" spans="1:4" x14ac:dyDescent="0.25">
      <c r="A194" s="8">
        <v>31.8</v>
      </c>
      <c r="B194" s="8">
        <v>90.1</v>
      </c>
      <c r="C194" s="8">
        <v>43.6</v>
      </c>
      <c r="D194" s="8">
        <v>236.8</v>
      </c>
    </row>
    <row r="195" spans="1:4" x14ac:dyDescent="0.25">
      <c r="A195" s="8">
        <v>32</v>
      </c>
      <c r="B195" s="8">
        <v>90</v>
      </c>
      <c r="C195" s="8">
        <v>43.6</v>
      </c>
      <c r="D195" s="8">
        <v>235.9</v>
      </c>
    </row>
    <row r="196" spans="1:4" x14ac:dyDescent="0.25">
      <c r="A196" s="8">
        <v>32.200000000000003</v>
      </c>
      <c r="B196" s="8">
        <v>90</v>
      </c>
      <c r="C196" s="8">
        <v>43.6</v>
      </c>
      <c r="D196" s="8">
        <v>234.9</v>
      </c>
    </row>
    <row r="197" spans="1:4" x14ac:dyDescent="0.25">
      <c r="A197" s="8">
        <v>32.4</v>
      </c>
      <c r="B197" s="8">
        <v>89.9</v>
      </c>
      <c r="C197" s="8">
        <v>43.6</v>
      </c>
      <c r="D197" s="8">
        <v>234</v>
      </c>
    </row>
    <row r="198" spans="1:4" x14ac:dyDescent="0.25">
      <c r="A198" s="8">
        <v>32.6</v>
      </c>
      <c r="B198" s="8">
        <v>89.8</v>
      </c>
      <c r="C198" s="8">
        <v>43.6</v>
      </c>
      <c r="D198" s="8">
        <v>233</v>
      </c>
    </row>
    <row r="199" spans="1:4" x14ac:dyDescent="0.25">
      <c r="A199" s="8">
        <v>32.799999999999997</v>
      </c>
      <c r="B199" s="8">
        <v>89.7</v>
      </c>
      <c r="C199" s="8">
        <v>43.6</v>
      </c>
      <c r="D199" s="8">
        <v>232.1</v>
      </c>
    </row>
    <row r="200" spans="1:4" x14ac:dyDescent="0.25">
      <c r="A200" s="8">
        <v>33</v>
      </c>
      <c r="B200" s="8">
        <v>89.6</v>
      </c>
      <c r="C200" s="8">
        <v>43.6</v>
      </c>
      <c r="D200" s="8">
        <v>231.1</v>
      </c>
    </row>
    <row r="201" spans="1:4" x14ac:dyDescent="0.25">
      <c r="A201" s="8">
        <v>33.200000000000003</v>
      </c>
      <c r="B201" s="8">
        <v>89.5</v>
      </c>
      <c r="C201" s="8">
        <v>43.6</v>
      </c>
      <c r="D201" s="8">
        <v>230.2</v>
      </c>
    </row>
    <row r="202" spans="1:4" x14ac:dyDescent="0.25">
      <c r="A202" s="8">
        <v>33.4</v>
      </c>
      <c r="B202" s="8">
        <v>89.5</v>
      </c>
      <c r="C202" s="8">
        <v>43.7</v>
      </c>
      <c r="D202" s="8">
        <v>229.2</v>
      </c>
    </row>
    <row r="203" spans="1:4" x14ac:dyDescent="0.25">
      <c r="A203" s="8">
        <v>33.6</v>
      </c>
      <c r="B203" s="8">
        <v>89.4</v>
      </c>
      <c r="C203" s="8">
        <v>43.7</v>
      </c>
      <c r="D203" s="8">
        <v>228.3</v>
      </c>
    </row>
    <row r="204" spans="1:4" x14ac:dyDescent="0.25">
      <c r="A204" s="8">
        <v>33.799999999999997</v>
      </c>
      <c r="B204" s="8">
        <v>89.3</v>
      </c>
      <c r="C204" s="8">
        <v>43.7</v>
      </c>
      <c r="D204" s="8">
        <v>227.3</v>
      </c>
    </row>
    <row r="205" spans="1:4" x14ac:dyDescent="0.25">
      <c r="A205" s="8">
        <v>34</v>
      </c>
      <c r="B205" s="8">
        <v>89.2</v>
      </c>
      <c r="C205" s="8">
        <v>43.7</v>
      </c>
      <c r="D205" s="8">
        <v>226.4</v>
      </c>
    </row>
    <row r="206" spans="1:4" x14ac:dyDescent="0.25">
      <c r="A206" s="8">
        <v>34.200000000000003</v>
      </c>
      <c r="B206" s="8">
        <v>89.1</v>
      </c>
      <c r="C206" s="8">
        <v>43.7</v>
      </c>
      <c r="D206" s="8">
        <v>225.4</v>
      </c>
    </row>
    <row r="207" spans="1:4" x14ac:dyDescent="0.25">
      <c r="A207" s="8">
        <v>34.4</v>
      </c>
      <c r="B207" s="8">
        <v>89</v>
      </c>
      <c r="C207" s="8">
        <v>43.7</v>
      </c>
      <c r="D207" s="8">
        <v>224.5</v>
      </c>
    </row>
    <row r="208" spans="1:4" x14ac:dyDescent="0.25">
      <c r="A208" s="8">
        <v>34.6</v>
      </c>
      <c r="B208" s="8">
        <v>88.9</v>
      </c>
      <c r="C208" s="8">
        <v>43.7</v>
      </c>
      <c r="D208" s="8">
        <v>223.5</v>
      </c>
    </row>
    <row r="209" spans="1:4" x14ac:dyDescent="0.25">
      <c r="A209" s="8">
        <v>34.799999999999997</v>
      </c>
      <c r="B209" s="8">
        <v>88.8</v>
      </c>
      <c r="C209" s="8">
        <v>43.7</v>
      </c>
      <c r="D209" s="8">
        <v>222.6</v>
      </c>
    </row>
    <row r="210" spans="1:4" x14ac:dyDescent="0.25">
      <c r="A210" s="8">
        <v>35</v>
      </c>
      <c r="B210" s="8">
        <v>88.8</v>
      </c>
      <c r="C210" s="8">
        <v>43.7</v>
      </c>
      <c r="D210" s="8">
        <v>221.6</v>
      </c>
    </row>
    <row r="211" spans="1:4" x14ac:dyDescent="0.25">
      <c r="A211" s="8">
        <v>35.200000000000003</v>
      </c>
      <c r="B211" s="8">
        <v>88.7</v>
      </c>
      <c r="C211" s="8">
        <v>43.7</v>
      </c>
      <c r="D211" s="8">
        <v>220.7</v>
      </c>
    </row>
    <row r="212" spans="1:4" x14ac:dyDescent="0.25">
      <c r="A212" s="8">
        <v>35.4</v>
      </c>
      <c r="B212" s="8">
        <v>88.6</v>
      </c>
      <c r="C212" s="8">
        <v>43.7</v>
      </c>
      <c r="D212" s="8">
        <v>219.7</v>
      </c>
    </row>
    <row r="213" spans="1:4" x14ac:dyDescent="0.25">
      <c r="A213" s="8">
        <v>35.6</v>
      </c>
      <c r="B213" s="8">
        <v>88.5</v>
      </c>
      <c r="C213" s="8">
        <v>43.8</v>
      </c>
      <c r="D213" s="8">
        <v>218.8</v>
      </c>
    </row>
    <row r="214" spans="1:4" x14ac:dyDescent="0.25">
      <c r="A214" s="8">
        <v>35.799999999999997</v>
      </c>
      <c r="B214" s="8">
        <v>88.4</v>
      </c>
      <c r="C214" s="8">
        <v>43.8</v>
      </c>
      <c r="D214" s="8">
        <v>217.8</v>
      </c>
    </row>
    <row r="215" spans="1:4" x14ac:dyDescent="0.25">
      <c r="A215" s="8">
        <v>36</v>
      </c>
      <c r="B215" s="8">
        <v>88.3</v>
      </c>
      <c r="C215" s="8">
        <v>43.8</v>
      </c>
      <c r="D215" s="8">
        <v>216.9</v>
      </c>
    </row>
    <row r="216" spans="1:4" x14ac:dyDescent="0.25">
      <c r="A216" s="8">
        <v>36.200000000000003</v>
      </c>
      <c r="B216" s="8">
        <v>88.2</v>
      </c>
      <c r="C216" s="8">
        <v>43.8</v>
      </c>
      <c r="D216" s="8">
        <v>215.9</v>
      </c>
    </row>
    <row r="217" spans="1:4" x14ac:dyDescent="0.25">
      <c r="A217" s="8">
        <v>36.4</v>
      </c>
      <c r="B217" s="8">
        <v>88.1</v>
      </c>
      <c r="C217" s="8">
        <v>43.8</v>
      </c>
      <c r="D217" s="8">
        <v>215</v>
      </c>
    </row>
    <row r="218" spans="1:4" x14ac:dyDescent="0.25">
      <c r="A218" s="8">
        <v>36.6</v>
      </c>
      <c r="B218" s="8">
        <v>88</v>
      </c>
      <c r="C218" s="8">
        <v>43.8</v>
      </c>
      <c r="D218" s="8">
        <v>214</v>
      </c>
    </row>
    <row r="219" spans="1:4" x14ac:dyDescent="0.25">
      <c r="A219" s="8">
        <v>36.799999999999997</v>
      </c>
      <c r="B219" s="8">
        <v>87.9</v>
      </c>
      <c r="C219" s="8">
        <v>43.8</v>
      </c>
      <c r="D219" s="8">
        <v>213.1</v>
      </c>
    </row>
    <row r="220" spans="1:4" x14ac:dyDescent="0.25">
      <c r="A220" s="8">
        <v>37</v>
      </c>
      <c r="B220" s="8">
        <v>87.8</v>
      </c>
      <c r="C220" s="8">
        <v>43.8</v>
      </c>
      <c r="D220" s="8">
        <v>212.1</v>
      </c>
    </row>
    <row r="221" spans="1:4" x14ac:dyDescent="0.25">
      <c r="A221" s="8">
        <v>37.200000000000003</v>
      </c>
      <c r="B221" s="8">
        <v>87.7</v>
      </c>
      <c r="C221" s="8">
        <v>43.8</v>
      </c>
      <c r="D221" s="8">
        <v>211.2</v>
      </c>
    </row>
    <row r="222" spans="1:4" x14ac:dyDescent="0.25">
      <c r="A222" s="8">
        <v>37.4</v>
      </c>
      <c r="B222" s="8">
        <v>87.6</v>
      </c>
      <c r="C222" s="8">
        <v>43.8</v>
      </c>
      <c r="D222" s="8">
        <v>210.2</v>
      </c>
    </row>
    <row r="223" spans="1:4" x14ac:dyDescent="0.25">
      <c r="A223" s="8">
        <v>37.6</v>
      </c>
      <c r="B223" s="8">
        <v>87.5</v>
      </c>
      <c r="C223" s="8">
        <v>43.9</v>
      </c>
      <c r="D223" s="8">
        <v>209.3</v>
      </c>
    </row>
    <row r="224" spans="1:4" x14ac:dyDescent="0.25">
      <c r="A224" s="8">
        <v>37.799999999999997</v>
      </c>
      <c r="B224" s="8">
        <v>87.4</v>
      </c>
      <c r="C224" s="8">
        <v>43.9</v>
      </c>
      <c r="D224" s="8">
        <v>208.3</v>
      </c>
    </row>
    <row r="225" spans="1:4" x14ac:dyDescent="0.25">
      <c r="A225" s="8">
        <v>38</v>
      </c>
      <c r="B225" s="8">
        <v>87.3</v>
      </c>
      <c r="C225" s="8">
        <v>43.9</v>
      </c>
      <c r="D225" s="8">
        <v>207.4</v>
      </c>
    </row>
    <row r="226" spans="1:4" x14ac:dyDescent="0.25">
      <c r="A226" s="8">
        <v>38.200000000000003</v>
      </c>
      <c r="B226" s="8">
        <v>87.2</v>
      </c>
      <c r="C226" s="8">
        <v>43.9</v>
      </c>
      <c r="D226" s="8">
        <v>206.4</v>
      </c>
    </row>
    <row r="227" spans="1:4" x14ac:dyDescent="0.25">
      <c r="A227" s="8">
        <v>38.4</v>
      </c>
      <c r="B227" s="8">
        <v>87.1</v>
      </c>
      <c r="C227" s="8">
        <v>43.9</v>
      </c>
      <c r="D227" s="8">
        <v>205.5</v>
      </c>
    </row>
    <row r="228" spans="1:4" x14ac:dyDescent="0.25">
      <c r="A228" s="8">
        <v>38.6</v>
      </c>
      <c r="B228" s="8">
        <v>87</v>
      </c>
      <c r="C228" s="8">
        <v>43.9</v>
      </c>
      <c r="D228" s="8">
        <v>204.5</v>
      </c>
    </row>
    <row r="229" spans="1:4" x14ac:dyDescent="0.25">
      <c r="A229" s="8">
        <v>38.799999999999997</v>
      </c>
      <c r="B229" s="8">
        <v>86.9</v>
      </c>
      <c r="C229" s="8">
        <v>43.9</v>
      </c>
      <c r="D229" s="8">
        <v>203.6</v>
      </c>
    </row>
    <row r="230" spans="1:4" x14ac:dyDescent="0.25">
      <c r="A230" s="8">
        <v>39</v>
      </c>
      <c r="B230" s="8">
        <v>86.8</v>
      </c>
      <c r="C230" s="8">
        <v>43.9</v>
      </c>
      <c r="D230" s="8">
        <v>202.6</v>
      </c>
    </row>
    <row r="231" spans="1:4" x14ac:dyDescent="0.25">
      <c r="A231" s="8">
        <v>39.200000000000003</v>
      </c>
      <c r="B231" s="8">
        <v>86.7</v>
      </c>
      <c r="C231" s="8">
        <v>43.9</v>
      </c>
      <c r="D231" s="8">
        <v>201.7</v>
      </c>
    </row>
    <row r="232" spans="1:4" x14ac:dyDescent="0.25">
      <c r="A232" s="8">
        <v>39.4</v>
      </c>
      <c r="B232" s="8">
        <v>86.6</v>
      </c>
      <c r="C232" s="8">
        <v>44</v>
      </c>
      <c r="D232" s="8">
        <v>200.7</v>
      </c>
    </row>
    <row r="233" spans="1:4" x14ac:dyDescent="0.25">
      <c r="A233" s="8">
        <v>39.6</v>
      </c>
      <c r="B233" s="8">
        <v>86.4</v>
      </c>
      <c r="C233" s="8">
        <v>44</v>
      </c>
      <c r="D233" s="8">
        <v>199.8</v>
      </c>
    </row>
    <row r="234" spans="1:4" x14ac:dyDescent="0.25">
      <c r="A234" s="8">
        <v>39.799999999999997</v>
      </c>
      <c r="B234" s="8">
        <v>86.3</v>
      </c>
      <c r="C234" s="8">
        <v>44</v>
      </c>
      <c r="D234" s="8">
        <v>198.8</v>
      </c>
    </row>
    <row r="235" spans="1:4" x14ac:dyDescent="0.25">
      <c r="A235" s="8">
        <v>40</v>
      </c>
      <c r="B235" s="8">
        <v>86.2</v>
      </c>
      <c r="C235" s="8">
        <v>44</v>
      </c>
      <c r="D235" s="8">
        <v>197.9</v>
      </c>
    </row>
    <row r="236" spans="1:4" x14ac:dyDescent="0.25">
      <c r="A236" s="8">
        <v>40.200000000000003</v>
      </c>
      <c r="B236" s="8">
        <v>86.1</v>
      </c>
      <c r="C236" s="8">
        <v>44</v>
      </c>
      <c r="D236" s="8">
        <v>196.9</v>
      </c>
    </row>
    <row r="237" spans="1:4" x14ac:dyDescent="0.25">
      <c r="A237" s="8">
        <v>40.4</v>
      </c>
      <c r="B237" s="8">
        <v>86</v>
      </c>
      <c r="C237" s="8">
        <v>44</v>
      </c>
      <c r="D237" s="8">
        <v>196</v>
      </c>
    </row>
    <row r="238" spans="1:4" x14ac:dyDescent="0.25">
      <c r="A238" s="8">
        <v>40.6</v>
      </c>
      <c r="B238" s="8">
        <v>85.9</v>
      </c>
      <c r="C238" s="8">
        <v>44</v>
      </c>
      <c r="D238" s="8">
        <v>195</v>
      </c>
    </row>
    <row r="239" spans="1:4" x14ac:dyDescent="0.25">
      <c r="A239" s="8">
        <v>40.799999999999997</v>
      </c>
      <c r="B239" s="8">
        <v>85.7</v>
      </c>
      <c r="C239" s="8">
        <v>44</v>
      </c>
      <c r="D239" s="8">
        <v>194.1</v>
      </c>
    </row>
    <row r="240" spans="1:4" x14ac:dyDescent="0.25">
      <c r="A240" s="8">
        <v>41</v>
      </c>
      <c r="B240" s="8">
        <v>85.6</v>
      </c>
      <c r="C240" s="8">
        <v>44.1</v>
      </c>
      <c r="D240" s="8">
        <v>193.1</v>
      </c>
    </row>
    <row r="241" spans="1:4" x14ac:dyDescent="0.25">
      <c r="A241" s="8">
        <v>41.2</v>
      </c>
      <c r="B241" s="8">
        <v>85.5</v>
      </c>
      <c r="C241" s="8">
        <v>44.1</v>
      </c>
      <c r="D241" s="8">
        <v>192.2</v>
      </c>
    </row>
    <row r="242" spans="1:4" x14ac:dyDescent="0.25">
      <c r="A242" s="8">
        <v>41.4</v>
      </c>
      <c r="B242" s="8">
        <v>85.4</v>
      </c>
      <c r="C242" s="8">
        <v>44.1</v>
      </c>
      <c r="D242" s="8">
        <v>191.2</v>
      </c>
    </row>
    <row r="243" spans="1:4" x14ac:dyDescent="0.25">
      <c r="A243" s="8">
        <v>41.6</v>
      </c>
      <c r="B243" s="8">
        <v>85.2</v>
      </c>
      <c r="C243" s="8">
        <v>44.1</v>
      </c>
      <c r="D243" s="8">
        <v>190.3</v>
      </c>
    </row>
    <row r="244" spans="1:4" x14ac:dyDescent="0.25">
      <c r="A244" s="8">
        <v>41.8</v>
      </c>
      <c r="B244" s="8">
        <v>85.1</v>
      </c>
      <c r="C244" s="8">
        <v>44.1</v>
      </c>
      <c r="D244" s="8">
        <v>189.3</v>
      </c>
    </row>
    <row r="245" spans="1:4" x14ac:dyDescent="0.25">
      <c r="A245" s="8">
        <v>42</v>
      </c>
      <c r="B245" s="8">
        <v>85</v>
      </c>
      <c r="C245" s="8">
        <v>44.1</v>
      </c>
      <c r="D245" s="8">
        <v>188.4</v>
      </c>
    </row>
    <row r="246" spans="1:4" x14ac:dyDescent="0.25">
      <c r="A246" s="8">
        <v>42.2</v>
      </c>
      <c r="B246" s="8">
        <v>84.9</v>
      </c>
      <c r="C246" s="8">
        <v>44.1</v>
      </c>
      <c r="D246" s="8">
        <v>187.4</v>
      </c>
    </row>
    <row r="247" spans="1:4" x14ac:dyDescent="0.25">
      <c r="A247" s="8">
        <v>42.4</v>
      </c>
      <c r="B247" s="8">
        <v>84.7</v>
      </c>
      <c r="C247" s="8">
        <v>44.2</v>
      </c>
      <c r="D247" s="8">
        <v>186.5</v>
      </c>
    </row>
    <row r="248" spans="1:4" x14ac:dyDescent="0.25">
      <c r="A248" s="8">
        <v>42.6</v>
      </c>
      <c r="B248" s="8">
        <v>84.6</v>
      </c>
      <c r="C248" s="8">
        <v>44.2</v>
      </c>
      <c r="D248" s="8">
        <v>185.5</v>
      </c>
    </row>
    <row r="249" spans="1:4" x14ac:dyDescent="0.25">
      <c r="A249" s="8">
        <v>42.8</v>
      </c>
      <c r="B249" s="8">
        <v>84.5</v>
      </c>
      <c r="C249" s="8">
        <v>44.2</v>
      </c>
      <c r="D249" s="8">
        <v>184.6</v>
      </c>
    </row>
    <row r="250" spans="1:4" x14ac:dyDescent="0.25">
      <c r="A250" s="8">
        <v>43</v>
      </c>
      <c r="B250" s="8">
        <v>84.3</v>
      </c>
      <c r="C250" s="8">
        <v>44.2</v>
      </c>
      <c r="D250" s="8">
        <v>183.6</v>
      </c>
    </row>
    <row r="251" spans="1:4" x14ac:dyDescent="0.25">
      <c r="A251" s="8">
        <v>43.2</v>
      </c>
      <c r="B251" s="8">
        <v>84.2</v>
      </c>
      <c r="C251" s="8">
        <v>44.2</v>
      </c>
      <c r="D251" s="8">
        <v>182.7</v>
      </c>
    </row>
    <row r="252" spans="1:4" x14ac:dyDescent="0.25">
      <c r="A252" s="8">
        <v>43.4</v>
      </c>
      <c r="B252" s="8">
        <v>84</v>
      </c>
      <c r="C252" s="8">
        <v>44.2</v>
      </c>
      <c r="D252" s="8">
        <v>181.7</v>
      </c>
    </row>
    <row r="253" spans="1:4" x14ac:dyDescent="0.25">
      <c r="A253" s="8">
        <v>43.6</v>
      </c>
      <c r="B253" s="8">
        <v>83.9</v>
      </c>
      <c r="C253" s="8">
        <v>44.2</v>
      </c>
      <c r="D253" s="8">
        <v>180.8</v>
      </c>
    </row>
    <row r="254" spans="1:4" x14ac:dyDescent="0.25">
      <c r="A254" s="8">
        <v>43.8</v>
      </c>
      <c r="B254" s="8">
        <v>83.8</v>
      </c>
      <c r="C254" s="8">
        <v>44.3</v>
      </c>
      <c r="D254" s="8">
        <v>179.8</v>
      </c>
    </row>
    <row r="255" spans="1:4" x14ac:dyDescent="0.25">
      <c r="A255" s="8">
        <v>44</v>
      </c>
      <c r="B255" s="8">
        <v>83.6</v>
      </c>
      <c r="C255" s="8">
        <v>44.3</v>
      </c>
      <c r="D255" s="8">
        <v>178.9</v>
      </c>
    </row>
    <row r="256" spans="1:4" x14ac:dyDescent="0.25">
      <c r="A256" s="8">
        <v>44.2</v>
      </c>
      <c r="B256" s="8">
        <v>83.5</v>
      </c>
      <c r="C256" s="8">
        <v>44.3</v>
      </c>
      <c r="D256" s="8">
        <v>177.9</v>
      </c>
    </row>
    <row r="257" spans="1:4" x14ac:dyDescent="0.25">
      <c r="A257" s="8">
        <v>44.4</v>
      </c>
      <c r="B257" s="8">
        <v>83.3</v>
      </c>
      <c r="C257" s="8">
        <v>44.3</v>
      </c>
      <c r="D257" s="8">
        <v>177</v>
      </c>
    </row>
    <row r="258" spans="1:4" x14ac:dyDescent="0.25">
      <c r="A258" s="8">
        <v>44.6</v>
      </c>
      <c r="B258" s="8">
        <v>83.2</v>
      </c>
      <c r="C258" s="8">
        <v>44.3</v>
      </c>
      <c r="D258" s="8">
        <v>176</v>
      </c>
    </row>
    <row r="259" spans="1:4" x14ac:dyDescent="0.25">
      <c r="A259" s="8">
        <v>44.8</v>
      </c>
      <c r="B259" s="8">
        <v>83</v>
      </c>
      <c r="C259" s="8">
        <v>44.3</v>
      </c>
      <c r="D259" s="8">
        <v>175.1</v>
      </c>
    </row>
    <row r="260" spans="1:4" x14ac:dyDescent="0.25">
      <c r="A260" s="8">
        <v>45</v>
      </c>
      <c r="B260" s="8">
        <v>82.9</v>
      </c>
      <c r="C260" s="8">
        <v>44.3</v>
      </c>
      <c r="D260" s="8">
        <v>174.1</v>
      </c>
    </row>
    <row r="261" spans="1:4" x14ac:dyDescent="0.25">
      <c r="A261" s="8">
        <v>45.2</v>
      </c>
      <c r="B261" s="8">
        <v>82.7</v>
      </c>
      <c r="C261" s="8">
        <v>44.4</v>
      </c>
      <c r="D261" s="8">
        <v>173.2</v>
      </c>
    </row>
    <row r="262" spans="1:4" x14ac:dyDescent="0.25">
      <c r="A262" s="8">
        <v>45.4</v>
      </c>
      <c r="B262" s="8">
        <v>82.6</v>
      </c>
      <c r="C262" s="8">
        <v>44.4</v>
      </c>
      <c r="D262" s="8">
        <v>172.2</v>
      </c>
    </row>
    <row r="263" spans="1:4" x14ac:dyDescent="0.25">
      <c r="A263" s="8">
        <v>45.6</v>
      </c>
      <c r="B263" s="8">
        <v>82.4</v>
      </c>
      <c r="C263" s="8">
        <v>44.4</v>
      </c>
      <c r="D263" s="8">
        <v>171.3</v>
      </c>
    </row>
    <row r="264" spans="1:4" x14ac:dyDescent="0.25">
      <c r="A264" s="8">
        <v>45.8</v>
      </c>
      <c r="B264" s="8">
        <v>82.2</v>
      </c>
      <c r="C264" s="8">
        <v>44.4</v>
      </c>
      <c r="D264" s="8">
        <v>170.3</v>
      </c>
    </row>
    <row r="265" spans="1:4" x14ac:dyDescent="0.25">
      <c r="A265" s="8">
        <v>46</v>
      </c>
      <c r="B265" s="8">
        <v>82.1</v>
      </c>
      <c r="C265" s="8">
        <v>44.4</v>
      </c>
      <c r="D265" s="8">
        <v>169.4</v>
      </c>
    </row>
    <row r="266" spans="1:4" x14ac:dyDescent="0.25">
      <c r="A266" s="8">
        <v>46.2</v>
      </c>
      <c r="B266" s="8">
        <v>81.900000000000006</v>
      </c>
      <c r="C266" s="8">
        <v>44.4</v>
      </c>
      <c r="D266" s="8">
        <v>168.4</v>
      </c>
    </row>
    <row r="267" spans="1:4" x14ac:dyDescent="0.25">
      <c r="A267" s="8">
        <v>46.4</v>
      </c>
      <c r="B267" s="8">
        <v>81.8</v>
      </c>
      <c r="C267" s="8">
        <v>44.5</v>
      </c>
      <c r="D267" s="8">
        <v>167.5</v>
      </c>
    </row>
    <row r="268" spans="1:4" x14ac:dyDescent="0.25">
      <c r="A268" s="8">
        <v>46.6</v>
      </c>
      <c r="B268" s="8">
        <v>81.599999999999994</v>
      </c>
      <c r="C268" s="8">
        <v>44.5</v>
      </c>
      <c r="D268" s="8">
        <v>166.5</v>
      </c>
    </row>
    <row r="269" spans="1:4" x14ac:dyDescent="0.25">
      <c r="A269" s="8">
        <v>46.8</v>
      </c>
      <c r="B269" s="8">
        <v>81.400000000000006</v>
      </c>
      <c r="C269" s="8">
        <v>44.5</v>
      </c>
      <c r="D269" s="8">
        <v>165.6</v>
      </c>
    </row>
    <row r="270" spans="1:4" x14ac:dyDescent="0.25">
      <c r="A270" s="8">
        <v>47</v>
      </c>
      <c r="B270" s="8">
        <v>81.3</v>
      </c>
      <c r="C270" s="8">
        <v>44.5</v>
      </c>
      <c r="D270" s="8">
        <v>164.6</v>
      </c>
    </row>
    <row r="271" spans="1:4" x14ac:dyDescent="0.25">
      <c r="A271" s="8">
        <v>47.2</v>
      </c>
      <c r="B271" s="8">
        <v>81.099999999999994</v>
      </c>
      <c r="C271" s="8">
        <v>44.5</v>
      </c>
      <c r="D271" s="8">
        <v>163.69999999999999</v>
      </c>
    </row>
    <row r="272" spans="1:4" x14ac:dyDescent="0.25">
      <c r="A272" s="8">
        <v>47.4</v>
      </c>
      <c r="B272" s="8">
        <v>80.900000000000006</v>
      </c>
      <c r="C272" s="8">
        <v>44.5</v>
      </c>
      <c r="D272" s="8">
        <v>162.69999999999999</v>
      </c>
    </row>
    <row r="273" spans="1:4" x14ac:dyDescent="0.25">
      <c r="A273" s="8">
        <v>47.6</v>
      </c>
      <c r="B273" s="8">
        <v>80.7</v>
      </c>
      <c r="C273" s="8">
        <v>44.6</v>
      </c>
      <c r="D273" s="8">
        <v>161.80000000000001</v>
      </c>
    </row>
    <row r="274" spans="1:4" x14ac:dyDescent="0.25">
      <c r="A274" s="8">
        <v>47.8</v>
      </c>
      <c r="B274" s="8">
        <v>80.5</v>
      </c>
      <c r="C274" s="8">
        <v>44.6</v>
      </c>
      <c r="D274" s="8">
        <v>160.80000000000001</v>
      </c>
    </row>
    <row r="275" spans="1:4" x14ac:dyDescent="0.25">
      <c r="A275" s="8">
        <v>48</v>
      </c>
      <c r="B275" s="8">
        <v>80.400000000000006</v>
      </c>
      <c r="C275" s="8">
        <v>44.6</v>
      </c>
      <c r="D275" s="8">
        <v>159.9</v>
      </c>
    </row>
    <row r="276" spans="1:4" x14ac:dyDescent="0.25">
      <c r="A276" s="8">
        <v>48.2</v>
      </c>
      <c r="B276" s="8">
        <v>80.2</v>
      </c>
      <c r="C276" s="8">
        <v>44.6</v>
      </c>
      <c r="D276" s="8">
        <v>158.9</v>
      </c>
    </row>
    <row r="277" spans="1:4" x14ac:dyDescent="0.25">
      <c r="A277" s="8">
        <v>48.4</v>
      </c>
      <c r="B277" s="8">
        <v>80</v>
      </c>
      <c r="C277" s="8">
        <v>44.6</v>
      </c>
      <c r="D277" s="8">
        <v>158</v>
      </c>
    </row>
    <row r="278" spans="1:4" x14ac:dyDescent="0.25">
      <c r="A278" s="8">
        <v>48.6</v>
      </c>
      <c r="B278" s="8">
        <v>79.8</v>
      </c>
      <c r="C278" s="8">
        <v>44.7</v>
      </c>
      <c r="D278" s="8">
        <v>157</v>
      </c>
    </row>
    <row r="279" spans="1:4" x14ac:dyDescent="0.25">
      <c r="A279" s="8">
        <v>48.8</v>
      </c>
      <c r="B279" s="8">
        <v>79.599999999999994</v>
      </c>
      <c r="C279" s="8">
        <v>44.7</v>
      </c>
      <c r="D279" s="8">
        <v>156.1</v>
      </c>
    </row>
    <row r="280" spans="1:4" x14ac:dyDescent="0.25">
      <c r="A280" s="8">
        <v>49</v>
      </c>
      <c r="B280" s="8">
        <v>79.400000000000006</v>
      </c>
      <c r="C280" s="8">
        <v>44.7</v>
      </c>
      <c r="D280" s="8">
        <v>155.1</v>
      </c>
    </row>
    <row r="281" spans="1:4" x14ac:dyDescent="0.25">
      <c r="A281" s="8">
        <v>49.2</v>
      </c>
      <c r="B281" s="8">
        <v>79.2</v>
      </c>
      <c r="C281" s="8">
        <v>44.7</v>
      </c>
      <c r="D281" s="8">
        <v>154.19999999999999</v>
      </c>
    </row>
    <row r="282" spans="1:4" x14ac:dyDescent="0.25">
      <c r="A282" s="8">
        <v>49.4</v>
      </c>
      <c r="B282" s="8">
        <v>79</v>
      </c>
      <c r="C282" s="8">
        <v>44.7</v>
      </c>
      <c r="D282" s="8">
        <v>153.19999999999999</v>
      </c>
    </row>
    <row r="283" spans="1:4" x14ac:dyDescent="0.25">
      <c r="A283" s="8">
        <v>49.6</v>
      </c>
      <c r="B283" s="8">
        <v>78.8</v>
      </c>
      <c r="C283" s="8">
        <v>44.7</v>
      </c>
      <c r="D283" s="8">
        <v>152.30000000000001</v>
      </c>
    </row>
    <row r="284" spans="1:4" x14ac:dyDescent="0.25">
      <c r="A284" s="8">
        <v>49.8</v>
      </c>
      <c r="B284" s="8">
        <v>78.599999999999994</v>
      </c>
      <c r="C284" s="8">
        <v>44.8</v>
      </c>
      <c r="D284" s="8">
        <v>151.30000000000001</v>
      </c>
    </row>
    <row r="285" spans="1:4" x14ac:dyDescent="0.25">
      <c r="A285" s="8">
        <v>50</v>
      </c>
      <c r="B285" s="8">
        <v>78.400000000000006</v>
      </c>
      <c r="C285" s="8">
        <v>44.8</v>
      </c>
      <c r="D285" s="8">
        <v>150.4</v>
      </c>
    </row>
    <row r="286" spans="1:4" x14ac:dyDescent="0.25">
      <c r="A286" s="8">
        <v>50.2</v>
      </c>
      <c r="B286" s="8">
        <v>78.2</v>
      </c>
      <c r="C286" s="8">
        <v>44.8</v>
      </c>
      <c r="D286" s="8">
        <v>149.4</v>
      </c>
    </row>
    <row r="287" spans="1:4" x14ac:dyDescent="0.25">
      <c r="A287" s="8">
        <v>50.4</v>
      </c>
      <c r="B287" s="8">
        <v>78</v>
      </c>
      <c r="C287" s="8">
        <v>44.8</v>
      </c>
      <c r="D287" s="8">
        <v>148.5</v>
      </c>
    </row>
    <row r="288" spans="1:4" x14ac:dyDescent="0.25">
      <c r="A288" s="8">
        <v>50.6</v>
      </c>
      <c r="B288" s="8">
        <v>77.8</v>
      </c>
      <c r="C288" s="8">
        <v>44.8</v>
      </c>
      <c r="D288" s="8">
        <v>147.5</v>
      </c>
    </row>
    <row r="289" spans="1:4" x14ac:dyDescent="0.25">
      <c r="A289" s="8">
        <v>50.8</v>
      </c>
      <c r="B289" s="8">
        <v>77.599999999999994</v>
      </c>
      <c r="C289" s="8">
        <v>44.9</v>
      </c>
      <c r="D289" s="8">
        <v>146.6</v>
      </c>
    </row>
    <row r="290" spans="1:4" x14ac:dyDescent="0.25">
      <c r="A290" s="8">
        <v>51</v>
      </c>
      <c r="B290" s="8">
        <v>77.400000000000006</v>
      </c>
      <c r="C290" s="8">
        <v>44.9</v>
      </c>
      <c r="D290" s="8">
        <v>145.6</v>
      </c>
    </row>
    <row r="291" spans="1:4" x14ac:dyDescent="0.25">
      <c r="A291" s="8">
        <v>51.2</v>
      </c>
      <c r="B291" s="8">
        <v>77.2</v>
      </c>
      <c r="C291" s="8">
        <v>44.9</v>
      </c>
      <c r="D291" s="8">
        <v>144.69999999999999</v>
      </c>
    </row>
    <row r="292" spans="1:4" x14ac:dyDescent="0.25">
      <c r="A292" s="8">
        <v>51.4</v>
      </c>
      <c r="B292" s="8">
        <v>76.900000000000006</v>
      </c>
      <c r="C292" s="8">
        <v>44.9</v>
      </c>
      <c r="D292" s="8">
        <v>143.69999999999999</v>
      </c>
    </row>
    <row r="293" spans="1:4" x14ac:dyDescent="0.25">
      <c r="A293" s="8">
        <v>51.6</v>
      </c>
      <c r="B293" s="8">
        <v>76.7</v>
      </c>
      <c r="C293" s="8">
        <v>44.9</v>
      </c>
      <c r="D293" s="8">
        <v>142.80000000000001</v>
      </c>
    </row>
    <row r="294" spans="1:4" x14ac:dyDescent="0.25">
      <c r="A294" s="8">
        <v>51.8</v>
      </c>
      <c r="B294" s="8">
        <v>76.5</v>
      </c>
      <c r="C294" s="8">
        <v>45</v>
      </c>
      <c r="D294" s="8">
        <v>141.80000000000001</v>
      </c>
    </row>
    <row r="295" spans="1:4" x14ac:dyDescent="0.25">
      <c r="A295" s="8">
        <v>52</v>
      </c>
      <c r="B295" s="8">
        <v>76.3</v>
      </c>
      <c r="C295" s="8">
        <v>45</v>
      </c>
      <c r="D295" s="8">
        <v>140.9</v>
      </c>
    </row>
    <row r="296" spans="1:4" x14ac:dyDescent="0.25">
      <c r="A296" s="8">
        <v>52.2</v>
      </c>
      <c r="B296" s="8">
        <v>76</v>
      </c>
      <c r="C296" s="8">
        <v>45</v>
      </c>
      <c r="D296" s="8">
        <v>139.9</v>
      </c>
    </row>
    <row r="297" spans="1:4" x14ac:dyDescent="0.25">
      <c r="A297" s="8">
        <v>52.4</v>
      </c>
      <c r="B297" s="8">
        <v>75.8</v>
      </c>
      <c r="C297" s="8">
        <v>45</v>
      </c>
      <c r="D297" s="8">
        <v>139</v>
      </c>
    </row>
    <row r="298" spans="1:4" x14ac:dyDescent="0.25">
      <c r="A298" s="8">
        <v>52.6</v>
      </c>
      <c r="B298" s="8">
        <v>75.599999999999994</v>
      </c>
      <c r="C298" s="8">
        <v>45</v>
      </c>
      <c r="D298" s="8">
        <v>138</v>
      </c>
    </row>
    <row r="299" spans="1:4" x14ac:dyDescent="0.25">
      <c r="A299" s="8">
        <v>52.8</v>
      </c>
      <c r="B299" s="8">
        <v>75.3</v>
      </c>
      <c r="C299" s="8">
        <v>45.1</v>
      </c>
      <c r="D299" s="8">
        <v>137.1</v>
      </c>
    </row>
    <row r="300" spans="1:4" x14ac:dyDescent="0.25">
      <c r="A300" s="8">
        <v>53</v>
      </c>
      <c r="B300" s="8">
        <v>75.099999999999994</v>
      </c>
      <c r="C300" s="8">
        <v>45.1</v>
      </c>
      <c r="D300" s="8">
        <v>136.1</v>
      </c>
    </row>
    <row r="301" spans="1:4" x14ac:dyDescent="0.25">
      <c r="A301" s="8">
        <v>53.2</v>
      </c>
      <c r="B301" s="8">
        <v>74.8</v>
      </c>
      <c r="C301" s="8">
        <v>45.1</v>
      </c>
      <c r="D301" s="8">
        <v>135.19999999999999</v>
      </c>
    </row>
    <row r="302" spans="1:4" x14ac:dyDescent="0.25">
      <c r="A302" s="8">
        <v>53.4</v>
      </c>
      <c r="B302" s="8">
        <v>74.599999999999994</v>
      </c>
      <c r="C302" s="8">
        <v>45.1</v>
      </c>
      <c r="D302" s="8">
        <v>134.19999999999999</v>
      </c>
    </row>
    <row r="303" spans="1:4" x14ac:dyDescent="0.25">
      <c r="A303" s="8">
        <v>53.6</v>
      </c>
      <c r="B303" s="8">
        <v>74.3</v>
      </c>
      <c r="C303" s="8">
        <v>45.1</v>
      </c>
      <c r="D303" s="8">
        <v>133.30000000000001</v>
      </c>
    </row>
    <row r="304" spans="1:4" x14ac:dyDescent="0.25">
      <c r="A304" s="8">
        <v>53.8</v>
      </c>
      <c r="B304" s="8">
        <v>74.099999999999994</v>
      </c>
      <c r="C304" s="8">
        <v>45.2</v>
      </c>
      <c r="D304" s="8">
        <v>132.30000000000001</v>
      </c>
    </row>
    <row r="305" spans="1:4" x14ac:dyDescent="0.25">
      <c r="A305" s="8">
        <v>54</v>
      </c>
      <c r="B305" s="8">
        <v>73.8</v>
      </c>
      <c r="C305" s="8">
        <v>45.2</v>
      </c>
      <c r="D305" s="8">
        <v>131.4</v>
      </c>
    </row>
    <row r="306" spans="1:4" x14ac:dyDescent="0.25">
      <c r="A306" s="8">
        <v>54.2</v>
      </c>
      <c r="B306" s="8">
        <v>73.599999999999994</v>
      </c>
      <c r="C306" s="8">
        <v>45.2</v>
      </c>
      <c r="D306" s="8">
        <v>130.4</v>
      </c>
    </row>
    <row r="307" spans="1:4" x14ac:dyDescent="0.25">
      <c r="A307" s="8">
        <v>54.4</v>
      </c>
      <c r="B307" s="8">
        <v>73.3</v>
      </c>
      <c r="C307" s="8">
        <v>45.2</v>
      </c>
      <c r="D307" s="8">
        <v>129.4</v>
      </c>
    </row>
    <row r="308" spans="1:4" x14ac:dyDescent="0.25">
      <c r="A308" s="8">
        <v>54.6</v>
      </c>
      <c r="B308" s="8">
        <v>73</v>
      </c>
      <c r="C308" s="8">
        <v>45.3</v>
      </c>
      <c r="D308" s="8">
        <v>128.5</v>
      </c>
    </row>
    <row r="309" spans="1:4" x14ac:dyDescent="0.25">
      <c r="A309" s="8">
        <v>54.8</v>
      </c>
      <c r="B309" s="8">
        <v>72.8</v>
      </c>
      <c r="C309" s="8">
        <v>45.3</v>
      </c>
      <c r="D309" s="8">
        <v>127.5</v>
      </c>
    </row>
    <row r="310" spans="1:4" x14ac:dyDescent="0.25">
      <c r="A310" s="8">
        <v>55</v>
      </c>
      <c r="B310" s="8">
        <v>72.5</v>
      </c>
      <c r="C310" s="8">
        <v>45.3</v>
      </c>
      <c r="D310" s="8">
        <v>126.6</v>
      </c>
    </row>
    <row r="311" spans="1:4" x14ac:dyDescent="0.25">
      <c r="A311" s="8">
        <v>55.2</v>
      </c>
      <c r="B311" s="8">
        <v>72.2</v>
      </c>
      <c r="C311" s="8">
        <v>45.3</v>
      </c>
      <c r="D311" s="8">
        <v>125.6</v>
      </c>
    </row>
    <row r="312" spans="1:4" x14ac:dyDescent="0.25">
      <c r="A312" s="8">
        <v>55.4</v>
      </c>
      <c r="B312" s="8">
        <v>71.900000000000006</v>
      </c>
      <c r="C312" s="8">
        <v>45.3</v>
      </c>
      <c r="D312" s="8">
        <v>124.7</v>
      </c>
    </row>
    <row r="313" spans="1:4" x14ac:dyDescent="0.25">
      <c r="A313" s="8">
        <v>55.6</v>
      </c>
      <c r="B313" s="8">
        <v>71.7</v>
      </c>
      <c r="C313" s="8">
        <v>45.4</v>
      </c>
      <c r="D313" s="8">
        <v>123.7</v>
      </c>
    </row>
    <row r="314" spans="1:4" x14ac:dyDescent="0.25">
      <c r="A314" s="8">
        <v>55.8</v>
      </c>
      <c r="B314" s="8">
        <v>71.400000000000006</v>
      </c>
      <c r="C314" s="8">
        <v>45.4</v>
      </c>
      <c r="D314" s="8">
        <v>122.8</v>
      </c>
    </row>
    <row r="315" spans="1:4" x14ac:dyDescent="0.25">
      <c r="A315" s="8">
        <v>56</v>
      </c>
      <c r="B315" s="8">
        <v>71.099999999999994</v>
      </c>
      <c r="C315" s="8">
        <v>45.4</v>
      </c>
      <c r="D315" s="8">
        <v>121.8</v>
      </c>
    </row>
    <row r="316" spans="1:4" x14ac:dyDescent="0.25">
      <c r="A316" s="8">
        <v>56.2</v>
      </c>
      <c r="B316" s="8">
        <v>70.8</v>
      </c>
      <c r="C316" s="8">
        <v>45.4</v>
      </c>
      <c r="D316" s="8">
        <v>120.9</v>
      </c>
    </row>
    <row r="317" spans="1:4" x14ac:dyDescent="0.25">
      <c r="A317" s="8">
        <v>56.4</v>
      </c>
      <c r="B317" s="8">
        <v>70.5</v>
      </c>
      <c r="C317" s="8">
        <v>45.5</v>
      </c>
      <c r="D317" s="8">
        <v>119.9</v>
      </c>
    </row>
    <row r="318" spans="1:4" x14ac:dyDescent="0.25">
      <c r="A318" s="8">
        <v>56.6</v>
      </c>
      <c r="B318" s="8">
        <v>70.2</v>
      </c>
      <c r="C318" s="8">
        <v>45.5</v>
      </c>
      <c r="D318" s="8">
        <v>119</v>
      </c>
    </row>
    <row r="319" spans="1:4" x14ac:dyDescent="0.25">
      <c r="A319" s="8">
        <v>56.79</v>
      </c>
      <c r="B319" s="8">
        <v>70.099999999999994</v>
      </c>
      <c r="C319" s="8">
        <v>45.6</v>
      </c>
      <c r="D319" s="8">
        <v>118.2</v>
      </c>
    </row>
    <row r="320" spans="1:4" x14ac:dyDescent="0.25">
      <c r="A320" s="8">
        <v>56.99</v>
      </c>
      <c r="B320" s="8">
        <v>70.5</v>
      </c>
      <c r="C320" s="8">
        <v>46.4</v>
      </c>
      <c r="D320" s="8">
        <v>118.2</v>
      </c>
    </row>
    <row r="321" spans="1:4" x14ac:dyDescent="0.25">
      <c r="A321" s="8">
        <v>57.19</v>
      </c>
      <c r="B321" s="8">
        <v>70.900000000000006</v>
      </c>
      <c r="C321" s="8">
        <v>47.2</v>
      </c>
      <c r="D321" s="8">
        <v>118.2</v>
      </c>
    </row>
    <row r="322" spans="1:4" x14ac:dyDescent="0.25">
      <c r="A322" s="8">
        <v>57.39</v>
      </c>
      <c r="B322" s="8">
        <v>71.2</v>
      </c>
      <c r="C322" s="8">
        <v>47.9</v>
      </c>
      <c r="D322" s="8">
        <v>118.2</v>
      </c>
    </row>
    <row r="323" spans="1:4" x14ac:dyDescent="0.25">
      <c r="A323" s="8">
        <v>57.59</v>
      </c>
      <c r="B323" s="8">
        <v>71.5</v>
      </c>
      <c r="C323" s="8">
        <v>48.5</v>
      </c>
      <c r="D323" s="8">
        <v>118.2</v>
      </c>
    </row>
    <row r="324" spans="1:4" x14ac:dyDescent="0.25">
      <c r="A324" s="8">
        <v>57.79</v>
      </c>
      <c r="B324" s="8">
        <v>71.8</v>
      </c>
      <c r="C324" s="8">
        <v>49.1</v>
      </c>
      <c r="D324" s="8">
        <v>118.2</v>
      </c>
    </row>
    <row r="325" spans="1:4" x14ac:dyDescent="0.25">
      <c r="A325" s="8">
        <v>57.99</v>
      </c>
      <c r="B325" s="8">
        <v>72.099999999999994</v>
      </c>
      <c r="C325" s="8">
        <v>49.6</v>
      </c>
      <c r="D325" s="8">
        <v>118.2</v>
      </c>
    </row>
    <row r="326" spans="1:4" x14ac:dyDescent="0.25">
      <c r="A326" s="8">
        <v>58.19</v>
      </c>
      <c r="B326" s="8">
        <v>72.400000000000006</v>
      </c>
      <c r="C326" s="8">
        <v>50</v>
      </c>
      <c r="D326" s="8">
        <v>118.2</v>
      </c>
    </row>
    <row r="327" spans="1:4" x14ac:dyDescent="0.25">
      <c r="A327" s="8">
        <v>58.39</v>
      </c>
      <c r="B327" s="8">
        <v>72.599999999999994</v>
      </c>
      <c r="C327" s="8">
        <v>50.5</v>
      </c>
      <c r="D327" s="8">
        <v>118.2</v>
      </c>
    </row>
    <row r="328" spans="1:4" x14ac:dyDescent="0.25">
      <c r="A328" s="8">
        <v>58.59</v>
      </c>
      <c r="B328" s="8">
        <v>72.8</v>
      </c>
      <c r="C328" s="8">
        <v>50.9</v>
      </c>
      <c r="D328" s="8">
        <v>118.2</v>
      </c>
    </row>
    <row r="329" spans="1:4" x14ac:dyDescent="0.25">
      <c r="A329" s="8">
        <v>58.79</v>
      </c>
      <c r="B329" s="8">
        <v>73</v>
      </c>
      <c r="C329" s="8">
        <v>51.2</v>
      </c>
      <c r="D329" s="8">
        <v>118.2</v>
      </c>
    </row>
    <row r="330" spans="1:4" x14ac:dyDescent="0.25">
      <c r="A330" s="8">
        <v>58.99</v>
      </c>
      <c r="B330" s="8">
        <v>73.099999999999994</v>
      </c>
      <c r="C330" s="8">
        <v>51.6</v>
      </c>
      <c r="D330" s="8">
        <v>118.2</v>
      </c>
    </row>
    <row r="331" spans="1:4" x14ac:dyDescent="0.25">
      <c r="A331" s="8">
        <v>59.19</v>
      </c>
      <c r="B331" s="8">
        <v>73.3</v>
      </c>
      <c r="C331" s="8">
        <v>51.9</v>
      </c>
      <c r="D331" s="8">
        <v>118.2</v>
      </c>
    </row>
    <row r="332" spans="1:4" x14ac:dyDescent="0.25">
      <c r="A332" s="8">
        <v>59.39</v>
      </c>
      <c r="B332" s="8">
        <v>73.400000000000006</v>
      </c>
      <c r="C332" s="8">
        <v>52.1</v>
      </c>
      <c r="D332" s="8">
        <v>118.2</v>
      </c>
    </row>
    <row r="333" spans="1:4" x14ac:dyDescent="0.25">
      <c r="A333" s="8">
        <v>59.59</v>
      </c>
      <c r="B333" s="8">
        <v>73.599999999999994</v>
      </c>
      <c r="C333" s="8">
        <v>52.4</v>
      </c>
      <c r="D333" s="8">
        <v>118.2</v>
      </c>
    </row>
    <row r="334" spans="1:4" x14ac:dyDescent="0.25">
      <c r="A334" s="8">
        <v>59.79</v>
      </c>
      <c r="B334" s="8">
        <v>73.7</v>
      </c>
      <c r="C334" s="8">
        <v>52.6</v>
      </c>
      <c r="D334" s="8">
        <v>118.2</v>
      </c>
    </row>
    <row r="335" spans="1:4" x14ac:dyDescent="0.25">
      <c r="A335" s="8">
        <v>59.99</v>
      </c>
      <c r="B335" s="8">
        <v>73.8</v>
      </c>
      <c r="C335" s="8">
        <v>52.8</v>
      </c>
      <c r="D335" s="8">
        <v>118.2</v>
      </c>
    </row>
    <row r="336" spans="1:4" x14ac:dyDescent="0.25">
      <c r="A336" s="8">
        <v>60.19</v>
      </c>
      <c r="B336" s="8">
        <v>73.900000000000006</v>
      </c>
      <c r="C336" s="8">
        <v>53</v>
      </c>
      <c r="D336" s="8">
        <v>118.2</v>
      </c>
    </row>
    <row r="337" spans="1:4" x14ac:dyDescent="0.25">
      <c r="A337" s="8">
        <v>60.39</v>
      </c>
      <c r="B337" s="8">
        <v>74</v>
      </c>
      <c r="C337" s="8">
        <v>53.2</v>
      </c>
      <c r="D337" s="8">
        <v>118.2</v>
      </c>
    </row>
    <row r="338" spans="1:4" x14ac:dyDescent="0.25">
      <c r="A338" s="8">
        <v>60.59</v>
      </c>
      <c r="B338" s="8">
        <v>74.099999999999994</v>
      </c>
      <c r="C338" s="8">
        <v>53.4</v>
      </c>
      <c r="D338" s="8">
        <v>118.2</v>
      </c>
    </row>
    <row r="339" spans="1:4" x14ac:dyDescent="0.25">
      <c r="A339" s="8">
        <v>60.79</v>
      </c>
      <c r="B339" s="8">
        <v>74.099999999999994</v>
      </c>
      <c r="C339" s="8">
        <v>53.5</v>
      </c>
      <c r="D339" s="8">
        <v>118.2</v>
      </c>
    </row>
    <row r="340" spans="1:4" x14ac:dyDescent="0.25">
      <c r="A340" s="8">
        <v>60.99</v>
      </c>
      <c r="B340" s="8">
        <v>74.2</v>
      </c>
      <c r="C340" s="8">
        <v>53.6</v>
      </c>
      <c r="D340" s="8">
        <v>118.2</v>
      </c>
    </row>
    <row r="341" spans="1:4" x14ac:dyDescent="0.25">
      <c r="A341" s="8">
        <v>61.19</v>
      </c>
      <c r="B341" s="8">
        <v>74.3</v>
      </c>
      <c r="C341" s="8">
        <v>53.8</v>
      </c>
      <c r="D341" s="8">
        <v>118.2</v>
      </c>
    </row>
    <row r="342" spans="1:4" x14ac:dyDescent="0.25">
      <c r="A342" s="8">
        <v>61.39</v>
      </c>
      <c r="B342" s="8">
        <v>74.3</v>
      </c>
      <c r="C342" s="8">
        <v>53.9</v>
      </c>
      <c r="D342" s="8">
        <v>118.2</v>
      </c>
    </row>
    <row r="343" spans="1:4" x14ac:dyDescent="0.25">
      <c r="A343" s="8">
        <v>61.59</v>
      </c>
      <c r="B343" s="8">
        <v>74.400000000000006</v>
      </c>
      <c r="C343" s="8">
        <v>54</v>
      </c>
      <c r="D343" s="8">
        <v>118.2</v>
      </c>
    </row>
    <row r="344" spans="1:4" x14ac:dyDescent="0.25">
      <c r="A344" s="8">
        <v>61.79</v>
      </c>
      <c r="B344" s="8">
        <v>74.400000000000006</v>
      </c>
      <c r="C344" s="8">
        <v>54.1</v>
      </c>
      <c r="D344" s="8">
        <v>118.2</v>
      </c>
    </row>
    <row r="345" spans="1:4" x14ac:dyDescent="0.25">
      <c r="A345" s="8">
        <v>61.99</v>
      </c>
      <c r="B345" s="8">
        <v>74.5</v>
      </c>
      <c r="C345" s="8">
        <v>54.1</v>
      </c>
      <c r="D345" s="8">
        <v>118.2</v>
      </c>
    </row>
    <row r="346" spans="1:4" x14ac:dyDescent="0.25">
      <c r="A346" s="8">
        <v>62.19</v>
      </c>
      <c r="B346" s="8">
        <v>74.5</v>
      </c>
      <c r="C346" s="8">
        <v>54.2</v>
      </c>
      <c r="D346" s="8">
        <v>118.2</v>
      </c>
    </row>
    <row r="347" spans="1:4" x14ac:dyDescent="0.25">
      <c r="A347" s="8">
        <v>62.39</v>
      </c>
      <c r="B347" s="8">
        <v>74.599999999999994</v>
      </c>
      <c r="C347" s="8">
        <v>54.3</v>
      </c>
      <c r="D347" s="8">
        <v>118.2</v>
      </c>
    </row>
    <row r="348" spans="1:4" x14ac:dyDescent="0.25">
      <c r="A348" s="8">
        <v>62.59</v>
      </c>
      <c r="B348" s="8">
        <v>74.599999999999994</v>
      </c>
      <c r="C348" s="8">
        <v>54.3</v>
      </c>
      <c r="D348" s="8">
        <v>118.2</v>
      </c>
    </row>
    <row r="349" spans="1:4" x14ac:dyDescent="0.25">
      <c r="A349" s="8">
        <v>62.79</v>
      </c>
      <c r="B349" s="8">
        <v>74.599999999999994</v>
      </c>
      <c r="C349" s="8">
        <v>54.4</v>
      </c>
      <c r="D349" s="8">
        <v>118.2</v>
      </c>
    </row>
    <row r="350" spans="1:4" x14ac:dyDescent="0.25">
      <c r="A350" s="8">
        <v>62.99</v>
      </c>
      <c r="B350" s="8">
        <v>74.599999999999994</v>
      </c>
      <c r="C350" s="8">
        <v>54.5</v>
      </c>
      <c r="D350" s="8">
        <v>118.2</v>
      </c>
    </row>
    <row r="351" spans="1:4" x14ac:dyDescent="0.25">
      <c r="A351" s="8">
        <v>63.19</v>
      </c>
      <c r="B351" s="8">
        <v>74.7</v>
      </c>
      <c r="C351" s="8">
        <v>54.5</v>
      </c>
      <c r="D351" s="8">
        <v>118.2</v>
      </c>
    </row>
    <row r="352" spans="1:4" x14ac:dyDescent="0.25">
      <c r="A352" s="8">
        <v>63.39</v>
      </c>
      <c r="B352" s="8">
        <v>74.7</v>
      </c>
      <c r="C352" s="8">
        <v>54.5</v>
      </c>
      <c r="D352" s="8">
        <v>118.2</v>
      </c>
    </row>
    <row r="353" spans="1:4" x14ac:dyDescent="0.25">
      <c r="A353" s="8">
        <v>63.59</v>
      </c>
      <c r="B353" s="8">
        <v>74.7</v>
      </c>
      <c r="C353" s="8">
        <v>54.6</v>
      </c>
      <c r="D353" s="8">
        <v>118.2</v>
      </c>
    </row>
    <row r="354" spans="1:4" x14ac:dyDescent="0.25">
      <c r="A354" s="8">
        <v>63.79</v>
      </c>
      <c r="B354" s="8">
        <v>74.7</v>
      </c>
      <c r="C354" s="8">
        <v>54.6</v>
      </c>
      <c r="D354" s="8">
        <v>118.2</v>
      </c>
    </row>
    <row r="355" spans="1:4" x14ac:dyDescent="0.25">
      <c r="A355" s="8">
        <v>63.99</v>
      </c>
      <c r="B355" s="8">
        <v>74.7</v>
      </c>
      <c r="C355" s="8">
        <v>54.7</v>
      </c>
      <c r="D355" s="8">
        <v>118.2</v>
      </c>
    </row>
    <row r="356" spans="1:4" x14ac:dyDescent="0.25">
      <c r="A356" s="8">
        <v>64.19</v>
      </c>
      <c r="B356" s="8">
        <v>74.8</v>
      </c>
      <c r="C356" s="8">
        <v>54.7</v>
      </c>
      <c r="D356" s="8">
        <v>118.2</v>
      </c>
    </row>
    <row r="357" spans="1:4" x14ac:dyDescent="0.25">
      <c r="A357" s="8">
        <v>64.39</v>
      </c>
      <c r="B357" s="8">
        <v>74.8</v>
      </c>
      <c r="C357" s="8">
        <v>54.7</v>
      </c>
      <c r="D357" s="8">
        <v>118.2</v>
      </c>
    </row>
    <row r="358" spans="1:4" x14ac:dyDescent="0.25">
      <c r="A358" s="8">
        <v>64.59</v>
      </c>
      <c r="B358" s="8">
        <v>74.8</v>
      </c>
      <c r="C358" s="8">
        <v>54.7</v>
      </c>
      <c r="D358" s="8">
        <v>118.2</v>
      </c>
    </row>
    <row r="359" spans="1:4" x14ac:dyDescent="0.25">
      <c r="A359" s="8">
        <v>64.790000000000006</v>
      </c>
      <c r="B359" s="8">
        <v>74.8</v>
      </c>
      <c r="C359" s="8">
        <v>54.8</v>
      </c>
      <c r="D359" s="8">
        <v>118.2</v>
      </c>
    </row>
    <row r="360" spans="1:4" x14ac:dyDescent="0.25">
      <c r="A360" s="8">
        <v>64.989999999999995</v>
      </c>
      <c r="B360" s="8">
        <v>74.8</v>
      </c>
      <c r="C360" s="8">
        <v>54.8</v>
      </c>
      <c r="D360" s="8">
        <v>118.2</v>
      </c>
    </row>
    <row r="361" spans="1:4" x14ac:dyDescent="0.25">
      <c r="A361" s="8">
        <v>65.19</v>
      </c>
      <c r="B361" s="8">
        <v>74.8</v>
      </c>
      <c r="C361" s="8">
        <v>54.8</v>
      </c>
      <c r="D361" s="8">
        <v>118.2</v>
      </c>
    </row>
    <row r="362" spans="1:4" x14ac:dyDescent="0.25">
      <c r="A362" s="8">
        <v>65.39</v>
      </c>
      <c r="B362" s="8">
        <v>74.8</v>
      </c>
      <c r="C362" s="8">
        <v>54.8</v>
      </c>
      <c r="D362" s="8">
        <v>118.2</v>
      </c>
    </row>
    <row r="363" spans="1:4" x14ac:dyDescent="0.25">
      <c r="A363" s="8">
        <v>65.59</v>
      </c>
      <c r="B363" s="8">
        <v>74.8</v>
      </c>
      <c r="C363" s="8">
        <v>54.8</v>
      </c>
      <c r="D363" s="8">
        <v>118.2</v>
      </c>
    </row>
    <row r="364" spans="1:4" x14ac:dyDescent="0.25">
      <c r="A364" s="8">
        <v>65.790000000000006</v>
      </c>
      <c r="B364" s="8">
        <v>74.8</v>
      </c>
      <c r="C364" s="8">
        <v>54.9</v>
      </c>
      <c r="D364" s="8">
        <v>118.2</v>
      </c>
    </row>
    <row r="365" spans="1:4" x14ac:dyDescent="0.25">
      <c r="A365" s="8">
        <v>65.989999999999995</v>
      </c>
      <c r="B365" s="8">
        <v>74.8</v>
      </c>
      <c r="C365" s="8">
        <v>54.9</v>
      </c>
      <c r="D365" s="8">
        <v>118.2</v>
      </c>
    </row>
    <row r="366" spans="1:4" x14ac:dyDescent="0.25">
      <c r="A366" s="8">
        <v>66.19</v>
      </c>
      <c r="B366" s="8">
        <v>74.900000000000006</v>
      </c>
      <c r="C366" s="8">
        <v>54.9</v>
      </c>
      <c r="D366" s="8">
        <v>118.2</v>
      </c>
    </row>
    <row r="367" spans="1:4" x14ac:dyDescent="0.25">
      <c r="A367" s="8">
        <v>66.39</v>
      </c>
      <c r="B367" s="8">
        <v>74.900000000000006</v>
      </c>
      <c r="C367" s="8">
        <v>54.9</v>
      </c>
      <c r="D367" s="8">
        <v>118.2</v>
      </c>
    </row>
    <row r="368" spans="1:4" x14ac:dyDescent="0.25">
      <c r="A368" s="8">
        <v>66.59</v>
      </c>
      <c r="B368" s="8">
        <v>74.900000000000006</v>
      </c>
      <c r="C368" s="8">
        <v>54.9</v>
      </c>
      <c r="D368" s="8">
        <v>118.2</v>
      </c>
    </row>
    <row r="369" spans="1:4" x14ac:dyDescent="0.25">
      <c r="A369" s="8">
        <v>66.790000000000006</v>
      </c>
      <c r="B369" s="8">
        <v>74.900000000000006</v>
      </c>
      <c r="C369" s="8">
        <v>54.9</v>
      </c>
      <c r="D369" s="8">
        <v>118.2</v>
      </c>
    </row>
    <row r="370" spans="1:4" x14ac:dyDescent="0.25">
      <c r="A370" s="8">
        <v>66.989999999999995</v>
      </c>
      <c r="B370" s="8">
        <v>74.900000000000006</v>
      </c>
      <c r="C370" s="8">
        <v>54.9</v>
      </c>
      <c r="D370" s="8">
        <v>118.2</v>
      </c>
    </row>
    <row r="371" spans="1:4" x14ac:dyDescent="0.25">
      <c r="A371" s="8">
        <v>67.19</v>
      </c>
      <c r="B371" s="8">
        <v>74.900000000000006</v>
      </c>
      <c r="C371" s="8">
        <v>54.9</v>
      </c>
      <c r="D371" s="8">
        <v>118.2</v>
      </c>
    </row>
    <row r="372" spans="1:4" x14ac:dyDescent="0.25">
      <c r="A372" s="8">
        <v>67.39</v>
      </c>
      <c r="B372" s="8">
        <v>74.900000000000006</v>
      </c>
      <c r="C372" s="8">
        <v>54.9</v>
      </c>
      <c r="D372" s="8">
        <v>118.2</v>
      </c>
    </row>
    <row r="373" spans="1:4" x14ac:dyDescent="0.25">
      <c r="A373" s="8">
        <v>67.59</v>
      </c>
      <c r="B373" s="8">
        <v>74.900000000000006</v>
      </c>
      <c r="C373" s="8">
        <v>54.9</v>
      </c>
      <c r="D373" s="8">
        <v>118.2</v>
      </c>
    </row>
    <row r="374" spans="1:4" x14ac:dyDescent="0.25">
      <c r="A374" s="8">
        <v>67.790000000000006</v>
      </c>
      <c r="B374" s="8">
        <v>74.900000000000006</v>
      </c>
      <c r="C374" s="8">
        <v>54.9</v>
      </c>
      <c r="D374" s="8">
        <v>118.2</v>
      </c>
    </row>
    <row r="375" spans="1:4" x14ac:dyDescent="0.25">
      <c r="A375" s="8">
        <v>67.989999999999995</v>
      </c>
      <c r="B375" s="8">
        <v>74.900000000000006</v>
      </c>
      <c r="C375" s="8">
        <v>54.9</v>
      </c>
      <c r="D375" s="8">
        <v>118.2</v>
      </c>
    </row>
    <row r="376" spans="1:4" x14ac:dyDescent="0.25">
      <c r="A376" s="8">
        <v>68.19</v>
      </c>
      <c r="B376" s="8">
        <v>74.900000000000006</v>
      </c>
      <c r="C376" s="8">
        <v>55</v>
      </c>
      <c r="D376" s="8">
        <v>118.2</v>
      </c>
    </row>
    <row r="377" spans="1:4" x14ac:dyDescent="0.25">
      <c r="A377" s="8">
        <v>68.39</v>
      </c>
      <c r="B377" s="8">
        <v>74.900000000000006</v>
      </c>
      <c r="C377" s="8">
        <v>55</v>
      </c>
      <c r="D377" s="8">
        <v>118.2</v>
      </c>
    </row>
    <row r="378" spans="1:4" x14ac:dyDescent="0.25">
      <c r="A378" s="8">
        <v>68.59</v>
      </c>
      <c r="B378" s="8">
        <v>74.900000000000006</v>
      </c>
      <c r="C378" s="8">
        <v>55</v>
      </c>
      <c r="D378" s="8">
        <v>118.2</v>
      </c>
    </row>
    <row r="379" spans="1:4" x14ac:dyDescent="0.25">
      <c r="A379" s="8">
        <v>68.790000000000006</v>
      </c>
      <c r="B379" s="8">
        <v>74.900000000000006</v>
      </c>
      <c r="C379" s="8">
        <v>55</v>
      </c>
      <c r="D379" s="8">
        <v>118.2</v>
      </c>
    </row>
    <row r="380" spans="1:4" x14ac:dyDescent="0.25">
      <c r="A380" s="8">
        <v>68.989999999999995</v>
      </c>
      <c r="B380" s="8">
        <v>74.900000000000006</v>
      </c>
      <c r="C380" s="8">
        <v>55</v>
      </c>
      <c r="D380" s="8">
        <v>118.2</v>
      </c>
    </row>
    <row r="381" spans="1:4" x14ac:dyDescent="0.25">
      <c r="A381" s="8">
        <v>69.19</v>
      </c>
      <c r="B381" s="8">
        <v>74.900000000000006</v>
      </c>
      <c r="C381" s="8">
        <v>55</v>
      </c>
      <c r="D381" s="8">
        <v>118.2</v>
      </c>
    </row>
    <row r="382" spans="1:4" x14ac:dyDescent="0.25">
      <c r="A382" s="8">
        <v>69.39</v>
      </c>
      <c r="B382" s="8">
        <v>74.900000000000006</v>
      </c>
      <c r="C382" s="8">
        <v>55</v>
      </c>
      <c r="D382" s="8">
        <v>118.2</v>
      </c>
    </row>
    <row r="383" spans="1:4" x14ac:dyDescent="0.25">
      <c r="A383" s="8">
        <v>69.59</v>
      </c>
      <c r="B383" s="8">
        <v>74.900000000000006</v>
      </c>
      <c r="C383" s="8">
        <v>55</v>
      </c>
      <c r="D383" s="8">
        <v>118.2</v>
      </c>
    </row>
    <row r="384" spans="1:4" x14ac:dyDescent="0.25">
      <c r="A384" s="8">
        <v>69.790000000000006</v>
      </c>
      <c r="B384" s="8">
        <v>74.900000000000006</v>
      </c>
      <c r="C384" s="8">
        <v>55</v>
      </c>
      <c r="D384" s="8">
        <v>118.2</v>
      </c>
    </row>
    <row r="385" spans="1:4" x14ac:dyDescent="0.25">
      <c r="A385" s="8">
        <v>69.989999999999995</v>
      </c>
      <c r="B385" s="8">
        <v>74.900000000000006</v>
      </c>
      <c r="C385" s="8">
        <v>55</v>
      </c>
      <c r="D385" s="8">
        <v>118.2</v>
      </c>
    </row>
    <row r="386" spans="1:4" x14ac:dyDescent="0.25">
      <c r="A386" s="8">
        <v>70.19</v>
      </c>
      <c r="B386" s="8">
        <v>74.900000000000006</v>
      </c>
      <c r="C386" s="8">
        <v>55</v>
      </c>
      <c r="D386" s="8">
        <v>118.2</v>
      </c>
    </row>
    <row r="387" spans="1:4" x14ac:dyDescent="0.25">
      <c r="A387" s="8">
        <v>70.39</v>
      </c>
      <c r="B387" s="8">
        <v>74.900000000000006</v>
      </c>
      <c r="C387" s="8">
        <v>55</v>
      </c>
      <c r="D387" s="8">
        <v>118.2</v>
      </c>
    </row>
    <row r="388" spans="1:4" x14ac:dyDescent="0.25">
      <c r="A388" s="8">
        <v>70.59</v>
      </c>
      <c r="B388" s="8">
        <v>74.900000000000006</v>
      </c>
      <c r="C388" s="8">
        <v>55</v>
      </c>
      <c r="D388" s="8">
        <v>118.2</v>
      </c>
    </row>
    <row r="389" spans="1:4" x14ac:dyDescent="0.25">
      <c r="A389" s="8">
        <v>70.790000000000006</v>
      </c>
      <c r="B389" s="8">
        <v>74.900000000000006</v>
      </c>
      <c r="C389" s="8">
        <v>55</v>
      </c>
      <c r="D389" s="8">
        <v>118.2</v>
      </c>
    </row>
    <row r="390" spans="1:4" x14ac:dyDescent="0.25">
      <c r="A390" s="8">
        <v>70.989999999999995</v>
      </c>
      <c r="B390" s="8">
        <v>74.900000000000006</v>
      </c>
      <c r="C390" s="8">
        <v>55</v>
      </c>
      <c r="D390" s="8">
        <v>118.2</v>
      </c>
    </row>
    <row r="391" spans="1:4" x14ac:dyDescent="0.25">
      <c r="A391" s="8">
        <v>71.19</v>
      </c>
      <c r="B391" s="8">
        <v>74.900000000000006</v>
      </c>
      <c r="C391" s="8">
        <v>55</v>
      </c>
      <c r="D391" s="8">
        <v>118.2</v>
      </c>
    </row>
    <row r="392" spans="1:4" x14ac:dyDescent="0.25">
      <c r="A392" s="8">
        <v>71.39</v>
      </c>
      <c r="B392" s="8">
        <v>74.900000000000006</v>
      </c>
      <c r="C392" s="8">
        <v>55</v>
      </c>
      <c r="D392" s="8">
        <v>118.2</v>
      </c>
    </row>
    <row r="393" spans="1:4" x14ac:dyDescent="0.25">
      <c r="A393" s="8">
        <v>71.59</v>
      </c>
      <c r="B393" s="8">
        <v>74.900000000000006</v>
      </c>
      <c r="C393" s="8">
        <v>55</v>
      </c>
      <c r="D393" s="8">
        <v>118.2</v>
      </c>
    </row>
    <row r="394" spans="1:4" x14ac:dyDescent="0.25">
      <c r="A394" s="8">
        <v>71.790000000000006</v>
      </c>
      <c r="B394" s="8">
        <v>74.900000000000006</v>
      </c>
      <c r="C394" s="8">
        <v>55</v>
      </c>
      <c r="D394" s="8">
        <v>118.2</v>
      </c>
    </row>
    <row r="395" spans="1:4" x14ac:dyDescent="0.25">
      <c r="A395" s="8">
        <v>71.989999999999995</v>
      </c>
      <c r="B395" s="8">
        <v>74.900000000000006</v>
      </c>
      <c r="C395" s="8">
        <v>55</v>
      </c>
      <c r="D395" s="8">
        <v>118.2</v>
      </c>
    </row>
    <row r="396" spans="1:4" x14ac:dyDescent="0.25">
      <c r="A396" s="8">
        <v>72.19</v>
      </c>
      <c r="B396" s="8">
        <v>74.900000000000006</v>
      </c>
      <c r="C396" s="8">
        <v>55</v>
      </c>
      <c r="D396" s="8">
        <v>118.2</v>
      </c>
    </row>
    <row r="397" spans="1:4" x14ac:dyDescent="0.25">
      <c r="A397" s="8">
        <v>72.39</v>
      </c>
      <c r="B397" s="8">
        <v>74.900000000000006</v>
      </c>
      <c r="C397" s="8">
        <v>55</v>
      </c>
      <c r="D397" s="8">
        <v>118.2</v>
      </c>
    </row>
    <row r="398" spans="1:4" x14ac:dyDescent="0.25">
      <c r="A398" s="8">
        <v>72.59</v>
      </c>
      <c r="B398" s="8">
        <v>74.900000000000006</v>
      </c>
      <c r="C398" s="8">
        <v>55</v>
      </c>
      <c r="D398" s="8">
        <v>118.2</v>
      </c>
    </row>
    <row r="399" spans="1:4" x14ac:dyDescent="0.25">
      <c r="A399" s="8">
        <v>72.790000000000006</v>
      </c>
      <c r="B399" s="8">
        <v>74.900000000000006</v>
      </c>
      <c r="C399" s="8">
        <v>55</v>
      </c>
      <c r="D399" s="8">
        <v>118.2</v>
      </c>
    </row>
    <row r="400" spans="1:4" x14ac:dyDescent="0.25">
      <c r="A400" s="8">
        <v>72.989999999999995</v>
      </c>
      <c r="B400" s="8">
        <v>74.900000000000006</v>
      </c>
      <c r="C400" s="8">
        <v>55</v>
      </c>
      <c r="D400" s="8">
        <v>118.2</v>
      </c>
    </row>
    <row r="401" spans="1:4" x14ac:dyDescent="0.25">
      <c r="A401" s="8">
        <v>73.19</v>
      </c>
      <c r="B401" s="8">
        <v>74.900000000000006</v>
      </c>
      <c r="C401" s="8">
        <v>55</v>
      </c>
      <c r="D401" s="8">
        <v>118.2</v>
      </c>
    </row>
    <row r="402" spans="1:4" x14ac:dyDescent="0.25">
      <c r="A402" s="8">
        <v>73.39</v>
      </c>
      <c r="B402" s="8">
        <v>74.900000000000006</v>
      </c>
      <c r="C402" s="8">
        <v>55</v>
      </c>
      <c r="D402" s="8">
        <v>118.2</v>
      </c>
    </row>
    <row r="403" spans="1:4" x14ac:dyDescent="0.25">
      <c r="A403" s="8">
        <v>73.59</v>
      </c>
      <c r="B403" s="8">
        <v>74.900000000000006</v>
      </c>
      <c r="C403" s="8">
        <v>55</v>
      </c>
      <c r="D403" s="8">
        <v>118.2</v>
      </c>
    </row>
    <row r="404" spans="1:4" x14ac:dyDescent="0.25">
      <c r="A404" s="8">
        <v>73.790000000000006</v>
      </c>
      <c r="B404" s="8">
        <v>74.900000000000006</v>
      </c>
      <c r="C404" s="8">
        <v>55</v>
      </c>
      <c r="D404" s="8">
        <v>118.2</v>
      </c>
    </row>
    <row r="405" spans="1:4" x14ac:dyDescent="0.25">
      <c r="A405" s="8">
        <v>73.989999999999995</v>
      </c>
      <c r="B405" s="8">
        <v>74.900000000000006</v>
      </c>
      <c r="C405" s="8">
        <v>55</v>
      </c>
      <c r="D405" s="8">
        <v>118.2</v>
      </c>
    </row>
    <row r="406" spans="1:4" x14ac:dyDescent="0.25">
      <c r="A406" s="8">
        <v>74.19</v>
      </c>
      <c r="B406" s="8">
        <v>74.900000000000006</v>
      </c>
      <c r="C406" s="8">
        <v>55</v>
      </c>
      <c r="D406" s="8">
        <v>118.2</v>
      </c>
    </row>
    <row r="407" spans="1:4" x14ac:dyDescent="0.25">
      <c r="A407" s="8">
        <v>74.39</v>
      </c>
      <c r="B407" s="8">
        <v>74.900000000000006</v>
      </c>
      <c r="C407" s="8">
        <v>55</v>
      </c>
      <c r="D407" s="8">
        <v>118.2</v>
      </c>
    </row>
    <row r="408" spans="1:4" x14ac:dyDescent="0.25">
      <c r="A408" s="8">
        <v>74.59</v>
      </c>
      <c r="B408" s="8">
        <v>74.900000000000006</v>
      </c>
      <c r="C408" s="8">
        <v>55</v>
      </c>
      <c r="D408" s="8">
        <v>118.2</v>
      </c>
    </row>
    <row r="409" spans="1:4" x14ac:dyDescent="0.25">
      <c r="A409" s="8">
        <v>74.790000000000006</v>
      </c>
      <c r="B409" s="8">
        <v>74.900000000000006</v>
      </c>
      <c r="C409" s="8">
        <v>55</v>
      </c>
      <c r="D409" s="8">
        <v>118.2</v>
      </c>
    </row>
    <row r="410" spans="1:4" x14ac:dyDescent="0.25">
      <c r="A410" s="8">
        <v>74.989999999999995</v>
      </c>
      <c r="B410" s="8">
        <v>74.900000000000006</v>
      </c>
      <c r="C410" s="8">
        <v>55</v>
      </c>
      <c r="D410" s="8">
        <v>118.2</v>
      </c>
    </row>
    <row r="411" spans="1:4" x14ac:dyDescent="0.25">
      <c r="A411" s="8">
        <v>75.19</v>
      </c>
      <c r="B411" s="8">
        <v>74.900000000000006</v>
      </c>
      <c r="C411" s="8">
        <v>55</v>
      </c>
      <c r="D411" s="8">
        <v>118.2</v>
      </c>
    </row>
    <row r="412" spans="1:4" x14ac:dyDescent="0.25">
      <c r="A412" s="8">
        <v>75.39</v>
      </c>
      <c r="B412" s="8">
        <v>74.900000000000006</v>
      </c>
      <c r="C412" s="8">
        <v>55</v>
      </c>
      <c r="D412" s="8">
        <v>118.2</v>
      </c>
    </row>
    <row r="413" spans="1:4" x14ac:dyDescent="0.25">
      <c r="A413" s="8">
        <v>75.59</v>
      </c>
      <c r="B413" s="8">
        <v>74.900000000000006</v>
      </c>
      <c r="C413" s="8">
        <v>55</v>
      </c>
      <c r="D413" s="8">
        <v>118.2</v>
      </c>
    </row>
    <row r="414" spans="1:4" x14ac:dyDescent="0.25">
      <c r="A414" s="8">
        <v>75.790000000000006</v>
      </c>
      <c r="B414" s="8">
        <v>74.900000000000006</v>
      </c>
      <c r="C414" s="8">
        <v>55</v>
      </c>
      <c r="D414" s="8">
        <v>118.2</v>
      </c>
    </row>
    <row r="415" spans="1:4" x14ac:dyDescent="0.25">
      <c r="A415" s="8">
        <v>75.989999999999995</v>
      </c>
      <c r="B415" s="8">
        <v>74.900000000000006</v>
      </c>
      <c r="C415" s="8">
        <v>55</v>
      </c>
      <c r="D415" s="8">
        <v>118.2</v>
      </c>
    </row>
    <row r="416" spans="1:4" x14ac:dyDescent="0.25">
      <c r="A416" s="8">
        <v>76.19</v>
      </c>
      <c r="B416" s="8">
        <v>74.900000000000006</v>
      </c>
      <c r="C416" s="8">
        <v>55</v>
      </c>
      <c r="D416" s="8">
        <v>118.2</v>
      </c>
    </row>
    <row r="417" spans="1:4" x14ac:dyDescent="0.25">
      <c r="A417" s="8">
        <v>76.39</v>
      </c>
      <c r="B417" s="8">
        <v>74.900000000000006</v>
      </c>
      <c r="C417" s="8">
        <v>55</v>
      </c>
      <c r="D417" s="8">
        <v>118.2</v>
      </c>
    </row>
    <row r="418" spans="1:4" x14ac:dyDescent="0.25">
      <c r="A418" s="8">
        <v>76.59</v>
      </c>
      <c r="B418" s="8">
        <v>74.900000000000006</v>
      </c>
      <c r="C418" s="8">
        <v>55</v>
      </c>
      <c r="D418" s="8">
        <v>118.2</v>
      </c>
    </row>
    <row r="419" spans="1:4" x14ac:dyDescent="0.25">
      <c r="A419" s="8">
        <v>76.790000000000006</v>
      </c>
      <c r="B419" s="8">
        <v>74.900000000000006</v>
      </c>
      <c r="C419" s="8">
        <v>55</v>
      </c>
      <c r="D419" s="8">
        <v>118.2</v>
      </c>
    </row>
    <row r="420" spans="1:4" x14ac:dyDescent="0.25">
      <c r="A420" s="8">
        <v>76.989999999999995</v>
      </c>
      <c r="B420" s="8">
        <v>74.900000000000006</v>
      </c>
      <c r="C420" s="8">
        <v>55</v>
      </c>
      <c r="D420" s="8">
        <v>118.2</v>
      </c>
    </row>
    <row r="421" spans="1:4" x14ac:dyDescent="0.25">
      <c r="A421" s="8">
        <v>77.19</v>
      </c>
      <c r="B421" s="8">
        <v>74.900000000000006</v>
      </c>
      <c r="C421" s="8">
        <v>55</v>
      </c>
      <c r="D421" s="8">
        <v>118.2</v>
      </c>
    </row>
    <row r="422" spans="1:4" x14ac:dyDescent="0.25">
      <c r="A422" s="8">
        <v>77.39</v>
      </c>
      <c r="B422" s="8">
        <v>74.900000000000006</v>
      </c>
      <c r="C422" s="8">
        <v>55</v>
      </c>
      <c r="D422" s="8">
        <v>118.2</v>
      </c>
    </row>
    <row r="423" spans="1:4" x14ac:dyDescent="0.25">
      <c r="A423" s="8">
        <v>77.59</v>
      </c>
      <c r="B423" s="8">
        <v>74.900000000000006</v>
      </c>
      <c r="C423" s="8">
        <v>55</v>
      </c>
      <c r="D423" s="8">
        <v>118.2</v>
      </c>
    </row>
    <row r="424" spans="1:4" x14ac:dyDescent="0.25">
      <c r="A424" s="8">
        <v>77.790000000000006</v>
      </c>
      <c r="B424" s="8">
        <v>74.900000000000006</v>
      </c>
      <c r="C424" s="8">
        <v>55</v>
      </c>
      <c r="D424" s="8">
        <v>118.2</v>
      </c>
    </row>
    <row r="425" spans="1:4" x14ac:dyDescent="0.25">
      <c r="A425" s="8">
        <v>77.989999999999995</v>
      </c>
      <c r="B425" s="8">
        <v>74.900000000000006</v>
      </c>
      <c r="C425" s="8">
        <v>55</v>
      </c>
      <c r="D425" s="8">
        <v>118.2</v>
      </c>
    </row>
    <row r="426" spans="1:4" x14ac:dyDescent="0.25">
      <c r="A426" s="8">
        <v>78.19</v>
      </c>
      <c r="B426" s="8">
        <v>74.900000000000006</v>
      </c>
      <c r="C426" s="8">
        <v>55</v>
      </c>
      <c r="D426" s="8">
        <v>118.2</v>
      </c>
    </row>
    <row r="427" spans="1:4" x14ac:dyDescent="0.25">
      <c r="A427" s="8">
        <v>78.39</v>
      </c>
      <c r="B427" s="8">
        <v>74.900000000000006</v>
      </c>
      <c r="C427" s="8">
        <v>55</v>
      </c>
      <c r="D427" s="8">
        <v>118.2</v>
      </c>
    </row>
    <row r="428" spans="1:4" x14ac:dyDescent="0.25">
      <c r="A428" s="8">
        <v>78.58</v>
      </c>
      <c r="B428" s="8">
        <v>74.900000000000006</v>
      </c>
      <c r="C428" s="8">
        <v>54.5</v>
      </c>
      <c r="D428" s="8">
        <v>118.9</v>
      </c>
    </row>
    <row r="429" spans="1:4" x14ac:dyDescent="0.25">
      <c r="A429" s="8">
        <v>78.78</v>
      </c>
      <c r="B429" s="8">
        <v>75</v>
      </c>
      <c r="C429" s="8">
        <v>54</v>
      </c>
      <c r="D429" s="8">
        <v>119.9</v>
      </c>
    </row>
    <row r="430" spans="1:4" x14ac:dyDescent="0.25">
      <c r="A430" s="8">
        <v>78.98</v>
      </c>
      <c r="B430" s="8">
        <v>75.099999999999994</v>
      </c>
      <c r="C430" s="8">
        <v>53.4</v>
      </c>
      <c r="D430" s="8">
        <v>120.8</v>
      </c>
    </row>
    <row r="431" spans="1:4" x14ac:dyDescent="0.25">
      <c r="A431" s="8">
        <v>79.180000000000007</v>
      </c>
      <c r="B431" s="8">
        <v>75.2</v>
      </c>
      <c r="C431" s="8">
        <v>53</v>
      </c>
      <c r="D431" s="8">
        <v>121.8</v>
      </c>
    </row>
    <row r="432" spans="1:4" x14ac:dyDescent="0.25">
      <c r="A432" s="8">
        <v>79.38</v>
      </c>
      <c r="B432" s="8">
        <v>75.3</v>
      </c>
      <c r="C432" s="8">
        <v>52.6</v>
      </c>
      <c r="D432" s="8">
        <v>122.7</v>
      </c>
    </row>
    <row r="433" spans="1:4" x14ac:dyDescent="0.25">
      <c r="A433" s="8">
        <v>79.58</v>
      </c>
      <c r="B433" s="8">
        <v>75.5</v>
      </c>
      <c r="C433" s="8">
        <v>52.2</v>
      </c>
      <c r="D433" s="8">
        <v>123.7</v>
      </c>
    </row>
    <row r="434" spans="1:4" x14ac:dyDescent="0.25">
      <c r="A434" s="8">
        <v>79.78</v>
      </c>
      <c r="B434" s="8">
        <v>75.599999999999994</v>
      </c>
      <c r="C434" s="8">
        <v>51.9</v>
      </c>
      <c r="D434" s="8">
        <v>124.7</v>
      </c>
    </row>
    <row r="435" spans="1:4" x14ac:dyDescent="0.25">
      <c r="A435" s="8">
        <v>79.98</v>
      </c>
      <c r="B435" s="8">
        <v>75.8</v>
      </c>
      <c r="C435" s="8">
        <v>51.7</v>
      </c>
      <c r="D435" s="8">
        <v>125.6</v>
      </c>
    </row>
    <row r="436" spans="1:4" x14ac:dyDescent="0.25">
      <c r="A436" s="8">
        <v>80.180000000000007</v>
      </c>
      <c r="B436" s="8">
        <v>76</v>
      </c>
      <c r="C436" s="8">
        <v>51.4</v>
      </c>
      <c r="D436" s="8">
        <v>126.6</v>
      </c>
    </row>
    <row r="437" spans="1:4" x14ac:dyDescent="0.25">
      <c r="A437" s="8">
        <v>80.38</v>
      </c>
      <c r="B437" s="8">
        <v>76.099999999999994</v>
      </c>
      <c r="C437" s="8">
        <v>51.2</v>
      </c>
      <c r="D437" s="8">
        <v>127.5</v>
      </c>
    </row>
    <row r="438" spans="1:4" x14ac:dyDescent="0.25">
      <c r="A438" s="8">
        <v>80.58</v>
      </c>
      <c r="B438" s="8">
        <v>76.3</v>
      </c>
      <c r="C438" s="8">
        <v>51</v>
      </c>
      <c r="D438" s="8">
        <v>128.5</v>
      </c>
    </row>
    <row r="439" spans="1:4" x14ac:dyDescent="0.25">
      <c r="A439" s="8">
        <v>80.78</v>
      </c>
      <c r="B439" s="8">
        <v>76.599999999999994</v>
      </c>
      <c r="C439" s="8">
        <v>50.8</v>
      </c>
      <c r="D439" s="8">
        <v>129.4</v>
      </c>
    </row>
    <row r="440" spans="1:4" x14ac:dyDescent="0.25">
      <c r="A440" s="8">
        <v>80.98</v>
      </c>
      <c r="B440" s="8">
        <v>76.8</v>
      </c>
      <c r="C440" s="8">
        <v>50.7</v>
      </c>
      <c r="D440" s="8">
        <v>130.4</v>
      </c>
    </row>
    <row r="441" spans="1:4" x14ac:dyDescent="0.25">
      <c r="A441" s="8">
        <v>81.180000000000007</v>
      </c>
      <c r="B441" s="8">
        <v>77</v>
      </c>
      <c r="C441" s="8">
        <v>50.5</v>
      </c>
      <c r="D441" s="8">
        <v>131.30000000000001</v>
      </c>
    </row>
    <row r="442" spans="1:4" x14ac:dyDescent="0.25">
      <c r="A442" s="8">
        <v>81.38</v>
      </c>
      <c r="B442" s="8">
        <v>77.2</v>
      </c>
      <c r="C442" s="8">
        <v>50.4</v>
      </c>
      <c r="D442" s="8">
        <v>132.30000000000001</v>
      </c>
    </row>
    <row r="443" spans="1:4" x14ac:dyDescent="0.25">
      <c r="A443" s="8">
        <v>81.58</v>
      </c>
      <c r="B443" s="8">
        <v>77.5</v>
      </c>
      <c r="C443" s="8">
        <v>50.3</v>
      </c>
      <c r="D443" s="8">
        <v>133.19999999999999</v>
      </c>
    </row>
    <row r="444" spans="1:4" x14ac:dyDescent="0.25">
      <c r="A444" s="8">
        <v>81.78</v>
      </c>
      <c r="B444" s="8">
        <v>77.7</v>
      </c>
      <c r="C444" s="8">
        <v>50.2</v>
      </c>
      <c r="D444" s="8">
        <v>134.19999999999999</v>
      </c>
    </row>
    <row r="445" spans="1:4" x14ac:dyDescent="0.25">
      <c r="A445" s="8">
        <v>81.98</v>
      </c>
      <c r="B445" s="8">
        <v>77.900000000000006</v>
      </c>
      <c r="C445" s="8">
        <v>50.1</v>
      </c>
      <c r="D445" s="8">
        <v>135.1</v>
      </c>
    </row>
    <row r="446" spans="1:4" x14ac:dyDescent="0.25">
      <c r="A446" s="8">
        <v>82.18</v>
      </c>
      <c r="B446" s="8">
        <v>78.2</v>
      </c>
      <c r="C446" s="8">
        <v>50.1</v>
      </c>
      <c r="D446" s="8">
        <v>136.1</v>
      </c>
    </row>
    <row r="447" spans="1:4" x14ac:dyDescent="0.25">
      <c r="A447" s="8">
        <v>82.38</v>
      </c>
      <c r="B447" s="8">
        <v>78.400000000000006</v>
      </c>
      <c r="C447" s="8">
        <v>50</v>
      </c>
      <c r="D447" s="8">
        <v>137</v>
      </c>
    </row>
    <row r="448" spans="1:4" x14ac:dyDescent="0.25">
      <c r="A448" s="8">
        <v>82.58</v>
      </c>
      <c r="B448" s="8">
        <v>78.7</v>
      </c>
      <c r="C448" s="8">
        <v>49.9</v>
      </c>
      <c r="D448" s="8">
        <v>138</v>
      </c>
    </row>
    <row r="449" spans="1:4" x14ac:dyDescent="0.25">
      <c r="A449" s="8">
        <v>82.78</v>
      </c>
      <c r="B449" s="8">
        <v>78.900000000000006</v>
      </c>
      <c r="C449" s="8">
        <v>49.9</v>
      </c>
      <c r="D449" s="8">
        <v>138.9</v>
      </c>
    </row>
    <row r="450" spans="1:4" x14ac:dyDescent="0.25">
      <c r="A450" s="8">
        <v>82.98</v>
      </c>
      <c r="B450" s="8">
        <v>79.2</v>
      </c>
      <c r="C450" s="8">
        <v>49.9</v>
      </c>
      <c r="D450" s="8">
        <v>139.9</v>
      </c>
    </row>
    <row r="451" spans="1:4" x14ac:dyDescent="0.25">
      <c r="A451" s="8">
        <v>83.18</v>
      </c>
      <c r="B451" s="8">
        <v>79.400000000000006</v>
      </c>
      <c r="C451" s="8">
        <v>49.8</v>
      </c>
      <c r="D451" s="8">
        <v>140.80000000000001</v>
      </c>
    </row>
    <row r="452" spans="1:4" x14ac:dyDescent="0.25">
      <c r="A452" s="8">
        <v>83.38</v>
      </c>
      <c r="B452" s="8">
        <v>79.7</v>
      </c>
      <c r="C452" s="8">
        <v>49.8</v>
      </c>
      <c r="D452" s="8">
        <v>141.80000000000001</v>
      </c>
    </row>
    <row r="453" spans="1:4" x14ac:dyDescent="0.25">
      <c r="A453" s="8">
        <v>83.58</v>
      </c>
      <c r="B453" s="8">
        <v>79.900000000000006</v>
      </c>
      <c r="C453" s="8">
        <v>49.8</v>
      </c>
      <c r="D453" s="8">
        <v>142.69999999999999</v>
      </c>
    </row>
    <row r="454" spans="1:4" x14ac:dyDescent="0.25">
      <c r="A454" s="8">
        <v>83.78</v>
      </c>
      <c r="B454" s="8">
        <v>80.2</v>
      </c>
      <c r="C454" s="8">
        <v>49.8</v>
      </c>
      <c r="D454" s="8">
        <v>143.69999999999999</v>
      </c>
    </row>
    <row r="455" spans="1:4" x14ac:dyDescent="0.25">
      <c r="A455" s="8">
        <v>83.98</v>
      </c>
      <c r="B455" s="8">
        <v>80.400000000000006</v>
      </c>
      <c r="C455" s="8">
        <v>49.7</v>
      </c>
      <c r="D455" s="8">
        <v>144.6</v>
      </c>
    </row>
    <row r="456" spans="1:4" x14ac:dyDescent="0.25">
      <c r="A456" s="8">
        <v>84.18</v>
      </c>
      <c r="B456" s="8">
        <v>80.7</v>
      </c>
      <c r="C456" s="8">
        <v>49.7</v>
      </c>
      <c r="D456" s="8">
        <v>145.6</v>
      </c>
    </row>
    <row r="457" spans="1:4" x14ac:dyDescent="0.25">
      <c r="A457" s="8">
        <v>84.38</v>
      </c>
      <c r="B457" s="8">
        <v>80.900000000000006</v>
      </c>
      <c r="C457" s="8">
        <v>49.7</v>
      </c>
      <c r="D457" s="8">
        <v>146.5</v>
      </c>
    </row>
    <row r="458" spans="1:4" x14ac:dyDescent="0.25">
      <c r="A458" s="8">
        <v>84.58</v>
      </c>
      <c r="B458" s="8">
        <v>81.2</v>
      </c>
      <c r="C458" s="8">
        <v>49.7</v>
      </c>
      <c r="D458" s="8">
        <v>147.5</v>
      </c>
    </row>
    <row r="459" spans="1:4" x14ac:dyDescent="0.25">
      <c r="A459" s="8">
        <v>84.78</v>
      </c>
      <c r="B459" s="8">
        <v>81.400000000000006</v>
      </c>
      <c r="C459" s="8">
        <v>49.7</v>
      </c>
      <c r="D459" s="8">
        <v>148.4</v>
      </c>
    </row>
    <row r="460" spans="1:4" x14ac:dyDescent="0.25">
      <c r="A460" s="8">
        <v>84.98</v>
      </c>
      <c r="B460" s="8">
        <v>81.7</v>
      </c>
      <c r="C460" s="8">
        <v>49.7</v>
      </c>
      <c r="D460" s="8">
        <v>149.4</v>
      </c>
    </row>
    <row r="461" spans="1:4" x14ac:dyDescent="0.25">
      <c r="A461" s="8">
        <v>85.18</v>
      </c>
      <c r="B461" s="8">
        <v>82</v>
      </c>
      <c r="C461" s="8">
        <v>49.7</v>
      </c>
      <c r="D461" s="8">
        <v>150.30000000000001</v>
      </c>
    </row>
    <row r="462" spans="1:4" x14ac:dyDescent="0.25">
      <c r="A462" s="8">
        <v>85.38</v>
      </c>
      <c r="B462" s="8">
        <v>82.2</v>
      </c>
      <c r="C462" s="8">
        <v>49.8</v>
      </c>
      <c r="D462" s="8">
        <v>151.30000000000001</v>
      </c>
    </row>
    <row r="463" spans="1:4" x14ac:dyDescent="0.25">
      <c r="A463" s="8">
        <v>85.58</v>
      </c>
      <c r="B463" s="8">
        <v>82.5</v>
      </c>
      <c r="C463" s="8">
        <v>49.8</v>
      </c>
      <c r="D463" s="8">
        <v>152.19999999999999</v>
      </c>
    </row>
    <row r="464" spans="1:4" x14ac:dyDescent="0.25">
      <c r="A464" s="8">
        <v>85.78</v>
      </c>
      <c r="B464" s="8">
        <v>82.7</v>
      </c>
      <c r="C464" s="8">
        <v>49.8</v>
      </c>
      <c r="D464" s="8">
        <v>153.19999999999999</v>
      </c>
    </row>
    <row r="465" spans="1:4" x14ac:dyDescent="0.25">
      <c r="A465" s="8">
        <v>85.98</v>
      </c>
      <c r="B465" s="8">
        <v>83</v>
      </c>
      <c r="C465" s="8">
        <v>49.8</v>
      </c>
      <c r="D465" s="8">
        <v>154.1</v>
      </c>
    </row>
    <row r="466" spans="1:4" x14ac:dyDescent="0.25">
      <c r="A466" s="8">
        <v>86.18</v>
      </c>
      <c r="B466" s="8">
        <v>83.2</v>
      </c>
      <c r="C466" s="8">
        <v>49.8</v>
      </c>
      <c r="D466" s="8">
        <v>155.1</v>
      </c>
    </row>
    <row r="467" spans="1:4" x14ac:dyDescent="0.25">
      <c r="A467" s="8">
        <v>86.38</v>
      </c>
      <c r="B467" s="8">
        <v>83.5</v>
      </c>
      <c r="C467" s="8">
        <v>49.8</v>
      </c>
      <c r="D467" s="8">
        <v>156</v>
      </c>
    </row>
    <row r="468" spans="1:4" x14ac:dyDescent="0.25">
      <c r="A468" s="8">
        <v>86.58</v>
      </c>
      <c r="B468" s="8">
        <v>83.7</v>
      </c>
      <c r="C468" s="8">
        <v>49.9</v>
      </c>
      <c r="D468" s="8">
        <v>157</v>
      </c>
    </row>
    <row r="469" spans="1:4" x14ac:dyDescent="0.25">
      <c r="A469" s="8">
        <v>86.78</v>
      </c>
      <c r="B469" s="8">
        <v>84</v>
      </c>
      <c r="C469" s="8">
        <v>49.9</v>
      </c>
      <c r="D469" s="8">
        <v>157.9</v>
      </c>
    </row>
    <row r="470" spans="1:4" x14ac:dyDescent="0.25">
      <c r="A470" s="8">
        <v>86.98</v>
      </c>
      <c r="B470" s="8">
        <v>84.2</v>
      </c>
      <c r="C470" s="8">
        <v>49.9</v>
      </c>
      <c r="D470" s="8">
        <v>158.9</v>
      </c>
    </row>
    <row r="471" spans="1:4" x14ac:dyDescent="0.25">
      <c r="A471" s="8">
        <v>87.18</v>
      </c>
      <c r="B471" s="8">
        <v>84.5</v>
      </c>
      <c r="C471" s="8">
        <v>49.9</v>
      </c>
      <c r="D471" s="8">
        <v>159.80000000000001</v>
      </c>
    </row>
    <row r="472" spans="1:4" x14ac:dyDescent="0.25">
      <c r="A472" s="8">
        <v>87.38</v>
      </c>
      <c r="B472" s="8">
        <v>84.7</v>
      </c>
      <c r="C472" s="8">
        <v>50</v>
      </c>
      <c r="D472" s="8">
        <v>160.80000000000001</v>
      </c>
    </row>
    <row r="473" spans="1:4" x14ac:dyDescent="0.25">
      <c r="A473" s="8">
        <v>87.58</v>
      </c>
      <c r="B473" s="8">
        <v>85</v>
      </c>
      <c r="C473" s="8">
        <v>50</v>
      </c>
      <c r="D473" s="8">
        <v>161.69999999999999</v>
      </c>
    </row>
    <row r="474" spans="1:4" x14ac:dyDescent="0.25">
      <c r="A474" s="8">
        <v>87.78</v>
      </c>
      <c r="B474" s="8">
        <v>85.2</v>
      </c>
      <c r="C474" s="8">
        <v>50</v>
      </c>
      <c r="D474" s="8">
        <v>162.69999999999999</v>
      </c>
    </row>
    <row r="475" spans="1:4" x14ac:dyDescent="0.25">
      <c r="A475" s="8">
        <v>87.98</v>
      </c>
      <c r="B475" s="8">
        <v>85.5</v>
      </c>
      <c r="C475" s="8">
        <v>50</v>
      </c>
      <c r="D475" s="8">
        <v>163.6</v>
      </c>
    </row>
    <row r="476" spans="1:4" x14ac:dyDescent="0.25">
      <c r="A476" s="8">
        <v>88.18</v>
      </c>
      <c r="B476" s="8">
        <v>85.7</v>
      </c>
      <c r="C476" s="8">
        <v>50.1</v>
      </c>
      <c r="D476" s="8">
        <v>164.6</v>
      </c>
    </row>
    <row r="477" spans="1:4" x14ac:dyDescent="0.25">
      <c r="A477" s="8">
        <v>88.38</v>
      </c>
      <c r="B477" s="8">
        <v>85.9</v>
      </c>
      <c r="C477" s="8">
        <v>50.1</v>
      </c>
      <c r="D477" s="8">
        <v>165.5</v>
      </c>
    </row>
    <row r="478" spans="1:4" x14ac:dyDescent="0.25">
      <c r="A478" s="8">
        <v>88.58</v>
      </c>
      <c r="B478" s="8">
        <v>86.2</v>
      </c>
      <c r="C478" s="8">
        <v>50.1</v>
      </c>
      <c r="D478" s="8">
        <v>166.5</v>
      </c>
    </row>
    <row r="479" spans="1:4" x14ac:dyDescent="0.25">
      <c r="A479" s="8">
        <v>88.78</v>
      </c>
      <c r="B479" s="8">
        <v>86.4</v>
      </c>
      <c r="C479" s="8">
        <v>50.2</v>
      </c>
      <c r="D479" s="8">
        <v>167.4</v>
      </c>
    </row>
    <row r="480" spans="1:4" x14ac:dyDescent="0.25">
      <c r="A480" s="8">
        <v>88.98</v>
      </c>
      <c r="B480" s="8">
        <v>86.7</v>
      </c>
      <c r="C480" s="8">
        <v>50.2</v>
      </c>
      <c r="D480" s="8">
        <v>168.4</v>
      </c>
    </row>
    <row r="481" spans="1:4" x14ac:dyDescent="0.25">
      <c r="A481" s="8">
        <v>89.18</v>
      </c>
      <c r="B481" s="8">
        <v>86.9</v>
      </c>
      <c r="C481" s="8">
        <v>50.2</v>
      </c>
      <c r="D481" s="8">
        <v>169.3</v>
      </c>
    </row>
    <row r="482" spans="1:4" x14ac:dyDescent="0.25">
      <c r="A482" s="8">
        <v>89.38</v>
      </c>
      <c r="B482" s="8">
        <v>87.2</v>
      </c>
      <c r="C482" s="8">
        <v>50.3</v>
      </c>
      <c r="D482" s="8">
        <v>170.3</v>
      </c>
    </row>
    <row r="483" spans="1:4" x14ac:dyDescent="0.25">
      <c r="A483" s="8">
        <v>89.58</v>
      </c>
      <c r="B483" s="8">
        <v>87.4</v>
      </c>
      <c r="C483" s="8">
        <v>50.3</v>
      </c>
      <c r="D483" s="8">
        <v>171.2</v>
      </c>
    </row>
    <row r="484" spans="1:4" x14ac:dyDescent="0.25">
      <c r="A484" s="8">
        <v>89.78</v>
      </c>
      <c r="B484" s="8">
        <v>87.6</v>
      </c>
      <c r="C484" s="8">
        <v>50.3</v>
      </c>
      <c r="D484" s="8">
        <v>172.2</v>
      </c>
    </row>
    <row r="485" spans="1:4" x14ac:dyDescent="0.25">
      <c r="A485" s="8">
        <v>89.98</v>
      </c>
      <c r="B485" s="8">
        <v>87.9</v>
      </c>
      <c r="C485" s="8">
        <v>50.4</v>
      </c>
      <c r="D485" s="8">
        <v>173.1</v>
      </c>
    </row>
    <row r="486" spans="1:4" x14ac:dyDescent="0.25">
      <c r="A486" s="8">
        <v>90.18</v>
      </c>
      <c r="B486" s="8">
        <v>88.1</v>
      </c>
      <c r="C486" s="8">
        <v>50.4</v>
      </c>
      <c r="D486" s="8">
        <v>174.1</v>
      </c>
    </row>
    <row r="487" spans="1:4" x14ac:dyDescent="0.25">
      <c r="A487" s="8">
        <v>90.38</v>
      </c>
      <c r="B487" s="8">
        <v>88.3</v>
      </c>
      <c r="C487" s="8">
        <v>50.5</v>
      </c>
      <c r="D487" s="8">
        <v>175</v>
      </c>
    </row>
    <row r="488" spans="1:4" x14ac:dyDescent="0.25">
      <c r="A488" s="8">
        <v>90.58</v>
      </c>
      <c r="B488" s="8">
        <v>88.6</v>
      </c>
      <c r="C488" s="8">
        <v>50.5</v>
      </c>
      <c r="D488" s="8">
        <v>176</v>
      </c>
    </row>
    <row r="489" spans="1:4" x14ac:dyDescent="0.25">
      <c r="A489" s="8">
        <v>90.78</v>
      </c>
      <c r="B489" s="8">
        <v>88.8</v>
      </c>
      <c r="C489" s="8">
        <v>50.5</v>
      </c>
      <c r="D489" s="8">
        <v>176.9</v>
      </c>
    </row>
    <row r="490" spans="1:4" x14ac:dyDescent="0.25">
      <c r="A490" s="8">
        <v>90.98</v>
      </c>
      <c r="B490" s="8">
        <v>89</v>
      </c>
      <c r="C490" s="8">
        <v>50.6</v>
      </c>
      <c r="D490" s="8">
        <v>177.9</v>
      </c>
    </row>
    <row r="491" spans="1:4" x14ac:dyDescent="0.25">
      <c r="A491" s="8">
        <v>91.18</v>
      </c>
      <c r="B491" s="8">
        <v>89.3</v>
      </c>
      <c r="C491" s="8">
        <v>50.6</v>
      </c>
      <c r="D491" s="8">
        <v>178.8</v>
      </c>
    </row>
    <row r="492" spans="1:4" x14ac:dyDescent="0.25">
      <c r="A492" s="8">
        <v>91.38</v>
      </c>
      <c r="B492" s="8">
        <v>89.5</v>
      </c>
      <c r="C492" s="8">
        <v>50.6</v>
      </c>
      <c r="D492" s="8">
        <v>179.8</v>
      </c>
    </row>
    <row r="493" spans="1:4" x14ac:dyDescent="0.25">
      <c r="A493" s="8">
        <v>91.58</v>
      </c>
      <c r="B493" s="8">
        <v>89.7</v>
      </c>
      <c r="C493" s="8">
        <v>50.7</v>
      </c>
      <c r="D493" s="8">
        <v>180.7</v>
      </c>
    </row>
    <row r="494" spans="1:4" x14ac:dyDescent="0.25">
      <c r="A494" s="8">
        <v>91.78</v>
      </c>
      <c r="B494" s="8">
        <v>89.9</v>
      </c>
      <c r="C494" s="8">
        <v>50.7</v>
      </c>
      <c r="D494" s="8">
        <v>181.7</v>
      </c>
    </row>
    <row r="495" spans="1:4" x14ac:dyDescent="0.25">
      <c r="A495" s="8">
        <v>91.98</v>
      </c>
      <c r="B495" s="8">
        <v>90.2</v>
      </c>
      <c r="C495" s="8">
        <v>50.8</v>
      </c>
      <c r="D495" s="8">
        <v>182.6</v>
      </c>
    </row>
    <row r="496" spans="1:4" x14ac:dyDescent="0.25">
      <c r="A496" s="8">
        <v>92.18</v>
      </c>
      <c r="B496" s="8">
        <v>90.4</v>
      </c>
      <c r="C496" s="8">
        <v>50.8</v>
      </c>
      <c r="D496" s="8">
        <v>183.6</v>
      </c>
    </row>
    <row r="497" spans="1:4" x14ac:dyDescent="0.25">
      <c r="A497" s="8">
        <v>92.38</v>
      </c>
      <c r="B497" s="8">
        <v>90.6</v>
      </c>
      <c r="C497" s="8">
        <v>50.8</v>
      </c>
      <c r="D497" s="8">
        <v>184.5</v>
      </c>
    </row>
    <row r="498" spans="1:4" x14ac:dyDescent="0.25">
      <c r="A498" s="8">
        <v>92.58</v>
      </c>
      <c r="B498" s="8">
        <v>90.8</v>
      </c>
      <c r="C498" s="8">
        <v>50.9</v>
      </c>
      <c r="D498" s="8">
        <v>185.5</v>
      </c>
    </row>
    <row r="499" spans="1:4" x14ac:dyDescent="0.25">
      <c r="A499" s="8">
        <v>92.78</v>
      </c>
      <c r="B499" s="8">
        <v>91.1</v>
      </c>
      <c r="C499" s="8">
        <v>50.9</v>
      </c>
      <c r="D499" s="8">
        <v>186.4</v>
      </c>
    </row>
    <row r="500" spans="1:4" x14ac:dyDescent="0.25">
      <c r="A500" s="8">
        <v>92.98</v>
      </c>
      <c r="B500" s="8">
        <v>91.3</v>
      </c>
      <c r="C500" s="8">
        <v>50.9</v>
      </c>
      <c r="D500" s="8">
        <v>187.4</v>
      </c>
    </row>
    <row r="501" spans="1:4" x14ac:dyDescent="0.25">
      <c r="A501" s="8">
        <v>93.18</v>
      </c>
      <c r="B501" s="8">
        <v>91.5</v>
      </c>
      <c r="C501" s="8">
        <v>51</v>
      </c>
      <c r="D501" s="8">
        <v>188.3</v>
      </c>
    </row>
    <row r="502" spans="1:4" x14ac:dyDescent="0.25">
      <c r="A502" s="8">
        <v>93.38</v>
      </c>
      <c r="B502" s="8">
        <v>91.7</v>
      </c>
      <c r="C502" s="8">
        <v>51</v>
      </c>
      <c r="D502" s="8">
        <v>189.3</v>
      </c>
    </row>
    <row r="503" spans="1:4" x14ac:dyDescent="0.25">
      <c r="A503" s="8">
        <v>93.58</v>
      </c>
      <c r="B503" s="8">
        <v>92</v>
      </c>
      <c r="C503" s="8">
        <v>51.1</v>
      </c>
      <c r="D503" s="8">
        <v>190.2</v>
      </c>
    </row>
    <row r="504" spans="1:4" x14ac:dyDescent="0.25">
      <c r="A504" s="8">
        <v>93.78</v>
      </c>
      <c r="B504" s="8">
        <v>92.2</v>
      </c>
      <c r="C504" s="8">
        <v>51.1</v>
      </c>
      <c r="D504" s="8">
        <v>191.2</v>
      </c>
    </row>
    <row r="505" spans="1:4" x14ac:dyDescent="0.25">
      <c r="A505" s="8">
        <v>93.98</v>
      </c>
      <c r="B505" s="8">
        <v>92.4</v>
      </c>
      <c r="C505" s="8">
        <v>51.1</v>
      </c>
      <c r="D505" s="8">
        <v>192.1</v>
      </c>
    </row>
    <row r="506" spans="1:4" x14ac:dyDescent="0.25">
      <c r="A506" s="8">
        <v>94.18</v>
      </c>
      <c r="B506" s="8">
        <v>92.6</v>
      </c>
      <c r="C506" s="8">
        <v>51.2</v>
      </c>
      <c r="D506" s="8">
        <v>193.1</v>
      </c>
    </row>
    <row r="507" spans="1:4" x14ac:dyDescent="0.25">
      <c r="A507" s="8">
        <v>94.38</v>
      </c>
      <c r="B507" s="8">
        <v>92.8</v>
      </c>
      <c r="C507" s="8">
        <v>51.2</v>
      </c>
      <c r="D507" s="8">
        <v>194</v>
      </c>
    </row>
    <row r="508" spans="1:4" x14ac:dyDescent="0.25">
      <c r="A508" s="8">
        <v>94.58</v>
      </c>
      <c r="B508" s="8">
        <v>93</v>
      </c>
      <c r="C508" s="8">
        <v>51.3</v>
      </c>
      <c r="D508" s="8">
        <v>195</v>
      </c>
    </row>
    <row r="509" spans="1:4" x14ac:dyDescent="0.25">
      <c r="A509" s="8">
        <v>94.78</v>
      </c>
      <c r="B509" s="8">
        <v>93.3</v>
      </c>
      <c r="C509" s="8">
        <v>51.3</v>
      </c>
      <c r="D509" s="8">
        <v>195.9</v>
      </c>
    </row>
    <row r="510" spans="1:4" x14ac:dyDescent="0.25">
      <c r="A510" s="8">
        <v>94.98</v>
      </c>
      <c r="B510" s="8">
        <v>93.5</v>
      </c>
      <c r="C510" s="8">
        <v>51.3</v>
      </c>
      <c r="D510" s="8">
        <v>196.9</v>
      </c>
    </row>
    <row r="511" spans="1:4" x14ac:dyDescent="0.25">
      <c r="A511" s="8">
        <v>95.18</v>
      </c>
      <c r="B511" s="8">
        <v>93.7</v>
      </c>
      <c r="C511" s="8">
        <v>51.4</v>
      </c>
      <c r="D511" s="8">
        <v>197.8</v>
      </c>
    </row>
    <row r="512" spans="1:4" x14ac:dyDescent="0.25">
      <c r="A512" s="8">
        <v>95.38</v>
      </c>
      <c r="B512" s="8">
        <v>93.9</v>
      </c>
      <c r="C512" s="8">
        <v>51.4</v>
      </c>
      <c r="D512" s="8">
        <v>198.8</v>
      </c>
    </row>
    <row r="513" spans="1:4" x14ac:dyDescent="0.25">
      <c r="A513" s="8">
        <v>95.58</v>
      </c>
      <c r="B513" s="8">
        <v>94.1</v>
      </c>
      <c r="C513" s="8">
        <v>51.5</v>
      </c>
      <c r="D513" s="8">
        <v>199.7</v>
      </c>
    </row>
    <row r="514" spans="1:4" x14ac:dyDescent="0.25">
      <c r="A514" s="8">
        <v>95.78</v>
      </c>
      <c r="B514" s="8">
        <v>94.3</v>
      </c>
      <c r="C514" s="8">
        <v>51.5</v>
      </c>
      <c r="D514" s="8">
        <v>200.7</v>
      </c>
    </row>
    <row r="515" spans="1:4" x14ac:dyDescent="0.25">
      <c r="A515" s="8">
        <v>95.98</v>
      </c>
      <c r="B515" s="8">
        <v>94.5</v>
      </c>
      <c r="C515" s="8">
        <v>51.5</v>
      </c>
      <c r="D515" s="8">
        <v>201.6</v>
      </c>
    </row>
    <row r="516" spans="1:4" x14ac:dyDescent="0.25">
      <c r="A516" s="8">
        <v>96.18</v>
      </c>
      <c r="B516" s="8">
        <v>94.8</v>
      </c>
      <c r="C516" s="8">
        <v>51.6</v>
      </c>
      <c r="D516" s="8">
        <v>202.6</v>
      </c>
    </row>
    <row r="517" spans="1:4" x14ac:dyDescent="0.25">
      <c r="A517" s="8">
        <v>96.38</v>
      </c>
      <c r="B517" s="8">
        <v>95</v>
      </c>
      <c r="C517" s="8">
        <v>51.6</v>
      </c>
      <c r="D517" s="8">
        <v>203.5</v>
      </c>
    </row>
    <row r="518" spans="1:4" x14ac:dyDescent="0.25">
      <c r="A518" s="8">
        <v>96.58</v>
      </c>
      <c r="B518" s="8">
        <v>95.2</v>
      </c>
      <c r="C518" s="8">
        <v>51.7</v>
      </c>
      <c r="D518" s="8">
        <v>204.5</v>
      </c>
    </row>
    <row r="519" spans="1:4" x14ac:dyDescent="0.25">
      <c r="A519" s="8">
        <v>96.78</v>
      </c>
      <c r="B519" s="8">
        <v>95.4</v>
      </c>
      <c r="C519" s="8">
        <v>51.7</v>
      </c>
      <c r="D519" s="8">
        <v>205.4</v>
      </c>
    </row>
    <row r="520" spans="1:4" x14ac:dyDescent="0.25">
      <c r="A520" s="8">
        <v>96.98</v>
      </c>
      <c r="B520" s="8">
        <v>95.6</v>
      </c>
      <c r="C520" s="8">
        <v>51.7</v>
      </c>
      <c r="D520" s="8">
        <v>206.4</v>
      </c>
    </row>
    <row r="521" spans="1:4" x14ac:dyDescent="0.25">
      <c r="A521" s="8">
        <v>97.18</v>
      </c>
      <c r="B521" s="8">
        <v>95.8</v>
      </c>
      <c r="C521" s="8">
        <v>51.8</v>
      </c>
      <c r="D521" s="8">
        <v>207.3</v>
      </c>
    </row>
    <row r="522" spans="1:4" x14ac:dyDescent="0.25">
      <c r="A522" s="8">
        <v>97.38</v>
      </c>
      <c r="B522" s="8">
        <v>96</v>
      </c>
      <c r="C522" s="8">
        <v>51.8</v>
      </c>
      <c r="D522" s="8">
        <v>208.3</v>
      </c>
    </row>
    <row r="523" spans="1:4" x14ac:dyDescent="0.25">
      <c r="A523" s="8">
        <v>97.58</v>
      </c>
      <c r="B523" s="8">
        <v>96.2</v>
      </c>
      <c r="C523" s="8">
        <v>51.9</v>
      </c>
      <c r="D523" s="8">
        <v>209.2</v>
      </c>
    </row>
    <row r="524" spans="1:4" x14ac:dyDescent="0.25">
      <c r="A524" s="8">
        <v>97.78</v>
      </c>
      <c r="B524" s="8">
        <v>96.4</v>
      </c>
      <c r="C524" s="8">
        <v>51.9</v>
      </c>
      <c r="D524" s="8">
        <v>210.2</v>
      </c>
    </row>
    <row r="525" spans="1:4" x14ac:dyDescent="0.25">
      <c r="A525" s="8">
        <v>97.98</v>
      </c>
      <c r="B525" s="8">
        <v>96.6</v>
      </c>
      <c r="C525" s="8">
        <v>51.9</v>
      </c>
      <c r="D525" s="8">
        <v>211.1</v>
      </c>
    </row>
    <row r="526" spans="1:4" x14ac:dyDescent="0.25">
      <c r="A526" s="8">
        <v>98.18</v>
      </c>
      <c r="B526" s="8">
        <v>96.8</v>
      </c>
      <c r="C526" s="8">
        <v>52</v>
      </c>
      <c r="D526" s="8">
        <v>212.1</v>
      </c>
    </row>
    <row r="527" spans="1:4" x14ac:dyDescent="0.25">
      <c r="A527" s="8">
        <v>98.38</v>
      </c>
      <c r="B527" s="8">
        <v>97</v>
      </c>
      <c r="C527" s="8">
        <v>52</v>
      </c>
      <c r="D527" s="8">
        <v>213</v>
      </c>
    </row>
    <row r="528" spans="1:4" x14ac:dyDescent="0.25">
      <c r="A528" s="8">
        <v>98.58</v>
      </c>
      <c r="B528" s="8">
        <v>97.3</v>
      </c>
      <c r="C528" s="8">
        <v>52.1</v>
      </c>
      <c r="D528" s="8">
        <v>214</v>
      </c>
    </row>
    <row r="529" spans="1:4" x14ac:dyDescent="0.25">
      <c r="A529" s="8">
        <v>98.78</v>
      </c>
      <c r="B529" s="8">
        <v>97.5</v>
      </c>
      <c r="C529" s="8">
        <v>52.1</v>
      </c>
      <c r="D529" s="8">
        <v>214.9</v>
      </c>
    </row>
    <row r="530" spans="1:4" x14ac:dyDescent="0.25">
      <c r="A530" s="8">
        <v>98.98</v>
      </c>
      <c r="B530" s="8">
        <v>97.7</v>
      </c>
      <c r="C530" s="8">
        <v>52.1</v>
      </c>
      <c r="D530" s="8">
        <v>215.9</v>
      </c>
    </row>
    <row r="531" spans="1:4" x14ac:dyDescent="0.25">
      <c r="A531" s="8">
        <v>99.18</v>
      </c>
      <c r="B531" s="8">
        <v>97.9</v>
      </c>
      <c r="C531" s="8">
        <v>52.2</v>
      </c>
      <c r="D531" s="8">
        <v>216.8</v>
      </c>
    </row>
    <row r="532" spans="1:4" x14ac:dyDescent="0.25">
      <c r="A532" s="8">
        <v>99.38</v>
      </c>
      <c r="B532" s="8">
        <v>98.1</v>
      </c>
      <c r="C532" s="8">
        <v>52.2</v>
      </c>
      <c r="D532" s="8">
        <v>217.8</v>
      </c>
    </row>
    <row r="533" spans="1:4" x14ac:dyDescent="0.25">
      <c r="A533" s="8">
        <v>99.58</v>
      </c>
      <c r="B533" s="8">
        <v>98.3</v>
      </c>
      <c r="C533" s="8">
        <v>52.3</v>
      </c>
      <c r="D533" s="8">
        <v>218.7</v>
      </c>
    </row>
    <row r="534" spans="1:4" x14ac:dyDescent="0.25">
      <c r="A534" s="8">
        <v>99.78</v>
      </c>
      <c r="B534" s="8">
        <v>98.5</v>
      </c>
      <c r="C534" s="8">
        <v>52.3</v>
      </c>
      <c r="D534" s="8">
        <v>219.7</v>
      </c>
    </row>
    <row r="535" spans="1:4" x14ac:dyDescent="0.25">
      <c r="A535" s="8">
        <v>99.98</v>
      </c>
      <c r="B535" s="8">
        <v>98.7</v>
      </c>
      <c r="C535" s="8">
        <v>52.3</v>
      </c>
      <c r="D535" s="8">
        <v>220.6</v>
      </c>
    </row>
    <row r="536" spans="1:4" x14ac:dyDescent="0.25">
      <c r="A536" s="8">
        <v>100.18</v>
      </c>
      <c r="B536" s="8">
        <v>98.9</v>
      </c>
      <c r="C536" s="8">
        <v>52.4</v>
      </c>
      <c r="D536" s="8">
        <v>221.6</v>
      </c>
    </row>
    <row r="537" spans="1:4" x14ac:dyDescent="0.25">
      <c r="A537" s="8">
        <v>100.38</v>
      </c>
      <c r="B537" s="8">
        <v>99.1</v>
      </c>
      <c r="C537" s="8">
        <v>52.4</v>
      </c>
      <c r="D537" s="8">
        <v>222.5</v>
      </c>
    </row>
    <row r="538" spans="1:4" x14ac:dyDescent="0.25">
      <c r="A538" s="8">
        <v>100.58</v>
      </c>
      <c r="B538" s="8">
        <v>99.3</v>
      </c>
      <c r="C538" s="8">
        <v>52.5</v>
      </c>
      <c r="D538" s="8">
        <v>223.5</v>
      </c>
    </row>
    <row r="539" spans="1:4" x14ac:dyDescent="0.25">
      <c r="A539" s="8">
        <v>100.78</v>
      </c>
      <c r="B539" s="8">
        <v>99.5</v>
      </c>
      <c r="C539" s="8">
        <v>52.5</v>
      </c>
      <c r="D539" s="8">
        <v>224.4</v>
      </c>
    </row>
    <row r="540" spans="1:4" x14ac:dyDescent="0.25">
      <c r="A540" s="8">
        <v>100.98</v>
      </c>
      <c r="B540" s="8">
        <v>99.7</v>
      </c>
      <c r="C540" s="8">
        <v>52.5</v>
      </c>
      <c r="D540" s="8">
        <v>225.4</v>
      </c>
    </row>
    <row r="541" spans="1:4" x14ac:dyDescent="0.25">
      <c r="A541" s="8">
        <v>101.18</v>
      </c>
      <c r="B541" s="8">
        <v>99.9</v>
      </c>
      <c r="C541" s="8">
        <v>52.6</v>
      </c>
      <c r="D541" s="8">
        <v>226.3</v>
      </c>
    </row>
    <row r="542" spans="1:4" x14ac:dyDescent="0.25">
      <c r="A542" s="8">
        <v>101.38</v>
      </c>
      <c r="B542" s="8">
        <v>100.1</v>
      </c>
      <c r="C542" s="8">
        <v>52.6</v>
      </c>
      <c r="D542" s="8">
        <v>227.3</v>
      </c>
    </row>
    <row r="543" spans="1:4" x14ac:dyDescent="0.25">
      <c r="A543" s="8">
        <v>101.58</v>
      </c>
      <c r="B543" s="8">
        <v>100.3</v>
      </c>
      <c r="C543" s="8">
        <v>52.7</v>
      </c>
      <c r="D543" s="8">
        <v>228.2</v>
      </c>
    </row>
    <row r="544" spans="1:4" x14ac:dyDescent="0.25">
      <c r="A544" s="8">
        <v>101.78</v>
      </c>
      <c r="B544" s="8">
        <v>100.5</v>
      </c>
      <c r="C544" s="8">
        <v>52.7</v>
      </c>
      <c r="D544" s="8">
        <v>229.2</v>
      </c>
    </row>
    <row r="545" spans="1:4" x14ac:dyDescent="0.25">
      <c r="A545" s="8">
        <v>101.98</v>
      </c>
      <c r="B545" s="8">
        <v>100.7</v>
      </c>
      <c r="C545" s="8">
        <v>52.7</v>
      </c>
      <c r="D545" s="8">
        <v>230.1</v>
      </c>
    </row>
    <row r="546" spans="1:4" x14ac:dyDescent="0.25">
      <c r="A546" s="8">
        <v>102.18</v>
      </c>
      <c r="B546" s="8">
        <v>100.9</v>
      </c>
      <c r="C546" s="8">
        <v>52.8</v>
      </c>
      <c r="D546" s="8">
        <v>231.1</v>
      </c>
    </row>
    <row r="547" spans="1:4" x14ac:dyDescent="0.25">
      <c r="A547" s="8">
        <v>102.38</v>
      </c>
      <c r="B547" s="8">
        <v>101.1</v>
      </c>
      <c r="C547" s="8">
        <v>52.8</v>
      </c>
      <c r="D547" s="8">
        <v>232</v>
      </c>
    </row>
    <row r="548" spans="1:4" x14ac:dyDescent="0.25">
      <c r="A548" s="8">
        <v>102.58</v>
      </c>
      <c r="B548" s="8">
        <v>101.3</v>
      </c>
      <c r="C548" s="8">
        <v>52.9</v>
      </c>
      <c r="D548" s="8">
        <v>233</v>
      </c>
    </row>
    <row r="549" spans="1:4" x14ac:dyDescent="0.25">
      <c r="A549" s="8">
        <v>102.78</v>
      </c>
      <c r="B549" s="8">
        <v>101.5</v>
      </c>
      <c r="C549" s="8">
        <v>52.9</v>
      </c>
      <c r="D549" s="8">
        <v>233.9</v>
      </c>
    </row>
    <row r="550" spans="1:4" x14ac:dyDescent="0.25">
      <c r="A550" s="8">
        <v>102.98</v>
      </c>
      <c r="B550" s="8">
        <v>101.7</v>
      </c>
      <c r="C550" s="8">
        <v>52.9</v>
      </c>
      <c r="D550" s="8">
        <v>234.9</v>
      </c>
    </row>
    <row r="551" spans="1:4" x14ac:dyDescent="0.25">
      <c r="A551" s="8">
        <v>103.18</v>
      </c>
      <c r="B551" s="8">
        <v>101.9</v>
      </c>
      <c r="C551" s="8">
        <v>53</v>
      </c>
      <c r="D551" s="8">
        <v>235.8</v>
      </c>
    </row>
    <row r="552" spans="1:4" x14ac:dyDescent="0.25">
      <c r="A552" s="8">
        <v>103.38</v>
      </c>
      <c r="B552" s="8">
        <v>102.1</v>
      </c>
      <c r="C552" s="8">
        <v>53</v>
      </c>
      <c r="D552" s="8">
        <v>236.8</v>
      </c>
    </row>
    <row r="553" spans="1:4" x14ac:dyDescent="0.25">
      <c r="A553" s="8">
        <v>103.58</v>
      </c>
      <c r="B553" s="8">
        <v>102.3</v>
      </c>
      <c r="C553" s="8">
        <v>53.1</v>
      </c>
      <c r="D553" s="8">
        <v>237.7</v>
      </c>
    </row>
    <row r="554" spans="1:4" x14ac:dyDescent="0.25">
      <c r="A554" s="8">
        <v>103.78</v>
      </c>
      <c r="B554" s="8">
        <v>102.5</v>
      </c>
      <c r="C554" s="8">
        <v>53.1</v>
      </c>
      <c r="D554" s="8">
        <v>238.7</v>
      </c>
    </row>
    <row r="555" spans="1:4" x14ac:dyDescent="0.25">
      <c r="A555" s="8">
        <v>103.98</v>
      </c>
      <c r="B555" s="8">
        <v>102.7</v>
      </c>
      <c r="C555" s="8">
        <v>53.1</v>
      </c>
      <c r="D555" s="8">
        <v>239.6</v>
      </c>
    </row>
    <row r="556" spans="1:4" x14ac:dyDescent="0.25">
      <c r="A556" s="8">
        <v>104.18</v>
      </c>
      <c r="B556" s="8">
        <v>102.9</v>
      </c>
      <c r="C556" s="8">
        <v>53.2</v>
      </c>
      <c r="D556" s="8">
        <v>240.6</v>
      </c>
    </row>
    <row r="557" spans="1:4" x14ac:dyDescent="0.25">
      <c r="A557" s="8">
        <v>104.38</v>
      </c>
      <c r="B557" s="8">
        <v>103.1</v>
      </c>
      <c r="C557" s="8">
        <v>53.2</v>
      </c>
      <c r="D557" s="8">
        <v>241.5</v>
      </c>
    </row>
    <row r="558" spans="1:4" x14ac:dyDescent="0.25">
      <c r="A558" s="8">
        <v>104.58</v>
      </c>
      <c r="B558" s="8">
        <v>103.3</v>
      </c>
      <c r="C558" s="8">
        <v>53.3</v>
      </c>
      <c r="D558" s="8">
        <v>242.5</v>
      </c>
    </row>
    <row r="559" spans="1:4" x14ac:dyDescent="0.25">
      <c r="A559" s="8">
        <v>104.78</v>
      </c>
      <c r="B559" s="8">
        <v>103.5</v>
      </c>
      <c r="C559" s="8">
        <v>53.3</v>
      </c>
      <c r="D559" s="8">
        <v>243.5</v>
      </c>
    </row>
    <row r="560" spans="1:4" x14ac:dyDescent="0.25">
      <c r="A560" s="8">
        <v>104.98</v>
      </c>
      <c r="B560" s="8">
        <v>103.7</v>
      </c>
      <c r="C560" s="8">
        <v>53.3</v>
      </c>
      <c r="D560" s="8">
        <v>244.4</v>
      </c>
    </row>
    <row r="561" spans="1:4" x14ac:dyDescent="0.25">
      <c r="A561" s="8">
        <v>105.18</v>
      </c>
      <c r="B561" s="8">
        <v>103.9</v>
      </c>
      <c r="C561" s="8">
        <v>53.4</v>
      </c>
      <c r="D561" s="8">
        <v>245.4</v>
      </c>
    </row>
    <row r="562" spans="1:4" x14ac:dyDescent="0.25">
      <c r="A562" s="8">
        <v>105.38</v>
      </c>
      <c r="B562" s="8">
        <v>104.1</v>
      </c>
      <c r="C562" s="8">
        <v>53.4</v>
      </c>
      <c r="D562" s="8">
        <v>246.3</v>
      </c>
    </row>
    <row r="563" spans="1:4" x14ac:dyDescent="0.25">
      <c r="A563" s="8">
        <v>105.58</v>
      </c>
      <c r="B563" s="8">
        <v>104.3</v>
      </c>
      <c r="C563" s="8">
        <v>53.4</v>
      </c>
      <c r="D563" s="8">
        <v>247.3</v>
      </c>
    </row>
    <row r="564" spans="1:4" x14ac:dyDescent="0.25">
      <c r="A564" s="8">
        <v>105.78</v>
      </c>
      <c r="B564" s="8">
        <v>104.5</v>
      </c>
      <c r="C564" s="8">
        <v>53.5</v>
      </c>
      <c r="D564" s="8">
        <v>248.2</v>
      </c>
    </row>
    <row r="565" spans="1:4" x14ac:dyDescent="0.25">
      <c r="A565" s="8">
        <v>105.98</v>
      </c>
      <c r="B565" s="8">
        <v>104.7</v>
      </c>
      <c r="C565" s="8">
        <v>53.5</v>
      </c>
      <c r="D565" s="8">
        <v>249.2</v>
      </c>
    </row>
    <row r="566" spans="1:4" x14ac:dyDescent="0.25">
      <c r="A566" s="8">
        <v>106.18</v>
      </c>
      <c r="B566" s="8">
        <v>104.9</v>
      </c>
      <c r="C566" s="8">
        <v>53.6</v>
      </c>
      <c r="D566" s="8">
        <v>250.1</v>
      </c>
    </row>
    <row r="567" spans="1:4" x14ac:dyDescent="0.25">
      <c r="A567" s="8">
        <v>106.38</v>
      </c>
      <c r="B567" s="8">
        <v>105.1</v>
      </c>
      <c r="C567" s="8">
        <v>53.6</v>
      </c>
      <c r="D567" s="8">
        <v>251.1</v>
      </c>
    </row>
    <row r="568" spans="1:4" x14ac:dyDescent="0.25">
      <c r="A568" s="8">
        <v>106.58</v>
      </c>
      <c r="B568" s="8">
        <v>105.3</v>
      </c>
      <c r="C568" s="8">
        <v>53.6</v>
      </c>
      <c r="D568" s="8">
        <v>252</v>
      </c>
    </row>
    <row r="569" spans="1:4" x14ac:dyDescent="0.25">
      <c r="A569" s="8">
        <v>106.78</v>
      </c>
      <c r="B569" s="8">
        <v>105.5</v>
      </c>
      <c r="C569" s="8">
        <v>53.7</v>
      </c>
      <c r="D569" s="8">
        <v>253</v>
      </c>
    </row>
    <row r="570" spans="1:4" x14ac:dyDescent="0.25">
      <c r="A570" s="8">
        <v>106.98</v>
      </c>
      <c r="B570" s="8">
        <v>105.7</v>
      </c>
      <c r="C570" s="8">
        <v>53.7</v>
      </c>
      <c r="D570" s="8">
        <v>253.9</v>
      </c>
    </row>
    <row r="571" spans="1:4" x14ac:dyDescent="0.25">
      <c r="A571" s="8">
        <v>107.18</v>
      </c>
      <c r="B571" s="8">
        <v>105.9</v>
      </c>
      <c r="C571" s="8">
        <v>53.8</v>
      </c>
      <c r="D571" s="8">
        <v>254.9</v>
      </c>
    </row>
    <row r="572" spans="1:4" x14ac:dyDescent="0.25">
      <c r="A572" s="8">
        <v>107.38</v>
      </c>
      <c r="B572" s="8">
        <v>106.1</v>
      </c>
      <c r="C572" s="8">
        <v>53.8</v>
      </c>
      <c r="D572" s="8">
        <v>255.8</v>
      </c>
    </row>
    <row r="573" spans="1:4" x14ac:dyDescent="0.25">
      <c r="A573" s="8">
        <v>107.58</v>
      </c>
      <c r="B573" s="8">
        <v>106.3</v>
      </c>
      <c r="C573" s="8">
        <v>53.8</v>
      </c>
      <c r="D573" s="8">
        <v>256.8</v>
      </c>
    </row>
    <row r="574" spans="1:4" x14ac:dyDescent="0.25">
      <c r="A574" s="8">
        <v>107.78</v>
      </c>
      <c r="B574" s="8">
        <v>106.5</v>
      </c>
      <c r="C574" s="8">
        <v>53.9</v>
      </c>
      <c r="D574" s="8">
        <v>257.7</v>
      </c>
    </row>
    <row r="575" spans="1:4" x14ac:dyDescent="0.25">
      <c r="A575" s="8">
        <v>107.98</v>
      </c>
      <c r="B575" s="8">
        <v>106.7</v>
      </c>
      <c r="C575" s="8">
        <v>53.9</v>
      </c>
      <c r="D575" s="8">
        <v>258.7</v>
      </c>
    </row>
    <row r="576" spans="1:4" x14ac:dyDescent="0.25">
      <c r="A576" s="8">
        <v>108.18</v>
      </c>
      <c r="B576" s="8">
        <v>106.9</v>
      </c>
      <c r="C576" s="8">
        <v>54</v>
      </c>
      <c r="D576" s="8">
        <v>259.60000000000002</v>
      </c>
    </row>
    <row r="577" spans="1:4" x14ac:dyDescent="0.25">
      <c r="A577" s="8">
        <v>108.38</v>
      </c>
      <c r="B577" s="8">
        <v>107.1</v>
      </c>
      <c r="C577" s="8">
        <v>54</v>
      </c>
      <c r="D577" s="8">
        <v>260.60000000000002</v>
      </c>
    </row>
    <row r="578" spans="1:4" x14ac:dyDescent="0.25">
      <c r="A578" s="8">
        <v>108.58</v>
      </c>
      <c r="B578" s="8">
        <v>107.3</v>
      </c>
      <c r="C578" s="8">
        <v>54</v>
      </c>
      <c r="D578" s="8">
        <v>261.5</v>
      </c>
    </row>
    <row r="579" spans="1:4" x14ac:dyDescent="0.25">
      <c r="A579" s="8">
        <v>108.78</v>
      </c>
      <c r="B579" s="8">
        <v>107.5</v>
      </c>
      <c r="C579" s="8">
        <v>54.1</v>
      </c>
      <c r="D579" s="8">
        <v>262.5</v>
      </c>
    </row>
    <row r="580" spans="1:4" x14ac:dyDescent="0.25">
      <c r="A580" s="8">
        <v>108.98</v>
      </c>
      <c r="B580" s="8">
        <v>107.7</v>
      </c>
      <c r="C580" s="8">
        <v>54.1</v>
      </c>
      <c r="D580" s="8">
        <v>263.39999999999998</v>
      </c>
    </row>
    <row r="581" spans="1:4" x14ac:dyDescent="0.25">
      <c r="A581" s="8">
        <v>109.18</v>
      </c>
      <c r="B581" s="8">
        <v>107.9</v>
      </c>
      <c r="C581" s="8">
        <v>54.1</v>
      </c>
      <c r="D581" s="8">
        <v>264.39999999999998</v>
      </c>
    </row>
    <row r="582" spans="1:4" x14ac:dyDescent="0.25">
      <c r="A582" s="8">
        <v>109.38</v>
      </c>
      <c r="B582" s="8">
        <v>108.1</v>
      </c>
      <c r="C582" s="8">
        <v>54.2</v>
      </c>
      <c r="D582" s="8">
        <v>265.3</v>
      </c>
    </row>
    <row r="583" spans="1:4" x14ac:dyDescent="0.25">
      <c r="A583" s="8">
        <v>109.58</v>
      </c>
      <c r="B583" s="8">
        <v>108.3</v>
      </c>
      <c r="C583" s="8">
        <v>54.2</v>
      </c>
      <c r="D583" s="8">
        <v>266.3</v>
      </c>
    </row>
    <row r="584" spans="1:4" x14ac:dyDescent="0.25">
      <c r="A584" s="8">
        <v>109.78</v>
      </c>
      <c r="B584" s="8">
        <v>108.5</v>
      </c>
      <c r="C584" s="8">
        <v>54.3</v>
      </c>
      <c r="D584" s="8">
        <v>267.2</v>
      </c>
    </row>
    <row r="585" spans="1:4" x14ac:dyDescent="0.25">
      <c r="A585" s="8">
        <v>109.98</v>
      </c>
      <c r="B585" s="8">
        <v>108.7</v>
      </c>
      <c r="C585" s="8">
        <v>54.3</v>
      </c>
      <c r="D585" s="8">
        <v>268.2</v>
      </c>
    </row>
    <row r="586" spans="1:4" x14ac:dyDescent="0.25">
      <c r="A586" s="8">
        <v>110.18</v>
      </c>
      <c r="B586" s="8">
        <v>108.9</v>
      </c>
      <c r="C586" s="8">
        <v>54.3</v>
      </c>
      <c r="D586" s="8">
        <v>269.10000000000002</v>
      </c>
    </row>
    <row r="587" spans="1:4" x14ac:dyDescent="0.25">
      <c r="A587" s="8">
        <v>110.38</v>
      </c>
      <c r="B587" s="8">
        <v>109.1</v>
      </c>
      <c r="C587" s="8">
        <v>54.4</v>
      </c>
      <c r="D587" s="8">
        <v>270.10000000000002</v>
      </c>
    </row>
    <row r="588" spans="1:4" x14ac:dyDescent="0.25">
      <c r="A588" s="8">
        <v>110.58</v>
      </c>
      <c r="B588" s="8">
        <v>109.3</v>
      </c>
      <c r="C588" s="8">
        <v>54.4</v>
      </c>
      <c r="D588" s="8">
        <v>271</v>
      </c>
    </row>
    <row r="589" spans="1:4" x14ac:dyDescent="0.25">
      <c r="A589" s="8">
        <v>110.78</v>
      </c>
      <c r="B589" s="8">
        <v>109.5</v>
      </c>
      <c r="C589" s="8">
        <v>54.5</v>
      </c>
      <c r="D589" s="8">
        <v>272</v>
      </c>
    </row>
    <row r="590" spans="1:4" x14ac:dyDescent="0.25">
      <c r="A590" s="8">
        <v>110.98</v>
      </c>
      <c r="B590" s="8">
        <v>109.7</v>
      </c>
      <c r="C590" s="8">
        <v>54.5</v>
      </c>
      <c r="D590" s="8">
        <v>272.89999999999998</v>
      </c>
    </row>
    <row r="591" spans="1:4" x14ac:dyDescent="0.25">
      <c r="A591" s="8">
        <v>111.18</v>
      </c>
      <c r="B591" s="8">
        <v>110</v>
      </c>
      <c r="C591" s="8">
        <v>54.5</v>
      </c>
      <c r="D591" s="8">
        <v>273.89999999999998</v>
      </c>
    </row>
    <row r="592" spans="1:4" x14ac:dyDescent="0.25">
      <c r="A592" s="8">
        <v>111.38</v>
      </c>
      <c r="B592" s="8">
        <v>110.2</v>
      </c>
      <c r="C592" s="8">
        <v>54.6</v>
      </c>
      <c r="D592" s="8">
        <v>274.8</v>
      </c>
    </row>
    <row r="593" spans="1:4" x14ac:dyDescent="0.25">
      <c r="A593" s="8">
        <v>111.58</v>
      </c>
      <c r="B593" s="8">
        <v>110.4</v>
      </c>
      <c r="C593" s="8">
        <v>54.6</v>
      </c>
      <c r="D593" s="8">
        <v>275.8</v>
      </c>
    </row>
    <row r="594" spans="1:4" x14ac:dyDescent="0.25">
      <c r="A594" s="8">
        <v>111.78</v>
      </c>
      <c r="B594" s="8">
        <v>110.6</v>
      </c>
      <c r="C594" s="8">
        <v>54.6</v>
      </c>
      <c r="D594" s="8">
        <v>276.7</v>
      </c>
    </row>
    <row r="595" spans="1:4" x14ac:dyDescent="0.25">
      <c r="A595" s="8">
        <v>111.98</v>
      </c>
      <c r="B595" s="8">
        <v>110.8</v>
      </c>
      <c r="C595" s="8">
        <v>54.7</v>
      </c>
      <c r="D595" s="8">
        <v>277.7</v>
      </c>
    </row>
    <row r="596" spans="1:4" x14ac:dyDescent="0.25">
      <c r="A596" s="8">
        <v>112.18</v>
      </c>
      <c r="B596" s="8">
        <v>111</v>
      </c>
      <c r="C596" s="8">
        <v>54.7</v>
      </c>
      <c r="D596" s="8">
        <v>278.60000000000002</v>
      </c>
    </row>
    <row r="597" spans="1:4" x14ac:dyDescent="0.25">
      <c r="A597" s="8">
        <v>112.38</v>
      </c>
      <c r="B597" s="8">
        <v>111.2</v>
      </c>
      <c r="C597" s="8">
        <v>54.8</v>
      </c>
      <c r="D597" s="8">
        <v>279.60000000000002</v>
      </c>
    </row>
    <row r="598" spans="1:4" x14ac:dyDescent="0.25">
      <c r="A598" s="8">
        <v>112.58</v>
      </c>
      <c r="B598" s="8">
        <v>111.4</v>
      </c>
      <c r="C598" s="8">
        <v>54.8</v>
      </c>
      <c r="D598" s="8">
        <v>280.5</v>
      </c>
    </row>
    <row r="599" spans="1:4" x14ac:dyDescent="0.25">
      <c r="A599" s="8">
        <v>112.78</v>
      </c>
      <c r="B599" s="8">
        <v>111.6</v>
      </c>
      <c r="C599" s="8">
        <v>54.8</v>
      </c>
      <c r="D599" s="8">
        <v>281.5</v>
      </c>
    </row>
    <row r="600" spans="1:4" x14ac:dyDescent="0.25">
      <c r="A600" s="8">
        <v>112.98</v>
      </c>
      <c r="B600" s="8">
        <v>111.9</v>
      </c>
      <c r="C600" s="8">
        <v>54.9</v>
      </c>
      <c r="D600" s="8">
        <v>282.39999999999998</v>
      </c>
    </row>
    <row r="601" spans="1:4" x14ac:dyDescent="0.25">
      <c r="A601" s="8">
        <v>113.18</v>
      </c>
      <c r="B601" s="8">
        <v>112.1</v>
      </c>
      <c r="C601" s="8">
        <v>54.9</v>
      </c>
      <c r="D601" s="8">
        <v>283.39999999999998</v>
      </c>
    </row>
    <row r="602" spans="1:4" x14ac:dyDescent="0.25">
      <c r="A602" s="8">
        <v>113.38</v>
      </c>
      <c r="B602" s="8">
        <v>112.3</v>
      </c>
      <c r="C602" s="8">
        <v>54.9</v>
      </c>
      <c r="D602" s="8">
        <v>284.3</v>
      </c>
    </row>
    <row r="603" spans="1:4" x14ac:dyDescent="0.25">
      <c r="A603" s="8">
        <v>113.58</v>
      </c>
      <c r="B603" s="8">
        <v>112.5</v>
      </c>
      <c r="C603" s="8">
        <v>55</v>
      </c>
      <c r="D603" s="8">
        <v>285.3</v>
      </c>
    </row>
    <row r="604" spans="1:4" x14ac:dyDescent="0.25">
      <c r="A604" s="8">
        <v>113.78</v>
      </c>
      <c r="B604" s="8">
        <v>112.7</v>
      </c>
      <c r="C604" s="8">
        <v>55</v>
      </c>
      <c r="D604" s="8">
        <v>286.2</v>
      </c>
    </row>
    <row r="605" spans="1:4" x14ac:dyDescent="0.25">
      <c r="A605" s="8">
        <v>113.98</v>
      </c>
      <c r="B605" s="8">
        <v>112.9</v>
      </c>
      <c r="C605" s="8">
        <v>55.1</v>
      </c>
      <c r="D605" s="8">
        <v>287.2</v>
      </c>
    </row>
    <row r="606" spans="1:4" x14ac:dyDescent="0.25">
      <c r="A606" s="8">
        <v>114.18</v>
      </c>
      <c r="B606" s="8">
        <v>113.2</v>
      </c>
      <c r="C606" s="8">
        <v>55.1</v>
      </c>
      <c r="D606" s="8">
        <v>288.10000000000002</v>
      </c>
    </row>
    <row r="607" spans="1:4" x14ac:dyDescent="0.25">
      <c r="A607" s="8">
        <v>114.38</v>
      </c>
      <c r="B607" s="8">
        <v>113.4</v>
      </c>
      <c r="C607" s="8">
        <v>55.1</v>
      </c>
      <c r="D607" s="8">
        <v>289.10000000000002</v>
      </c>
    </row>
    <row r="608" spans="1:4" x14ac:dyDescent="0.25">
      <c r="A608" s="8">
        <v>114.58</v>
      </c>
      <c r="B608" s="8">
        <v>113.6</v>
      </c>
      <c r="C608" s="8">
        <v>55.2</v>
      </c>
      <c r="D608" s="8">
        <v>290</v>
      </c>
    </row>
    <row r="609" spans="1:4" x14ac:dyDescent="0.25">
      <c r="A609" s="8">
        <v>114.78</v>
      </c>
      <c r="B609" s="8">
        <v>113.8</v>
      </c>
      <c r="C609" s="8">
        <v>55.2</v>
      </c>
      <c r="D609" s="8">
        <v>291</v>
      </c>
    </row>
    <row r="610" spans="1:4" x14ac:dyDescent="0.25">
      <c r="A610" s="8">
        <v>114.98</v>
      </c>
      <c r="B610" s="8">
        <v>114</v>
      </c>
      <c r="C610" s="8">
        <v>55.3</v>
      </c>
      <c r="D610" s="8">
        <v>291.89999999999998</v>
      </c>
    </row>
    <row r="611" spans="1:4" x14ac:dyDescent="0.25">
      <c r="A611" s="8">
        <v>115.18</v>
      </c>
      <c r="B611" s="8">
        <v>114.3</v>
      </c>
      <c r="C611" s="8">
        <v>55.3</v>
      </c>
      <c r="D611" s="8">
        <v>292.89999999999998</v>
      </c>
    </row>
    <row r="612" spans="1:4" x14ac:dyDescent="0.25">
      <c r="A612" s="8">
        <v>115.38</v>
      </c>
      <c r="B612" s="8">
        <v>114.5</v>
      </c>
      <c r="C612" s="8">
        <v>55.3</v>
      </c>
      <c r="D612" s="8">
        <v>293.8</v>
      </c>
    </row>
    <row r="613" spans="1:4" x14ac:dyDescent="0.25">
      <c r="A613" s="8">
        <v>115.58</v>
      </c>
      <c r="B613" s="8">
        <v>114.7</v>
      </c>
      <c r="C613" s="8">
        <v>55.4</v>
      </c>
      <c r="D613" s="8">
        <v>294.8</v>
      </c>
    </row>
    <row r="614" spans="1:4" x14ac:dyDescent="0.25">
      <c r="A614" s="8">
        <v>115.78</v>
      </c>
      <c r="B614" s="8">
        <v>114.9</v>
      </c>
      <c r="C614" s="8">
        <v>55.4</v>
      </c>
      <c r="D614" s="8">
        <v>295.7</v>
      </c>
    </row>
    <row r="615" spans="1:4" x14ac:dyDescent="0.25">
      <c r="A615" s="8">
        <v>115.98</v>
      </c>
      <c r="B615" s="8">
        <v>115.2</v>
      </c>
      <c r="C615" s="8">
        <v>55.4</v>
      </c>
      <c r="D615" s="8">
        <v>296.7</v>
      </c>
    </row>
    <row r="616" spans="1:4" x14ac:dyDescent="0.25">
      <c r="A616" s="8">
        <v>116.18</v>
      </c>
      <c r="B616" s="8">
        <v>115.4</v>
      </c>
      <c r="C616" s="8">
        <v>55.5</v>
      </c>
      <c r="D616" s="8">
        <v>297.60000000000002</v>
      </c>
    </row>
    <row r="617" spans="1:4" x14ac:dyDescent="0.25">
      <c r="A617" s="8">
        <v>116.38</v>
      </c>
      <c r="B617" s="8">
        <v>115.6</v>
      </c>
      <c r="C617" s="8">
        <v>55.5</v>
      </c>
      <c r="D617" s="8">
        <v>298.60000000000002</v>
      </c>
    </row>
    <row r="618" spans="1:4" x14ac:dyDescent="0.25">
      <c r="A618" s="8">
        <v>116.58</v>
      </c>
      <c r="B618" s="8">
        <v>115.9</v>
      </c>
      <c r="C618" s="8">
        <v>55.6</v>
      </c>
      <c r="D618" s="8">
        <v>299.5</v>
      </c>
    </row>
    <row r="619" spans="1:4" x14ac:dyDescent="0.25">
      <c r="A619" s="8">
        <v>116.78</v>
      </c>
      <c r="B619" s="8">
        <v>116.1</v>
      </c>
      <c r="C619" s="8">
        <v>55.6</v>
      </c>
      <c r="D619" s="8">
        <v>300.5</v>
      </c>
    </row>
    <row r="620" spans="1:4" x14ac:dyDescent="0.25">
      <c r="A620" s="8">
        <v>116.98</v>
      </c>
      <c r="B620" s="8">
        <v>116.3</v>
      </c>
      <c r="C620" s="8">
        <v>55.6</v>
      </c>
      <c r="D620" s="8">
        <v>301.39999999999998</v>
      </c>
    </row>
    <row r="621" spans="1:4" x14ac:dyDescent="0.25">
      <c r="A621" s="8">
        <v>117.18</v>
      </c>
      <c r="B621" s="8">
        <v>116.5</v>
      </c>
      <c r="C621" s="8">
        <v>55.7</v>
      </c>
      <c r="D621" s="8">
        <v>302.39999999999998</v>
      </c>
    </row>
    <row r="622" spans="1:4" x14ac:dyDescent="0.25">
      <c r="A622" s="8">
        <v>117.38</v>
      </c>
      <c r="B622" s="8">
        <v>116.8</v>
      </c>
      <c r="C622" s="8">
        <v>55.7</v>
      </c>
      <c r="D622" s="8">
        <v>303.3</v>
      </c>
    </row>
    <row r="623" spans="1:4" x14ac:dyDescent="0.25">
      <c r="A623" s="8">
        <v>117.58</v>
      </c>
      <c r="B623" s="8">
        <v>117</v>
      </c>
      <c r="C623" s="8">
        <v>55.8</v>
      </c>
      <c r="D623" s="8">
        <v>304.3</v>
      </c>
    </row>
    <row r="624" spans="1:4" x14ac:dyDescent="0.25">
      <c r="A624" s="8">
        <v>117.78</v>
      </c>
      <c r="B624" s="8">
        <v>117.3</v>
      </c>
      <c r="C624" s="8">
        <v>55.8</v>
      </c>
      <c r="D624" s="8">
        <v>305.2</v>
      </c>
    </row>
    <row r="625" spans="1:4" x14ac:dyDescent="0.25">
      <c r="A625" s="8">
        <v>117.98</v>
      </c>
      <c r="B625" s="8">
        <v>117.5</v>
      </c>
      <c r="C625" s="8">
        <v>55.8</v>
      </c>
      <c r="D625" s="8">
        <v>306.2</v>
      </c>
    </row>
    <row r="626" spans="1:4" x14ac:dyDescent="0.25">
      <c r="A626" s="8">
        <v>118.18</v>
      </c>
      <c r="B626" s="8">
        <v>117.7</v>
      </c>
      <c r="C626" s="8">
        <v>55.9</v>
      </c>
      <c r="D626" s="8">
        <v>307.10000000000002</v>
      </c>
    </row>
    <row r="627" spans="1:4" x14ac:dyDescent="0.25">
      <c r="A627" s="8">
        <v>118.38</v>
      </c>
      <c r="B627" s="8">
        <v>118</v>
      </c>
      <c r="C627" s="8">
        <v>55.9</v>
      </c>
      <c r="D627" s="8">
        <v>308.10000000000002</v>
      </c>
    </row>
    <row r="628" spans="1:4" x14ac:dyDescent="0.25">
      <c r="A628" s="8">
        <v>118.58</v>
      </c>
      <c r="B628" s="8">
        <v>118.2</v>
      </c>
      <c r="C628" s="8">
        <v>55.9</v>
      </c>
      <c r="D628" s="8">
        <v>309</v>
      </c>
    </row>
    <row r="629" spans="1:4" x14ac:dyDescent="0.25">
      <c r="A629" s="8">
        <v>118.78</v>
      </c>
      <c r="B629" s="8">
        <v>118.5</v>
      </c>
      <c r="C629" s="8">
        <v>56</v>
      </c>
      <c r="D629" s="8">
        <v>310</v>
      </c>
    </row>
    <row r="630" spans="1:4" x14ac:dyDescent="0.25">
      <c r="A630" s="8">
        <v>118.98</v>
      </c>
      <c r="B630" s="8">
        <v>118.7</v>
      </c>
      <c r="C630" s="8">
        <v>56</v>
      </c>
      <c r="D630" s="8">
        <v>310.89999999999998</v>
      </c>
    </row>
    <row r="631" spans="1:4" x14ac:dyDescent="0.25">
      <c r="A631" s="8">
        <v>119.18</v>
      </c>
      <c r="B631" s="8">
        <v>119</v>
      </c>
      <c r="C631" s="8">
        <v>56.1</v>
      </c>
      <c r="D631" s="8">
        <v>311.89999999999998</v>
      </c>
    </row>
    <row r="632" spans="1:4" x14ac:dyDescent="0.25">
      <c r="A632" s="8">
        <v>119.38</v>
      </c>
      <c r="B632" s="8">
        <v>119.2</v>
      </c>
      <c r="C632" s="8">
        <v>56.1</v>
      </c>
      <c r="D632" s="8">
        <v>312.8</v>
      </c>
    </row>
    <row r="633" spans="1:4" x14ac:dyDescent="0.25">
      <c r="A633" s="8">
        <v>119.58</v>
      </c>
      <c r="B633" s="8">
        <v>119.5</v>
      </c>
      <c r="C633" s="8">
        <v>56.1</v>
      </c>
      <c r="D633" s="8">
        <v>313.8</v>
      </c>
    </row>
    <row r="634" spans="1:4" x14ac:dyDescent="0.25">
      <c r="A634" s="8">
        <v>119.78</v>
      </c>
      <c r="B634" s="8">
        <v>119.7</v>
      </c>
      <c r="C634" s="8">
        <v>56.2</v>
      </c>
      <c r="D634" s="8">
        <v>314.7</v>
      </c>
    </row>
    <row r="635" spans="1:4" x14ac:dyDescent="0.25">
      <c r="A635" s="8">
        <v>119.98</v>
      </c>
      <c r="B635" s="8">
        <v>120</v>
      </c>
      <c r="C635" s="8">
        <v>56.2</v>
      </c>
      <c r="D635" s="8">
        <v>315.7</v>
      </c>
    </row>
    <row r="636" spans="1:4" x14ac:dyDescent="0.25">
      <c r="A636" s="8">
        <v>120.18</v>
      </c>
      <c r="B636" s="8">
        <v>120.2</v>
      </c>
      <c r="C636" s="8">
        <v>56.2</v>
      </c>
      <c r="D636" s="8">
        <v>316.60000000000002</v>
      </c>
    </row>
    <row r="637" spans="1:4" x14ac:dyDescent="0.25">
      <c r="A637" s="8">
        <v>120.38</v>
      </c>
      <c r="B637" s="8">
        <v>120.5</v>
      </c>
      <c r="C637" s="8">
        <v>56.3</v>
      </c>
      <c r="D637" s="8">
        <v>317.60000000000002</v>
      </c>
    </row>
    <row r="638" spans="1:4" x14ac:dyDescent="0.25">
      <c r="A638" s="8">
        <v>120.58</v>
      </c>
      <c r="B638" s="8">
        <v>120.7</v>
      </c>
      <c r="C638" s="8">
        <v>56.3</v>
      </c>
      <c r="D638" s="8">
        <v>318.5</v>
      </c>
    </row>
    <row r="639" spans="1:4" x14ac:dyDescent="0.25">
      <c r="A639" s="8">
        <v>120.78</v>
      </c>
      <c r="B639" s="8">
        <v>121</v>
      </c>
      <c r="C639" s="8">
        <v>56.4</v>
      </c>
      <c r="D639" s="8">
        <v>319.5</v>
      </c>
    </row>
    <row r="640" spans="1:4" x14ac:dyDescent="0.25">
      <c r="A640" s="8">
        <v>120.98</v>
      </c>
      <c r="B640" s="8">
        <v>121.2</v>
      </c>
      <c r="C640" s="8">
        <v>56.4</v>
      </c>
      <c r="D640" s="8">
        <v>320.39999999999998</v>
      </c>
    </row>
    <row r="641" spans="1:4" x14ac:dyDescent="0.25">
      <c r="A641" s="8">
        <v>121.18</v>
      </c>
      <c r="B641" s="8">
        <v>121.5</v>
      </c>
      <c r="C641" s="8">
        <v>56.4</v>
      </c>
      <c r="D641" s="8">
        <v>321.39999999999998</v>
      </c>
    </row>
    <row r="642" spans="1:4" x14ac:dyDescent="0.25">
      <c r="A642" s="8">
        <v>121.38</v>
      </c>
      <c r="B642" s="8">
        <v>121.8</v>
      </c>
      <c r="C642" s="8">
        <v>56.5</v>
      </c>
      <c r="D642" s="8">
        <v>322.3</v>
      </c>
    </row>
    <row r="643" spans="1:4" x14ac:dyDescent="0.25">
      <c r="A643" s="8">
        <v>121.58</v>
      </c>
      <c r="B643" s="8">
        <v>122</v>
      </c>
      <c r="C643" s="8">
        <v>56.5</v>
      </c>
      <c r="D643" s="8">
        <v>323.3</v>
      </c>
    </row>
    <row r="644" spans="1:4" x14ac:dyDescent="0.25">
      <c r="A644" s="8">
        <v>121.78</v>
      </c>
      <c r="B644" s="8">
        <v>122.3</v>
      </c>
      <c r="C644" s="8">
        <v>56.6</v>
      </c>
      <c r="D644" s="8">
        <v>324.2</v>
      </c>
    </row>
    <row r="645" spans="1:4" x14ac:dyDescent="0.25">
      <c r="A645" s="8">
        <v>121.98</v>
      </c>
      <c r="B645" s="8">
        <v>122.6</v>
      </c>
      <c r="C645" s="8">
        <v>56.6</v>
      </c>
      <c r="D645" s="8">
        <v>325.2</v>
      </c>
    </row>
    <row r="646" spans="1:4" x14ac:dyDescent="0.25">
      <c r="A646" s="8">
        <v>122.18</v>
      </c>
      <c r="B646" s="8">
        <v>122.9</v>
      </c>
      <c r="C646" s="8">
        <v>56.6</v>
      </c>
      <c r="D646" s="8">
        <v>326.10000000000002</v>
      </c>
    </row>
    <row r="647" spans="1:4" x14ac:dyDescent="0.25">
      <c r="A647" s="8">
        <v>122.38</v>
      </c>
      <c r="B647" s="8">
        <v>123.1</v>
      </c>
      <c r="C647" s="8">
        <v>56.7</v>
      </c>
      <c r="D647" s="8">
        <v>327.10000000000002</v>
      </c>
    </row>
    <row r="648" spans="1:4" x14ac:dyDescent="0.25">
      <c r="A648" s="8">
        <v>122.58</v>
      </c>
      <c r="B648" s="8">
        <v>123.4</v>
      </c>
      <c r="C648" s="8">
        <v>56.7</v>
      </c>
      <c r="D648" s="8">
        <v>328</v>
      </c>
    </row>
    <row r="649" spans="1:4" x14ac:dyDescent="0.25">
      <c r="A649" s="8">
        <v>122.78</v>
      </c>
      <c r="B649" s="8">
        <v>123.7</v>
      </c>
      <c r="C649" s="8">
        <v>56.8</v>
      </c>
      <c r="D649" s="8">
        <v>329</v>
      </c>
    </row>
    <row r="650" spans="1:4" x14ac:dyDescent="0.25">
      <c r="A650" s="8">
        <v>122.98</v>
      </c>
      <c r="B650" s="8">
        <v>124</v>
      </c>
      <c r="C650" s="8">
        <v>56.8</v>
      </c>
      <c r="D650" s="8">
        <v>329.9</v>
      </c>
    </row>
    <row r="651" spans="1:4" x14ac:dyDescent="0.25">
      <c r="A651" s="8">
        <v>123.18</v>
      </c>
      <c r="B651" s="8">
        <v>124.2</v>
      </c>
      <c r="C651" s="8">
        <v>56.8</v>
      </c>
      <c r="D651" s="8">
        <v>330.9</v>
      </c>
    </row>
    <row r="652" spans="1:4" x14ac:dyDescent="0.25">
      <c r="A652" s="8">
        <v>123.38</v>
      </c>
      <c r="B652" s="8">
        <v>124.5</v>
      </c>
      <c r="C652" s="8">
        <v>56.9</v>
      </c>
      <c r="D652" s="8">
        <v>331.8</v>
      </c>
    </row>
    <row r="653" spans="1:4" x14ac:dyDescent="0.25">
      <c r="A653" s="8">
        <v>123.58</v>
      </c>
      <c r="B653" s="8">
        <v>124.8</v>
      </c>
      <c r="C653" s="8">
        <v>56.9</v>
      </c>
      <c r="D653" s="8">
        <v>332.8</v>
      </c>
    </row>
    <row r="654" spans="1:4" x14ac:dyDescent="0.25">
      <c r="A654" s="8">
        <v>123.78</v>
      </c>
      <c r="B654" s="8">
        <v>125.1</v>
      </c>
      <c r="C654" s="8">
        <v>56.9</v>
      </c>
      <c r="D654" s="8">
        <v>333.7</v>
      </c>
    </row>
    <row r="655" spans="1:4" x14ac:dyDescent="0.25">
      <c r="A655" s="8">
        <v>123.98</v>
      </c>
      <c r="B655" s="8">
        <v>125.4</v>
      </c>
      <c r="C655" s="8">
        <v>57</v>
      </c>
      <c r="D655" s="8">
        <v>334.7</v>
      </c>
    </row>
    <row r="656" spans="1:4" x14ac:dyDescent="0.25">
      <c r="A656" s="8">
        <v>124.18</v>
      </c>
      <c r="B656" s="8">
        <v>125.7</v>
      </c>
      <c r="C656" s="8">
        <v>57</v>
      </c>
      <c r="D656" s="8">
        <v>335.6</v>
      </c>
    </row>
    <row r="657" spans="1:4" x14ac:dyDescent="0.25">
      <c r="A657" s="8">
        <v>124.38</v>
      </c>
      <c r="B657" s="8">
        <v>126</v>
      </c>
      <c r="C657" s="8">
        <v>57.1</v>
      </c>
      <c r="D657" s="8">
        <v>336.6</v>
      </c>
    </row>
    <row r="658" spans="1:4" x14ac:dyDescent="0.25">
      <c r="A658" s="8">
        <v>124.58</v>
      </c>
      <c r="B658" s="8">
        <v>126.3</v>
      </c>
      <c r="C658" s="8">
        <v>57.1</v>
      </c>
      <c r="D658" s="8">
        <v>337.5</v>
      </c>
    </row>
    <row r="659" spans="1:4" x14ac:dyDescent="0.25">
      <c r="A659" s="8">
        <v>124.78</v>
      </c>
      <c r="B659" s="8">
        <v>126.6</v>
      </c>
      <c r="C659" s="8">
        <v>57.1</v>
      </c>
      <c r="D659" s="8">
        <v>338.5</v>
      </c>
    </row>
    <row r="660" spans="1:4" x14ac:dyDescent="0.25">
      <c r="A660" s="8">
        <v>124.98</v>
      </c>
      <c r="B660" s="8">
        <v>126.9</v>
      </c>
      <c r="C660" s="8">
        <v>57.2</v>
      </c>
      <c r="D660" s="8">
        <v>339.4</v>
      </c>
    </row>
    <row r="661" spans="1:4" x14ac:dyDescent="0.25">
      <c r="A661" s="8">
        <v>125.18</v>
      </c>
      <c r="B661" s="8">
        <v>127.2</v>
      </c>
      <c r="C661" s="8">
        <v>57.2</v>
      </c>
      <c r="D661" s="8">
        <v>340.4</v>
      </c>
    </row>
    <row r="662" spans="1:4" x14ac:dyDescent="0.25">
      <c r="A662" s="8">
        <v>125.38</v>
      </c>
      <c r="B662" s="8">
        <v>127.5</v>
      </c>
      <c r="C662" s="8">
        <v>57.3</v>
      </c>
      <c r="D662" s="8">
        <v>341.3</v>
      </c>
    </row>
    <row r="663" spans="1:4" x14ac:dyDescent="0.25">
      <c r="A663" s="8">
        <v>125.58</v>
      </c>
      <c r="B663" s="8">
        <v>127.8</v>
      </c>
      <c r="C663" s="8">
        <v>57.3</v>
      </c>
      <c r="D663" s="8">
        <v>342.3</v>
      </c>
    </row>
    <row r="664" spans="1:4" x14ac:dyDescent="0.25">
      <c r="A664" s="8">
        <v>125.78</v>
      </c>
      <c r="B664" s="8">
        <v>128.1</v>
      </c>
      <c r="C664" s="8">
        <v>57.3</v>
      </c>
      <c r="D664" s="8">
        <v>343.2</v>
      </c>
    </row>
    <row r="665" spans="1:4" x14ac:dyDescent="0.25">
      <c r="A665" s="8">
        <v>125.98</v>
      </c>
      <c r="B665" s="8">
        <v>128.4</v>
      </c>
      <c r="C665" s="8">
        <v>57.4</v>
      </c>
      <c r="D665" s="8">
        <v>344.2</v>
      </c>
    </row>
    <row r="666" spans="1:4" x14ac:dyDescent="0.25">
      <c r="A666" s="8">
        <v>126.18</v>
      </c>
      <c r="B666" s="8">
        <v>128.69999999999999</v>
      </c>
      <c r="C666" s="8">
        <v>57.4</v>
      </c>
      <c r="D666" s="8">
        <v>345.1</v>
      </c>
    </row>
    <row r="667" spans="1:4" x14ac:dyDescent="0.25">
      <c r="A667" s="8">
        <v>126.38</v>
      </c>
      <c r="B667" s="8">
        <v>129</v>
      </c>
      <c r="C667" s="8">
        <v>57.5</v>
      </c>
      <c r="D667" s="8">
        <v>346.1</v>
      </c>
    </row>
    <row r="668" spans="1:4" x14ac:dyDescent="0.25">
      <c r="A668" s="8">
        <v>126.58</v>
      </c>
      <c r="B668" s="8">
        <v>129.4</v>
      </c>
      <c r="C668" s="8">
        <v>57.5</v>
      </c>
      <c r="D668" s="8">
        <v>347</v>
      </c>
    </row>
    <row r="669" spans="1:4" x14ac:dyDescent="0.25">
      <c r="A669" s="8">
        <v>126.78</v>
      </c>
      <c r="B669" s="8">
        <v>129.69999999999999</v>
      </c>
      <c r="C669" s="8">
        <v>57.5</v>
      </c>
      <c r="D669" s="8">
        <v>348</v>
      </c>
    </row>
    <row r="670" spans="1:4" x14ac:dyDescent="0.25">
      <c r="A670" s="8">
        <v>126.98</v>
      </c>
      <c r="B670" s="8">
        <v>130</v>
      </c>
      <c r="C670" s="8">
        <v>57.6</v>
      </c>
      <c r="D670" s="8">
        <v>348.9</v>
      </c>
    </row>
    <row r="671" spans="1:4" x14ac:dyDescent="0.25">
      <c r="A671" s="8">
        <v>127.18</v>
      </c>
      <c r="B671" s="8">
        <v>130.30000000000001</v>
      </c>
      <c r="C671" s="8">
        <v>57.6</v>
      </c>
      <c r="D671" s="8">
        <v>349.9</v>
      </c>
    </row>
    <row r="672" spans="1:4" x14ac:dyDescent="0.25">
      <c r="A672" s="8">
        <v>127.38</v>
      </c>
      <c r="B672" s="8">
        <v>130.69999999999999</v>
      </c>
      <c r="C672" s="8">
        <v>57.7</v>
      </c>
      <c r="D672" s="8">
        <v>350.8</v>
      </c>
    </row>
    <row r="673" spans="1:4" x14ac:dyDescent="0.25">
      <c r="A673" s="8">
        <v>127.58</v>
      </c>
      <c r="B673" s="8">
        <v>131</v>
      </c>
      <c r="C673" s="8">
        <v>57.7</v>
      </c>
      <c r="D673" s="8">
        <v>351.8</v>
      </c>
    </row>
    <row r="674" spans="1:4" x14ac:dyDescent="0.25">
      <c r="A674" s="8">
        <v>127.78</v>
      </c>
      <c r="B674" s="8">
        <v>131.4</v>
      </c>
      <c r="C674" s="8">
        <v>57.7</v>
      </c>
      <c r="D674" s="8">
        <v>352.7</v>
      </c>
    </row>
    <row r="675" spans="1:4" x14ac:dyDescent="0.25">
      <c r="A675" s="8">
        <v>127.98</v>
      </c>
      <c r="B675" s="8">
        <v>131.69999999999999</v>
      </c>
      <c r="C675" s="8">
        <v>57.8</v>
      </c>
      <c r="D675" s="8">
        <v>353.7</v>
      </c>
    </row>
    <row r="676" spans="1:4" x14ac:dyDescent="0.25">
      <c r="A676" s="8">
        <v>128.18</v>
      </c>
      <c r="B676" s="8">
        <v>132</v>
      </c>
      <c r="C676" s="8">
        <v>57.8</v>
      </c>
      <c r="D676" s="8">
        <v>354.6</v>
      </c>
    </row>
    <row r="677" spans="1:4" x14ac:dyDescent="0.25">
      <c r="A677" s="8">
        <v>128.38</v>
      </c>
      <c r="B677" s="8">
        <v>132.4</v>
      </c>
      <c r="C677" s="8">
        <v>57.9</v>
      </c>
      <c r="D677" s="8">
        <v>355.6</v>
      </c>
    </row>
    <row r="678" spans="1:4" x14ac:dyDescent="0.25">
      <c r="A678" s="8">
        <v>128.58000000000001</v>
      </c>
      <c r="B678" s="8">
        <v>132.69999999999999</v>
      </c>
      <c r="C678" s="8">
        <v>57.9</v>
      </c>
      <c r="D678" s="8">
        <v>356.5</v>
      </c>
    </row>
    <row r="679" spans="1:4" x14ac:dyDescent="0.25">
      <c r="A679" s="8">
        <v>128.78</v>
      </c>
      <c r="B679" s="8">
        <v>133.1</v>
      </c>
      <c r="C679" s="8">
        <v>58</v>
      </c>
      <c r="D679" s="8">
        <v>357.5</v>
      </c>
    </row>
    <row r="680" spans="1:4" x14ac:dyDescent="0.25">
      <c r="A680" s="8">
        <v>128.97999999999999</v>
      </c>
      <c r="B680" s="8">
        <v>133.4</v>
      </c>
      <c r="C680" s="8">
        <v>58</v>
      </c>
      <c r="D680" s="8">
        <v>358.4</v>
      </c>
    </row>
    <row r="681" spans="1:4" x14ac:dyDescent="0.25">
      <c r="A681" s="8">
        <v>129.18</v>
      </c>
      <c r="B681" s="8">
        <v>133.80000000000001</v>
      </c>
      <c r="C681" s="8">
        <v>58</v>
      </c>
      <c r="D681" s="8">
        <v>359.4</v>
      </c>
    </row>
    <row r="682" spans="1:4" x14ac:dyDescent="0.25">
      <c r="A682" s="8">
        <v>129.38</v>
      </c>
      <c r="B682" s="8">
        <v>134.19999999999999</v>
      </c>
      <c r="C682" s="8">
        <v>58.1</v>
      </c>
      <c r="D682" s="8">
        <v>360.3</v>
      </c>
    </row>
    <row r="683" spans="1:4" x14ac:dyDescent="0.25">
      <c r="A683" s="8">
        <v>129.58000000000001</v>
      </c>
      <c r="B683" s="8">
        <v>134.5</v>
      </c>
      <c r="C683" s="8">
        <v>58.1</v>
      </c>
      <c r="D683" s="8">
        <v>361.3</v>
      </c>
    </row>
    <row r="684" spans="1:4" x14ac:dyDescent="0.25">
      <c r="A684" s="8">
        <v>129.78</v>
      </c>
      <c r="B684" s="8">
        <v>134.9</v>
      </c>
      <c r="C684" s="8">
        <v>58.2</v>
      </c>
      <c r="D684" s="8">
        <v>362.3</v>
      </c>
    </row>
    <row r="685" spans="1:4" x14ac:dyDescent="0.25">
      <c r="A685" s="8">
        <v>129.97999999999999</v>
      </c>
      <c r="B685" s="8">
        <v>135.30000000000001</v>
      </c>
      <c r="C685" s="8">
        <v>58.2</v>
      </c>
      <c r="D685" s="8">
        <v>363.2</v>
      </c>
    </row>
    <row r="686" spans="1:4" x14ac:dyDescent="0.25">
      <c r="A686" s="8">
        <v>130.18</v>
      </c>
      <c r="B686" s="8">
        <v>135.6</v>
      </c>
      <c r="C686" s="8">
        <v>58.2</v>
      </c>
      <c r="D686" s="8">
        <v>364.2</v>
      </c>
    </row>
    <row r="687" spans="1:4" x14ac:dyDescent="0.25">
      <c r="A687" s="8">
        <v>130.38</v>
      </c>
      <c r="B687" s="8">
        <v>136</v>
      </c>
      <c r="C687" s="8">
        <v>58.3</v>
      </c>
      <c r="D687" s="8">
        <v>365.1</v>
      </c>
    </row>
    <row r="688" spans="1:4" x14ac:dyDescent="0.25">
      <c r="A688" s="8">
        <v>130.58000000000001</v>
      </c>
      <c r="B688" s="8">
        <v>136.4</v>
      </c>
      <c r="C688" s="8">
        <v>58.3</v>
      </c>
      <c r="D688" s="8">
        <v>366.1</v>
      </c>
    </row>
    <row r="689" spans="1:4" x14ac:dyDescent="0.25">
      <c r="A689" s="8">
        <v>130.78</v>
      </c>
      <c r="B689" s="8">
        <v>136.80000000000001</v>
      </c>
      <c r="C689" s="8">
        <v>58.4</v>
      </c>
      <c r="D689" s="8">
        <v>367</v>
      </c>
    </row>
    <row r="690" spans="1:4" x14ac:dyDescent="0.25">
      <c r="A690" s="8">
        <v>130.97999999999999</v>
      </c>
      <c r="B690" s="8">
        <v>137.19999999999999</v>
      </c>
      <c r="C690" s="8">
        <v>58.4</v>
      </c>
      <c r="D690" s="8">
        <v>368</v>
      </c>
    </row>
    <row r="691" spans="1:4" x14ac:dyDescent="0.25">
      <c r="A691" s="8">
        <v>131.18</v>
      </c>
      <c r="B691" s="8">
        <v>137.6</v>
      </c>
      <c r="C691" s="8">
        <v>58.5</v>
      </c>
      <c r="D691" s="8">
        <v>368.9</v>
      </c>
    </row>
    <row r="692" spans="1:4" x14ac:dyDescent="0.25">
      <c r="A692" s="8">
        <v>131.38</v>
      </c>
      <c r="B692" s="8">
        <v>138</v>
      </c>
      <c r="C692" s="8">
        <v>58.5</v>
      </c>
      <c r="D692" s="8">
        <v>369.9</v>
      </c>
    </row>
    <row r="693" spans="1:4" x14ac:dyDescent="0.25">
      <c r="A693" s="8">
        <v>131.58000000000001</v>
      </c>
      <c r="B693" s="8">
        <v>138.4</v>
      </c>
      <c r="C693" s="8">
        <v>58.5</v>
      </c>
      <c r="D693" s="8">
        <v>370.8</v>
      </c>
    </row>
    <row r="694" spans="1:4" x14ac:dyDescent="0.25">
      <c r="A694" s="8">
        <v>131.78</v>
      </c>
      <c r="B694" s="8">
        <v>138.80000000000001</v>
      </c>
      <c r="C694" s="8">
        <v>58.6</v>
      </c>
      <c r="D694" s="8">
        <v>371.8</v>
      </c>
    </row>
    <row r="695" spans="1:4" x14ac:dyDescent="0.25">
      <c r="A695" s="8">
        <v>131.97999999999999</v>
      </c>
      <c r="B695" s="8">
        <v>139.19999999999999</v>
      </c>
      <c r="C695" s="8">
        <v>58.6</v>
      </c>
      <c r="D695" s="8">
        <v>372.7</v>
      </c>
    </row>
    <row r="696" spans="1:4" x14ac:dyDescent="0.25">
      <c r="A696" s="8">
        <v>132.18</v>
      </c>
      <c r="B696" s="8">
        <v>139.6</v>
      </c>
      <c r="C696" s="8">
        <v>58.7</v>
      </c>
      <c r="D696" s="8">
        <v>373.7</v>
      </c>
    </row>
    <row r="697" spans="1:4" x14ac:dyDescent="0.25">
      <c r="A697" s="8">
        <v>132.38</v>
      </c>
      <c r="B697" s="8">
        <v>140</v>
      </c>
      <c r="C697" s="8">
        <v>58.7</v>
      </c>
      <c r="D697" s="8">
        <v>374.6</v>
      </c>
    </row>
    <row r="698" spans="1:4" x14ac:dyDescent="0.25">
      <c r="A698" s="8">
        <v>132.58000000000001</v>
      </c>
      <c r="B698" s="8">
        <v>140.4</v>
      </c>
      <c r="C698" s="8">
        <v>58.7</v>
      </c>
      <c r="D698" s="8">
        <v>375.6</v>
      </c>
    </row>
    <row r="699" spans="1:4" x14ac:dyDescent="0.25">
      <c r="A699" s="8">
        <v>132.78</v>
      </c>
      <c r="B699" s="8">
        <v>140.9</v>
      </c>
      <c r="C699" s="8">
        <v>58.8</v>
      </c>
      <c r="D699" s="8">
        <v>376.5</v>
      </c>
    </row>
    <row r="700" spans="1:4" x14ac:dyDescent="0.25">
      <c r="A700" s="8">
        <v>132.97999999999999</v>
      </c>
      <c r="B700" s="8">
        <v>141.30000000000001</v>
      </c>
      <c r="C700" s="8">
        <v>58.8</v>
      </c>
      <c r="D700" s="8">
        <v>377.5</v>
      </c>
    </row>
    <row r="701" spans="1:4" x14ac:dyDescent="0.25">
      <c r="A701" s="8">
        <v>133.18</v>
      </c>
      <c r="B701" s="8">
        <v>141.69999999999999</v>
      </c>
      <c r="C701" s="8">
        <v>58.9</v>
      </c>
      <c r="D701" s="8">
        <v>378.4</v>
      </c>
    </row>
    <row r="702" spans="1:4" x14ac:dyDescent="0.25">
      <c r="A702" s="8">
        <v>133.38</v>
      </c>
      <c r="B702" s="8">
        <v>142.19999999999999</v>
      </c>
      <c r="C702" s="8">
        <v>58.9</v>
      </c>
      <c r="D702" s="8">
        <v>379.4</v>
      </c>
    </row>
    <row r="703" spans="1:4" x14ac:dyDescent="0.25">
      <c r="A703" s="8">
        <v>133.58000000000001</v>
      </c>
      <c r="B703" s="8">
        <v>142.6</v>
      </c>
      <c r="C703" s="8">
        <v>59</v>
      </c>
      <c r="D703" s="8">
        <v>380.3</v>
      </c>
    </row>
    <row r="704" spans="1:4" x14ac:dyDescent="0.25">
      <c r="A704" s="8">
        <v>133.78</v>
      </c>
      <c r="B704" s="8">
        <v>143</v>
      </c>
      <c r="C704" s="8">
        <v>59</v>
      </c>
      <c r="D704" s="8">
        <v>381.3</v>
      </c>
    </row>
    <row r="705" spans="1:4" x14ac:dyDescent="0.25">
      <c r="A705" s="8">
        <v>133.97999999999999</v>
      </c>
      <c r="B705" s="8">
        <v>143.5</v>
      </c>
      <c r="C705" s="8">
        <v>59</v>
      </c>
      <c r="D705" s="8">
        <v>382.2</v>
      </c>
    </row>
    <row r="706" spans="1:4" x14ac:dyDescent="0.25">
      <c r="A706" s="8">
        <v>134.18</v>
      </c>
      <c r="B706" s="8">
        <v>143.9</v>
      </c>
      <c r="C706" s="8">
        <v>59.1</v>
      </c>
      <c r="D706" s="8">
        <v>383.2</v>
      </c>
    </row>
    <row r="707" spans="1:4" x14ac:dyDescent="0.25">
      <c r="A707" s="8">
        <v>134.38</v>
      </c>
      <c r="B707" s="8">
        <v>144.4</v>
      </c>
      <c r="C707" s="8">
        <v>59.1</v>
      </c>
      <c r="D707" s="8">
        <v>384.1</v>
      </c>
    </row>
    <row r="708" spans="1:4" x14ac:dyDescent="0.25">
      <c r="A708" s="8">
        <v>134.58000000000001</v>
      </c>
      <c r="B708" s="8">
        <v>144.9</v>
      </c>
      <c r="C708" s="8">
        <v>59.2</v>
      </c>
      <c r="D708" s="8">
        <v>385.1</v>
      </c>
    </row>
    <row r="709" spans="1:4" x14ac:dyDescent="0.25">
      <c r="A709" s="8">
        <v>134.78</v>
      </c>
      <c r="B709" s="8">
        <v>145.30000000000001</v>
      </c>
      <c r="C709" s="8">
        <v>59.2</v>
      </c>
      <c r="D709" s="8">
        <v>386</v>
      </c>
    </row>
    <row r="710" spans="1:4" x14ac:dyDescent="0.25">
      <c r="A710" s="8">
        <v>134.97999999999999</v>
      </c>
      <c r="B710" s="8">
        <v>145.80000000000001</v>
      </c>
      <c r="C710" s="8">
        <v>59.3</v>
      </c>
      <c r="D710" s="8">
        <v>387</v>
      </c>
    </row>
    <row r="711" spans="1:4" x14ac:dyDescent="0.25">
      <c r="A711" s="8">
        <v>135.18</v>
      </c>
      <c r="B711" s="8">
        <v>146.30000000000001</v>
      </c>
      <c r="C711" s="8">
        <v>59.3</v>
      </c>
      <c r="D711" s="8">
        <v>387.9</v>
      </c>
    </row>
    <row r="712" spans="1:4" x14ac:dyDescent="0.25">
      <c r="A712" s="8">
        <v>135.38</v>
      </c>
      <c r="B712" s="8">
        <v>146.80000000000001</v>
      </c>
      <c r="C712" s="8">
        <v>59.4</v>
      </c>
      <c r="D712" s="8">
        <v>388.9</v>
      </c>
    </row>
    <row r="713" spans="1:4" x14ac:dyDescent="0.25">
      <c r="A713" s="8">
        <v>135.58000000000001</v>
      </c>
      <c r="B713" s="8">
        <v>147.19999999999999</v>
      </c>
      <c r="C713" s="8">
        <v>59.4</v>
      </c>
      <c r="D713" s="8">
        <v>389.8</v>
      </c>
    </row>
    <row r="714" spans="1:4" x14ac:dyDescent="0.25">
      <c r="A714" s="8">
        <v>135.78</v>
      </c>
      <c r="B714" s="8">
        <v>147.69999999999999</v>
      </c>
      <c r="C714" s="8">
        <v>59.4</v>
      </c>
      <c r="D714" s="8">
        <v>390.8</v>
      </c>
    </row>
    <row r="715" spans="1:4" x14ac:dyDescent="0.25">
      <c r="A715" s="8">
        <v>135.97999999999999</v>
      </c>
      <c r="B715" s="8">
        <v>148.19999999999999</v>
      </c>
      <c r="C715" s="8">
        <v>59.5</v>
      </c>
      <c r="D715" s="8">
        <v>391.7</v>
      </c>
    </row>
    <row r="716" spans="1:4" x14ac:dyDescent="0.25">
      <c r="A716" s="8">
        <v>136.18</v>
      </c>
      <c r="B716" s="8">
        <v>148.69999999999999</v>
      </c>
      <c r="C716" s="8">
        <v>59.5</v>
      </c>
      <c r="D716" s="8">
        <v>392.7</v>
      </c>
    </row>
    <row r="717" spans="1:4" x14ac:dyDescent="0.25">
      <c r="A717" s="8">
        <v>136.38</v>
      </c>
      <c r="B717" s="8">
        <v>149.19999999999999</v>
      </c>
      <c r="C717" s="8">
        <v>59.6</v>
      </c>
      <c r="D717" s="8">
        <v>393.6</v>
      </c>
    </row>
    <row r="718" spans="1:4" x14ac:dyDescent="0.25">
      <c r="A718" s="8">
        <v>136.58000000000001</v>
      </c>
      <c r="B718" s="8">
        <v>149.69999999999999</v>
      </c>
      <c r="C718" s="8">
        <v>59.6</v>
      </c>
      <c r="D718" s="8">
        <v>394.6</v>
      </c>
    </row>
    <row r="719" spans="1:4" x14ac:dyDescent="0.25">
      <c r="A719" s="8">
        <v>136.78</v>
      </c>
      <c r="B719" s="8">
        <v>150.30000000000001</v>
      </c>
      <c r="C719" s="8">
        <v>59.7</v>
      </c>
      <c r="D719" s="8">
        <v>395.5</v>
      </c>
    </row>
    <row r="720" spans="1:4" x14ac:dyDescent="0.25">
      <c r="A720" s="8">
        <v>136.97999999999999</v>
      </c>
      <c r="B720" s="8">
        <v>150.80000000000001</v>
      </c>
      <c r="C720" s="8">
        <v>59.7</v>
      </c>
      <c r="D720" s="8">
        <v>396.5</v>
      </c>
    </row>
    <row r="721" spans="1:4" x14ac:dyDescent="0.25">
      <c r="A721" s="8">
        <v>137.18</v>
      </c>
      <c r="B721" s="8">
        <v>151.30000000000001</v>
      </c>
      <c r="C721" s="8">
        <v>59.7</v>
      </c>
      <c r="D721" s="8">
        <v>397.4</v>
      </c>
    </row>
    <row r="722" spans="1:4" x14ac:dyDescent="0.25">
      <c r="A722" s="8">
        <v>137.38</v>
      </c>
      <c r="B722" s="8">
        <v>151.80000000000001</v>
      </c>
      <c r="C722" s="8">
        <v>59.8</v>
      </c>
      <c r="D722" s="8">
        <v>398.4</v>
      </c>
    </row>
    <row r="723" spans="1:4" x14ac:dyDescent="0.25">
      <c r="A723" s="8">
        <v>137.58000000000001</v>
      </c>
      <c r="B723" s="8">
        <v>152.4</v>
      </c>
      <c r="C723" s="8">
        <v>59.8</v>
      </c>
      <c r="D723" s="8">
        <v>399.3</v>
      </c>
    </row>
    <row r="724" spans="1:4" x14ac:dyDescent="0.25">
      <c r="A724" s="8">
        <v>137.78</v>
      </c>
      <c r="B724" s="8">
        <v>152.9</v>
      </c>
      <c r="C724" s="8">
        <v>59.9</v>
      </c>
      <c r="D724" s="8">
        <v>400.3</v>
      </c>
    </row>
    <row r="725" spans="1:4" x14ac:dyDescent="0.25">
      <c r="A725" s="8">
        <v>137.97999999999999</v>
      </c>
      <c r="B725" s="8">
        <v>153.5</v>
      </c>
      <c r="C725" s="8">
        <v>59.9</v>
      </c>
      <c r="D725" s="8">
        <v>401.2</v>
      </c>
    </row>
    <row r="726" spans="1:4" x14ac:dyDescent="0.25">
      <c r="A726" s="8">
        <v>138.18</v>
      </c>
      <c r="B726" s="8">
        <v>154</v>
      </c>
      <c r="C726" s="8">
        <v>60</v>
      </c>
      <c r="D726" s="8">
        <v>402.2</v>
      </c>
    </row>
    <row r="727" spans="1:4" x14ac:dyDescent="0.25">
      <c r="A727" s="8">
        <v>138.38</v>
      </c>
      <c r="B727" s="8">
        <v>154.6</v>
      </c>
      <c r="C727" s="8">
        <v>60</v>
      </c>
      <c r="D727" s="8">
        <v>403.1</v>
      </c>
    </row>
    <row r="728" spans="1:4" x14ac:dyDescent="0.25">
      <c r="A728" s="8">
        <v>138.58000000000001</v>
      </c>
      <c r="B728" s="8">
        <v>155.19999999999999</v>
      </c>
      <c r="C728" s="8">
        <v>60.1</v>
      </c>
      <c r="D728" s="8">
        <v>404.1</v>
      </c>
    </row>
    <row r="729" spans="1:4" x14ac:dyDescent="0.25">
      <c r="A729" s="8">
        <v>138.78</v>
      </c>
      <c r="B729" s="8">
        <v>155.69999999999999</v>
      </c>
      <c r="C729" s="8">
        <v>60.1</v>
      </c>
      <c r="D729" s="8">
        <v>405</v>
      </c>
    </row>
    <row r="730" spans="1:4" x14ac:dyDescent="0.25">
      <c r="A730" s="8">
        <v>138.97999999999999</v>
      </c>
      <c r="B730" s="8">
        <v>156.30000000000001</v>
      </c>
      <c r="C730" s="8">
        <v>60.2</v>
      </c>
      <c r="D730" s="8">
        <v>406</v>
      </c>
    </row>
    <row r="731" spans="1:4" x14ac:dyDescent="0.25">
      <c r="A731" s="8">
        <v>139.18</v>
      </c>
      <c r="B731" s="8">
        <v>156.9</v>
      </c>
      <c r="C731" s="8">
        <v>60.2</v>
      </c>
      <c r="D731" s="8">
        <v>406.9</v>
      </c>
    </row>
    <row r="732" spans="1:4" x14ac:dyDescent="0.25">
      <c r="A732" s="8">
        <v>139.38</v>
      </c>
      <c r="B732" s="8">
        <v>157.5</v>
      </c>
      <c r="C732" s="8">
        <v>60.2</v>
      </c>
      <c r="D732" s="8">
        <v>407.9</v>
      </c>
    </row>
    <row r="733" spans="1:4" x14ac:dyDescent="0.25">
      <c r="A733" s="8">
        <v>139.58000000000001</v>
      </c>
      <c r="B733" s="8">
        <v>158.1</v>
      </c>
      <c r="C733" s="8">
        <v>60.3</v>
      </c>
      <c r="D733" s="8">
        <v>408.8</v>
      </c>
    </row>
    <row r="734" spans="1:4" x14ac:dyDescent="0.25">
      <c r="A734" s="8">
        <v>139.78</v>
      </c>
      <c r="B734" s="8">
        <v>158.69999999999999</v>
      </c>
      <c r="C734" s="8">
        <v>60.3</v>
      </c>
      <c r="D734" s="8">
        <v>409.8</v>
      </c>
    </row>
    <row r="735" spans="1:4" x14ac:dyDescent="0.25">
      <c r="A735" s="8">
        <v>139.97999999999999</v>
      </c>
      <c r="B735" s="8">
        <v>159.30000000000001</v>
      </c>
      <c r="C735" s="8">
        <v>60.4</v>
      </c>
      <c r="D735" s="8">
        <v>410.7</v>
      </c>
    </row>
    <row r="736" spans="1:4" x14ac:dyDescent="0.25">
      <c r="A736" s="8">
        <v>140.18</v>
      </c>
      <c r="B736" s="8">
        <v>159.9</v>
      </c>
      <c r="C736" s="8">
        <v>60.4</v>
      </c>
      <c r="D736" s="8">
        <v>411.7</v>
      </c>
    </row>
    <row r="737" spans="1:4" x14ac:dyDescent="0.25">
      <c r="A737" s="8">
        <v>140.38</v>
      </c>
      <c r="B737" s="8">
        <v>160.5</v>
      </c>
      <c r="C737" s="8">
        <v>60.5</v>
      </c>
      <c r="D737" s="8">
        <v>412.6</v>
      </c>
    </row>
    <row r="738" spans="1:4" x14ac:dyDescent="0.25">
      <c r="A738" s="8">
        <v>140.58000000000001</v>
      </c>
      <c r="B738" s="8">
        <v>161.19999999999999</v>
      </c>
      <c r="C738" s="8">
        <v>60.5</v>
      </c>
      <c r="D738" s="8">
        <v>413.6</v>
      </c>
    </row>
    <row r="739" spans="1:4" x14ac:dyDescent="0.25">
      <c r="A739" s="8">
        <v>140.78</v>
      </c>
      <c r="B739" s="8">
        <v>161.80000000000001</v>
      </c>
      <c r="C739" s="8">
        <v>60.6</v>
      </c>
      <c r="D739" s="8">
        <v>414.5</v>
      </c>
    </row>
    <row r="740" spans="1:4" x14ac:dyDescent="0.25">
      <c r="A740" s="8">
        <v>140.97999999999999</v>
      </c>
      <c r="B740" s="8">
        <v>162.4</v>
      </c>
      <c r="C740" s="8">
        <v>60.6</v>
      </c>
      <c r="D740" s="8">
        <v>415.5</v>
      </c>
    </row>
    <row r="741" spans="1:4" x14ac:dyDescent="0.25">
      <c r="A741" s="8">
        <v>141.18</v>
      </c>
      <c r="B741" s="8">
        <v>163.1</v>
      </c>
      <c r="C741" s="8">
        <v>60.7</v>
      </c>
      <c r="D741" s="8">
        <v>416.4</v>
      </c>
    </row>
    <row r="742" spans="1:4" x14ac:dyDescent="0.25">
      <c r="A742" s="8">
        <v>141.38</v>
      </c>
      <c r="B742" s="8">
        <v>163.69999999999999</v>
      </c>
      <c r="C742" s="8">
        <v>60.7</v>
      </c>
      <c r="D742" s="8">
        <v>417.4</v>
      </c>
    </row>
    <row r="743" spans="1:4" x14ac:dyDescent="0.25">
      <c r="A743" s="8">
        <v>141.58000000000001</v>
      </c>
      <c r="B743" s="8">
        <v>164.4</v>
      </c>
      <c r="C743" s="8">
        <v>60.8</v>
      </c>
      <c r="D743" s="8">
        <v>418.3</v>
      </c>
    </row>
    <row r="744" spans="1:4" x14ac:dyDescent="0.25">
      <c r="A744" s="8">
        <v>141.78</v>
      </c>
      <c r="B744" s="8">
        <v>165.1</v>
      </c>
      <c r="C744" s="8">
        <v>60.8</v>
      </c>
      <c r="D744" s="8">
        <v>419.3</v>
      </c>
    </row>
    <row r="745" spans="1:4" x14ac:dyDescent="0.25">
      <c r="A745" s="8">
        <v>141.97999999999999</v>
      </c>
      <c r="B745" s="8">
        <v>165.7</v>
      </c>
      <c r="C745" s="8">
        <v>60.9</v>
      </c>
      <c r="D745" s="8">
        <v>420.2</v>
      </c>
    </row>
    <row r="746" spans="1:4" x14ac:dyDescent="0.25">
      <c r="A746" s="8">
        <v>142.18</v>
      </c>
      <c r="B746" s="8">
        <v>166.4</v>
      </c>
      <c r="C746" s="8">
        <v>60.9</v>
      </c>
      <c r="D746" s="8">
        <v>421.2</v>
      </c>
    </row>
    <row r="747" spans="1:4" x14ac:dyDescent="0.25">
      <c r="A747" s="8">
        <v>142.38</v>
      </c>
      <c r="B747" s="8">
        <v>167.1</v>
      </c>
      <c r="C747" s="8">
        <v>60.9</v>
      </c>
      <c r="D747" s="8">
        <v>422.1</v>
      </c>
    </row>
    <row r="748" spans="1:4" x14ac:dyDescent="0.25">
      <c r="A748" s="8">
        <v>142.58000000000001</v>
      </c>
      <c r="B748" s="8">
        <v>167.8</v>
      </c>
      <c r="C748" s="8">
        <v>61</v>
      </c>
      <c r="D748" s="8">
        <v>423.1</v>
      </c>
    </row>
    <row r="749" spans="1:4" x14ac:dyDescent="0.25">
      <c r="A749" s="8">
        <v>142.78</v>
      </c>
      <c r="B749" s="8">
        <v>168.5</v>
      </c>
      <c r="C749" s="8">
        <v>61</v>
      </c>
      <c r="D749" s="8">
        <v>424</v>
      </c>
    </row>
    <row r="750" spans="1:4" x14ac:dyDescent="0.25">
      <c r="A750" s="8">
        <v>142.97999999999999</v>
      </c>
      <c r="B750" s="8">
        <v>169.2</v>
      </c>
      <c r="C750" s="8">
        <v>61.1</v>
      </c>
      <c r="D750" s="8">
        <v>425</v>
      </c>
    </row>
    <row r="751" spans="1:4" x14ac:dyDescent="0.25">
      <c r="A751" s="8">
        <v>143.18</v>
      </c>
      <c r="B751" s="8">
        <v>169.9</v>
      </c>
      <c r="C751" s="8">
        <v>61.1</v>
      </c>
      <c r="D751" s="8">
        <v>425.9</v>
      </c>
    </row>
    <row r="752" spans="1:4" x14ac:dyDescent="0.25">
      <c r="A752" s="8">
        <v>143.38</v>
      </c>
      <c r="B752" s="8">
        <v>170.7</v>
      </c>
      <c r="C752" s="8">
        <v>61.2</v>
      </c>
      <c r="D752" s="8">
        <v>426.9</v>
      </c>
    </row>
    <row r="753" spans="1:4" x14ac:dyDescent="0.25">
      <c r="A753" s="8">
        <v>143.58000000000001</v>
      </c>
      <c r="B753" s="8">
        <v>171.4</v>
      </c>
      <c r="C753" s="8">
        <v>61.2</v>
      </c>
      <c r="D753" s="8">
        <v>427.8</v>
      </c>
    </row>
    <row r="754" spans="1:4" x14ac:dyDescent="0.25">
      <c r="A754" s="8">
        <v>143.78</v>
      </c>
      <c r="B754" s="8">
        <v>172.2</v>
      </c>
      <c r="C754" s="8">
        <v>61.3</v>
      </c>
      <c r="D754" s="8">
        <v>428.8</v>
      </c>
    </row>
    <row r="755" spans="1:4" x14ac:dyDescent="0.25">
      <c r="A755" s="8">
        <v>143.97999999999999</v>
      </c>
      <c r="B755" s="8">
        <v>172.9</v>
      </c>
      <c r="C755" s="8">
        <v>61.3</v>
      </c>
      <c r="D755" s="8">
        <v>429.7</v>
      </c>
    </row>
    <row r="756" spans="1:4" x14ac:dyDescent="0.25">
      <c r="A756" s="8">
        <v>144.18</v>
      </c>
      <c r="B756" s="8">
        <v>173.7</v>
      </c>
      <c r="C756" s="8">
        <v>61.4</v>
      </c>
      <c r="D756" s="8">
        <v>430.7</v>
      </c>
    </row>
    <row r="757" spans="1:4" x14ac:dyDescent="0.25">
      <c r="A757" s="8">
        <v>144.38</v>
      </c>
      <c r="B757" s="8">
        <v>174.4</v>
      </c>
      <c r="C757" s="8">
        <v>61.4</v>
      </c>
      <c r="D757" s="8">
        <v>431.6</v>
      </c>
    </row>
    <row r="758" spans="1:4" x14ac:dyDescent="0.25">
      <c r="A758" s="8">
        <v>144.58000000000001</v>
      </c>
      <c r="B758" s="8">
        <v>175.2</v>
      </c>
      <c r="C758" s="8">
        <v>61.5</v>
      </c>
      <c r="D758" s="8">
        <v>432.6</v>
      </c>
    </row>
    <row r="759" spans="1:4" x14ac:dyDescent="0.25">
      <c r="A759" s="8">
        <v>144.78</v>
      </c>
      <c r="B759" s="8">
        <v>176</v>
      </c>
      <c r="C759" s="8">
        <v>61.5</v>
      </c>
      <c r="D759" s="8">
        <v>433.5</v>
      </c>
    </row>
    <row r="760" spans="1:4" x14ac:dyDescent="0.25">
      <c r="A760" s="8">
        <v>144.97999999999999</v>
      </c>
      <c r="B760" s="8">
        <v>176.8</v>
      </c>
      <c r="C760" s="8">
        <v>61.6</v>
      </c>
      <c r="D760" s="8">
        <v>434.5</v>
      </c>
    </row>
    <row r="761" spans="1:4" x14ac:dyDescent="0.25">
      <c r="A761" s="8">
        <v>145.18</v>
      </c>
      <c r="B761" s="8">
        <v>177.6</v>
      </c>
      <c r="C761" s="8">
        <v>61.6</v>
      </c>
      <c r="D761" s="8">
        <v>435.4</v>
      </c>
    </row>
    <row r="762" spans="1:4" x14ac:dyDescent="0.25">
      <c r="A762" s="8">
        <v>145.38</v>
      </c>
      <c r="B762" s="8">
        <v>178.4</v>
      </c>
      <c r="C762" s="8">
        <v>61.7</v>
      </c>
      <c r="D762" s="8">
        <v>436.4</v>
      </c>
    </row>
    <row r="763" spans="1:4" x14ac:dyDescent="0.25">
      <c r="A763" s="8">
        <v>145.58000000000001</v>
      </c>
      <c r="B763" s="8">
        <v>179.2</v>
      </c>
      <c r="C763" s="8">
        <v>61.7</v>
      </c>
      <c r="D763" s="8">
        <v>437.3</v>
      </c>
    </row>
    <row r="764" spans="1:4" x14ac:dyDescent="0.25">
      <c r="A764" s="8">
        <v>145.78</v>
      </c>
      <c r="B764" s="8">
        <v>180</v>
      </c>
      <c r="C764" s="8">
        <v>61.8</v>
      </c>
      <c r="D764" s="8">
        <v>438.3</v>
      </c>
    </row>
    <row r="765" spans="1:4" x14ac:dyDescent="0.25">
      <c r="A765" s="8">
        <v>145.97999999999999</v>
      </c>
      <c r="B765" s="8">
        <v>180.9</v>
      </c>
      <c r="C765" s="8">
        <v>61.8</v>
      </c>
      <c r="D765" s="8">
        <v>439.2</v>
      </c>
    </row>
    <row r="766" spans="1:4" x14ac:dyDescent="0.25">
      <c r="A766" s="8">
        <v>146.18</v>
      </c>
      <c r="B766" s="8">
        <v>181.7</v>
      </c>
      <c r="C766" s="8">
        <v>61.9</v>
      </c>
      <c r="D766" s="8">
        <v>440.2</v>
      </c>
    </row>
    <row r="767" spans="1:4" x14ac:dyDescent="0.25">
      <c r="A767" s="8">
        <v>146.38</v>
      </c>
      <c r="B767" s="8">
        <v>182.6</v>
      </c>
      <c r="C767" s="8">
        <v>61.9</v>
      </c>
      <c r="D767" s="8">
        <v>441.1</v>
      </c>
    </row>
    <row r="768" spans="1:4" x14ac:dyDescent="0.25">
      <c r="A768" s="8">
        <v>146.58000000000001</v>
      </c>
      <c r="B768" s="8">
        <v>183.4</v>
      </c>
      <c r="C768" s="8">
        <v>62</v>
      </c>
      <c r="D768" s="8">
        <v>442.1</v>
      </c>
    </row>
    <row r="769" spans="1:4" x14ac:dyDescent="0.25">
      <c r="A769" s="8">
        <v>146.78</v>
      </c>
      <c r="B769" s="8">
        <v>184.3</v>
      </c>
      <c r="C769" s="8">
        <v>62</v>
      </c>
      <c r="D769" s="8">
        <v>443</v>
      </c>
    </row>
    <row r="770" spans="1:4" x14ac:dyDescent="0.25">
      <c r="A770" s="8">
        <v>146.97999999999999</v>
      </c>
      <c r="B770" s="8">
        <v>185.2</v>
      </c>
      <c r="C770" s="8">
        <v>62.1</v>
      </c>
      <c r="D770" s="8">
        <v>444</v>
      </c>
    </row>
    <row r="771" spans="1:4" x14ac:dyDescent="0.25">
      <c r="A771" s="8">
        <v>147.18</v>
      </c>
      <c r="B771" s="8">
        <v>186.1</v>
      </c>
      <c r="C771" s="8">
        <v>62.1</v>
      </c>
      <c r="D771" s="8">
        <v>444.9</v>
      </c>
    </row>
    <row r="772" spans="1:4" x14ac:dyDescent="0.25">
      <c r="A772" s="8">
        <v>147.38</v>
      </c>
      <c r="B772" s="8">
        <v>187</v>
      </c>
      <c r="C772" s="8">
        <v>62.2</v>
      </c>
      <c r="D772" s="8">
        <v>445.9</v>
      </c>
    </row>
    <row r="773" spans="1:4" x14ac:dyDescent="0.25">
      <c r="A773" s="8">
        <v>147.58000000000001</v>
      </c>
      <c r="B773" s="8">
        <v>187.9</v>
      </c>
      <c r="C773" s="8">
        <v>62.2</v>
      </c>
      <c r="D773" s="8">
        <v>446.8</v>
      </c>
    </row>
    <row r="774" spans="1:4" x14ac:dyDescent="0.25">
      <c r="A774" s="8">
        <v>147.78</v>
      </c>
      <c r="B774" s="8">
        <v>188.8</v>
      </c>
      <c r="C774" s="8">
        <v>62.3</v>
      </c>
      <c r="D774" s="8">
        <v>447.8</v>
      </c>
    </row>
    <row r="775" spans="1:4" x14ac:dyDescent="0.25">
      <c r="A775" s="8">
        <v>147.97999999999999</v>
      </c>
      <c r="B775" s="8">
        <v>189.7</v>
      </c>
      <c r="C775" s="8">
        <v>62.3</v>
      </c>
      <c r="D775" s="8">
        <v>448.7</v>
      </c>
    </row>
    <row r="776" spans="1:4" x14ac:dyDescent="0.25">
      <c r="A776" s="8">
        <v>148.18</v>
      </c>
      <c r="B776" s="8">
        <v>190.7</v>
      </c>
      <c r="C776" s="8">
        <v>62.4</v>
      </c>
      <c r="D776" s="8">
        <v>449.7</v>
      </c>
    </row>
    <row r="777" spans="1:4" x14ac:dyDescent="0.25">
      <c r="A777" s="8">
        <v>148.38</v>
      </c>
      <c r="B777" s="8">
        <v>191.6</v>
      </c>
      <c r="C777" s="8">
        <v>62.4</v>
      </c>
      <c r="D777" s="8">
        <v>450.6</v>
      </c>
    </row>
    <row r="778" spans="1:4" x14ac:dyDescent="0.25">
      <c r="A778" s="8">
        <v>148.58000000000001</v>
      </c>
      <c r="B778" s="8">
        <v>192.6</v>
      </c>
      <c r="C778" s="8">
        <v>62.5</v>
      </c>
      <c r="D778" s="8">
        <v>451.6</v>
      </c>
    </row>
    <row r="779" spans="1:4" x14ac:dyDescent="0.25">
      <c r="A779" s="8">
        <v>148.78</v>
      </c>
      <c r="B779" s="8">
        <v>193.6</v>
      </c>
      <c r="C779" s="8">
        <v>62.5</v>
      </c>
      <c r="D779" s="8">
        <v>452.5</v>
      </c>
    </row>
    <row r="780" spans="1:4" x14ac:dyDescent="0.25">
      <c r="A780" s="8">
        <v>148.97999999999999</v>
      </c>
      <c r="B780" s="8">
        <v>194.5</v>
      </c>
      <c r="C780" s="8">
        <v>62.6</v>
      </c>
      <c r="D780" s="8">
        <v>453.5</v>
      </c>
    </row>
    <row r="781" spans="1:4" x14ac:dyDescent="0.25">
      <c r="A781" s="8">
        <v>149.18</v>
      </c>
      <c r="B781" s="8">
        <v>195.5</v>
      </c>
      <c r="C781" s="8">
        <v>62.6</v>
      </c>
      <c r="D781" s="8">
        <v>454.4</v>
      </c>
    </row>
    <row r="782" spans="1:4" x14ac:dyDescent="0.25">
      <c r="A782" s="8">
        <v>149.38</v>
      </c>
      <c r="B782" s="8">
        <v>196.5</v>
      </c>
      <c r="C782" s="8">
        <v>62.7</v>
      </c>
      <c r="D782" s="8">
        <v>455.4</v>
      </c>
    </row>
    <row r="783" spans="1:4" x14ac:dyDescent="0.25">
      <c r="A783" s="8">
        <v>149.58000000000001</v>
      </c>
      <c r="B783" s="8">
        <v>197.5</v>
      </c>
      <c r="C783" s="8">
        <v>62.7</v>
      </c>
      <c r="D783" s="8">
        <v>456.3</v>
      </c>
    </row>
    <row r="784" spans="1:4" x14ac:dyDescent="0.25">
      <c r="A784" s="8">
        <v>149.78</v>
      </c>
      <c r="B784" s="8">
        <v>198.6</v>
      </c>
      <c r="C784" s="8">
        <v>62.8</v>
      </c>
      <c r="D784" s="8">
        <v>457.3</v>
      </c>
    </row>
    <row r="785" spans="1:4" x14ac:dyDescent="0.25">
      <c r="A785" s="8">
        <v>149.97999999999999</v>
      </c>
      <c r="B785" s="8">
        <v>199.6</v>
      </c>
      <c r="C785" s="8">
        <v>62.8</v>
      </c>
      <c r="D785" s="8">
        <v>458.2</v>
      </c>
    </row>
    <row r="786" spans="1:4" x14ac:dyDescent="0.25">
      <c r="A786" s="8">
        <v>150.16999999999999</v>
      </c>
      <c r="B786" s="8">
        <v>199.6</v>
      </c>
      <c r="C786" s="8">
        <v>62.8</v>
      </c>
      <c r="D786" s="8">
        <v>458.6</v>
      </c>
    </row>
    <row r="787" spans="1:4" x14ac:dyDescent="0.25">
      <c r="A787" s="8">
        <v>150.37</v>
      </c>
      <c r="B787" s="8">
        <v>199</v>
      </c>
      <c r="C787" s="8">
        <v>62.6</v>
      </c>
      <c r="D787" s="8">
        <v>458.6</v>
      </c>
    </row>
    <row r="788" spans="1:4" x14ac:dyDescent="0.25">
      <c r="A788" s="8">
        <v>150.57</v>
      </c>
      <c r="B788" s="8">
        <v>198.4</v>
      </c>
      <c r="C788" s="8">
        <v>62.4</v>
      </c>
      <c r="D788" s="8">
        <v>458.6</v>
      </c>
    </row>
    <row r="789" spans="1:4" x14ac:dyDescent="0.25">
      <c r="A789" s="8">
        <v>150.77000000000001</v>
      </c>
      <c r="B789" s="8">
        <v>197.8</v>
      </c>
      <c r="C789" s="8">
        <v>62.3</v>
      </c>
      <c r="D789" s="8">
        <v>458.6</v>
      </c>
    </row>
    <row r="790" spans="1:4" x14ac:dyDescent="0.25">
      <c r="A790" s="8">
        <v>150.97</v>
      </c>
      <c r="B790" s="8">
        <v>197.2</v>
      </c>
      <c r="C790" s="8">
        <v>62.1</v>
      </c>
      <c r="D790" s="8">
        <v>458.6</v>
      </c>
    </row>
    <row r="791" spans="1:4" x14ac:dyDescent="0.25">
      <c r="A791" s="8">
        <v>151.16999999999999</v>
      </c>
      <c r="B791" s="8">
        <v>196.6</v>
      </c>
      <c r="C791" s="8">
        <v>61.9</v>
      </c>
      <c r="D791" s="8">
        <v>458.6</v>
      </c>
    </row>
    <row r="792" spans="1:4" x14ac:dyDescent="0.25">
      <c r="A792" s="8">
        <v>151.37</v>
      </c>
      <c r="B792" s="8">
        <v>196</v>
      </c>
      <c r="C792" s="8">
        <v>61.8</v>
      </c>
      <c r="D792" s="8">
        <v>458.6</v>
      </c>
    </row>
    <row r="793" spans="1:4" x14ac:dyDescent="0.25">
      <c r="A793" s="8">
        <v>151.57</v>
      </c>
      <c r="B793" s="8">
        <v>195.5</v>
      </c>
      <c r="C793" s="8">
        <v>61.6</v>
      </c>
      <c r="D793" s="8">
        <v>458.6</v>
      </c>
    </row>
    <row r="794" spans="1:4" x14ac:dyDescent="0.25">
      <c r="A794" s="8">
        <v>151.77000000000001</v>
      </c>
      <c r="B794" s="8">
        <v>194.9</v>
      </c>
      <c r="C794" s="8">
        <v>61.5</v>
      </c>
      <c r="D794" s="8">
        <v>458.6</v>
      </c>
    </row>
    <row r="795" spans="1:4" x14ac:dyDescent="0.25">
      <c r="A795" s="8">
        <v>151.97</v>
      </c>
      <c r="B795" s="8">
        <v>194.4</v>
      </c>
      <c r="C795" s="8">
        <v>61.3</v>
      </c>
      <c r="D795" s="8">
        <v>458.6</v>
      </c>
    </row>
    <row r="796" spans="1:4" x14ac:dyDescent="0.25">
      <c r="A796" s="8">
        <v>152.16999999999999</v>
      </c>
      <c r="B796" s="8">
        <v>193.9</v>
      </c>
      <c r="C796" s="8">
        <v>61.2</v>
      </c>
      <c r="D796" s="8">
        <v>458.6</v>
      </c>
    </row>
    <row r="797" spans="1:4" x14ac:dyDescent="0.25">
      <c r="A797" s="8">
        <v>152.37</v>
      </c>
      <c r="B797" s="8">
        <v>193.4</v>
      </c>
      <c r="C797" s="8">
        <v>61.1</v>
      </c>
      <c r="D797" s="8">
        <v>458.6</v>
      </c>
    </row>
    <row r="798" spans="1:4" x14ac:dyDescent="0.25">
      <c r="A798" s="8">
        <v>152.57</v>
      </c>
      <c r="B798" s="8">
        <v>192.9</v>
      </c>
      <c r="C798" s="8">
        <v>60.9</v>
      </c>
      <c r="D798" s="8">
        <v>458.6</v>
      </c>
    </row>
    <row r="799" spans="1:4" x14ac:dyDescent="0.25">
      <c r="A799" s="8">
        <v>152.77000000000001</v>
      </c>
      <c r="B799" s="8">
        <v>192.4</v>
      </c>
      <c r="C799" s="8">
        <v>60.8</v>
      </c>
      <c r="D799" s="8">
        <v>458.6</v>
      </c>
    </row>
    <row r="800" spans="1:4" x14ac:dyDescent="0.25">
      <c r="A800" s="8">
        <v>152.97</v>
      </c>
      <c r="B800" s="8">
        <v>191.9</v>
      </c>
      <c r="C800" s="8">
        <v>60.7</v>
      </c>
      <c r="D800" s="8">
        <v>458.6</v>
      </c>
    </row>
    <row r="801" spans="1:4" x14ac:dyDescent="0.25">
      <c r="A801" s="8">
        <v>153.16999999999999</v>
      </c>
      <c r="B801" s="8">
        <v>191.4</v>
      </c>
      <c r="C801" s="8">
        <v>60.6</v>
      </c>
      <c r="D801" s="8">
        <v>458.6</v>
      </c>
    </row>
    <row r="802" spans="1:4" x14ac:dyDescent="0.25">
      <c r="A802" s="8">
        <v>153.37</v>
      </c>
      <c r="B802" s="8">
        <v>191</v>
      </c>
      <c r="C802" s="8">
        <v>60.4</v>
      </c>
      <c r="D802" s="8">
        <v>458.6</v>
      </c>
    </row>
    <row r="803" spans="1:4" x14ac:dyDescent="0.25">
      <c r="A803" s="8">
        <v>153.57</v>
      </c>
      <c r="B803" s="8">
        <v>190.5</v>
      </c>
      <c r="C803" s="8">
        <v>60.3</v>
      </c>
      <c r="D803" s="8">
        <v>458.6</v>
      </c>
    </row>
    <row r="804" spans="1:4" x14ac:dyDescent="0.25">
      <c r="A804" s="8">
        <v>153.77000000000001</v>
      </c>
      <c r="B804" s="8">
        <v>190.1</v>
      </c>
      <c r="C804" s="8">
        <v>60.2</v>
      </c>
      <c r="D804" s="8">
        <v>458.6</v>
      </c>
    </row>
    <row r="805" spans="1:4" x14ac:dyDescent="0.25">
      <c r="A805" s="8">
        <v>153.97</v>
      </c>
      <c r="B805" s="8">
        <v>189.7</v>
      </c>
      <c r="C805" s="8">
        <v>60.1</v>
      </c>
      <c r="D805" s="8">
        <v>458.6</v>
      </c>
    </row>
    <row r="806" spans="1:4" x14ac:dyDescent="0.25">
      <c r="A806" s="8">
        <v>154.16999999999999</v>
      </c>
      <c r="B806" s="8">
        <v>189.3</v>
      </c>
      <c r="C806" s="8">
        <v>60</v>
      </c>
      <c r="D806" s="8">
        <v>458.6</v>
      </c>
    </row>
    <row r="807" spans="1:4" x14ac:dyDescent="0.25">
      <c r="A807" s="8">
        <v>154.37</v>
      </c>
      <c r="B807" s="8">
        <v>188.9</v>
      </c>
      <c r="C807" s="8">
        <v>59.9</v>
      </c>
      <c r="D807" s="8">
        <v>458.6</v>
      </c>
    </row>
    <row r="808" spans="1:4" x14ac:dyDescent="0.25">
      <c r="A808" s="8">
        <v>154.57</v>
      </c>
      <c r="B808" s="8">
        <v>188.5</v>
      </c>
      <c r="C808" s="8">
        <v>59.8</v>
      </c>
      <c r="D808" s="8">
        <v>458.6</v>
      </c>
    </row>
    <row r="809" spans="1:4" x14ac:dyDescent="0.25">
      <c r="A809" s="8">
        <v>154.77000000000001</v>
      </c>
      <c r="B809" s="8">
        <v>188.1</v>
      </c>
      <c r="C809" s="8">
        <v>59.6</v>
      </c>
      <c r="D809" s="8">
        <v>458.6</v>
      </c>
    </row>
    <row r="810" spans="1:4" x14ac:dyDescent="0.25">
      <c r="A810" s="8">
        <v>154.97</v>
      </c>
      <c r="B810" s="8">
        <v>187.7</v>
      </c>
      <c r="C810" s="8">
        <v>59.5</v>
      </c>
      <c r="D810" s="8">
        <v>458.6</v>
      </c>
    </row>
    <row r="811" spans="1:4" x14ac:dyDescent="0.25">
      <c r="A811" s="8">
        <v>155.16999999999999</v>
      </c>
      <c r="B811" s="8">
        <v>187.3</v>
      </c>
      <c r="C811" s="8">
        <v>59.4</v>
      </c>
      <c r="D811" s="8">
        <v>458.6</v>
      </c>
    </row>
    <row r="812" spans="1:4" x14ac:dyDescent="0.25">
      <c r="A812" s="8">
        <v>155.37</v>
      </c>
      <c r="B812" s="8">
        <v>187</v>
      </c>
      <c r="C812" s="8">
        <v>59.3</v>
      </c>
      <c r="D812" s="8">
        <v>458.6</v>
      </c>
    </row>
    <row r="813" spans="1:4" x14ac:dyDescent="0.25">
      <c r="A813" s="8">
        <v>155.57</v>
      </c>
      <c r="B813" s="8">
        <v>186.6</v>
      </c>
      <c r="C813" s="8">
        <v>59.3</v>
      </c>
      <c r="D813" s="8">
        <v>458.6</v>
      </c>
    </row>
    <row r="814" spans="1:4" x14ac:dyDescent="0.25">
      <c r="A814" s="8">
        <v>155.77000000000001</v>
      </c>
      <c r="B814" s="8">
        <v>186.3</v>
      </c>
      <c r="C814" s="8">
        <v>59.2</v>
      </c>
      <c r="D814" s="8">
        <v>458.6</v>
      </c>
    </row>
    <row r="815" spans="1:4" x14ac:dyDescent="0.25">
      <c r="A815" s="8">
        <v>155.97</v>
      </c>
      <c r="B815" s="8">
        <v>185.9</v>
      </c>
      <c r="C815" s="8">
        <v>59.1</v>
      </c>
      <c r="D815" s="8">
        <v>458.6</v>
      </c>
    </row>
    <row r="816" spans="1:4" x14ac:dyDescent="0.25">
      <c r="A816" s="8">
        <v>156.16999999999999</v>
      </c>
      <c r="B816" s="8">
        <v>185.6</v>
      </c>
      <c r="C816" s="8">
        <v>59</v>
      </c>
      <c r="D816" s="8">
        <v>458.6</v>
      </c>
    </row>
    <row r="817" spans="1:4" x14ac:dyDescent="0.25">
      <c r="A817" s="8">
        <v>156.37</v>
      </c>
      <c r="B817" s="8">
        <v>185.3</v>
      </c>
      <c r="C817" s="8">
        <v>58.9</v>
      </c>
      <c r="D817" s="8">
        <v>458.6</v>
      </c>
    </row>
    <row r="818" spans="1:4" x14ac:dyDescent="0.25">
      <c r="A818" s="8">
        <v>156.57</v>
      </c>
      <c r="B818" s="8">
        <v>185</v>
      </c>
      <c r="C818" s="8">
        <v>58.8</v>
      </c>
      <c r="D818" s="8">
        <v>458.6</v>
      </c>
    </row>
    <row r="819" spans="1:4" x14ac:dyDescent="0.25">
      <c r="A819" s="8">
        <v>156.77000000000001</v>
      </c>
      <c r="B819" s="8">
        <v>184.6</v>
      </c>
      <c r="C819" s="8">
        <v>58.7</v>
      </c>
      <c r="D819" s="8">
        <v>458.6</v>
      </c>
    </row>
    <row r="820" spans="1:4" x14ac:dyDescent="0.25">
      <c r="A820" s="8">
        <v>156.97</v>
      </c>
      <c r="B820" s="8">
        <v>184.3</v>
      </c>
      <c r="C820" s="8">
        <v>58.6</v>
      </c>
      <c r="D820" s="8">
        <v>458.6</v>
      </c>
    </row>
    <row r="821" spans="1:4" x14ac:dyDescent="0.25">
      <c r="A821" s="8">
        <v>157.16999999999999</v>
      </c>
      <c r="B821" s="8">
        <v>184</v>
      </c>
      <c r="C821" s="8">
        <v>58.6</v>
      </c>
      <c r="D821" s="8">
        <v>458.6</v>
      </c>
    </row>
    <row r="822" spans="1:4" x14ac:dyDescent="0.25">
      <c r="A822" s="8">
        <v>157.37</v>
      </c>
      <c r="B822" s="8">
        <v>183.8</v>
      </c>
      <c r="C822" s="8">
        <v>58.5</v>
      </c>
      <c r="D822" s="8">
        <v>458.6</v>
      </c>
    </row>
    <row r="823" spans="1:4" x14ac:dyDescent="0.25">
      <c r="A823" s="8">
        <v>157.57</v>
      </c>
      <c r="B823" s="8">
        <v>183.5</v>
      </c>
      <c r="C823" s="8">
        <v>58.4</v>
      </c>
      <c r="D823" s="8">
        <v>458.6</v>
      </c>
    </row>
    <row r="824" spans="1:4" x14ac:dyDescent="0.25">
      <c r="A824" s="8">
        <v>157.77000000000001</v>
      </c>
      <c r="B824" s="8">
        <v>183.2</v>
      </c>
      <c r="C824" s="8">
        <v>58.3</v>
      </c>
      <c r="D824" s="8">
        <v>458.6</v>
      </c>
    </row>
    <row r="825" spans="1:4" x14ac:dyDescent="0.25">
      <c r="A825" s="8">
        <v>157.97</v>
      </c>
      <c r="B825" s="8">
        <v>182.9</v>
      </c>
      <c r="C825" s="8">
        <v>58.3</v>
      </c>
      <c r="D825" s="8">
        <v>458.6</v>
      </c>
    </row>
    <row r="826" spans="1:4" x14ac:dyDescent="0.25">
      <c r="A826" s="8">
        <v>158.16999999999999</v>
      </c>
      <c r="B826" s="8">
        <v>182.7</v>
      </c>
      <c r="C826" s="8">
        <v>58.2</v>
      </c>
      <c r="D826" s="8">
        <v>458.6</v>
      </c>
    </row>
    <row r="827" spans="1:4" x14ac:dyDescent="0.25">
      <c r="A827" s="8">
        <v>158.37</v>
      </c>
      <c r="B827" s="8">
        <v>182.4</v>
      </c>
      <c r="C827" s="8">
        <v>58.1</v>
      </c>
      <c r="D827" s="8">
        <v>458.6</v>
      </c>
    </row>
    <row r="828" spans="1:4" x14ac:dyDescent="0.25">
      <c r="A828" s="8">
        <v>158.57</v>
      </c>
      <c r="B828" s="8">
        <v>182.1</v>
      </c>
      <c r="C828" s="8">
        <v>58.1</v>
      </c>
      <c r="D828" s="8">
        <v>458.6</v>
      </c>
    </row>
    <row r="829" spans="1:4" x14ac:dyDescent="0.25">
      <c r="A829" s="8">
        <v>158.77000000000001</v>
      </c>
      <c r="B829" s="8">
        <v>181.9</v>
      </c>
      <c r="C829" s="8">
        <v>58</v>
      </c>
      <c r="D829" s="8">
        <v>458.6</v>
      </c>
    </row>
    <row r="830" spans="1:4" x14ac:dyDescent="0.25">
      <c r="A830" s="8">
        <v>158.97</v>
      </c>
      <c r="B830" s="8">
        <v>181.7</v>
      </c>
      <c r="C830" s="8">
        <v>57.9</v>
      </c>
      <c r="D830" s="8">
        <v>458.6</v>
      </c>
    </row>
    <row r="831" spans="1:4" x14ac:dyDescent="0.25">
      <c r="A831" s="8">
        <v>159.16999999999999</v>
      </c>
      <c r="B831" s="8">
        <v>181.4</v>
      </c>
      <c r="C831" s="8">
        <v>57.9</v>
      </c>
      <c r="D831" s="8">
        <v>458.6</v>
      </c>
    </row>
    <row r="832" spans="1:4" x14ac:dyDescent="0.25">
      <c r="A832" s="8">
        <v>159.37</v>
      </c>
      <c r="B832" s="8">
        <v>181.2</v>
      </c>
      <c r="C832" s="8">
        <v>57.8</v>
      </c>
      <c r="D832" s="8">
        <v>458.6</v>
      </c>
    </row>
    <row r="833" spans="1:4" x14ac:dyDescent="0.25">
      <c r="A833" s="8">
        <v>159.57</v>
      </c>
      <c r="B833" s="8">
        <v>181</v>
      </c>
      <c r="C833" s="8">
        <v>57.7</v>
      </c>
      <c r="D833" s="8">
        <v>458.6</v>
      </c>
    </row>
    <row r="834" spans="1:4" x14ac:dyDescent="0.25">
      <c r="A834" s="8">
        <v>159.77000000000001</v>
      </c>
      <c r="B834" s="8">
        <v>180.7</v>
      </c>
      <c r="C834" s="8">
        <v>57.7</v>
      </c>
      <c r="D834" s="8">
        <v>458.6</v>
      </c>
    </row>
    <row r="835" spans="1:4" x14ac:dyDescent="0.25">
      <c r="A835" s="8">
        <v>159.97</v>
      </c>
      <c r="B835" s="8">
        <v>180.5</v>
      </c>
      <c r="C835" s="8">
        <v>57.6</v>
      </c>
      <c r="D835" s="8">
        <v>458.6</v>
      </c>
    </row>
    <row r="836" spans="1:4" x14ac:dyDescent="0.25">
      <c r="A836" s="8">
        <v>160.16999999999999</v>
      </c>
      <c r="B836" s="8">
        <v>180.3</v>
      </c>
      <c r="C836" s="8">
        <v>57.6</v>
      </c>
      <c r="D836" s="8">
        <v>458.6</v>
      </c>
    </row>
    <row r="837" spans="1:4" x14ac:dyDescent="0.25">
      <c r="A837" s="8">
        <v>160.37</v>
      </c>
      <c r="B837" s="8">
        <v>180.1</v>
      </c>
      <c r="C837" s="8">
        <v>57.5</v>
      </c>
      <c r="D837" s="8">
        <v>458.6</v>
      </c>
    </row>
    <row r="838" spans="1:4" x14ac:dyDescent="0.25">
      <c r="A838" s="8">
        <v>160.57</v>
      </c>
      <c r="B838" s="8">
        <v>179.9</v>
      </c>
      <c r="C838" s="8">
        <v>57.4</v>
      </c>
      <c r="D838" s="8">
        <v>458.6</v>
      </c>
    </row>
    <row r="839" spans="1:4" x14ac:dyDescent="0.25">
      <c r="A839" s="8">
        <v>160.77000000000001</v>
      </c>
      <c r="B839" s="8">
        <v>179.7</v>
      </c>
      <c r="C839" s="8">
        <v>57.4</v>
      </c>
      <c r="D839" s="8">
        <v>458.6</v>
      </c>
    </row>
    <row r="840" spans="1:4" x14ac:dyDescent="0.25">
      <c r="A840" s="8">
        <v>160.97</v>
      </c>
      <c r="B840" s="8">
        <v>179.5</v>
      </c>
      <c r="C840" s="8">
        <v>57.3</v>
      </c>
      <c r="D840" s="8">
        <v>458.6</v>
      </c>
    </row>
    <row r="841" spans="1:4" x14ac:dyDescent="0.25">
      <c r="A841" s="8">
        <v>161.16999999999999</v>
      </c>
      <c r="B841" s="8">
        <v>179.3</v>
      </c>
      <c r="C841" s="8">
        <v>57.3</v>
      </c>
      <c r="D841" s="8">
        <v>458.6</v>
      </c>
    </row>
    <row r="842" spans="1:4" x14ac:dyDescent="0.25">
      <c r="A842" s="8">
        <v>161.37</v>
      </c>
      <c r="B842" s="8">
        <v>179.1</v>
      </c>
      <c r="C842" s="8">
        <v>57.2</v>
      </c>
      <c r="D842" s="8">
        <v>458.6</v>
      </c>
    </row>
    <row r="843" spans="1:4" x14ac:dyDescent="0.25">
      <c r="A843" s="8">
        <v>161.57</v>
      </c>
      <c r="B843" s="8">
        <v>179</v>
      </c>
      <c r="C843" s="8">
        <v>57.2</v>
      </c>
      <c r="D843" s="8">
        <v>458.6</v>
      </c>
    </row>
    <row r="844" spans="1:4" x14ac:dyDescent="0.25">
      <c r="A844" s="8">
        <v>161.77000000000001</v>
      </c>
      <c r="B844" s="8">
        <v>178.8</v>
      </c>
      <c r="C844" s="8">
        <v>57.1</v>
      </c>
      <c r="D844" s="8">
        <v>458.6</v>
      </c>
    </row>
    <row r="845" spans="1:4" x14ac:dyDescent="0.25">
      <c r="A845" s="8">
        <v>161.97</v>
      </c>
      <c r="B845" s="8">
        <v>178.6</v>
      </c>
      <c r="C845" s="8">
        <v>57.1</v>
      </c>
      <c r="D845" s="8">
        <v>458.6</v>
      </c>
    </row>
    <row r="846" spans="1:4" x14ac:dyDescent="0.25">
      <c r="A846" s="8">
        <v>162.16999999999999</v>
      </c>
      <c r="B846" s="8">
        <v>178.4</v>
      </c>
      <c r="C846" s="8">
        <v>57</v>
      </c>
      <c r="D846" s="8">
        <v>458.6</v>
      </c>
    </row>
    <row r="847" spans="1:4" x14ac:dyDescent="0.25">
      <c r="A847" s="8">
        <v>162.37</v>
      </c>
      <c r="B847" s="8">
        <v>178.3</v>
      </c>
      <c r="C847" s="8">
        <v>57</v>
      </c>
      <c r="D847" s="8">
        <v>458.6</v>
      </c>
    </row>
    <row r="848" spans="1:4" x14ac:dyDescent="0.25">
      <c r="A848" s="8">
        <v>162.57</v>
      </c>
      <c r="B848" s="8">
        <v>178.1</v>
      </c>
      <c r="C848" s="8">
        <v>57</v>
      </c>
      <c r="D848" s="8">
        <v>458.6</v>
      </c>
    </row>
    <row r="849" spans="1:4" x14ac:dyDescent="0.25">
      <c r="A849" s="8">
        <v>162.77000000000001</v>
      </c>
      <c r="B849" s="8">
        <v>177.9</v>
      </c>
      <c r="C849" s="8">
        <v>56.9</v>
      </c>
      <c r="D849" s="8">
        <v>458.6</v>
      </c>
    </row>
    <row r="850" spans="1:4" x14ac:dyDescent="0.25">
      <c r="A850" s="8">
        <v>162.97</v>
      </c>
      <c r="B850" s="8">
        <v>177.8</v>
      </c>
      <c r="C850" s="8">
        <v>56.9</v>
      </c>
      <c r="D850" s="8">
        <v>458.6</v>
      </c>
    </row>
    <row r="851" spans="1:4" x14ac:dyDescent="0.25">
      <c r="A851" s="8">
        <v>163.16999999999999</v>
      </c>
      <c r="B851" s="8">
        <v>177.6</v>
      </c>
      <c r="C851" s="8">
        <v>56.8</v>
      </c>
      <c r="D851" s="8">
        <v>458.6</v>
      </c>
    </row>
    <row r="852" spans="1:4" x14ac:dyDescent="0.25">
      <c r="A852" s="8">
        <v>163.37</v>
      </c>
      <c r="B852" s="8">
        <v>177.5</v>
      </c>
      <c r="C852" s="8">
        <v>56.8</v>
      </c>
      <c r="D852" s="8">
        <v>458.6</v>
      </c>
    </row>
    <row r="853" spans="1:4" x14ac:dyDescent="0.25">
      <c r="A853" s="8">
        <v>163.57</v>
      </c>
      <c r="B853" s="8">
        <v>177.3</v>
      </c>
      <c r="C853" s="8">
        <v>56.8</v>
      </c>
      <c r="D853" s="8">
        <v>458.6</v>
      </c>
    </row>
    <row r="854" spans="1:4" x14ac:dyDescent="0.25">
      <c r="A854" s="8">
        <v>163.77000000000001</v>
      </c>
      <c r="B854" s="8">
        <v>177.2</v>
      </c>
      <c r="C854" s="8">
        <v>56.7</v>
      </c>
      <c r="D854" s="8">
        <v>458.6</v>
      </c>
    </row>
    <row r="855" spans="1:4" x14ac:dyDescent="0.25">
      <c r="A855" s="8">
        <v>163.97</v>
      </c>
      <c r="B855" s="8">
        <v>177.1</v>
      </c>
      <c r="C855" s="8">
        <v>56.7</v>
      </c>
      <c r="D855" s="8">
        <v>458.6</v>
      </c>
    </row>
    <row r="856" spans="1:4" x14ac:dyDescent="0.25">
      <c r="A856" s="8">
        <v>164.17</v>
      </c>
      <c r="B856" s="8">
        <v>176.9</v>
      </c>
      <c r="C856" s="8">
        <v>56.6</v>
      </c>
      <c r="D856" s="8">
        <v>458.6</v>
      </c>
    </row>
    <row r="857" spans="1:4" x14ac:dyDescent="0.25">
      <c r="A857" s="8">
        <v>164.37</v>
      </c>
      <c r="B857" s="8">
        <v>176.8</v>
      </c>
      <c r="C857" s="8">
        <v>56.6</v>
      </c>
      <c r="D857" s="8">
        <v>458.6</v>
      </c>
    </row>
    <row r="858" spans="1:4" x14ac:dyDescent="0.25">
      <c r="A858" s="8">
        <v>164.57</v>
      </c>
      <c r="B858" s="8">
        <v>176.7</v>
      </c>
      <c r="C858" s="8">
        <v>56.6</v>
      </c>
      <c r="D858" s="8">
        <v>458.6</v>
      </c>
    </row>
    <row r="859" spans="1:4" x14ac:dyDescent="0.25">
      <c r="A859" s="8">
        <v>164.77</v>
      </c>
      <c r="B859" s="8">
        <v>176.5</v>
      </c>
      <c r="C859" s="8">
        <v>56.5</v>
      </c>
      <c r="D859" s="8">
        <v>458.6</v>
      </c>
    </row>
    <row r="860" spans="1:4" x14ac:dyDescent="0.25">
      <c r="A860" s="8">
        <v>164.97</v>
      </c>
      <c r="B860" s="8">
        <v>176.4</v>
      </c>
      <c r="C860" s="8">
        <v>56.5</v>
      </c>
      <c r="D860" s="8">
        <v>458.6</v>
      </c>
    </row>
    <row r="861" spans="1:4" x14ac:dyDescent="0.25">
      <c r="A861" s="8">
        <v>165.17</v>
      </c>
      <c r="B861" s="8">
        <v>176.3</v>
      </c>
      <c r="C861" s="8">
        <v>56.5</v>
      </c>
      <c r="D861" s="8">
        <v>458.6</v>
      </c>
    </row>
    <row r="862" spans="1:4" x14ac:dyDescent="0.25">
      <c r="A862" s="8">
        <v>165.37</v>
      </c>
      <c r="B862" s="8">
        <v>176.2</v>
      </c>
      <c r="C862" s="8">
        <v>56.4</v>
      </c>
      <c r="D862" s="8">
        <v>458.6</v>
      </c>
    </row>
    <row r="863" spans="1:4" x14ac:dyDescent="0.25">
      <c r="A863" s="8">
        <v>165.57</v>
      </c>
      <c r="B863" s="8">
        <v>176.1</v>
      </c>
      <c r="C863" s="8">
        <v>56.4</v>
      </c>
      <c r="D863" s="8">
        <v>458.6</v>
      </c>
    </row>
    <row r="864" spans="1:4" x14ac:dyDescent="0.25">
      <c r="A864" s="8">
        <v>165.77</v>
      </c>
      <c r="B864" s="8">
        <v>175.9</v>
      </c>
      <c r="C864" s="8">
        <v>56.4</v>
      </c>
      <c r="D864" s="8">
        <v>458.6</v>
      </c>
    </row>
    <row r="865" spans="1:4" x14ac:dyDescent="0.25">
      <c r="A865" s="8">
        <v>165.97</v>
      </c>
      <c r="B865" s="8">
        <v>175.8</v>
      </c>
      <c r="C865" s="8">
        <v>56.3</v>
      </c>
      <c r="D865" s="8">
        <v>458.6</v>
      </c>
    </row>
    <row r="866" spans="1:4" x14ac:dyDescent="0.25">
      <c r="A866" s="8">
        <v>166.17</v>
      </c>
      <c r="B866" s="8">
        <v>175.7</v>
      </c>
      <c r="C866" s="8">
        <v>56.3</v>
      </c>
      <c r="D866" s="8">
        <v>458.6</v>
      </c>
    </row>
    <row r="867" spans="1:4" x14ac:dyDescent="0.25">
      <c r="A867" s="8">
        <v>166.37</v>
      </c>
      <c r="B867" s="8">
        <v>175.6</v>
      </c>
      <c r="C867" s="8">
        <v>56.3</v>
      </c>
      <c r="D867" s="8">
        <v>458.6</v>
      </c>
    </row>
    <row r="868" spans="1:4" x14ac:dyDescent="0.25">
      <c r="A868" s="8">
        <v>166.57</v>
      </c>
      <c r="B868" s="8">
        <v>175.5</v>
      </c>
      <c r="C868" s="8">
        <v>56.3</v>
      </c>
      <c r="D868" s="8">
        <v>458.6</v>
      </c>
    </row>
    <row r="869" spans="1:4" x14ac:dyDescent="0.25">
      <c r="A869" s="8">
        <v>166.77</v>
      </c>
      <c r="B869" s="8">
        <v>175.4</v>
      </c>
      <c r="C869" s="8">
        <v>56.2</v>
      </c>
      <c r="D869" s="8">
        <v>458.6</v>
      </c>
    </row>
    <row r="870" spans="1:4" x14ac:dyDescent="0.25">
      <c r="A870" s="8">
        <v>166.97</v>
      </c>
      <c r="B870" s="8">
        <v>175.3</v>
      </c>
      <c r="C870" s="8">
        <v>56.2</v>
      </c>
      <c r="D870" s="8">
        <v>458.6</v>
      </c>
    </row>
    <row r="871" spans="1:4" x14ac:dyDescent="0.25">
      <c r="A871" s="8">
        <v>167.17</v>
      </c>
      <c r="B871" s="8">
        <v>175.2</v>
      </c>
      <c r="C871" s="8">
        <v>56.2</v>
      </c>
      <c r="D871" s="8">
        <v>458.6</v>
      </c>
    </row>
    <row r="872" spans="1:4" x14ac:dyDescent="0.25">
      <c r="A872" s="8">
        <v>167.37</v>
      </c>
      <c r="B872" s="8">
        <v>175.1</v>
      </c>
      <c r="C872" s="8">
        <v>56.2</v>
      </c>
      <c r="D872" s="8">
        <v>458.6</v>
      </c>
    </row>
    <row r="873" spans="1:4" x14ac:dyDescent="0.25">
      <c r="A873" s="8">
        <v>167.57</v>
      </c>
      <c r="B873" s="8">
        <v>175</v>
      </c>
      <c r="C873" s="8">
        <v>56.1</v>
      </c>
      <c r="D873" s="8">
        <v>458.6</v>
      </c>
    </row>
    <row r="874" spans="1:4" x14ac:dyDescent="0.25">
      <c r="A874" s="8">
        <v>167.77</v>
      </c>
      <c r="B874" s="8">
        <v>174.9</v>
      </c>
      <c r="C874" s="8">
        <v>56.1</v>
      </c>
      <c r="D874" s="8">
        <v>458.6</v>
      </c>
    </row>
    <row r="875" spans="1:4" x14ac:dyDescent="0.25">
      <c r="A875" s="8">
        <v>167.97</v>
      </c>
      <c r="B875" s="8">
        <v>174.8</v>
      </c>
      <c r="C875" s="8">
        <v>56.1</v>
      </c>
      <c r="D875" s="8">
        <v>458.6</v>
      </c>
    </row>
    <row r="876" spans="1:4" x14ac:dyDescent="0.25">
      <c r="A876" s="8">
        <v>168.17</v>
      </c>
      <c r="B876" s="8">
        <v>174.8</v>
      </c>
      <c r="C876" s="8">
        <v>56.1</v>
      </c>
      <c r="D876" s="8">
        <v>458.6</v>
      </c>
    </row>
    <row r="877" spans="1:4" x14ac:dyDescent="0.25">
      <c r="A877" s="8">
        <v>168.37</v>
      </c>
      <c r="B877" s="8">
        <v>174.7</v>
      </c>
      <c r="C877" s="8">
        <v>56</v>
      </c>
      <c r="D877" s="8">
        <v>458.6</v>
      </c>
    </row>
    <row r="878" spans="1:4" x14ac:dyDescent="0.25">
      <c r="A878" s="8">
        <v>168.57</v>
      </c>
      <c r="B878" s="8">
        <v>174.6</v>
      </c>
      <c r="C878" s="8">
        <v>56</v>
      </c>
      <c r="D878" s="8">
        <v>458.6</v>
      </c>
    </row>
    <row r="879" spans="1:4" x14ac:dyDescent="0.25">
      <c r="A879" s="8">
        <v>168.77</v>
      </c>
      <c r="B879" s="8">
        <v>174.5</v>
      </c>
      <c r="C879" s="8">
        <v>56</v>
      </c>
      <c r="D879" s="8">
        <v>458.6</v>
      </c>
    </row>
    <row r="880" spans="1:4" x14ac:dyDescent="0.25">
      <c r="A880" s="8">
        <v>168.97</v>
      </c>
      <c r="B880" s="8">
        <v>174.4</v>
      </c>
      <c r="C880" s="8">
        <v>56</v>
      </c>
      <c r="D880" s="8">
        <v>458.6</v>
      </c>
    </row>
    <row r="881" spans="1:4" x14ac:dyDescent="0.25">
      <c r="A881" s="8">
        <v>169.17</v>
      </c>
      <c r="B881" s="8">
        <v>174.3</v>
      </c>
      <c r="C881" s="8">
        <v>55.9</v>
      </c>
      <c r="D881" s="8">
        <v>458.6</v>
      </c>
    </row>
    <row r="882" spans="1:4" x14ac:dyDescent="0.25">
      <c r="A882" s="8">
        <v>169.37</v>
      </c>
      <c r="B882" s="8">
        <v>174.3</v>
      </c>
      <c r="C882" s="8">
        <v>55.9</v>
      </c>
      <c r="D882" s="8">
        <v>458.6</v>
      </c>
    </row>
    <row r="883" spans="1:4" x14ac:dyDescent="0.25">
      <c r="A883" s="8">
        <v>169.57</v>
      </c>
      <c r="B883" s="8">
        <v>174.2</v>
      </c>
      <c r="C883" s="8">
        <v>55.9</v>
      </c>
      <c r="D883" s="8">
        <v>458.6</v>
      </c>
    </row>
    <row r="884" spans="1:4" x14ac:dyDescent="0.25">
      <c r="A884" s="8">
        <v>169.77</v>
      </c>
      <c r="B884" s="8">
        <v>174.1</v>
      </c>
      <c r="C884" s="8">
        <v>55.9</v>
      </c>
      <c r="D884" s="8">
        <v>458.6</v>
      </c>
    </row>
    <row r="885" spans="1:4" x14ac:dyDescent="0.25">
      <c r="A885" s="8">
        <v>169.97</v>
      </c>
      <c r="B885" s="8">
        <v>174</v>
      </c>
      <c r="C885" s="8">
        <v>55.9</v>
      </c>
      <c r="D885" s="8">
        <v>458.6</v>
      </c>
    </row>
    <row r="886" spans="1:4" x14ac:dyDescent="0.25">
      <c r="A886" s="8">
        <v>170.17</v>
      </c>
      <c r="B886" s="8">
        <v>174</v>
      </c>
      <c r="C886" s="8">
        <v>55.8</v>
      </c>
      <c r="D886" s="8">
        <v>458.6</v>
      </c>
    </row>
    <row r="887" spans="1:4" x14ac:dyDescent="0.25">
      <c r="A887" s="8">
        <v>170.37</v>
      </c>
      <c r="B887" s="8">
        <v>173.9</v>
      </c>
      <c r="C887" s="8">
        <v>55.8</v>
      </c>
      <c r="D887" s="8">
        <v>458.6</v>
      </c>
    </row>
    <row r="888" spans="1:4" x14ac:dyDescent="0.25">
      <c r="A888" s="8">
        <v>170.57</v>
      </c>
      <c r="B888" s="8">
        <v>173.8</v>
      </c>
      <c r="C888" s="8">
        <v>55.8</v>
      </c>
      <c r="D888" s="8">
        <v>458.6</v>
      </c>
    </row>
    <row r="889" spans="1:4" x14ac:dyDescent="0.25">
      <c r="A889" s="8">
        <v>170.77</v>
      </c>
      <c r="B889" s="8">
        <v>173.8</v>
      </c>
      <c r="C889" s="8">
        <v>55.8</v>
      </c>
      <c r="D889" s="8">
        <v>458.6</v>
      </c>
    </row>
    <row r="890" spans="1:4" x14ac:dyDescent="0.25">
      <c r="A890" s="8">
        <v>170.97</v>
      </c>
      <c r="B890" s="8">
        <v>173.7</v>
      </c>
      <c r="C890" s="8">
        <v>55.8</v>
      </c>
      <c r="D890" s="8">
        <v>458.6</v>
      </c>
    </row>
    <row r="891" spans="1:4" x14ac:dyDescent="0.25">
      <c r="A891" s="8">
        <v>171.17</v>
      </c>
      <c r="B891" s="8">
        <v>173.7</v>
      </c>
      <c r="C891" s="8">
        <v>55.8</v>
      </c>
      <c r="D891" s="8">
        <v>458.6</v>
      </c>
    </row>
    <row r="892" spans="1:4" x14ac:dyDescent="0.25">
      <c r="A892" s="8">
        <v>171.37</v>
      </c>
      <c r="B892" s="8">
        <v>173.6</v>
      </c>
      <c r="C892" s="8">
        <v>55.7</v>
      </c>
      <c r="D892" s="8">
        <v>458.6</v>
      </c>
    </row>
    <row r="893" spans="1:4" x14ac:dyDescent="0.25">
      <c r="A893" s="8">
        <v>171.57</v>
      </c>
      <c r="B893" s="8">
        <v>173.5</v>
      </c>
      <c r="C893" s="8">
        <v>55.7</v>
      </c>
      <c r="D893" s="8">
        <v>458.6</v>
      </c>
    </row>
    <row r="894" spans="1:4" x14ac:dyDescent="0.25">
      <c r="A894" s="8">
        <v>171.76</v>
      </c>
      <c r="B894" s="8">
        <v>173.3</v>
      </c>
      <c r="C894" s="8">
        <v>55.7</v>
      </c>
      <c r="D894" s="8">
        <v>458.5</v>
      </c>
    </row>
    <row r="895" spans="1:4" x14ac:dyDescent="0.25">
      <c r="A895" s="8">
        <v>171.96</v>
      </c>
      <c r="B895" s="8">
        <v>172.1</v>
      </c>
      <c r="C895" s="8">
        <v>55.5</v>
      </c>
      <c r="D895" s="8">
        <v>458</v>
      </c>
    </row>
    <row r="896" spans="1:4" x14ac:dyDescent="0.25">
      <c r="A896" s="8">
        <v>172.16</v>
      </c>
      <c r="B896" s="8">
        <v>170.9</v>
      </c>
      <c r="C896" s="8">
        <v>55.2</v>
      </c>
      <c r="D896" s="8">
        <v>457.5</v>
      </c>
    </row>
    <row r="897" spans="1:4" x14ac:dyDescent="0.25">
      <c r="A897" s="8">
        <v>172.36</v>
      </c>
      <c r="B897" s="8">
        <v>169.7</v>
      </c>
      <c r="C897" s="8">
        <v>55</v>
      </c>
      <c r="D897" s="8">
        <v>456.9</v>
      </c>
    </row>
    <row r="898" spans="1:4" x14ac:dyDescent="0.25">
      <c r="A898" s="8">
        <v>172.56</v>
      </c>
      <c r="B898" s="8">
        <v>168.5</v>
      </c>
      <c r="C898" s="8">
        <v>54.8</v>
      </c>
      <c r="D898" s="8">
        <v>456.4</v>
      </c>
    </row>
    <row r="899" spans="1:4" x14ac:dyDescent="0.25">
      <c r="A899" s="8">
        <v>172.76</v>
      </c>
      <c r="B899" s="8">
        <v>167.3</v>
      </c>
      <c r="C899" s="8">
        <v>54.6</v>
      </c>
      <c r="D899" s="8">
        <v>455.8</v>
      </c>
    </row>
    <row r="900" spans="1:4" x14ac:dyDescent="0.25">
      <c r="A900" s="8">
        <v>172.96</v>
      </c>
      <c r="B900" s="8">
        <v>166.1</v>
      </c>
      <c r="C900" s="8">
        <v>54.4</v>
      </c>
      <c r="D900" s="8">
        <v>455.3</v>
      </c>
    </row>
    <row r="901" spans="1:4" x14ac:dyDescent="0.25">
      <c r="A901" s="8">
        <v>173.16</v>
      </c>
      <c r="B901" s="8">
        <v>164.9</v>
      </c>
      <c r="C901" s="8">
        <v>54.2</v>
      </c>
      <c r="D901" s="8">
        <v>454.7</v>
      </c>
    </row>
    <row r="902" spans="1:4" x14ac:dyDescent="0.25">
      <c r="A902" s="8">
        <v>173.36</v>
      </c>
      <c r="B902" s="8">
        <v>163.69999999999999</v>
      </c>
      <c r="C902" s="8">
        <v>53.9</v>
      </c>
      <c r="D902" s="8">
        <v>454.1</v>
      </c>
    </row>
    <row r="903" spans="1:4" x14ac:dyDescent="0.25">
      <c r="A903" s="8">
        <v>173.56</v>
      </c>
      <c r="B903" s="8">
        <v>162.6</v>
      </c>
      <c r="C903" s="8">
        <v>53.7</v>
      </c>
      <c r="D903" s="8">
        <v>453.5</v>
      </c>
    </row>
    <row r="904" spans="1:4" x14ac:dyDescent="0.25">
      <c r="A904" s="8">
        <v>173.76</v>
      </c>
      <c r="B904" s="8">
        <v>161.4</v>
      </c>
      <c r="C904" s="8">
        <v>53.5</v>
      </c>
      <c r="D904" s="8">
        <v>452.9</v>
      </c>
    </row>
    <row r="905" spans="1:4" x14ac:dyDescent="0.25">
      <c r="A905" s="8">
        <v>173.96</v>
      </c>
      <c r="B905" s="8">
        <v>160.30000000000001</v>
      </c>
      <c r="C905" s="8">
        <v>53.3</v>
      </c>
      <c r="D905" s="8">
        <v>452.3</v>
      </c>
    </row>
    <row r="906" spans="1:4" x14ac:dyDescent="0.25">
      <c r="A906" s="8">
        <v>174.16</v>
      </c>
      <c r="B906" s="8">
        <v>159.1</v>
      </c>
      <c r="C906" s="8">
        <v>53.1</v>
      </c>
      <c r="D906" s="8">
        <v>451.7</v>
      </c>
    </row>
    <row r="907" spans="1:4" x14ac:dyDescent="0.25">
      <c r="A907" s="8">
        <v>174.36</v>
      </c>
      <c r="B907" s="8">
        <v>158</v>
      </c>
      <c r="C907" s="8">
        <v>52.9</v>
      </c>
      <c r="D907" s="8">
        <v>451</v>
      </c>
    </row>
    <row r="908" spans="1:4" x14ac:dyDescent="0.25">
      <c r="A908" s="8">
        <v>174.56</v>
      </c>
      <c r="B908" s="8">
        <v>156.80000000000001</v>
      </c>
      <c r="C908" s="8">
        <v>52.7</v>
      </c>
      <c r="D908" s="8">
        <v>450.4</v>
      </c>
    </row>
    <row r="909" spans="1:4" x14ac:dyDescent="0.25">
      <c r="A909" s="8">
        <v>174.76</v>
      </c>
      <c r="B909" s="8">
        <v>155.69999999999999</v>
      </c>
      <c r="C909" s="8">
        <v>52.5</v>
      </c>
      <c r="D909" s="8">
        <v>449.7</v>
      </c>
    </row>
    <row r="910" spans="1:4" x14ac:dyDescent="0.25">
      <c r="A910" s="8">
        <v>174.96</v>
      </c>
      <c r="B910" s="8">
        <v>154.5</v>
      </c>
      <c r="C910" s="8">
        <v>52.3</v>
      </c>
      <c r="D910" s="8">
        <v>449.1</v>
      </c>
    </row>
    <row r="911" spans="1:4" x14ac:dyDescent="0.25">
      <c r="A911" s="8">
        <v>175.16</v>
      </c>
      <c r="B911" s="8">
        <v>153.4</v>
      </c>
      <c r="C911" s="8">
        <v>52.1</v>
      </c>
      <c r="D911" s="8">
        <v>448.4</v>
      </c>
    </row>
    <row r="912" spans="1:4" x14ac:dyDescent="0.25">
      <c r="A912" s="8">
        <v>175.36</v>
      </c>
      <c r="B912" s="8">
        <v>152.30000000000001</v>
      </c>
      <c r="C912" s="8">
        <v>51.9</v>
      </c>
      <c r="D912" s="8">
        <v>447.7</v>
      </c>
    </row>
    <row r="913" spans="1:4" x14ac:dyDescent="0.25">
      <c r="A913" s="8">
        <v>175.56</v>
      </c>
      <c r="B913" s="8">
        <v>151.1</v>
      </c>
      <c r="C913" s="8">
        <v>51.7</v>
      </c>
      <c r="D913" s="8">
        <v>447</v>
      </c>
    </row>
    <row r="914" spans="1:4" x14ac:dyDescent="0.25">
      <c r="A914" s="8">
        <v>175.76</v>
      </c>
      <c r="B914" s="8">
        <v>150</v>
      </c>
      <c r="C914" s="8">
        <v>51.5</v>
      </c>
      <c r="D914" s="8">
        <v>446.2</v>
      </c>
    </row>
    <row r="915" spans="1:4" x14ac:dyDescent="0.25">
      <c r="A915" s="8">
        <v>175.96</v>
      </c>
      <c r="B915" s="8">
        <v>148.80000000000001</v>
      </c>
      <c r="C915" s="8">
        <v>51.3</v>
      </c>
      <c r="D915" s="8">
        <v>445.5</v>
      </c>
    </row>
    <row r="916" spans="1:4" x14ac:dyDescent="0.25">
      <c r="A916" s="8">
        <v>176.16</v>
      </c>
      <c r="B916" s="8">
        <v>147.69999999999999</v>
      </c>
      <c r="C916" s="8">
        <v>51.1</v>
      </c>
      <c r="D916" s="8">
        <v>444.7</v>
      </c>
    </row>
    <row r="917" spans="1:4" x14ac:dyDescent="0.25">
      <c r="A917" s="8">
        <v>176.36</v>
      </c>
      <c r="B917" s="8">
        <v>146.6</v>
      </c>
      <c r="C917" s="8">
        <v>50.8</v>
      </c>
      <c r="D917" s="8">
        <v>444</v>
      </c>
    </row>
    <row r="918" spans="1:4" x14ac:dyDescent="0.25">
      <c r="A918" s="8">
        <v>176.56</v>
      </c>
      <c r="B918" s="8">
        <v>145.4</v>
      </c>
      <c r="C918" s="8">
        <v>50.6</v>
      </c>
      <c r="D918" s="8">
        <v>443.2</v>
      </c>
    </row>
    <row r="919" spans="1:4" x14ac:dyDescent="0.25">
      <c r="A919" s="8">
        <v>176.76</v>
      </c>
      <c r="B919" s="8">
        <v>144.30000000000001</v>
      </c>
      <c r="C919" s="8">
        <v>50.4</v>
      </c>
      <c r="D919" s="8">
        <v>442.4</v>
      </c>
    </row>
    <row r="920" spans="1:4" x14ac:dyDescent="0.25">
      <c r="A920" s="8">
        <v>176.96</v>
      </c>
      <c r="B920" s="8">
        <v>143.1</v>
      </c>
      <c r="C920" s="8">
        <v>50.2</v>
      </c>
      <c r="D920" s="8">
        <v>441.5</v>
      </c>
    </row>
    <row r="921" spans="1:4" x14ac:dyDescent="0.25">
      <c r="A921" s="8">
        <v>177.16</v>
      </c>
      <c r="B921" s="8">
        <v>142</v>
      </c>
      <c r="C921" s="8">
        <v>50</v>
      </c>
      <c r="D921" s="8">
        <v>440.7</v>
      </c>
    </row>
    <row r="922" spans="1:4" x14ac:dyDescent="0.25">
      <c r="A922" s="8">
        <v>177.36</v>
      </c>
      <c r="B922" s="8">
        <v>140.80000000000001</v>
      </c>
      <c r="C922" s="8">
        <v>49.8</v>
      </c>
      <c r="D922" s="8">
        <v>439.8</v>
      </c>
    </row>
    <row r="923" spans="1:4" x14ac:dyDescent="0.25">
      <c r="A923" s="8">
        <v>177.56</v>
      </c>
      <c r="B923" s="8">
        <v>139.6</v>
      </c>
      <c r="C923" s="8">
        <v>49.6</v>
      </c>
      <c r="D923" s="8">
        <v>438.9</v>
      </c>
    </row>
    <row r="924" spans="1:4" x14ac:dyDescent="0.25">
      <c r="A924" s="8">
        <v>177.76</v>
      </c>
      <c r="B924" s="8">
        <v>138.4</v>
      </c>
      <c r="C924" s="8">
        <v>49.4</v>
      </c>
      <c r="D924" s="8">
        <v>438</v>
      </c>
    </row>
    <row r="925" spans="1:4" x14ac:dyDescent="0.25">
      <c r="A925" s="8">
        <v>177.96</v>
      </c>
      <c r="B925" s="8">
        <v>137.19999999999999</v>
      </c>
      <c r="C925" s="8">
        <v>49.1</v>
      </c>
      <c r="D925" s="8">
        <v>437.1</v>
      </c>
    </row>
    <row r="926" spans="1:4" x14ac:dyDescent="0.25">
      <c r="A926" s="8">
        <v>178.16</v>
      </c>
      <c r="B926" s="8">
        <v>136.1</v>
      </c>
      <c r="C926" s="8">
        <v>48.9</v>
      </c>
      <c r="D926" s="8">
        <v>436.1</v>
      </c>
    </row>
    <row r="927" spans="1:4" x14ac:dyDescent="0.25">
      <c r="A927" s="8">
        <v>178.36</v>
      </c>
      <c r="B927" s="8">
        <v>134.9</v>
      </c>
      <c r="C927" s="8">
        <v>48.7</v>
      </c>
      <c r="D927" s="8">
        <v>435.2</v>
      </c>
    </row>
    <row r="928" spans="1:4" x14ac:dyDescent="0.25">
      <c r="A928" s="8">
        <v>178.56</v>
      </c>
      <c r="B928" s="8">
        <v>133.80000000000001</v>
      </c>
      <c r="C928" s="8">
        <v>48.5</v>
      </c>
      <c r="D928" s="8">
        <v>434.2</v>
      </c>
    </row>
    <row r="929" spans="1:4" x14ac:dyDescent="0.25">
      <c r="A929" s="8">
        <v>178.76</v>
      </c>
      <c r="B929" s="8">
        <v>132.69999999999999</v>
      </c>
      <c r="C929" s="8">
        <v>48.3</v>
      </c>
      <c r="D929" s="8">
        <v>433.3</v>
      </c>
    </row>
    <row r="930" spans="1:4" x14ac:dyDescent="0.25">
      <c r="A930" s="8">
        <v>178.96</v>
      </c>
      <c r="B930" s="8">
        <v>131.6</v>
      </c>
      <c r="C930" s="8">
        <v>48.1</v>
      </c>
      <c r="D930" s="8">
        <v>432.3</v>
      </c>
    </row>
    <row r="931" spans="1:4" x14ac:dyDescent="0.25">
      <c r="A931" s="8">
        <v>179.16</v>
      </c>
      <c r="B931" s="8">
        <v>130.6</v>
      </c>
      <c r="C931" s="8">
        <v>47.9</v>
      </c>
      <c r="D931" s="8">
        <v>431.4</v>
      </c>
    </row>
    <row r="932" spans="1:4" x14ac:dyDescent="0.25">
      <c r="A932" s="8">
        <v>179.36</v>
      </c>
      <c r="B932" s="8">
        <v>129.6</v>
      </c>
      <c r="C932" s="8">
        <v>47.7</v>
      </c>
      <c r="D932" s="8">
        <v>430.4</v>
      </c>
    </row>
    <row r="933" spans="1:4" x14ac:dyDescent="0.25">
      <c r="A933" s="8">
        <v>179.56</v>
      </c>
      <c r="B933" s="8">
        <v>128.6</v>
      </c>
      <c r="C933" s="8">
        <v>47.5</v>
      </c>
      <c r="D933" s="8">
        <v>429.5</v>
      </c>
    </row>
    <row r="934" spans="1:4" x14ac:dyDescent="0.25">
      <c r="A934" s="8">
        <v>179.76</v>
      </c>
      <c r="B934" s="8">
        <v>127.7</v>
      </c>
      <c r="C934" s="8">
        <v>47.3</v>
      </c>
      <c r="D934" s="8">
        <v>428.5</v>
      </c>
    </row>
    <row r="935" spans="1:4" x14ac:dyDescent="0.25">
      <c r="A935" s="8">
        <v>179.96</v>
      </c>
      <c r="B935" s="8">
        <v>126.7</v>
      </c>
      <c r="C935" s="8">
        <v>47.2</v>
      </c>
      <c r="D935" s="8">
        <v>427.6</v>
      </c>
    </row>
    <row r="936" spans="1:4" x14ac:dyDescent="0.25">
      <c r="A936" s="8">
        <v>180.16</v>
      </c>
      <c r="B936" s="8">
        <v>125.9</v>
      </c>
      <c r="C936" s="8">
        <v>47</v>
      </c>
      <c r="D936" s="8">
        <v>426.6</v>
      </c>
    </row>
    <row r="937" spans="1:4" x14ac:dyDescent="0.25">
      <c r="A937" s="8">
        <v>180.36</v>
      </c>
      <c r="B937" s="8">
        <v>125</v>
      </c>
      <c r="C937" s="8">
        <v>46.8</v>
      </c>
      <c r="D937" s="8">
        <v>425.7</v>
      </c>
    </row>
    <row r="938" spans="1:4" x14ac:dyDescent="0.25">
      <c r="A938" s="8">
        <v>180.56</v>
      </c>
      <c r="B938" s="8">
        <v>124.1</v>
      </c>
      <c r="C938" s="8">
        <v>46.7</v>
      </c>
      <c r="D938" s="8">
        <v>424.7</v>
      </c>
    </row>
    <row r="939" spans="1:4" x14ac:dyDescent="0.25">
      <c r="A939" s="8">
        <v>180.76</v>
      </c>
      <c r="B939" s="8">
        <v>123.3</v>
      </c>
      <c r="C939" s="8">
        <v>46.5</v>
      </c>
      <c r="D939" s="8">
        <v>423.8</v>
      </c>
    </row>
    <row r="940" spans="1:4" x14ac:dyDescent="0.25">
      <c r="A940" s="8">
        <v>180.96</v>
      </c>
      <c r="B940" s="8">
        <v>122.5</v>
      </c>
      <c r="C940" s="8">
        <v>46.4</v>
      </c>
      <c r="D940" s="8">
        <v>422.8</v>
      </c>
    </row>
    <row r="941" spans="1:4" x14ac:dyDescent="0.25">
      <c r="A941" s="8">
        <v>181.16</v>
      </c>
      <c r="B941" s="8">
        <v>121.7</v>
      </c>
      <c r="C941" s="8">
        <v>46.2</v>
      </c>
      <c r="D941" s="8">
        <v>421.9</v>
      </c>
    </row>
    <row r="942" spans="1:4" x14ac:dyDescent="0.25">
      <c r="A942" s="8">
        <v>181.36</v>
      </c>
      <c r="B942" s="8">
        <v>121</v>
      </c>
      <c r="C942" s="8">
        <v>46.1</v>
      </c>
      <c r="D942" s="8">
        <v>420.9</v>
      </c>
    </row>
    <row r="943" spans="1:4" x14ac:dyDescent="0.25">
      <c r="A943" s="8">
        <v>181.56</v>
      </c>
      <c r="B943" s="8">
        <v>120.2</v>
      </c>
      <c r="C943" s="8">
        <v>45.9</v>
      </c>
      <c r="D943" s="8">
        <v>420</v>
      </c>
    </row>
    <row r="944" spans="1:4" x14ac:dyDescent="0.25">
      <c r="A944" s="8">
        <v>181.76</v>
      </c>
      <c r="B944" s="8">
        <v>119.5</v>
      </c>
      <c r="C944" s="8">
        <v>45.8</v>
      </c>
      <c r="D944" s="8">
        <v>419</v>
      </c>
    </row>
    <row r="945" spans="1:4" x14ac:dyDescent="0.25">
      <c r="A945" s="8">
        <v>181.96</v>
      </c>
      <c r="B945" s="8">
        <v>118.8</v>
      </c>
      <c r="C945" s="8">
        <v>45.7</v>
      </c>
      <c r="D945" s="8">
        <v>418.1</v>
      </c>
    </row>
    <row r="946" spans="1:4" x14ac:dyDescent="0.25">
      <c r="A946" s="8">
        <v>182.16</v>
      </c>
      <c r="B946" s="8">
        <v>118.2</v>
      </c>
      <c r="C946" s="8">
        <v>45.5</v>
      </c>
      <c r="D946" s="8">
        <v>417.1</v>
      </c>
    </row>
    <row r="947" spans="1:4" x14ac:dyDescent="0.25">
      <c r="A947" s="8">
        <v>182.36</v>
      </c>
      <c r="B947" s="8">
        <v>117.5</v>
      </c>
      <c r="C947" s="8">
        <v>45.4</v>
      </c>
      <c r="D947" s="8">
        <v>416.2</v>
      </c>
    </row>
    <row r="948" spans="1:4" x14ac:dyDescent="0.25">
      <c r="A948" s="8">
        <v>182.56</v>
      </c>
      <c r="B948" s="8">
        <v>116.9</v>
      </c>
      <c r="C948" s="8">
        <v>45.3</v>
      </c>
      <c r="D948" s="8">
        <v>415.2</v>
      </c>
    </row>
    <row r="949" spans="1:4" x14ac:dyDescent="0.25">
      <c r="A949" s="8">
        <v>182.76</v>
      </c>
      <c r="B949" s="8">
        <v>116.2</v>
      </c>
      <c r="C949" s="8">
        <v>45.2</v>
      </c>
      <c r="D949" s="8">
        <v>414.3</v>
      </c>
    </row>
    <row r="950" spans="1:4" x14ac:dyDescent="0.25">
      <c r="A950" s="8">
        <v>182.96</v>
      </c>
      <c r="B950" s="8">
        <v>115.6</v>
      </c>
      <c r="C950" s="8">
        <v>45.1</v>
      </c>
      <c r="D950" s="8">
        <v>413.3</v>
      </c>
    </row>
    <row r="951" spans="1:4" x14ac:dyDescent="0.25">
      <c r="A951" s="8">
        <v>183.16</v>
      </c>
      <c r="B951" s="8">
        <v>115</v>
      </c>
      <c r="C951" s="8">
        <v>45</v>
      </c>
      <c r="D951" s="8">
        <v>412.4</v>
      </c>
    </row>
    <row r="952" spans="1:4" x14ac:dyDescent="0.25">
      <c r="A952" s="8">
        <v>183.36</v>
      </c>
      <c r="B952" s="8">
        <v>114.5</v>
      </c>
      <c r="C952" s="8">
        <v>44.9</v>
      </c>
      <c r="D952" s="8">
        <v>411.4</v>
      </c>
    </row>
    <row r="953" spans="1:4" x14ac:dyDescent="0.25">
      <c r="A953" s="8">
        <v>183.56</v>
      </c>
      <c r="B953" s="8">
        <v>113.9</v>
      </c>
      <c r="C953" s="8">
        <v>44.8</v>
      </c>
      <c r="D953" s="8">
        <v>410.5</v>
      </c>
    </row>
    <row r="954" spans="1:4" x14ac:dyDescent="0.25">
      <c r="A954" s="8">
        <v>183.76</v>
      </c>
      <c r="B954" s="8">
        <v>113.4</v>
      </c>
      <c r="C954" s="8">
        <v>44.7</v>
      </c>
      <c r="D954" s="8">
        <v>409.5</v>
      </c>
    </row>
    <row r="955" spans="1:4" x14ac:dyDescent="0.25">
      <c r="A955" s="8">
        <v>183.96</v>
      </c>
      <c r="B955" s="8">
        <v>112.9</v>
      </c>
      <c r="C955" s="8">
        <v>44.6</v>
      </c>
      <c r="D955" s="8">
        <v>408.6</v>
      </c>
    </row>
    <row r="956" spans="1:4" x14ac:dyDescent="0.25">
      <c r="A956" s="8">
        <v>184.16</v>
      </c>
      <c r="B956" s="8">
        <v>112.4</v>
      </c>
      <c r="C956" s="8">
        <v>44.5</v>
      </c>
      <c r="D956" s="8">
        <v>407.6</v>
      </c>
    </row>
    <row r="957" spans="1:4" x14ac:dyDescent="0.25">
      <c r="A957" s="8">
        <v>184.36</v>
      </c>
      <c r="B957" s="8">
        <v>111.9</v>
      </c>
      <c r="C957" s="8">
        <v>44.4</v>
      </c>
      <c r="D957" s="8">
        <v>406.7</v>
      </c>
    </row>
    <row r="958" spans="1:4" x14ac:dyDescent="0.25">
      <c r="A958" s="8">
        <v>184.56</v>
      </c>
      <c r="B958" s="8">
        <v>111.4</v>
      </c>
      <c r="C958" s="8">
        <v>44.3</v>
      </c>
      <c r="D958" s="8">
        <v>405.7</v>
      </c>
    </row>
    <row r="959" spans="1:4" x14ac:dyDescent="0.25">
      <c r="A959" s="8">
        <v>184.76</v>
      </c>
      <c r="B959" s="8">
        <v>110.9</v>
      </c>
      <c r="C959" s="8">
        <v>44.2</v>
      </c>
      <c r="D959" s="8">
        <v>404.8</v>
      </c>
    </row>
    <row r="960" spans="1:4" x14ac:dyDescent="0.25">
      <c r="A960" s="8">
        <v>184.96</v>
      </c>
      <c r="B960" s="8">
        <v>110.5</v>
      </c>
      <c r="C960" s="8">
        <v>44.2</v>
      </c>
      <c r="D960" s="8">
        <v>403.8</v>
      </c>
    </row>
    <row r="961" spans="1:4" x14ac:dyDescent="0.25">
      <c r="A961" s="8">
        <v>185.16</v>
      </c>
      <c r="B961" s="8">
        <v>110</v>
      </c>
      <c r="C961" s="8">
        <v>44.1</v>
      </c>
      <c r="D961" s="8">
        <v>402.9</v>
      </c>
    </row>
    <row r="962" spans="1:4" x14ac:dyDescent="0.25">
      <c r="A962" s="8">
        <v>185.36</v>
      </c>
      <c r="B962" s="8">
        <v>109.6</v>
      </c>
      <c r="C962" s="8">
        <v>44</v>
      </c>
      <c r="D962" s="8">
        <v>401.9</v>
      </c>
    </row>
    <row r="963" spans="1:4" x14ac:dyDescent="0.25">
      <c r="A963" s="8">
        <v>185.56</v>
      </c>
      <c r="B963" s="8">
        <v>109.2</v>
      </c>
      <c r="C963" s="8">
        <v>43.9</v>
      </c>
      <c r="D963" s="8">
        <v>401</v>
      </c>
    </row>
    <row r="964" spans="1:4" x14ac:dyDescent="0.25">
      <c r="A964" s="8">
        <v>185.76</v>
      </c>
      <c r="B964" s="8">
        <v>108.8</v>
      </c>
      <c r="C964" s="8">
        <v>43.9</v>
      </c>
      <c r="D964" s="8">
        <v>400</v>
      </c>
    </row>
    <row r="965" spans="1:4" x14ac:dyDescent="0.25">
      <c r="A965" s="8">
        <v>185.96</v>
      </c>
      <c r="B965" s="8">
        <v>108.4</v>
      </c>
      <c r="C965" s="8">
        <v>43.8</v>
      </c>
      <c r="D965" s="8">
        <v>399.1</v>
      </c>
    </row>
    <row r="966" spans="1:4" x14ac:dyDescent="0.25">
      <c r="A966" s="8">
        <v>186.16</v>
      </c>
      <c r="B966" s="8">
        <v>108</v>
      </c>
      <c r="C966" s="8">
        <v>43.7</v>
      </c>
      <c r="D966" s="8">
        <v>398.1</v>
      </c>
    </row>
    <row r="967" spans="1:4" x14ac:dyDescent="0.25">
      <c r="A967" s="8">
        <v>186.36</v>
      </c>
      <c r="B967" s="8">
        <v>107.6</v>
      </c>
      <c r="C967" s="8">
        <v>43.7</v>
      </c>
      <c r="D967" s="8">
        <v>397.2</v>
      </c>
    </row>
    <row r="968" spans="1:4" x14ac:dyDescent="0.25">
      <c r="A968" s="8">
        <v>186.56</v>
      </c>
      <c r="B968" s="8">
        <v>107.2</v>
      </c>
      <c r="C968" s="8">
        <v>43.6</v>
      </c>
      <c r="D968" s="8">
        <v>396.2</v>
      </c>
    </row>
    <row r="969" spans="1:4" x14ac:dyDescent="0.25">
      <c r="A969" s="8">
        <v>186.76</v>
      </c>
      <c r="B969" s="8">
        <v>106.9</v>
      </c>
      <c r="C969" s="8">
        <v>43.6</v>
      </c>
      <c r="D969" s="8">
        <v>395.3</v>
      </c>
    </row>
    <row r="970" spans="1:4" x14ac:dyDescent="0.25">
      <c r="A970" s="8">
        <v>186.96</v>
      </c>
      <c r="B970" s="8">
        <v>106.5</v>
      </c>
      <c r="C970" s="8">
        <v>43.5</v>
      </c>
      <c r="D970" s="8">
        <v>394.3</v>
      </c>
    </row>
    <row r="971" spans="1:4" x14ac:dyDescent="0.25">
      <c r="A971" s="8">
        <v>187.16</v>
      </c>
      <c r="B971" s="8">
        <v>106.2</v>
      </c>
      <c r="C971" s="8">
        <v>43.4</v>
      </c>
      <c r="D971" s="8">
        <v>393.4</v>
      </c>
    </row>
    <row r="972" spans="1:4" x14ac:dyDescent="0.25">
      <c r="A972" s="8">
        <v>187.36</v>
      </c>
      <c r="B972" s="8">
        <v>105.9</v>
      </c>
      <c r="C972" s="8">
        <v>43.4</v>
      </c>
      <c r="D972" s="8">
        <v>392.4</v>
      </c>
    </row>
    <row r="973" spans="1:4" x14ac:dyDescent="0.25">
      <c r="A973" s="8">
        <v>187.56</v>
      </c>
      <c r="B973" s="8">
        <v>105.6</v>
      </c>
      <c r="C973" s="8">
        <v>43.3</v>
      </c>
      <c r="D973" s="8">
        <v>391.5</v>
      </c>
    </row>
    <row r="974" spans="1:4" x14ac:dyDescent="0.25">
      <c r="A974" s="8">
        <v>187.76</v>
      </c>
      <c r="B974" s="8">
        <v>105.3</v>
      </c>
      <c r="C974" s="8">
        <v>43.3</v>
      </c>
      <c r="D974" s="8">
        <v>390.5</v>
      </c>
    </row>
    <row r="975" spans="1:4" x14ac:dyDescent="0.25">
      <c r="A975" s="8">
        <v>187.96</v>
      </c>
      <c r="B975" s="8">
        <v>105</v>
      </c>
      <c r="C975" s="8">
        <v>43.3</v>
      </c>
      <c r="D975" s="8">
        <v>389.6</v>
      </c>
    </row>
    <row r="976" spans="1:4" x14ac:dyDescent="0.25">
      <c r="A976" s="8">
        <v>188.16</v>
      </c>
      <c r="B976" s="8">
        <v>104.7</v>
      </c>
      <c r="C976" s="8">
        <v>43.2</v>
      </c>
      <c r="D976" s="8">
        <v>388.6</v>
      </c>
    </row>
    <row r="977" spans="1:4" x14ac:dyDescent="0.25">
      <c r="A977" s="8">
        <v>188.36</v>
      </c>
      <c r="B977" s="8">
        <v>104.4</v>
      </c>
      <c r="C977" s="8">
        <v>43.2</v>
      </c>
      <c r="D977" s="8">
        <v>387.7</v>
      </c>
    </row>
    <row r="978" spans="1:4" x14ac:dyDescent="0.25">
      <c r="A978" s="8">
        <v>188.56</v>
      </c>
      <c r="B978" s="8">
        <v>104.1</v>
      </c>
      <c r="C978" s="8">
        <v>43.1</v>
      </c>
      <c r="D978" s="8">
        <v>386.7</v>
      </c>
    </row>
    <row r="979" spans="1:4" x14ac:dyDescent="0.25">
      <c r="A979" s="8">
        <v>188.76</v>
      </c>
      <c r="B979" s="8">
        <v>103.9</v>
      </c>
      <c r="C979" s="8">
        <v>43.1</v>
      </c>
      <c r="D979" s="8">
        <v>385.8</v>
      </c>
    </row>
    <row r="980" spans="1:4" x14ac:dyDescent="0.25">
      <c r="A980" s="8">
        <v>188.96</v>
      </c>
      <c r="B980" s="8">
        <v>103.6</v>
      </c>
      <c r="C980" s="8">
        <v>43</v>
      </c>
      <c r="D980" s="8">
        <v>384.8</v>
      </c>
    </row>
    <row r="981" spans="1:4" x14ac:dyDescent="0.25">
      <c r="A981" s="8">
        <v>189.16</v>
      </c>
      <c r="B981" s="8">
        <v>103.3</v>
      </c>
      <c r="C981" s="8">
        <v>43</v>
      </c>
      <c r="D981" s="8">
        <v>383.9</v>
      </c>
    </row>
    <row r="982" spans="1:4" x14ac:dyDescent="0.25">
      <c r="A982" s="8">
        <v>189.36</v>
      </c>
      <c r="B982" s="8">
        <v>103.1</v>
      </c>
      <c r="C982" s="8">
        <v>43</v>
      </c>
      <c r="D982" s="8">
        <v>382.9</v>
      </c>
    </row>
    <row r="983" spans="1:4" x14ac:dyDescent="0.25">
      <c r="A983" s="8">
        <v>189.56</v>
      </c>
      <c r="B983" s="8">
        <v>102.9</v>
      </c>
      <c r="C983" s="8">
        <v>42.9</v>
      </c>
      <c r="D983" s="8">
        <v>382</v>
      </c>
    </row>
    <row r="984" spans="1:4" x14ac:dyDescent="0.25">
      <c r="A984" s="8">
        <v>189.76</v>
      </c>
      <c r="B984" s="8">
        <v>102.6</v>
      </c>
      <c r="C984" s="8">
        <v>42.9</v>
      </c>
      <c r="D984" s="8">
        <v>381</v>
      </c>
    </row>
    <row r="985" spans="1:4" x14ac:dyDescent="0.25">
      <c r="A985" s="8">
        <v>189.96</v>
      </c>
      <c r="B985" s="8">
        <v>102.4</v>
      </c>
      <c r="C985" s="8">
        <v>42.9</v>
      </c>
      <c r="D985" s="8">
        <v>380.1</v>
      </c>
    </row>
    <row r="986" spans="1:4" x14ac:dyDescent="0.25">
      <c r="A986" s="8">
        <v>190.16</v>
      </c>
      <c r="B986" s="8">
        <v>102.2</v>
      </c>
      <c r="C986" s="8">
        <v>42.9</v>
      </c>
      <c r="D986" s="8">
        <v>379.1</v>
      </c>
    </row>
    <row r="987" spans="1:4" x14ac:dyDescent="0.25">
      <c r="A987" s="8">
        <v>190.36</v>
      </c>
      <c r="B987" s="8">
        <v>102</v>
      </c>
      <c r="C987" s="8">
        <v>42.8</v>
      </c>
      <c r="D987" s="8">
        <v>378.2</v>
      </c>
    </row>
    <row r="988" spans="1:4" x14ac:dyDescent="0.25">
      <c r="A988" s="8">
        <v>190.56</v>
      </c>
      <c r="B988" s="8">
        <v>101.8</v>
      </c>
      <c r="C988" s="8">
        <v>42.8</v>
      </c>
      <c r="D988" s="8">
        <v>377.2</v>
      </c>
    </row>
    <row r="989" spans="1:4" x14ac:dyDescent="0.25">
      <c r="A989" s="8">
        <v>190.76</v>
      </c>
      <c r="B989" s="8">
        <v>101.6</v>
      </c>
      <c r="C989" s="8">
        <v>42.8</v>
      </c>
      <c r="D989" s="8">
        <v>376.3</v>
      </c>
    </row>
    <row r="990" spans="1:4" x14ac:dyDescent="0.25">
      <c r="A990" s="8">
        <v>190.96</v>
      </c>
      <c r="B990" s="8">
        <v>101.4</v>
      </c>
      <c r="C990" s="8">
        <v>42.8</v>
      </c>
      <c r="D990" s="8">
        <v>375.3</v>
      </c>
    </row>
    <row r="991" spans="1:4" x14ac:dyDescent="0.25">
      <c r="A991" s="8">
        <v>191.16</v>
      </c>
      <c r="B991" s="8">
        <v>101.2</v>
      </c>
      <c r="C991" s="8">
        <v>42.7</v>
      </c>
      <c r="D991" s="8">
        <v>374.4</v>
      </c>
    </row>
    <row r="992" spans="1:4" x14ac:dyDescent="0.25">
      <c r="A992" s="8">
        <v>191.36</v>
      </c>
      <c r="B992" s="8">
        <v>101</v>
      </c>
      <c r="C992" s="8">
        <v>42.7</v>
      </c>
      <c r="D992" s="8">
        <v>373.4</v>
      </c>
    </row>
    <row r="993" spans="1:4" x14ac:dyDescent="0.25">
      <c r="A993" s="8">
        <v>191.56</v>
      </c>
      <c r="B993" s="8">
        <v>100.8</v>
      </c>
      <c r="C993" s="8">
        <v>42.7</v>
      </c>
      <c r="D993" s="8">
        <v>372.5</v>
      </c>
    </row>
    <row r="994" spans="1:4" x14ac:dyDescent="0.25">
      <c r="A994" s="8">
        <v>191.76</v>
      </c>
      <c r="B994" s="8">
        <v>100.6</v>
      </c>
      <c r="C994" s="8">
        <v>42.7</v>
      </c>
      <c r="D994" s="8">
        <v>371.5</v>
      </c>
    </row>
    <row r="995" spans="1:4" x14ac:dyDescent="0.25">
      <c r="A995" s="8">
        <v>191.96</v>
      </c>
      <c r="B995" s="8">
        <v>100.4</v>
      </c>
      <c r="C995" s="8">
        <v>42.7</v>
      </c>
      <c r="D995" s="8">
        <v>370.6</v>
      </c>
    </row>
    <row r="996" spans="1:4" x14ac:dyDescent="0.25">
      <c r="A996" s="8">
        <v>192.16</v>
      </c>
      <c r="B996" s="8">
        <v>100.3</v>
      </c>
      <c r="C996" s="8">
        <v>42.6</v>
      </c>
      <c r="D996" s="8">
        <v>369.6</v>
      </c>
    </row>
    <row r="997" spans="1:4" x14ac:dyDescent="0.25">
      <c r="A997" s="8">
        <v>192.36</v>
      </c>
      <c r="B997" s="8">
        <v>100.1</v>
      </c>
      <c r="C997" s="8">
        <v>42.6</v>
      </c>
      <c r="D997" s="8">
        <v>368.7</v>
      </c>
    </row>
    <row r="998" spans="1:4" x14ac:dyDescent="0.25">
      <c r="A998" s="8">
        <v>192.56</v>
      </c>
      <c r="B998" s="8">
        <v>99.9</v>
      </c>
      <c r="C998" s="8">
        <v>42.6</v>
      </c>
      <c r="D998" s="8">
        <v>367.7</v>
      </c>
    </row>
    <row r="999" spans="1:4" x14ac:dyDescent="0.25">
      <c r="A999" s="8">
        <v>192.76</v>
      </c>
      <c r="B999" s="8">
        <v>99.8</v>
      </c>
      <c r="C999" s="8">
        <v>42.6</v>
      </c>
      <c r="D999" s="8">
        <v>366.8</v>
      </c>
    </row>
    <row r="1000" spans="1:4" x14ac:dyDescent="0.25">
      <c r="A1000" s="8">
        <v>192.96</v>
      </c>
      <c r="B1000" s="8">
        <v>99.6</v>
      </c>
      <c r="C1000" s="8">
        <v>42.6</v>
      </c>
      <c r="D1000" s="8">
        <v>365.8</v>
      </c>
    </row>
    <row r="1001" spans="1:4" x14ac:dyDescent="0.25">
      <c r="A1001" s="8">
        <v>193.16</v>
      </c>
      <c r="B1001" s="8">
        <v>99.5</v>
      </c>
      <c r="C1001" s="8">
        <v>42.6</v>
      </c>
      <c r="D1001" s="8">
        <v>364.9</v>
      </c>
    </row>
    <row r="1002" spans="1:4" x14ac:dyDescent="0.25">
      <c r="A1002" s="8">
        <v>193.36</v>
      </c>
      <c r="B1002" s="8">
        <v>99.3</v>
      </c>
      <c r="C1002" s="8">
        <v>42.6</v>
      </c>
      <c r="D1002" s="8">
        <v>363.9</v>
      </c>
    </row>
    <row r="1003" spans="1:4" x14ac:dyDescent="0.25">
      <c r="A1003" s="8">
        <v>193.56</v>
      </c>
      <c r="B1003" s="8">
        <v>99.2</v>
      </c>
      <c r="C1003" s="8">
        <v>42.5</v>
      </c>
      <c r="D1003" s="8">
        <v>363</v>
      </c>
    </row>
    <row r="1004" spans="1:4" x14ac:dyDescent="0.25">
      <c r="A1004" s="8">
        <v>193.76</v>
      </c>
      <c r="B1004" s="8">
        <v>99.1</v>
      </c>
      <c r="C1004" s="8">
        <v>42.5</v>
      </c>
      <c r="D1004" s="8">
        <v>362</v>
      </c>
    </row>
    <row r="1005" spans="1:4" x14ac:dyDescent="0.25">
      <c r="A1005" s="8">
        <v>193.96</v>
      </c>
      <c r="B1005" s="8">
        <v>98.9</v>
      </c>
      <c r="C1005" s="8">
        <v>42.5</v>
      </c>
      <c r="D1005" s="8">
        <v>361.1</v>
      </c>
    </row>
    <row r="1006" spans="1:4" x14ac:dyDescent="0.25">
      <c r="A1006" s="8">
        <v>194.16</v>
      </c>
      <c r="B1006" s="8">
        <v>98.8</v>
      </c>
      <c r="C1006" s="8">
        <v>42.5</v>
      </c>
      <c r="D1006" s="8">
        <v>360.1</v>
      </c>
    </row>
    <row r="1007" spans="1:4" x14ac:dyDescent="0.25">
      <c r="A1007" s="8">
        <v>194.36</v>
      </c>
      <c r="B1007" s="8">
        <v>98.7</v>
      </c>
      <c r="C1007" s="8">
        <v>42.5</v>
      </c>
      <c r="D1007" s="8">
        <v>359.2</v>
      </c>
    </row>
    <row r="1008" spans="1:4" x14ac:dyDescent="0.25">
      <c r="A1008" s="8">
        <v>194.56</v>
      </c>
      <c r="B1008" s="8">
        <v>98.5</v>
      </c>
      <c r="C1008" s="8">
        <v>42.5</v>
      </c>
      <c r="D1008" s="8">
        <v>358.2</v>
      </c>
    </row>
    <row r="1009" spans="1:4" x14ac:dyDescent="0.25">
      <c r="A1009" s="8">
        <v>194.76</v>
      </c>
      <c r="B1009" s="8">
        <v>98.4</v>
      </c>
      <c r="C1009" s="8">
        <v>42.5</v>
      </c>
      <c r="D1009" s="8">
        <v>357.3</v>
      </c>
    </row>
    <row r="1010" spans="1:4" x14ac:dyDescent="0.25">
      <c r="A1010" s="8">
        <v>194.96</v>
      </c>
      <c r="B1010" s="8">
        <v>98.3</v>
      </c>
      <c r="C1010" s="8">
        <v>42.5</v>
      </c>
      <c r="D1010" s="8">
        <v>356.3</v>
      </c>
    </row>
    <row r="1011" spans="1:4" x14ac:dyDescent="0.25">
      <c r="A1011" s="8">
        <v>195.16</v>
      </c>
      <c r="B1011" s="8">
        <v>98.2</v>
      </c>
      <c r="C1011" s="8">
        <v>42.5</v>
      </c>
      <c r="D1011" s="8">
        <v>355.4</v>
      </c>
    </row>
    <row r="1012" spans="1:4" x14ac:dyDescent="0.25">
      <c r="A1012" s="8">
        <v>195.36</v>
      </c>
      <c r="B1012" s="8">
        <v>98.1</v>
      </c>
      <c r="C1012" s="8">
        <v>42.5</v>
      </c>
      <c r="D1012" s="8">
        <v>354.4</v>
      </c>
    </row>
    <row r="1013" spans="1:4" x14ac:dyDescent="0.25">
      <c r="A1013" s="8">
        <v>195.56</v>
      </c>
      <c r="B1013" s="8">
        <v>98</v>
      </c>
      <c r="C1013" s="8">
        <v>42.5</v>
      </c>
      <c r="D1013" s="8">
        <v>353.5</v>
      </c>
    </row>
    <row r="1014" spans="1:4" x14ac:dyDescent="0.25">
      <c r="A1014" s="8">
        <v>195.76</v>
      </c>
      <c r="B1014" s="8">
        <v>97.9</v>
      </c>
      <c r="C1014" s="8">
        <v>42.5</v>
      </c>
      <c r="D1014" s="8">
        <v>352.5</v>
      </c>
    </row>
    <row r="1015" spans="1:4" x14ac:dyDescent="0.25">
      <c r="A1015" s="8">
        <v>195.96</v>
      </c>
      <c r="B1015" s="8">
        <v>97.7</v>
      </c>
      <c r="C1015" s="8">
        <v>42.5</v>
      </c>
      <c r="D1015" s="8">
        <v>351.6</v>
      </c>
    </row>
    <row r="1016" spans="1:4" x14ac:dyDescent="0.25">
      <c r="A1016" s="8">
        <v>196.16</v>
      </c>
      <c r="B1016" s="8">
        <v>97.6</v>
      </c>
      <c r="C1016" s="8">
        <v>42.5</v>
      </c>
      <c r="D1016" s="8">
        <v>350.6</v>
      </c>
    </row>
    <row r="1017" spans="1:4" x14ac:dyDescent="0.25">
      <c r="A1017" s="8">
        <v>196.36</v>
      </c>
      <c r="B1017" s="8">
        <v>97.5</v>
      </c>
      <c r="C1017" s="8">
        <v>42.5</v>
      </c>
      <c r="D1017" s="8">
        <v>349.7</v>
      </c>
    </row>
    <row r="1018" spans="1:4" x14ac:dyDescent="0.25">
      <c r="A1018" s="8">
        <v>196.56</v>
      </c>
      <c r="B1018" s="8">
        <v>97.4</v>
      </c>
      <c r="C1018" s="8">
        <v>42.5</v>
      </c>
      <c r="D1018" s="8">
        <v>348.7</v>
      </c>
    </row>
    <row r="1019" spans="1:4" x14ac:dyDescent="0.25">
      <c r="A1019" s="8">
        <v>196.76</v>
      </c>
      <c r="B1019" s="8">
        <v>97.3</v>
      </c>
      <c r="C1019" s="8">
        <v>42.5</v>
      </c>
      <c r="D1019" s="8">
        <v>347.8</v>
      </c>
    </row>
    <row r="1020" spans="1:4" x14ac:dyDescent="0.25">
      <c r="A1020" s="8">
        <v>196.96</v>
      </c>
      <c r="B1020" s="8">
        <v>97.2</v>
      </c>
      <c r="C1020" s="8">
        <v>42.5</v>
      </c>
      <c r="D1020" s="8">
        <v>346.8</v>
      </c>
    </row>
    <row r="1021" spans="1:4" x14ac:dyDescent="0.25">
      <c r="A1021" s="8">
        <v>197.16</v>
      </c>
      <c r="B1021" s="8">
        <v>97.2</v>
      </c>
      <c r="C1021" s="8">
        <v>42.5</v>
      </c>
      <c r="D1021" s="8">
        <v>345.9</v>
      </c>
    </row>
    <row r="1022" spans="1:4" x14ac:dyDescent="0.25">
      <c r="A1022" s="8">
        <v>197.36</v>
      </c>
      <c r="B1022" s="8">
        <v>97.1</v>
      </c>
      <c r="C1022" s="8">
        <v>42.5</v>
      </c>
      <c r="D1022" s="8">
        <v>344.9</v>
      </c>
    </row>
    <row r="1023" spans="1:4" x14ac:dyDescent="0.25">
      <c r="A1023" s="8">
        <v>197.56</v>
      </c>
      <c r="B1023" s="8">
        <v>97</v>
      </c>
      <c r="C1023" s="8">
        <v>42.5</v>
      </c>
      <c r="D1023" s="8">
        <v>344</v>
      </c>
    </row>
    <row r="1024" spans="1:4" x14ac:dyDescent="0.25">
      <c r="A1024" s="8">
        <v>197.76</v>
      </c>
      <c r="B1024" s="8">
        <v>96.9</v>
      </c>
      <c r="C1024" s="8">
        <v>42.5</v>
      </c>
      <c r="D1024" s="8">
        <v>343</v>
      </c>
    </row>
    <row r="1025" spans="1:4" x14ac:dyDescent="0.25">
      <c r="A1025" s="8">
        <v>197.96</v>
      </c>
      <c r="B1025" s="8">
        <v>96.8</v>
      </c>
      <c r="C1025" s="8">
        <v>42.5</v>
      </c>
      <c r="D1025" s="8">
        <v>342.1</v>
      </c>
    </row>
    <row r="1026" spans="1:4" x14ac:dyDescent="0.25">
      <c r="A1026" s="8">
        <v>198.16</v>
      </c>
      <c r="B1026" s="8">
        <v>96.7</v>
      </c>
      <c r="C1026" s="8">
        <v>42.5</v>
      </c>
      <c r="D1026" s="8">
        <v>341.1</v>
      </c>
    </row>
    <row r="1027" spans="1:4" x14ac:dyDescent="0.25">
      <c r="A1027" s="8">
        <v>198.36</v>
      </c>
      <c r="B1027" s="8">
        <v>96.6</v>
      </c>
      <c r="C1027" s="8">
        <v>42.5</v>
      </c>
      <c r="D1027" s="8">
        <v>340.2</v>
      </c>
    </row>
    <row r="1028" spans="1:4" x14ac:dyDescent="0.25">
      <c r="A1028" s="8">
        <v>198.56</v>
      </c>
      <c r="B1028" s="8">
        <v>96.5</v>
      </c>
      <c r="C1028" s="8">
        <v>42.5</v>
      </c>
      <c r="D1028" s="8">
        <v>339.2</v>
      </c>
    </row>
    <row r="1029" spans="1:4" x14ac:dyDescent="0.25">
      <c r="A1029" s="8">
        <v>198.76</v>
      </c>
      <c r="B1029" s="8">
        <v>96.5</v>
      </c>
      <c r="C1029" s="8">
        <v>42.5</v>
      </c>
      <c r="D1029" s="8">
        <v>338.3</v>
      </c>
    </row>
    <row r="1030" spans="1:4" x14ac:dyDescent="0.25">
      <c r="A1030" s="8">
        <v>198.96</v>
      </c>
      <c r="B1030" s="8">
        <v>96.4</v>
      </c>
      <c r="C1030" s="8">
        <v>42.5</v>
      </c>
      <c r="D1030" s="8">
        <v>337.3</v>
      </c>
    </row>
    <row r="1031" spans="1:4" x14ac:dyDescent="0.25">
      <c r="A1031" s="8">
        <v>199.16</v>
      </c>
      <c r="B1031" s="8">
        <v>96.3</v>
      </c>
      <c r="C1031" s="8">
        <v>42.5</v>
      </c>
      <c r="D1031" s="8">
        <v>336.4</v>
      </c>
    </row>
    <row r="1032" spans="1:4" x14ac:dyDescent="0.25">
      <c r="A1032" s="8">
        <v>199.36</v>
      </c>
      <c r="B1032" s="8">
        <v>96.2</v>
      </c>
      <c r="C1032" s="8">
        <v>42.5</v>
      </c>
      <c r="D1032" s="8">
        <v>335.4</v>
      </c>
    </row>
    <row r="1033" spans="1:4" x14ac:dyDescent="0.25">
      <c r="A1033" s="8">
        <v>199.56</v>
      </c>
      <c r="B1033" s="8">
        <v>96.2</v>
      </c>
      <c r="C1033" s="8">
        <v>42.5</v>
      </c>
      <c r="D1033" s="8">
        <v>334.5</v>
      </c>
    </row>
    <row r="1034" spans="1:4" x14ac:dyDescent="0.25">
      <c r="A1034" s="8">
        <v>199.76</v>
      </c>
      <c r="B1034" s="8">
        <v>96.1</v>
      </c>
      <c r="C1034" s="8">
        <v>42.5</v>
      </c>
      <c r="D1034" s="8">
        <v>333.5</v>
      </c>
    </row>
    <row r="1035" spans="1:4" x14ac:dyDescent="0.25">
      <c r="A1035" s="8">
        <v>199.96</v>
      </c>
      <c r="B1035" s="8">
        <v>96</v>
      </c>
      <c r="C1035" s="8">
        <v>42.5</v>
      </c>
      <c r="D1035" s="8">
        <v>332.6</v>
      </c>
    </row>
    <row r="1036" spans="1:4" x14ac:dyDescent="0.25">
      <c r="A1036" s="8">
        <v>200.16</v>
      </c>
      <c r="B1036" s="8">
        <v>95.9</v>
      </c>
      <c r="C1036" s="8">
        <v>42.5</v>
      </c>
      <c r="D1036" s="8">
        <v>331.6</v>
      </c>
    </row>
    <row r="1037" spans="1:4" x14ac:dyDescent="0.25">
      <c r="A1037" s="8">
        <v>200.36</v>
      </c>
      <c r="B1037" s="8">
        <v>95.9</v>
      </c>
      <c r="C1037" s="8">
        <v>42.5</v>
      </c>
      <c r="D1037" s="8">
        <v>330.7</v>
      </c>
    </row>
    <row r="1038" spans="1:4" x14ac:dyDescent="0.25">
      <c r="A1038" s="8">
        <v>200.56</v>
      </c>
      <c r="B1038" s="8">
        <v>95.8</v>
      </c>
      <c r="C1038" s="8">
        <v>42.5</v>
      </c>
      <c r="D1038" s="8">
        <v>329.7</v>
      </c>
    </row>
    <row r="1039" spans="1:4" x14ac:dyDescent="0.25">
      <c r="A1039" s="8">
        <v>200.76</v>
      </c>
      <c r="B1039" s="8">
        <v>95.7</v>
      </c>
      <c r="C1039" s="8">
        <v>42.5</v>
      </c>
      <c r="D1039" s="8">
        <v>328.8</v>
      </c>
    </row>
    <row r="1040" spans="1:4" x14ac:dyDescent="0.25">
      <c r="A1040" s="8">
        <v>200.96</v>
      </c>
      <c r="B1040" s="8">
        <v>95.7</v>
      </c>
      <c r="C1040" s="8">
        <v>42.6</v>
      </c>
      <c r="D1040" s="8">
        <v>327.8</v>
      </c>
    </row>
    <row r="1041" spans="1:4" x14ac:dyDescent="0.25">
      <c r="A1041" s="8">
        <v>201.16</v>
      </c>
      <c r="B1041" s="8">
        <v>95.6</v>
      </c>
      <c r="C1041" s="8">
        <v>42.6</v>
      </c>
      <c r="D1041" s="8">
        <v>326.89999999999998</v>
      </c>
    </row>
    <row r="1042" spans="1:4" x14ac:dyDescent="0.25">
      <c r="A1042" s="8">
        <v>201.36</v>
      </c>
      <c r="B1042" s="8">
        <v>95.5</v>
      </c>
      <c r="C1042" s="8">
        <v>42.6</v>
      </c>
      <c r="D1042" s="8">
        <v>325.89999999999998</v>
      </c>
    </row>
    <row r="1043" spans="1:4" x14ac:dyDescent="0.25">
      <c r="A1043" s="8">
        <v>201.56</v>
      </c>
      <c r="B1043" s="8">
        <v>95.5</v>
      </c>
      <c r="C1043" s="8">
        <v>42.6</v>
      </c>
      <c r="D1043" s="8">
        <v>325</v>
      </c>
    </row>
    <row r="1044" spans="1:4" x14ac:dyDescent="0.25">
      <c r="A1044" s="8">
        <v>201.76</v>
      </c>
      <c r="B1044" s="8">
        <v>95.4</v>
      </c>
      <c r="C1044" s="8">
        <v>42.6</v>
      </c>
      <c r="D1044" s="8">
        <v>324</v>
      </c>
    </row>
    <row r="1045" spans="1:4" x14ac:dyDescent="0.25">
      <c r="A1045" s="8">
        <v>201.96</v>
      </c>
      <c r="B1045" s="8">
        <v>95.3</v>
      </c>
      <c r="C1045" s="8">
        <v>42.6</v>
      </c>
      <c r="D1045" s="8">
        <v>323.10000000000002</v>
      </c>
    </row>
    <row r="1046" spans="1:4" x14ac:dyDescent="0.25">
      <c r="A1046" s="8">
        <v>202.16</v>
      </c>
      <c r="B1046" s="8">
        <v>95.3</v>
      </c>
      <c r="C1046" s="8">
        <v>42.6</v>
      </c>
      <c r="D1046" s="8">
        <v>322.10000000000002</v>
      </c>
    </row>
    <row r="1047" spans="1:4" x14ac:dyDescent="0.25">
      <c r="A1047" s="8">
        <v>202.36</v>
      </c>
      <c r="B1047" s="8">
        <v>95.2</v>
      </c>
      <c r="C1047" s="8">
        <v>42.6</v>
      </c>
      <c r="D1047" s="8">
        <v>321.2</v>
      </c>
    </row>
    <row r="1048" spans="1:4" x14ac:dyDescent="0.25">
      <c r="A1048" s="8">
        <v>202.56</v>
      </c>
      <c r="B1048" s="8">
        <v>95.1</v>
      </c>
      <c r="C1048" s="8">
        <v>42.6</v>
      </c>
      <c r="D1048" s="8">
        <v>320.2</v>
      </c>
    </row>
    <row r="1049" spans="1:4" x14ac:dyDescent="0.25">
      <c r="A1049" s="8">
        <v>202.76</v>
      </c>
      <c r="B1049" s="8">
        <v>95.1</v>
      </c>
      <c r="C1049" s="8">
        <v>42.6</v>
      </c>
      <c r="D1049" s="8">
        <v>319.2</v>
      </c>
    </row>
    <row r="1050" spans="1:4" x14ac:dyDescent="0.25">
      <c r="A1050" s="8">
        <v>202.96</v>
      </c>
      <c r="B1050" s="8">
        <v>95</v>
      </c>
      <c r="C1050" s="8">
        <v>42.6</v>
      </c>
      <c r="D1050" s="8">
        <v>318.3</v>
      </c>
    </row>
    <row r="1051" spans="1:4" x14ac:dyDescent="0.25">
      <c r="A1051" s="8">
        <v>203.16</v>
      </c>
      <c r="B1051" s="8">
        <v>95</v>
      </c>
      <c r="C1051" s="8">
        <v>42.6</v>
      </c>
      <c r="D1051" s="8">
        <v>317.3</v>
      </c>
    </row>
    <row r="1052" spans="1:4" x14ac:dyDescent="0.25">
      <c r="A1052" s="8">
        <v>203.36</v>
      </c>
      <c r="B1052" s="8">
        <v>94.9</v>
      </c>
      <c r="C1052" s="8">
        <v>42.6</v>
      </c>
      <c r="D1052" s="8">
        <v>316.39999999999998</v>
      </c>
    </row>
    <row r="1053" spans="1:4" x14ac:dyDescent="0.25">
      <c r="A1053" s="8">
        <v>203.56</v>
      </c>
      <c r="B1053" s="8">
        <v>94.8</v>
      </c>
      <c r="C1053" s="8">
        <v>42.7</v>
      </c>
      <c r="D1053" s="8">
        <v>315.39999999999998</v>
      </c>
    </row>
    <row r="1054" spans="1:4" x14ac:dyDescent="0.25">
      <c r="A1054" s="8">
        <v>203.76</v>
      </c>
      <c r="B1054" s="8">
        <v>94.8</v>
      </c>
      <c r="C1054" s="8">
        <v>42.7</v>
      </c>
      <c r="D1054" s="8">
        <v>314.5</v>
      </c>
    </row>
    <row r="1055" spans="1:4" x14ac:dyDescent="0.25">
      <c r="A1055" s="8">
        <v>203.96</v>
      </c>
      <c r="B1055" s="8">
        <v>94.7</v>
      </c>
      <c r="C1055" s="8">
        <v>42.7</v>
      </c>
      <c r="D1055" s="8">
        <v>313.5</v>
      </c>
    </row>
    <row r="1056" spans="1:4" x14ac:dyDescent="0.25">
      <c r="A1056" s="8">
        <v>204.16</v>
      </c>
      <c r="B1056" s="8">
        <v>94.7</v>
      </c>
      <c r="C1056" s="8">
        <v>42.7</v>
      </c>
      <c r="D1056" s="8">
        <v>312.60000000000002</v>
      </c>
    </row>
    <row r="1057" spans="1:4" x14ac:dyDescent="0.25">
      <c r="A1057" s="8">
        <v>204.36</v>
      </c>
      <c r="B1057" s="8">
        <v>94.6</v>
      </c>
      <c r="C1057" s="8">
        <v>42.7</v>
      </c>
      <c r="D1057" s="8">
        <v>311.60000000000002</v>
      </c>
    </row>
    <row r="1058" spans="1:4" x14ac:dyDescent="0.25">
      <c r="A1058" s="8">
        <v>204.56</v>
      </c>
      <c r="B1058" s="8">
        <v>94.6</v>
      </c>
      <c r="C1058" s="8">
        <v>42.7</v>
      </c>
      <c r="D1058" s="8">
        <v>310.7</v>
      </c>
    </row>
    <row r="1059" spans="1:4" x14ac:dyDescent="0.25">
      <c r="A1059" s="8">
        <v>204.76</v>
      </c>
      <c r="B1059" s="8">
        <v>94.5</v>
      </c>
      <c r="C1059" s="8">
        <v>42.7</v>
      </c>
      <c r="D1059" s="8">
        <v>309.7</v>
      </c>
    </row>
    <row r="1060" spans="1:4" x14ac:dyDescent="0.25">
      <c r="A1060" s="8">
        <v>204.96</v>
      </c>
      <c r="B1060" s="8">
        <v>94.4</v>
      </c>
      <c r="C1060" s="8">
        <v>42.7</v>
      </c>
      <c r="D1060" s="8">
        <v>308.8</v>
      </c>
    </row>
    <row r="1061" spans="1:4" x14ac:dyDescent="0.25">
      <c r="A1061" s="8">
        <v>205.16</v>
      </c>
      <c r="B1061" s="8">
        <v>94.4</v>
      </c>
      <c r="C1061" s="8">
        <v>42.7</v>
      </c>
      <c r="D1061" s="8">
        <v>307.8</v>
      </c>
    </row>
    <row r="1062" spans="1:4" x14ac:dyDescent="0.25">
      <c r="A1062" s="8">
        <v>205.36</v>
      </c>
      <c r="B1062" s="8">
        <v>94.3</v>
      </c>
      <c r="C1062" s="8">
        <v>42.7</v>
      </c>
      <c r="D1062" s="8">
        <v>306.89999999999998</v>
      </c>
    </row>
    <row r="1063" spans="1:4" x14ac:dyDescent="0.25">
      <c r="A1063" s="8">
        <v>205.56</v>
      </c>
      <c r="B1063" s="8">
        <v>94.3</v>
      </c>
      <c r="C1063" s="8">
        <v>42.7</v>
      </c>
      <c r="D1063" s="8">
        <v>305.89999999999998</v>
      </c>
    </row>
    <row r="1064" spans="1:4" x14ac:dyDescent="0.25">
      <c r="A1064" s="8">
        <v>205.76</v>
      </c>
      <c r="B1064" s="8">
        <v>94.2</v>
      </c>
      <c r="C1064" s="8">
        <v>42.8</v>
      </c>
      <c r="D1064" s="8">
        <v>305</v>
      </c>
    </row>
    <row r="1065" spans="1:4" x14ac:dyDescent="0.25">
      <c r="A1065" s="8">
        <v>205.96</v>
      </c>
      <c r="B1065" s="8">
        <v>94.2</v>
      </c>
      <c r="C1065" s="8">
        <v>42.8</v>
      </c>
      <c r="D1065" s="8">
        <v>304</v>
      </c>
    </row>
    <row r="1066" spans="1:4" x14ac:dyDescent="0.25">
      <c r="A1066" s="8">
        <v>206.16</v>
      </c>
      <c r="B1066" s="8">
        <v>94.1</v>
      </c>
      <c r="C1066" s="8">
        <v>42.8</v>
      </c>
      <c r="D1066" s="8">
        <v>303.10000000000002</v>
      </c>
    </row>
    <row r="1067" spans="1:4" x14ac:dyDescent="0.25">
      <c r="A1067" s="8">
        <v>206.36</v>
      </c>
      <c r="B1067" s="8">
        <v>94.1</v>
      </c>
      <c r="C1067" s="8">
        <v>42.8</v>
      </c>
      <c r="D1067" s="8">
        <v>302.10000000000002</v>
      </c>
    </row>
    <row r="1068" spans="1:4" x14ac:dyDescent="0.25">
      <c r="A1068" s="8">
        <v>206.56</v>
      </c>
      <c r="B1068" s="8">
        <v>94</v>
      </c>
      <c r="C1068" s="8">
        <v>42.8</v>
      </c>
      <c r="D1068" s="8">
        <v>301.2</v>
      </c>
    </row>
    <row r="1069" spans="1:4" x14ac:dyDescent="0.25">
      <c r="A1069" s="8">
        <v>206.76</v>
      </c>
      <c r="B1069" s="8">
        <v>94</v>
      </c>
      <c r="C1069" s="8">
        <v>42.8</v>
      </c>
      <c r="D1069" s="8">
        <v>300.2</v>
      </c>
    </row>
    <row r="1070" spans="1:4" x14ac:dyDescent="0.25">
      <c r="A1070" s="8">
        <v>206.96</v>
      </c>
      <c r="B1070" s="8">
        <v>93.9</v>
      </c>
      <c r="C1070" s="8">
        <v>42.8</v>
      </c>
      <c r="D1070" s="8">
        <v>299.3</v>
      </c>
    </row>
    <row r="1071" spans="1:4" x14ac:dyDescent="0.25">
      <c r="A1071" s="8">
        <v>207.16</v>
      </c>
      <c r="B1071" s="8">
        <v>93.8</v>
      </c>
      <c r="C1071" s="8">
        <v>42.8</v>
      </c>
      <c r="D1071" s="8">
        <v>298.3</v>
      </c>
    </row>
    <row r="1072" spans="1:4" x14ac:dyDescent="0.25">
      <c r="A1072" s="8">
        <v>207.36</v>
      </c>
      <c r="B1072" s="8">
        <v>93.8</v>
      </c>
      <c r="C1072" s="8">
        <v>42.8</v>
      </c>
      <c r="D1072" s="8">
        <v>297.39999999999998</v>
      </c>
    </row>
    <row r="1073" spans="1:4" x14ac:dyDescent="0.25">
      <c r="A1073" s="8">
        <v>207.56</v>
      </c>
      <c r="B1073" s="8">
        <v>93.7</v>
      </c>
      <c r="C1073" s="8">
        <v>42.8</v>
      </c>
      <c r="D1073" s="8">
        <v>296.39999999999998</v>
      </c>
    </row>
    <row r="1074" spans="1:4" x14ac:dyDescent="0.25">
      <c r="A1074" s="8">
        <v>207.76</v>
      </c>
      <c r="B1074" s="8">
        <v>93.7</v>
      </c>
      <c r="C1074" s="8">
        <v>42.9</v>
      </c>
      <c r="D1074" s="8">
        <v>295.5</v>
      </c>
    </row>
    <row r="1075" spans="1:4" x14ac:dyDescent="0.25">
      <c r="A1075" s="8">
        <v>207.96</v>
      </c>
      <c r="B1075" s="8">
        <v>93.6</v>
      </c>
      <c r="C1075" s="8">
        <v>42.9</v>
      </c>
      <c r="D1075" s="8">
        <v>294.5</v>
      </c>
    </row>
    <row r="1076" spans="1:4" x14ac:dyDescent="0.25">
      <c r="A1076" s="8">
        <v>208.16</v>
      </c>
      <c r="B1076" s="8">
        <v>93.6</v>
      </c>
      <c r="C1076" s="8">
        <v>42.9</v>
      </c>
      <c r="D1076" s="8">
        <v>293.60000000000002</v>
      </c>
    </row>
    <row r="1077" spans="1:4" x14ac:dyDescent="0.25">
      <c r="A1077" s="8">
        <v>208.36</v>
      </c>
      <c r="B1077" s="8">
        <v>93.5</v>
      </c>
      <c r="C1077" s="8">
        <v>42.9</v>
      </c>
      <c r="D1077" s="8">
        <v>292.60000000000002</v>
      </c>
    </row>
    <row r="1078" spans="1:4" x14ac:dyDescent="0.25">
      <c r="A1078" s="8">
        <v>208.56</v>
      </c>
      <c r="B1078" s="8">
        <v>93.5</v>
      </c>
      <c r="C1078" s="8">
        <v>42.9</v>
      </c>
      <c r="D1078" s="8">
        <v>291.7</v>
      </c>
    </row>
    <row r="1079" spans="1:4" x14ac:dyDescent="0.25">
      <c r="A1079" s="8">
        <v>208.76</v>
      </c>
      <c r="B1079" s="8">
        <v>93.4</v>
      </c>
      <c r="C1079" s="8">
        <v>42.9</v>
      </c>
      <c r="D1079" s="8">
        <v>290.7</v>
      </c>
    </row>
    <row r="1080" spans="1:4" x14ac:dyDescent="0.25">
      <c r="A1080" s="8">
        <v>208.96</v>
      </c>
      <c r="B1080" s="8">
        <v>93.4</v>
      </c>
      <c r="C1080" s="8">
        <v>42.9</v>
      </c>
      <c r="D1080" s="8">
        <v>289.8</v>
      </c>
    </row>
    <row r="1081" spans="1:4" x14ac:dyDescent="0.25">
      <c r="A1081" s="8">
        <v>209.16</v>
      </c>
      <c r="B1081" s="8">
        <v>93.3</v>
      </c>
      <c r="C1081" s="8">
        <v>42.9</v>
      </c>
      <c r="D1081" s="8">
        <v>288.8</v>
      </c>
    </row>
    <row r="1082" spans="1:4" x14ac:dyDescent="0.25">
      <c r="A1082" s="8">
        <v>209.36</v>
      </c>
      <c r="B1082" s="8">
        <v>93.3</v>
      </c>
      <c r="C1082" s="8">
        <v>42.9</v>
      </c>
      <c r="D1082" s="8">
        <v>287.89999999999998</v>
      </c>
    </row>
    <row r="1083" spans="1:4" x14ac:dyDescent="0.25">
      <c r="A1083" s="8">
        <v>209.56</v>
      </c>
      <c r="B1083" s="8">
        <v>93.2</v>
      </c>
      <c r="C1083" s="8">
        <v>42.9</v>
      </c>
      <c r="D1083" s="8">
        <v>286.89999999999998</v>
      </c>
    </row>
    <row r="1084" spans="1:4" x14ac:dyDescent="0.25">
      <c r="A1084" s="8">
        <v>209.76</v>
      </c>
      <c r="B1084" s="8">
        <v>93.2</v>
      </c>
      <c r="C1084" s="8">
        <v>43</v>
      </c>
      <c r="D1084" s="8">
        <v>286</v>
      </c>
    </row>
    <row r="1085" spans="1:4" x14ac:dyDescent="0.25">
      <c r="A1085" s="8">
        <v>209.96</v>
      </c>
      <c r="B1085" s="8">
        <v>93.1</v>
      </c>
      <c r="C1085" s="8">
        <v>43</v>
      </c>
      <c r="D1085" s="8">
        <v>285</v>
      </c>
    </row>
    <row r="1086" spans="1:4" x14ac:dyDescent="0.25">
      <c r="A1086" s="8">
        <v>210.16</v>
      </c>
      <c r="B1086" s="8">
        <v>93</v>
      </c>
      <c r="C1086" s="8">
        <v>43</v>
      </c>
      <c r="D1086" s="8">
        <v>284.10000000000002</v>
      </c>
    </row>
    <row r="1087" spans="1:4" x14ac:dyDescent="0.25">
      <c r="A1087" s="8">
        <v>210.36</v>
      </c>
      <c r="B1087" s="8">
        <v>93</v>
      </c>
      <c r="C1087" s="8">
        <v>43</v>
      </c>
      <c r="D1087" s="8">
        <v>283.10000000000002</v>
      </c>
    </row>
    <row r="1088" spans="1:4" x14ac:dyDescent="0.25">
      <c r="A1088" s="8">
        <v>210.56</v>
      </c>
      <c r="B1088" s="8">
        <v>92.9</v>
      </c>
      <c r="C1088" s="8">
        <v>43</v>
      </c>
      <c r="D1088" s="8">
        <v>282.2</v>
      </c>
    </row>
    <row r="1089" spans="1:4" x14ac:dyDescent="0.25">
      <c r="A1089" s="8">
        <v>210.76</v>
      </c>
      <c r="B1089" s="8">
        <v>92.9</v>
      </c>
      <c r="C1089" s="8">
        <v>43</v>
      </c>
      <c r="D1089" s="8">
        <v>281.2</v>
      </c>
    </row>
    <row r="1090" spans="1:4" x14ac:dyDescent="0.25">
      <c r="A1090" s="8">
        <v>210.96</v>
      </c>
      <c r="B1090" s="8">
        <v>92.8</v>
      </c>
      <c r="C1090" s="8">
        <v>43</v>
      </c>
      <c r="D1090" s="8">
        <v>280.3</v>
      </c>
    </row>
    <row r="1091" spans="1:4" x14ac:dyDescent="0.25">
      <c r="A1091" s="8">
        <v>211.16</v>
      </c>
      <c r="B1091" s="8">
        <v>92.8</v>
      </c>
      <c r="C1091" s="8">
        <v>43</v>
      </c>
      <c r="D1091" s="8">
        <v>279.3</v>
      </c>
    </row>
    <row r="1092" spans="1:4" x14ac:dyDescent="0.25">
      <c r="A1092" s="8">
        <v>211.36</v>
      </c>
      <c r="B1092" s="8">
        <v>92.7</v>
      </c>
      <c r="C1092" s="8">
        <v>43</v>
      </c>
      <c r="D1092" s="8">
        <v>278.39999999999998</v>
      </c>
    </row>
    <row r="1093" spans="1:4" x14ac:dyDescent="0.25">
      <c r="A1093" s="8">
        <v>211.56</v>
      </c>
      <c r="B1093" s="8">
        <v>92.7</v>
      </c>
      <c r="C1093" s="8">
        <v>43</v>
      </c>
      <c r="D1093" s="8">
        <v>277.39999999999998</v>
      </c>
    </row>
    <row r="1094" spans="1:4" x14ac:dyDescent="0.25">
      <c r="A1094" s="8">
        <v>211.76</v>
      </c>
      <c r="B1094" s="8">
        <v>92.6</v>
      </c>
      <c r="C1094" s="8">
        <v>43.1</v>
      </c>
      <c r="D1094" s="8">
        <v>276.5</v>
      </c>
    </row>
    <row r="1095" spans="1:4" x14ac:dyDescent="0.25">
      <c r="A1095" s="8">
        <v>211.96</v>
      </c>
      <c r="B1095" s="8">
        <v>92.6</v>
      </c>
      <c r="C1095" s="8">
        <v>43.1</v>
      </c>
      <c r="D1095" s="8">
        <v>275.5</v>
      </c>
    </row>
    <row r="1096" spans="1:4" x14ac:dyDescent="0.25">
      <c r="A1096" s="8">
        <v>212.16</v>
      </c>
      <c r="B1096" s="8">
        <v>92.5</v>
      </c>
      <c r="C1096" s="8">
        <v>43.1</v>
      </c>
      <c r="D1096" s="8">
        <v>274.60000000000002</v>
      </c>
    </row>
    <row r="1097" spans="1:4" x14ac:dyDescent="0.25">
      <c r="A1097" s="8">
        <v>212.36</v>
      </c>
      <c r="B1097" s="8">
        <v>92.5</v>
      </c>
      <c r="C1097" s="8">
        <v>43.1</v>
      </c>
      <c r="D1097" s="8">
        <v>273.60000000000002</v>
      </c>
    </row>
    <row r="1098" spans="1:4" x14ac:dyDescent="0.25">
      <c r="A1098" s="8">
        <v>212.56</v>
      </c>
      <c r="B1098" s="8">
        <v>92.4</v>
      </c>
      <c r="C1098" s="8">
        <v>43.1</v>
      </c>
      <c r="D1098" s="8">
        <v>272.7</v>
      </c>
    </row>
    <row r="1099" spans="1:4" x14ac:dyDescent="0.25">
      <c r="A1099" s="8">
        <v>212.76</v>
      </c>
      <c r="B1099" s="8">
        <v>92.3</v>
      </c>
      <c r="C1099" s="8">
        <v>43.1</v>
      </c>
      <c r="D1099" s="8">
        <v>271.7</v>
      </c>
    </row>
    <row r="1100" spans="1:4" x14ac:dyDescent="0.25">
      <c r="A1100" s="8">
        <v>212.96</v>
      </c>
      <c r="B1100" s="8">
        <v>92.3</v>
      </c>
      <c r="C1100" s="8">
        <v>43.1</v>
      </c>
      <c r="D1100" s="8">
        <v>270.8</v>
      </c>
    </row>
    <row r="1101" spans="1:4" x14ac:dyDescent="0.25">
      <c r="A1101" s="8">
        <v>213.16</v>
      </c>
      <c r="B1101" s="8">
        <v>92.2</v>
      </c>
      <c r="C1101" s="8">
        <v>43.1</v>
      </c>
      <c r="D1101" s="8">
        <v>269.8</v>
      </c>
    </row>
    <row r="1102" spans="1:4" x14ac:dyDescent="0.25">
      <c r="A1102" s="8">
        <v>213.36</v>
      </c>
      <c r="B1102" s="8">
        <v>92.2</v>
      </c>
      <c r="C1102" s="8">
        <v>43.1</v>
      </c>
      <c r="D1102" s="8">
        <v>268.89999999999998</v>
      </c>
    </row>
    <row r="1103" spans="1:4" x14ac:dyDescent="0.25">
      <c r="A1103" s="8">
        <v>213.56</v>
      </c>
      <c r="B1103" s="8">
        <v>92.1</v>
      </c>
      <c r="C1103" s="8">
        <v>43.2</v>
      </c>
      <c r="D1103" s="8">
        <v>267.89999999999998</v>
      </c>
    </row>
    <row r="1104" spans="1:4" x14ac:dyDescent="0.25">
      <c r="A1104" s="8">
        <v>213.76</v>
      </c>
      <c r="B1104" s="8">
        <v>92.1</v>
      </c>
      <c r="C1104" s="8">
        <v>43.2</v>
      </c>
      <c r="D1104" s="8">
        <v>267</v>
      </c>
    </row>
    <row r="1105" spans="1:4" x14ac:dyDescent="0.25">
      <c r="A1105" s="8">
        <v>213.96</v>
      </c>
      <c r="B1105" s="8">
        <v>92</v>
      </c>
      <c r="C1105" s="8">
        <v>43.2</v>
      </c>
      <c r="D1105" s="8">
        <v>266</v>
      </c>
    </row>
    <row r="1106" spans="1:4" x14ac:dyDescent="0.25">
      <c r="A1106" s="8">
        <v>214.16</v>
      </c>
      <c r="B1106" s="8">
        <v>91.9</v>
      </c>
      <c r="C1106" s="8">
        <v>43.2</v>
      </c>
      <c r="D1106" s="8">
        <v>265.10000000000002</v>
      </c>
    </row>
    <row r="1107" spans="1:4" x14ac:dyDescent="0.25">
      <c r="A1107" s="8">
        <v>214.36</v>
      </c>
      <c r="B1107" s="8">
        <v>91.9</v>
      </c>
      <c r="C1107" s="8">
        <v>43.2</v>
      </c>
      <c r="D1107" s="8">
        <v>264.10000000000002</v>
      </c>
    </row>
    <row r="1108" spans="1:4" x14ac:dyDescent="0.25">
      <c r="A1108" s="8">
        <v>214.56</v>
      </c>
      <c r="B1108" s="8">
        <v>91.8</v>
      </c>
      <c r="C1108" s="8">
        <v>43.2</v>
      </c>
      <c r="D1108" s="8">
        <v>263.2</v>
      </c>
    </row>
    <row r="1109" spans="1:4" x14ac:dyDescent="0.25">
      <c r="A1109" s="8">
        <v>214.76</v>
      </c>
      <c r="B1109" s="8">
        <v>91.8</v>
      </c>
      <c r="C1109" s="8">
        <v>43.2</v>
      </c>
      <c r="D1109" s="8">
        <v>262.2</v>
      </c>
    </row>
    <row r="1110" spans="1:4" x14ac:dyDescent="0.25">
      <c r="A1110" s="8">
        <v>214.96</v>
      </c>
      <c r="B1110" s="8">
        <v>91.7</v>
      </c>
      <c r="C1110" s="8">
        <v>43.2</v>
      </c>
      <c r="D1110" s="8">
        <v>261.3</v>
      </c>
    </row>
    <row r="1111" spans="1:4" x14ac:dyDescent="0.25">
      <c r="A1111" s="8">
        <v>215.16</v>
      </c>
      <c r="B1111" s="8">
        <v>91.6</v>
      </c>
      <c r="C1111" s="8">
        <v>43.2</v>
      </c>
      <c r="D1111" s="8">
        <v>260.3</v>
      </c>
    </row>
    <row r="1112" spans="1:4" x14ac:dyDescent="0.25">
      <c r="A1112" s="8">
        <v>215.36</v>
      </c>
      <c r="B1112" s="8">
        <v>91.6</v>
      </c>
      <c r="C1112" s="8">
        <v>43.2</v>
      </c>
      <c r="D1112" s="8">
        <v>259.39999999999998</v>
      </c>
    </row>
    <row r="1113" spans="1:4" x14ac:dyDescent="0.25">
      <c r="A1113" s="8">
        <v>215.56</v>
      </c>
      <c r="B1113" s="8">
        <v>91.5</v>
      </c>
      <c r="C1113" s="8">
        <v>43.3</v>
      </c>
      <c r="D1113" s="8">
        <v>258.39999999999998</v>
      </c>
    </row>
    <row r="1114" spans="1:4" x14ac:dyDescent="0.25">
      <c r="A1114" s="8">
        <v>215.76</v>
      </c>
      <c r="B1114" s="8">
        <v>91.5</v>
      </c>
      <c r="C1114" s="8">
        <v>43.3</v>
      </c>
      <c r="D1114" s="8">
        <v>257.5</v>
      </c>
    </row>
    <row r="1115" spans="1:4" x14ac:dyDescent="0.25">
      <c r="A1115" s="8">
        <v>215.96</v>
      </c>
      <c r="B1115" s="8">
        <v>91.4</v>
      </c>
      <c r="C1115" s="8">
        <v>43.3</v>
      </c>
      <c r="D1115" s="8">
        <v>256.5</v>
      </c>
    </row>
    <row r="1116" spans="1:4" x14ac:dyDescent="0.25">
      <c r="A1116" s="8">
        <v>216.16</v>
      </c>
      <c r="B1116" s="8">
        <v>91.3</v>
      </c>
      <c r="C1116" s="8">
        <v>43.3</v>
      </c>
      <c r="D1116" s="8">
        <v>255.6</v>
      </c>
    </row>
    <row r="1117" spans="1:4" x14ac:dyDescent="0.25">
      <c r="A1117" s="8">
        <v>216.36</v>
      </c>
      <c r="B1117" s="8">
        <v>91.3</v>
      </c>
      <c r="C1117" s="8">
        <v>43.3</v>
      </c>
      <c r="D1117" s="8">
        <v>254.6</v>
      </c>
    </row>
    <row r="1118" spans="1:4" x14ac:dyDescent="0.25">
      <c r="A1118" s="8">
        <v>216.56</v>
      </c>
      <c r="B1118" s="8">
        <v>91.2</v>
      </c>
      <c r="C1118" s="8">
        <v>43.3</v>
      </c>
      <c r="D1118" s="8">
        <v>253.7</v>
      </c>
    </row>
    <row r="1119" spans="1:4" x14ac:dyDescent="0.25">
      <c r="A1119" s="8">
        <v>216.76</v>
      </c>
      <c r="B1119" s="8">
        <v>91.1</v>
      </c>
      <c r="C1119" s="8">
        <v>43.3</v>
      </c>
      <c r="D1119" s="8">
        <v>252.7</v>
      </c>
    </row>
    <row r="1120" spans="1:4" x14ac:dyDescent="0.25">
      <c r="A1120" s="8">
        <v>216.96</v>
      </c>
      <c r="B1120" s="8">
        <v>91.1</v>
      </c>
      <c r="C1120" s="8">
        <v>43.3</v>
      </c>
      <c r="D1120" s="8">
        <v>251.8</v>
      </c>
    </row>
    <row r="1121" spans="1:4" x14ac:dyDescent="0.25">
      <c r="A1121" s="8">
        <v>217.16</v>
      </c>
      <c r="B1121" s="8">
        <v>91</v>
      </c>
      <c r="C1121" s="8">
        <v>43.3</v>
      </c>
      <c r="D1121" s="8">
        <v>250.8</v>
      </c>
    </row>
    <row r="1122" spans="1:4" x14ac:dyDescent="0.25">
      <c r="A1122" s="8">
        <v>217.36</v>
      </c>
      <c r="B1122" s="8">
        <v>91</v>
      </c>
      <c r="C1122" s="8">
        <v>43.4</v>
      </c>
      <c r="D1122" s="8">
        <v>249.9</v>
      </c>
    </row>
    <row r="1123" spans="1:4" x14ac:dyDescent="0.25">
      <c r="A1123" s="8">
        <v>217.56</v>
      </c>
      <c r="B1123" s="8">
        <v>90.9</v>
      </c>
      <c r="C1123" s="8">
        <v>43.4</v>
      </c>
      <c r="D1123" s="8">
        <v>248.9</v>
      </c>
    </row>
    <row r="1124" spans="1:4" x14ac:dyDescent="0.25">
      <c r="A1124" s="8">
        <v>217.76</v>
      </c>
      <c r="B1124" s="8">
        <v>90.8</v>
      </c>
      <c r="C1124" s="8">
        <v>43.4</v>
      </c>
      <c r="D1124" s="8">
        <v>248</v>
      </c>
    </row>
    <row r="1125" spans="1:4" x14ac:dyDescent="0.25">
      <c r="A1125" s="8">
        <v>217.96</v>
      </c>
      <c r="B1125" s="8">
        <v>90.8</v>
      </c>
      <c r="C1125" s="8">
        <v>43.4</v>
      </c>
      <c r="D1125" s="8">
        <v>247</v>
      </c>
    </row>
    <row r="1126" spans="1:4" x14ac:dyDescent="0.25">
      <c r="A1126" s="8">
        <v>218.16</v>
      </c>
      <c r="B1126" s="8">
        <v>90.7</v>
      </c>
      <c r="C1126" s="8">
        <v>43.4</v>
      </c>
      <c r="D1126" s="8">
        <v>246.1</v>
      </c>
    </row>
    <row r="1127" spans="1:4" x14ac:dyDescent="0.25">
      <c r="A1127" s="8">
        <v>218.36</v>
      </c>
      <c r="B1127" s="8">
        <v>90.6</v>
      </c>
      <c r="C1127" s="8">
        <v>43.4</v>
      </c>
      <c r="D1127" s="8">
        <v>245.1</v>
      </c>
    </row>
    <row r="1128" spans="1:4" x14ac:dyDescent="0.25">
      <c r="A1128" s="8">
        <v>218.56</v>
      </c>
      <c r="B1128" s="8">
        <v>90.5</v>
      </c>
      <c r="C1128" s="8">
        <v>43.4</v>
      </c>
      <c r="D1128" s="8">
        <v>244.2</v>
      </c>
    </row>
    <row r="1129" spans="1:4" x14ac:dyDescent="0.25">
      <c r="A1129" s="8">
        <v>218.76</v>
      </c>
      <c r="B1129" s="8">
        <v>90.5</v>
      </c>
      <c r="C1129" s="8">
        <v>43.4</v>
      </c>
      <c r="D1129" s="8">
        <v>243.2</v>
      </c>
    </row>
    <row r="1130" spans="1:4" x14ac:dyDescent="0.25">
      <c r="A1130" s="8">
        <v>218.96</v>
      </c>
      <c r="B1130" s="8">
        <v>90.4</v>
      </c>
      <c r="C1130" s="8">
        <v>43.4</v>
      </c>
      <c r="D1130" s="8">
        <v>242.3</v>
      </c>
    </row>
    <row r="1131" spans="1:4" x14ac:dyDescent="0.25">
      <c r="A1131" s="8">
        <v>219.16</v>
      </c>
      <c r="B1131" s="8">
        <v>90.3</v>
      </c>
      <c r="C1131" s="8">
        <v>43.4</v>
      </c>
      <c r="D1131" s="8">
        <v>241.3</v>
      </c>
    </row>
    <row r="1132" spans="1:4" x14ac:dyDescent="0.25">
      <c r="A1132" s="8">
        <v>219.36</v>
      </c>
      <c r="B1132" s="8">
        <v>90.3</v>
      </c>
      <c r="C1132" s="8">
        <v>43.5</v>
      </c>
      <c r="D1132" s="8">
        <v>240.4</v>
      </c>
    </row>
    <row r="1133" spans="1:4" x14ac:dyDescent="0.25">
      <c r="A1133" s="8">
        <v>219.56</v>
      </c>
      <c r="B1133" s="8">
        <v>90.2</v>
      </c>
      <c r="C1133" s="8">
        <v>43.5</v>
      </c>
      <c r="D1133" s="8">
        <v>239.4</v>
      </c>
    </row>
    <row r="1134" spans="1:4" x14ac:dyDescent="0.25">
      <c r="A1134" s="8">
        <v>219.76</v>
      </c>
      <c r="B1134" s="8">
        <v>90.1</v>
      </c>
      <c r="C1134" s="8">
        <v>43.5</v>
      </c>
      <c r="D1134" s="8">
        <v>238.5</v>
      </c>
    </row>
    <row r="1135" spans="1:4" x14ac:dyDescent="0.25">
      <c r="A1135" s="8">
        <v>219.96</v>
      </c>
      <c r="B1135" s="8">
        <v>90</v>
      </c>
      <c r="C1135" s="8">
        <v>43.5</v>
      </c>
      <c r="D1135" s="8">
        <v>237.5</v>
      </c>
    </row>
    <row r="1136" spans="1:4" x14ac:dyDescent="0.25">
      <c r="A1136" s="8">
        <v>220.16</v>
      </c>
      <c r="B1136" s="8">
        <v>90</v>
      </c>
      <c r="C1136" s="8">
        <v>43.5</v>
      </c>
      <c r="D1136" s="8">
        <v>236.6</v>
      </c>
    </row>
    <row r="1137" spans="1:4" x14ac:dyDescent="0.25">
      <c r="A1137" s="8">
        <v>220.36</v>
      </c>
      <c r="B1137" s="8">
        <v>89.9</v>
      </c>
      <c r="C1137" s="8">
        <v>43.5</v>
      </c>
      <c r="D1137" s="8">
        <v>235.6</v>
      </c>
    </row>
    <row r="1138" spans="1:4" x14ac:dyDescent="0.25">
      <c r="A1138" s="8">
        <v>220.56</v>
      </c>
      <c r="B1138" s="8">
        <v>89.8</v>
      </c>
      <c r="C1138" s="8">
        <v>43.5</v>
      </c>
      <c r="D1138" s="8">
        <v>234.7</v>
      </c>
    </row>
    <row r="1139" spans="1:4" x14ac:dyDescent="0.25">
      <c r="A1139" s="8">
        <v>220.76</v>
      </c>
      <c r="B1139" s="8">
        <v>89.7</v>
      </c>
      <c r="C1139" s="8">
        <v>43.5</v>
      </c>
      <c r="D1139" s="8">
        <v>233.7</v>
      </c>
    </row>
    <row r="1140" spans="1:4" x14ac:dyDescent="0.25">
      <c r="A1140" s="8">
        <v>220.96</v>
      </c>
      <c r="B1140" s="8">
        <v>89.7</v>
      </c>
      <c r="C1140" s="8">
        <v>43.5</v>
      </c>
      <c r="D1140" s="8">
        <v>232.8</v>
      </c>
    </row>
    <row r="1141" spans="1:4" x14ac:dyDescent="0.25">
      <c r="A1141" s="8">
        <v>221.16</v>
      </c>
      <c r="B1141" s="8">
        <v>89.6</v>
      </c>
      <c r="C1141" s="8">
        <v>43.6</v>
      </c>
      <c r="D1141" s="8">
        <v>231.8</v>
      </c>
    </row>
    <row r="1142" spans="1:4" x14ac:dyDescent="0.25">
      <c r="A1142" s="8">
        <v>221.36</v>
      </c>
      <c r="B1142" s="8">
        <v>89.5</v>
      </c>
      <c r="C1142" s="8">
        <v>43.6</v>
      </c>
      <c r="D1142" s="8">
        <v>230.9</v>
      </c>
    </row>
    <row r="1143" spans="1:4" x14ac:dyDescent="0.25">
      <c r="A1143" s="8">
        <v>221.56</v>
      </c>
      <c r="B1143" s="8">
        <v>89.4</v>
      </c>
      <c r="C1143" s="8">
        <v>43.6</v>
      </c>
      <c r="D1143" s="8">
        <v>229.9</v>
      </c>
    </row>
    <row r="1144" spans="1:4" x14ac:dyDescent="0.25">
      <c r="A1144" s="8">
        <v>221.76</v>
      </c>
      <c r="B1144" s="8">
        <v>89.3</v>
      </c>
      <c r="C1144" s="8">
        <v>43.6</v>
      </c>
      <c r="D1144" s="8">
        <v>229</v>
      </c>
    </row>
    <row r="1145" spans="1:4" x14ac:dyDescent="0.25">
      <c r="A1145" s="8">
        <v>221.96</v>
      </c>
      <c r="B1145" s="8">
        <v>89.3</v>
      </c>
      <c r="C1145" s="8">
        <v>43.6</v>
      </c>
      <c r="D1145" s="8">
        <v>228</v>
      </c>
    </row>
    <row r="1146" spans="1:4" x14ac:dyDescent="0.25">
      <c r="A1146" s="8">
        <v>222.16</v>
      </c>
      <c r="B1146" s="8">
        <v>89.2</v>
      </c>
      <c r="C1146" s="8">
        <v>43.6</v>
      </c>
      <c r="D1146" s="8">
        <v>227.1</v>
      </c>
    </row>
    <row r="1147" spans="1:4" x14ac:dyDescent="0.25">
      <c r="A1147" s="8">
        <v>222.36</v>
      </c>
      <c r="B1147" s="8">
        <v>89.1</v>
      </c>
      <c r="C1147" s="8">
        <v>43.6</v>
      </c>
      <c r="D1147" s="8">
        <v>226.1</v>
      </c>
    </row>
    <row r="1148" spans="1:4" x14ac:dyDescent="0.25">
      <c r="A1148" s="8">
        <v>222.56</v>
      </c>
      <c r="B1148" s="8">
        <v>89</v>
      </c>
      <c r="C1148" s="8">
        <v>43.6</v>
      </c>
      <c r="D1148" s="8">
        <v>225.2</v>
      </c>
    </row>
    <row r="1149" spans="1:4" x14ac:dyDescent="0.25">
      <c r="A1149" s="8">
        <v>222.76</v>
      </c>
      <c r="B1149" s="8">
        <v>88.9</v>
      </c>
      <c r="C1149" s="8">
        <v>43.6</v>
      </c>
      <c r="D1149" s="8">
        <v>224.2</v>
      </c>
    </row>
    <row r="1150" spans="1:4" x14ac:dyDescent="0.25">
      <c r="A1150" s="8">
        <v>222.96</v>
      </c>
      <c r="B1150" s="8">
        <v>88.8</v>
      </c>
      <c r="C1150" s="8">
        <v>43.7</v>
      </c>
      <c r="D1150" s="8">
        <v>223.3</v>
      </c>
    </row>
    <row r="1151" spans="1:4" x14ac:dyDescent="0.25">
      <c r="A1151" s="8">
        <v>223.16</v>
      </c>
      <c r="B1151" s="8">
        <v>88.8</v>
      </c>
      <c r="C1151" s="8">
        <v>43.7</v>
      </c>
      <c r="D1151" s="8">
        <v>222.3</v>
      </c>
    </row>
    <row r="1152" spans="1:4" x14ac:dyDescent="0.25">
      <c r="A1152" s="8">
        <v>223.36</v>
      </c>
      <c r="B1152" s="8">
        <v>88.7</v>
      </c>
      <c r="C1152" s="8">
        <v>43.7</v>
      </c>
      <c r="D1152" s="8">
        <v>221.4</v>
      </c>
    </row>
    <row r="1153" spans="1:4" x14ac:dyDescent="0.25">
      <c r="A1153" s="8">
        <v>223.56</v>
      </c>
      <c r="B1153" s="8">
        <v>88.6</v>
      </c>
      <c r="C1153" s="8">
        <v>43.7</v>
      </c>
      <c r="D1153" s="8">
        <v>220.4</v>
      </c>
    </row>
    <row r="1154" spans="1:4" x14ac:dyDescent="0.25">
      <c r="A1154" s="8">
        <v>223.76</v>
      </c>
      <c r="B1154" s="8">
        <v>88.5</v>
      </c>
      <c r="C1154" s="8">
        <v>43.7</v>
      </c>
      <c r="D1154" s="8">
        <v>219.5</v>
      </c>
    </row>
    <row r="1155" spans="1:4" x14ac:dyDescent="0.25">
      <c r="A1155" s="8">
        <v>223.96</v>
      </c>
      <c r="B1155" s="8">
        <v>88.4</v>
      </c>
      <c r="C1155" s="8">
        <v>43.7</v>
      </c>
      <c r="D1155" s="8">
        <v>218.5</v>
      </c>
    </row>
    <row r="1156" spans="1:4" x14ac:dyDescent="0.25">
      <c r="A1156" s="8">
        <v>224.16</v>
      </c>
      <c r="B1156" s="8">
        <v>88.3</v>
      </c>
      <c r="C1156" s="8">
        <v>43.7</v>
      </c>
      <c r="D1156" s="8">
        <v>217.6</v>
      </c>
    </row>
    <row r="1157" spans="1:4" x14ac:dyDescent="0.25">
      <c r="A1157" s="8">
        <v>224.36</v>
      </c>
      <c r="B1157" s="8">
        <v>88.2</v>
      </c>
      <c r="C1157" s="8">
        <v>43.7</v>
      </c>
      <c r="D1157" s="8">
        <v>216.6</v>
      </c>
    </row>
    <row r="1158" spans="1:4" x14ac:dyDescent="0.25">
      <c r="A1158" s="8">
        <v>224.56</v>
      </c>
      <c r="B1158" s="8">
        <v>88.1</v>
      </c>
      <c r="C1158" s="8">
        <v>43.7</v>
      </c>
      <c r="D1158" s="8">
        <v>215.7</v>
      </c>
    </row>
    <row r="1159" spans="1:4" x14ac:dyDescent="0.25">
      <c r="A1159" s="8">
        <v>224.76</v>
      </c>
      <c r="B1159" s="8">
        <v>88</v>
      </c>
      <c r="C1159" s="8">
        <v>43.8</v>
      </c>
      <c r="D1159" s="8">
        <v>214.7</v>
      </c>
    </row>
    <row r="1160" spans="1:4" x14ac:dyDescent="0.25">
      <c r="A1160" s="8">
        <v>224.96</v>
      </c>
      <c r="B1160" s="8">
        <v>87.9</v>
      </c>
      <c r="C1160" s="8">
        <v>43.8</v>
      </c>
      <c r="D1160" s="8">
        <v>213.8</v>
      </c>
    </row>
    <row r="1161" spans="1:4" x14ac:dyDescent="0.25">
      <c r="A1161" s="8">
        <v>225.16</v>
      </c>
      <c r="B1161" s="8">
        <v>87.8</v>
      </c>
      <c r="C1161" s="8">
        <v>43.8</v>
      </c>
      <c r="D1161" s="8">
        <v>212.8</v>
      </c>
    </row>
    <row r="1162" spans="1:4" x14ac:dyDescent="0.25">
      <c r="A1162" s="8">
        <v>225.36</v>
      </c>
      <c r="B1162" s="8">
        <v>87.7</v>
      </c>
      <c r="C1162" s="8">
        <v>43.8</v>
      </c>
      <c r="D1162" s="8">
        <v>211.9</v>
      </c>
    </row>
    <row r="1163" spans="1:4" x14ac:dyDescent="0.25">
      <c r="A1163" s="8">
        <v>225.56</v>
      </c>
      <c r="B1163" s="8">
        <v>87.6</v>
      </c>
      <c r="C1163" s="8">
        <v>43.8</v>
      </c>
      <c r="D1163" s="8">
        <v>210.9</v>
      </c>
    </row>
    <row r="1164" spans="1:4" x14ac:dyDescent="0.25">
      <c r="A1164" s="8">
        <v>225.76</v>
      </c>
      <c r="B1164" s="8">
        <v>87.6</v>
      </c>
      <c r="C1164" s="8">
        <v>43.8</v>
      </c>
      <c r="D1164" s="8">
        <v>210</v>
      </c>
    </row>
    <row r="1165" spans="1:4" x14ac:dyDescent="0.25">
      <c r="A1165" s="8">
        <v>225.96</v>
      </c>
      <c r="B1165" s="8">
        <v>87.5</v>
      </c>
      <c r="C1165" s="8">
        <v>43.8</v>
      </c>
      <c r="D1165" s="8">
        <v>209</v>
      </c>
    </row>
    <row r="1166" spans="1:4" x14ac:dyDescent="0.25">
      <c r="A1166" s="8">
        <v>226.16</v>
      </c>
      <c r="B1166" s="8">
        <v>87.3</v>
      </c>
      <c r="C1166" s="8">
        <v>43.8</v>
      </c>
      <c r="D1166" s="8">
        <v>208.1</v>
      </c>
    </row>
    <row r="1167" spans="1:4" x14ac:dyDescent="0.25">
      <c r="A1167" s="8">
        <v>226.36</v>
      </c>
      <c r="B1167" s="8">
        <v>87.2</v>
      </c>
      <c r="C1167" s="8">
        <v>43.9</v>
      </c>
      <c r="D1167" s="8">
        <v>207.1</v>
      </c>
    </row>
    <row r="1168" spans="1:4" x14ac:dyDescent="0.25">
      <c r="A1168" s="8">
        <v>226.56</v>
      </c>
      <c r="B1168" s="8">
        <v>87.1</v>
      </c>
      <c r="C1168" s="8">
        <v>43.9</v>
      </c>
      <c r="D1168" s="8">
        <v>206.2</v>
      </c>
    </row>
    <row r="1169" spans="1:4" x14ac:dyDescent="0.25">
      <c r="A1169" s="8">
        <v>226.76</v>
      </c>
      <c r="B1169" s="8">
        <v>87</v>
      </c>
      <c r="C1169" s="8">
        <v>43.9</v>
      </c>
      <c r="D1169" s="8">
        <v>205.2</v>
      </c>
    </row>
    <row r="1170" spans="1:4" x14ac:dyDescent="0.25">
      <c r="A1170" s="8">
        <v>226.96</v>
      </c>
      <c r="B1170" s="8">
        <v>86.9</v>
      </c>
      <c r="C1170" s="8">
        <v>43.9</v>
      </c>
      <c r="D1170" s="8">
        <v>204.3</v>
      </c>
    </row>
    <row r="1171" spans="1:4" x14ac:dyDescent="0.25">
      <c r="A1171" s="8">
        <v>227.16</v>
      </c>
      <c r="B1171" s="8">
        <v>86.8</v>
      </c>
      <c r="C1171" s="8">
        <v>43.9</v>
      </c>
      <c r="D1171" s="8">
        <v>203.3</v>
      </c>
    </row>
    <row r="1172" spans="1:4" x14ac:dyDescent="0.25">
      <c r="A1172" s="8">
        <v>227.36</v>
      </c>
      <c r="B1172" s="8">
        <v>86.7</v>
      </c>
      <c r="C1172" s="8">
        <v>43.9</v>
      </c>
      <c r="D1172" s="8">
        <v>202.4</v>
      </c>
    </row>
    <row r="1173" spans="1:4" x14ac:dyDescent="0.25">
      <c r="A1173" s="8">
        <v>227.56</v>
      </c>
      <c r="B1173" s="8">
        <v>86.6</v>
      </c>
      <c r="C1173" s="8">
        <v>43.9</v>
      </c>
      <c r="D1173" s="8">
        <v>201.4</v>
      </c>
    </row>
    <row r="1174" spans="1:4" x14ac:dyDescent="0.25">
      <c r="A1174" s="8">
        <v>227.76</v>
      </c>
      <c r="B1174" s="8">
        <v>86.5</v>
      </c>
      <c r="C1174" s="8">
        <v>43.9</v>
      </c>
      <c r="D1174" s="8">
        <v>200.4</v>
      </c>
    </row>
    <row r="1175" spans="1:4" x14ac:dyDescent="0.25">
      <c r="A1175" s="8">
        <v>227.96</v>
      </c>
      <c r="B1175" s="8">
        <v>86.4</v>
      </c>
      <c r="C1175" s="8">
        <v>44</v>
      </c>
      <c r="D1175" s="8">
        <v>199.5</v>
      </c>
    </row>
    <row r="1176" spans="1:4" x14ac:dyDescent="0.25">
      <c r="A1176" s="8">
        <v>228.16</v>
      </c>
      <c r="B1176" s="8">
        <v>86.3</v>
      </c>
      <c r="C1176" s="8">
        <v>44</v>
      </c>
      <c r="D1176" s="8">
        <v>198.5</v>
      </c>
    </row>
    <row r="1177" spans="1:4" x14ac:dyDescent="0.25">
      <c r="A1177" s="8">
        <v>228.36</v>
      </c>
      <c r="B1177" s="8">
        <v>86.2</v>
      </c>
      <c r="C1177" s="8">
        <v>44</v>
      </c>
      <c r="D1177" s="8">
        <v>197.6</v>
      </c>
    </row>
    <row r="1178" spans="1:4" x14ac:dyDescent="0.25">
      <c r="A1178" s="8">
        <v>228.56</v>
      </c>
      <c r="B1178" s="8">
        <v>86</v>
      </c>
      <c r="C1178" s="8">
        <v>44</v>
      </c>
      <c r="D1178" s="8">
        <v>196.6</v>
      </c>
    </row>
    <row r="1179" spans="1:4" x14ac:dyDescent="0.25">
      <c r="A1179" s="8">
        <v>228.76</v>
      </c>
      <c r="B1179" s="8">
        <v>85.9</v>
      </c>
      <c r="C1179" s="8">
        <v>44</v>
      </c>
      <c r="D1179" s="8">
        <v>195.7</v>
      </c>
    </row>
    <row r="1180" spans="1:4" x14ac:dyDescent="0.25">
      <c r="A1180" s="8">
        <v>228.96</v>
      </c>
      <c r="B1180" s="8">
        <v>85.8</v>
      </c>
      <c r="C1180" s="8">
        <v>44</v>
      </c>
      <c r="D1180" s="8">
        <v>194.7</v>
      </c>
    </row>
    <row r="1181" spans="1:4" x14ac:dyDescent="0.25">
      <c r="A1181" s="8">
        <v>229.16</v>
      </c>
      <c r="B1181" s="8">
        <v>85.7</v>
      </c>
      <c r="C1181" s="8">
        <v>44</v>
      </c>
      <c r="D1181" s="8">
        <v>193.8</v>
      </c>
    </row>
    <row r="1182" spans="1:4" x14ac:dyDescent="0.25">
      <c r="A1182" s="8">
        <v>229.36</v>
      </c>
      <c r="B1182" s="8">
        <v>85.6</v>
      </c>
      <c r="C1182" s="8">
        <v>44</v>
      </c>
      <c r="D1182" s="8">
        <v>192.8</v>
      </c>
    </row>
    <row r="1183" spans="1:4" x14ac:dyDescent="0.25">
      <c r="A1183" s="8">
        <v>229.56</v>
      </c>
      <c r="B1183" s="8">
        <v>85.4</v>
      </c>
      <c r="C1183" s="8">
        <v>44.1</v>
      </c>
      <c r="D1183" s="8">
        <v>191.9</v>
      </c>
    </row>
    <row r="1184" spans="1:4" x14ac:dyDescent="0.25">
      <c r="A1184" s="8">
        <v>229.76</v>
      </c>
      <c r="B1184" s="8">
        <v>85.3</v>
      </c>
      <c r="C1184" s="8">
        <v>44.1</v>
      </c>
      <c r="D1184" s="8">
        <v>190.9</v>
      </c>
    </row>
    <row r="1185" spans="1:4" x14ac:dyDescent="0.25">
      <c r="A1185" s="8">
        <v>229.96</v>
      </c>
      <c r="B1185" s="8">
        <v>85.2</v>
      </c>
      <c r="C1185" s="8">
        <v>44.1</v>
      </c>
      <c r="D1185" s="8">
        <v>190</v>
      </c>
    </row>
    <row r="1186" spans="1:4" x14ac:dyDescent="0.25">
      <c r="A1186" s="8">
        <v>230.16</v>
      </c>
      <c r="B1186" s="8">
        <v>85.1</v>
      </c>
      <c r="C1186" s="8">
        <v>44.1</v>
      </c>
      <c r="D1186" s="8">
        <v>189</v>
      </c>
    </row>
    <row r="1187" spans="1:4" x14ac:dyDescent="0.25">
      <c r="A1187" s="8">
        <v>230.36</v>
      </c>
      <c r="B1187" s="8">
        <v>84.9</v>
      </c>
      <c r="C1187" s="8">
        <v>44.1</v>
      </c>
      <c r="D1187" s="8">
        <v>188.1</v>
      </c>
    </row>
    <row r="1188" spans="1:4" x14ac:dyDescent="0.25">
      <c r="A1188" s="8">
        <v>230.56</v>
      </c>
      <c r="B1188" s="8">
        <v>84.8</v>
      </c>
      <c r="C1188" s="8">
        <v>44.1</v>
      </c>
      <c r="D1188" s="8">
        <v>187.1</v>
      </c>
    </row>
    <row r="1189" spans="1:4" x14ac:dyDescent="0.25">
      <c r="A1189" s="8">
        <v>230.76</v>
      </c>
      <c r="B1189" s="8">
        <v>84.7</v>
      </c>
      <c r="C1189" s="8">
        <v>44.1</v>
      </c>
      <c r="D1189" s="8">
        <v>186.2</v>
      </c>
    </row>
    <row r="1190" spans="1:4" x14ac:dyDescent="0.25">
      <c r="A1190" s="8">
        <v>230.96</v>
      </c>
      <c r="B1190" s="8">
        <v>84.5</v>
      </c>
      <c r="C1190" s="8">
        <v>44.2</v>
      </c>
      <c r="D1190" s="8">
        <v>185.2</v>
      </c>
    </row>
    <row r="1191" spans="1:4" x14ac:dyDescent="0.25">
      <c r="A1191" s="8">
        <v>231.16</v>
      </c>
      <c r="B1191" s="8">
        <v>84.4</v>
      </c>
      <c r="C1191" s="8">
        <v>44.2</v>
      </c>
      <c r="D1191" s="8">
        <v>184.3</v>
      </c>
    </row>
    <row r="1192" spans="1:4" x14ac:dyDescent="0.25">
      <c r="A1192" s="8">
        <v>231.36</v>
      </c>
      <c r="B1192" s="8">
        <v>84.3</v>
      </c>
      <c r="C1192" s="8">
        <v>44.2</v>
      </c>
      <c r="D1192" s="8">
        <v>183.3</v>
      </c>
    </row>
    <row r="1193" spans="1:4" x14ac:dyDescent="0.25">
      <c r="A1193" s="8">
        <v>231.56</v>
      </c>
      <c r="B1193" s="8">
        <v>84.1</v>
      </c>
      <c r="C1193" s="8">
        <v>44.2</v>
      </c>
      <c r="D1193" s="8">
        <v>182.4</v>
      </c>
    </row>
    <row r="1194" spans="1:4" x14ac:dyDescent="0.25">
      <c r="A1194" s="8">
        <v>231.76</v>
      </c>
      <c r="B1194" s="8">
        <v>84</v>
      </c>
      <c r="C1194" s="8">
        <v>44.2</v>
      </c>
      <c r="D1194" s="8">
        <v>181.4</v>
      </c>
    </row>
    <row r="1195" spans="1:4" x14ac:dyDescent="0.25">
      <c r="A1195" s="8">
        <v>231.96</v>
      </c>
      <c r="B1195" s="8">
        <v>83.9</v>
      </c>
      <c r="C1195" s="8">
        <v>44.2</v>
      </c>
      <c r="D1195" s="8">
        <v>180.5</v>
      </c>
    </row>
    <row r="1196" spans="1:4" x14ac:dyDescent="0.25">
      <c r="A1196" s="8">
        <v>232.16</v>
      </c>
      <c r="B1196" s="8">
        <v>83.7</v>
      </c>
      <c r="C1196" s="8">
        <v>44.3</v>
      </c>
      <c r="D1196" s="8">
        <v>179.5</v>
      </c>
    </row>
    <row r="1197" spans="1:4" x14ac:dyDescent="0.25">
      <c r="A1197" s="8">
        <v>232.36</v>
      </c>
      <c r="B1197" s="8">
        <v>83.6</v>
      </c>
      <c r="C1197" s="8">
        <v>44.3</v>
      </c>
      <c r="D1197" s="8">
        <v>178.6</v>
      </c>
    </row>
    <row r="1198" spans="1:4" x14ac:dyDescent="0.25">
      <c r="A1198" s="8">
        <v>232.56</v>
      </c>
      <c r="B1198" s="8">
        <v>83.4</v>
      </c>
      <c r="C1198" s="8">
        <v>44.3</v>
      </c>
      <c r="D1198" s="8">
        <v>177.6</v>
      </c>
    </row>
    <row r="1199" spans="1:4" x14ac:dyDescent="0.25">
      <c r="A1199" s="8">
        <v>232.76</v>
      </c>
      <c r="B1199" s="8">
        <v>83.3</v>
      </c>
      <c r="C1199" s="8">
        <v>44.3</v>
      </c>
      <c r="D1199" s="8">
        <v>176.7</v>
      </c>
    </row>
    <row r="1200" spans="1:4" x14ac:dyDescent="0.25">
      <c r="A1200" s="8">
        <v>232.96</v>
      </c>
      <c r="B1200" s="8">
        <v>83.1</v>
      </c>
      <c r="C1200" s="8">
        <v>44.3</v>
      </c>
      <c r="D1200" s="8">
        <v>175.7</v>
      </c>
    </row>
    <row r="1201" spans="1:4" x14ac:dyDescent="0.25">
      <c r="A1201" s="8">
        <v>233.16</v>
      </c>
      <c r="B1201" s="8">
        <v>83</v>
      </c>
      <c r="C1201" s="8">
        <v>44.3</v>
      </c>
      <c r="D1201" s="8">
        <v>174.8</v>
      </c>
    </row>
    <row r="1202" spans="1:4" x14ac:dyDescent="0.25">
      <c r="A1202" s="8">
        <v>233.36</v>
      </c>
      <c r="B1202" s="8">
        <v>82.8</v>
      </c>
      <c r="C1202" s="8">
        <v>44.3</v>
      </c>
      <c r="D1202" s="8">
        <v>173.8</v>
      </c>
    </row>
    <row r="1203" spans="1:4" x14ac:dyDescent="0.25">
      <c r="A1203" s="8">
        <v>233.56</v>
      </c>
      <c r="B1203" s="8">
        <v>82.7</v>
      </c>
      <c r="C1203" s="8">
        <v>44.4</v>
      </c>
      <c r="D1203" s="8">
        <v>172.9</v>
      </c>
    </row>
    <row r="1204" spans="1:4" x14ac:dyDescent="0.25">
      <c r="A1204" s="8">
        <v>233.76</v>
      </c>
      <c r="B1204" s="8">
        <v>82.5</v>
      </c>
      <c r="C1204" s="8">
        <v>44.4</v>
      </c>
      <c r="D1204" s="8">
        <v>171.9</v>
      </c>
    </row>
    <row r="1205" spans="1:4" x14ac:dyDescent="0.25">
      <c r="A1205" s="8">
        <v>233.96</v>
      </c>
      <c r="B1205" s="8">
        <v>82.4</v>
      </c>
      <c r="C1205" s="8">
        <v>44.4</v>
      </c>
      <c r="D1205" s="8">
        <v>171</v>
      </c>
    </row>
    <row r="1206" spans="1:4" x14ac:dyDescent="0.25">
      <c r="A1206" s="8">
        <v>234.16</v>
      </c>
      <c r="B1206" s="8">
        <v>82.2</v>
      </c>
      <c r="C1206" s="8">
        <v>44.4</v>
      </c>
      <c r="D1206" s="8">
        <v>170</v>
      </c>
    </row>
    <row r="1207" spans="1:4" x14ac:dyDescent="0.25">
      <c r="A1207" s="8">
        <v>234.36</v>
      </c>
      <c r="B1207" s="8">
        <v>82</v>
      </c>
      <c r="C1207" s="8">
        <v>44.4</v>
      </c>
      <c r="D1207" s="8">
        <v>169.1</v>
      </c>
    </row>
    <row r="1208" spans="1:4" x14ac:dyDescent="0.25">
      <c r="A1208" s="8">
        <v>234.56</v>
      </c>
      <c r="B1208" s="8">
        <v>81.900000000000006</v>
      </c>
      <c r="C1208" s="8">
        <v>44.4</v>
      </c>
      <c r="D1208" s="8">
        <v>168.1</v>
      </c>
    </row>
    <row r="1209" spans="1:4" x14ac:dyDescent="0.25">
      <c r="A1209" s="8">
        <v>234.76</v>
      </c>
      <c r="B1209" s="8">
        <v>81.7</v>
      </c>
      <c r="C1209" s="8">
        <v>44.5</v>
      </c>
      <c r="D1209" s="8">
        <v>167.2</v>
      </c>
    </row>
    <row r="1210" spans="1:4" x14ac:dyDescent="0.25">
      <c r="A1210" s="8">
        <v>234.96</v>
      </c>
      <c r="B1210" s="8">
        <v>81.5</v>
      </c>
      <c r="C1210" s="8">
        <v>44.5</v>
      </c>
      <c r="D1210" s="8">
        <v>166.2</v>
      </c>
    </row>
    <row r="1211" spans="1:4" x14ac:dyDescent="0.25">
      <c r="A1211" s="8">
        <v>235.16</v>
      </c>
      <c r="B1211" s="8">
        <v>81.400000000000006</v>
      </c>
      <c r="C1211" s="8">
        <v>44.5</v>
      </c>
      <c r="D1211" s="8">
        <v>165.3</v>
      </c>
    </row>
    <row r="1212" spans="1:4" x14ac:dyDescent="0.25">
      <c r="A1212" s="8">
        <v>235.36</v>
      </c>
      <c r="B1212" s="8">
        <v>81.2</v>
      </c>
      <c r="C1212" s="8">
        <v>44.5</v>
      </c>
      <c r="D1212" s="8">
        <v>164.3</v>
      </c>
    </row>
    <row r="1213" spans="1:4" x14ac:dyDescent="0.25">
      <c r="A1213" s="8">
        <v>235.56</v>
      </c>
      <c r="B1213" s="8">
        <v>81</v>
      </c>
      <c r="C1213" s="8">
        <v>44.5</v>
      </c>
      <c r="D1213" s="8">
        <v>163.4</v>
      </c>
    </row>
    <row r="1214" spans="1:4" x14ac:dyDescent="0.25">
      <c r="A1214" s="8">
        <v>235.76</v>
      </c>
      <c r="B1214" s="8">
        <v>80.8</v>
      </c>
      <c r="C1214" s="8">
        <v>44.5</v>
      </c>
      <c r="D1214" s="8">
        <v>162.4</v>
      </c>
    </row>
    <row r="1215" spans="1:4" x14ac:dyDescent="0.25">
      <c r="A1215" s="8">
        <v>235.96</v>
      </c>
      <c r="B1215" s="8">
        <v>80.7</v>
      </c>
      <c r="C1215" s="8">
        <v>44.6</v>
      </c>
      <c r="D1215" s="8">
        <v>161.5</v>
      </c>
    </row>
    <row r="1216" spans="1:4" x14ac:dyDescent="0.25">
      <c r="A1216" s="8">
        <v>236.16</v>
      </c>
      <c r="B1216" s="8">
        <v>80.5</v>
      </c>
      <c r="C1216" s="8">
        <v>44.6</v>
      </c>
      <c r="D1216" s="8">
        <v>160.5</v>
      </c>
    </row>
    <row r="1217" spans="1:4" x14ac:dyDescent="0.25">
      <c r="A1217" s="8">
        <v>236.36</v>
      </c>
      <c r="B1217" s="8">
        <v>80.3</v>
      </c>
      <c r="C1217" s="8">
        <v>44.6</v>
      </c>
      <c r="D1217" s="8">
        <v>159.6</v>
      </c>
    </row>
    <row r="1218" spans="1:4" x14ac:dyDescent="0.25">
      <c r="A1218" s="8">
        <v>236.56</v>
      </c>
      <c r="B1218" s="8">
        <v>80.099999999999994</v>
      </c>
      <c r="C1218" s="8">
        <v>44.6</v>
      </c>
      <c r="D1218" s="8">
        <v>158.6</v>
      </c>
    </row>
    <row r="1219" spans="1:4" x14ac:dyDescent="0.25">
      <c r="A1219" s="8">
        <v>236.76</v>
      </c>
      <c r="B1219" s="8">
        <v>79.900000000000006</v>
      </c>
      <c r="C1219" s="8">
        <v>44.6</v>
      </c>
      <c r="D1219" s="8">
        <v>157.69999999999999</v>
      </c>
    </row>
    <row r="1220" spans="1:4" x14ac:dyDescent="0.25">
      <c r="A1220" s="8">
        <v>236.96</v>
      </c>
      <c r="B1220" s="8">
        <v>79.7</v>
      </c>
      <c r="C1220" s="8">
        <v>44.7</v>
      </c>
      <c r="D1220" s="8">
        <v>156.69999999999999</v>
      </c>
    </row>
    <row r="1221" spans="1:4" x14ac:dyDescent="0.25">
      <c r="A1221" s="8">
        <v>237.16</v>
      </c>
      <c r="B1221" s="8">
        <v>79.599999999999994</v>
      </c>
      <c r="C1221" s="8">
        <v>44.7</v>
      </c>
      <c r="D1221" s="8">
        <v>155.80000000000001</v>
      </c>
    </row>
    <row r="1222" spans="1:4" x14ac:dyDescent="0.25">
      <c r="A1222" s="8">
        <v>237.36</v>
      </c>
      <c r="B1222" s="8">
        <v>79.400000000000006</v>
      </c>
      <c r="C1222" s="8">
        <v>44.7</v>
      </c>
      <c r="D1222" s="8">
        <v>154.80000000000001</v>
      </c>
    </row>
    <row r="1223" spans="1:4" x14ac:dyDescent="0.25">
      <c r="A1223" s="8">
        <v>237.56</v>
      </c>
      <c r="B1223" s="8">
        <v>79.2</v>
      </c>
      <c r="C1223" s="8">
        <v>44.7</v>
      </c>
      <c r="D1223" s="8">
        <v>153.9</v>
      </c>
    </row>
    <row r="1224" spans="1:4" x14ac:dyDescent="0.25">
      <c r="A1224" s="8">
        <v>237.76</v>
      </c>
      <c r="B1224" s="8">
        <v>79</v>
      </c>
      <c r="C1224" s="8">
        <v>44.7</v>
      </c>
      <c r="D1224" s="8">
        <v>152.9</v>
      </c>
    </row>
    <row r="1225" spans="1:4" x14ac:dyDescent="0.25">
      <c r="A1225" s="8">
        <v>237.96</v>
      </c>
      <c r="B1225" s="8">
        <v>78.8</v>
      </c>
      <c r="C1225" s="8">
        <v>44.7</v>
      </c>
      <c r="D1225" s="8">
        <v>152</v>
      </c>
    </row>
    <row r="1226" spans="1:4" x14ac:dyDescent="0.25">
      <c r="A1226" s="8">
        <v>238.16</v>
      </c>
      <c r="B1226" s="8">
        <v>78.599999999999994</v>
      </c>
      <c r="C1226" s="8">
        <v>44.8</v>
      </c>
      <c r="D1226" s="8">
        <v>151</v>
      </c>
    </row>
    <row r="1227" spans="1:4" x14ac:dyDescent="0.25">
      <c r="A1227" s="8">
        <v>238.36</v>
      </c>
      <c r="B1227" s="8">
        <v>78.400000000000006</v>
      </c>
      <c r="C1227" s="8">
        <v>44.8</v>
      </c>
      <c r="D1227" s="8">
        <v>150.1</v>
      </c>
    </row>
    <row r="1228" spans="1:4" x14ac:dyDescent="0.25">
      <c r="A1228" s="8">
        <v>238.56</v>
      </c>
      <c r="B1228" s="8">
        <v>78.2</v>
      </c>
      <c r="C1228" s="8">
        <v>44.8</v>
      </c>
      <c r="D1228" s="8">
        <v>149.1</v>
      </c>
    </row>
    <row r="1229" spans="1:4" x14ac:dyDescent="0.25">
      <c r="A1229" s="8">
        <v>238.76</v>
      </c>
      <c r="B1229" s="8">
        <v>77.900000000000006</v>
      </c>
      <c r="C1229" s="8">
        <v>44.8</v>
      </c>
      <c r="D1229" s="8">
        <v>148.19999999999999</v>
      </c>
    </row>
    <row r="1230" spans="1:4" x14ac:dyDescent="0.25">
      <c r="A1230" s="8">
        <v>238.96</v>
      </c>
      <c r="B1230" s="8">
        <v>77.7</v>
      </c>
      <c r="C1230" s="8">
        <v>44.8</v>
      </c>
      <c r="D1230" s="8">
        <v>147.19999999999999</v>
      </c>
    </row>
    <row r="1231" spans="1:4" x14ac:dyDescent="0.25">
      <c r="A1231" s="8">
        <v>239.16</v>
      </c>
      <c r="B1231" s="8">
        <v>77.5</v>
      </c>
      <c r="C1231" s="8">
        <v>44.9</v>
      </c>
      <c r="D1231" s="8">
        <v>146.30000000000001</v>
      </c>
    </row>
    <row r="1232" spans="1:4" x14ac:dyDescent="0.25">
      <c r="A1232" s="8">
        <v>239.36</v>
      </c>
      <c r="B1232" s="8">
        <v>77.3</v>
      </c>
      <c r="C1232" s="8">
        <v>44.9</v>
      </c>
      <c r="D1232" s="8">
        <v>145.30000000000001</v>
      </c>
    </row>
    <row r="1233" spans="1:4" x14ac:dyDescent="0.25">
      <c r="A1233" s="8">
        <v>239.56</v>
      </c>
      <c r="B1233" s="8">
        <v>77.099999999999994</v>
      </c>
      <c r="C1233" s="8">
        <v>44.9</v>
      </c>
      <c r="D1233" s="8">
        <v>144.4</v>
      </c>
    </row>
    <row r="1234" spans="1:4" x14ac:dyDescent="0.25">
      <c r="A1234" s="8">
        <v>239.76</v>
      </c>
      <c r="B1234" s="8">
        <v>76.900000000000006</v>
      </c>
      <c r="C1234" s="8">
        <v>44.9</v>
      </c>
      <c r="D1234" s="8">
        <v>143.4</v>
      </c>
    </row>
    <row r="1235" spans="1:4" x14ac:dyDescent="0.25">
      <c r="A1235" s="8">
        <v>239.96</v>
      </c>
      <c r="B1235" s="8">
        <v>76.599999999999994</v>
      </c>
      <c r="C1235" s="8">
        <v>44.9</v>
      </c>
      <c r="D1235" s="8">
        <v>142.5</v>
      </c>
    </row>
    <row r="1236" spans="1:4" x14ac:dyDescent="0.25">
      <c r="A1236" s="8">
        <v>240.16</v>
      </c>
      <c r="B1236" s="8">
        <v>76.400000000000006</v>
      </c>
      <c r="C1236" s="8">
        <v>45</v>
      </c>
      <c r="D1236" s="8">
        <v>141.5</v>
      </c>
    </row>
    <row r="1237" spans="1:4" x14ac:dyDescent="0.25">
      <c r="A1237" s="8">
        <v>240.36</v>
      </c>
      <c r="B1237" s="8">
        <v>76.2</v>
      </c>
      <c r="C1237" s="8">
        <v>45</v>
      </c>
      <c r="D1237" s="8">
        <v>140.6</v>
      </c>
    </row>
    <row r="1238" spans="1:4" x14ac:dyDescent="0.25">
      <c r="A1238" s="8">
        <v>240.56</v>
      </c>
      <c r="B1238" s="8">
        <v>76</v>
      </c>
      <c r="C1238" s="8">
        <v>45</v>
      </c>
      <c r="D1238" s="8">
        <v>139.6</v>
      </c>
    </row>
    <row r="1239" spans="1:4" x14ac:dyDescent="0.25">
      <c r="A1239" s="8">
        <v>240.76</v>
      </c>
      <c r="B1239" s="8">
        <v>75.7</v>
      </c>
      <c r="C1239" s="8">
        <v>45</v>
      </c>
      <c r="D1239" s="8">
        <v>138.69999999999999</v>
      </c>
    </row>
    <row r="1240" spans="1:4" x14ac:dyDescent="0.25">
      <c r="A1240" s="8">
        <v>240.96</v>
      </c>
      <c r="B1240" s="8">
        <v>75.5</v>
      </c>
      <c r="C1240" s="8">
        <v>45</v>
      </c>
      <c r="D1240" s="8">
        <v>137.69999999999999</v>
      </c>
    </row>
    <row r="1241" spans="1:4" x14ac:dyDescent="0.25">
      <c r="A1241" s="8">
        <v>241.16</v>
      </c>
      <c r="B1241" s="8">
        <v>75.2</v>
      </c>
      <c r="C1241" s="8">
        <v>45.1</v>
      </c>
      <c r="D1241" s="8">
        <v>136.80000000000001</v>
      </c>
    </row>
    <row r="1242" spans="1:4" x14ac:dyDescent="0.25">
      <c r="A1242" s="8">
        <v>241.36</v>
      </c>
      <c r="B1242" s="8">
        <v>75</v>
      </c>
      <c r="C1242" s="8">
        <v>45.1</v>
      </c>
      <c r="D1242" s="8">
        <v>135.80000000000001</v>
      </c>
    </row>
    <row r="1243" spans="1:4" x14ac:dyDescent="0.25">
      <c r="A1243" s="8">
        <v>241.56</v>
      </c>
      <c r="B1243" s="8">
        <v>74.8</v>
      </c>
      <c r="C1243" s="8">
        <v>45.1</v>
      </c>
      <c r="D1243" s="8">
        <v>134.9</v>
      </c>
    </row>
    <row r="1244" spans="1:4" x14ac:dyDescent="0.25">
      <c r="A1244" s="8">
        <v>241.76</v>
      </c>
      <c r="B1244" s="8">
        <v>74.5</v>
      </c>
      <c r="C1244" s="8">
        <v>45.1</v>
      </c>
      <c r="D1244" s="8">
        <v>133.9</v>
      </c>
    </row>
    <row r="1245" spans="1:4" x14ac:dyDescent="0.25">
      <c r="A1245" s="8">
        <v>241.96</v>
      </c>
      <c r="B1245" s="8">
        <v>74.3</v>
      </c>
      <c r="C1245" s="8">
        <v>45.2</v>
      </c>
      <c r="D1245" s="8">
        <v>133</v>
      </c>
    </row>
    <row r="1246" spans="1:4" x14ac:dyDescent="0.25">
      <c r="A1246" s="8">
        <v>242.16</v>
      </c>
      <c r="B1246" s="8">
        <v>74</v>
      </c>
      <c r="C1246" s="8">
        <v>45.2</v>
      </c>
      <c r="D1246" s="8">
        <v>132</v>
      </c>
    </row>
    <row r="1247" spans="1:4" x14ac:dyDescent="0.25">
      <c r="A1247" s="8">
        <v>242.36</v>
      </c>
      <c r="B1247" s="8">
        <v>73.7</v>
      </c>
      <c r="C1247" s="8">
        <v>45.2</v>
      </c>
      <c r="D1247" s="8">
        <v>131.1</v>
      </c>
    </row>
    <row r="1248" spans="1:4" x14ac:dyDescent="0.25">
      <c r="A1248" s="8">
        <v>242.56</v>
      </c>
      <c r="B1248" s="8">
        <v>73.5</v>
      </c>
      <c r="C1248" s="8">
        <v>45.2</v>
      </c>
      <c r="D1248" s="8">
        <v>130.1</v>
      </c>
    </row>
    <row r="1249" spans="1:4" x14ac:dyDescent="0.25">
      <c r="A1249" s="8">
        <v>242.76</v>
      </c>
      <c r="B1249" s="8">
        <v>73.2</v>
      </c>
      <c r="C1249" s="8">
        <v>45.2</v>
      </c>
      <c r="D1249" s="8">
        <v>129.19999999999999</v>
      </c>
    </row>
    <row r="1250" spans="1:4" x14ac:dyDescent="0.25">
      <c r="A1250" s="8">
        <v>242.96</v>
      </c>
      <c r="B1250" s="8">
        <v>73</v>
      </c>
      <c r="C1250" s="8">
        <v>45.3</v>
      </c>
      <c r="D1250" s="8">
        <v>128.19999999999999</v>
      </c>
    </row>
    <row r="1251" spans="1:4" x14ac:dyDescent="0.25">
      <c r="A1251" s="8">
        <v>243.16</v>
      </c>
      <c r="B1251" s="8">
        <v>72.7</v>
      </c>
      <c r="C1251" s="8">
        <v>45.3</v>
      </c>
      <c r="D1251" s="8">
        <v>127.3</v>
      </c>
    </row>
    <row r="1252" spans="1:4" x14ac:dyDescent="0.25">
      <c r="A1252" s="8">
        <v>243.36</v>
      </c>
      <c r="B1252" s="8">
        <v>72.400000000000006</v>
      </c>
      <c r="C1252" s="8">
        <v>45.3</v>
      </c>
      <c r="D1252" s="8">
        <v>126.3</v>
      </c>
    </row>
    <row r="1253" spans="1:4" x14ac:dyDescent="0.25">
      <c r="A1253" s="8">
        <v>243.56</v>
      </c>
      <c r="B1253" s="8">
        <v>72.099999999999994</v>
      </c>
      <c r="C1253" s="8">
        <v>45.3</v>
      </c>
      <c r="D1253" s="8">
        <v>125.4</v>
      </c>
    </row>
    <row r="1254" spans="1:4" x14ac:dyDescent="0.25">
      <c r="A1254" s="8">
        <v>243.76</v>
      </c>
      <c r="B1254" s="8">
        <v>71.900000000000006</v>
      </c>
      <c r="C1254" s="8">
        <v>45.3</v>
      </c>
      <c r="D1254" s="8">
        <v>124.4</v>
      </c>
    </row>
    <row r="1255" spans="1:4" x14ac:dyDescent="0.25">
      <c r="A1255" s="8">
        <v>243.96</v>
      </c>
      <c r="B1255" s="8">
        <v>71.599999999999994</v>
      </c>
      <c r="C1255" s="8">
        <v>45.4</v>
      </c>
      <c r="D1255" s="8">
        <v>123.5</v>
      </c>
    </row>
    <row r="1256" spans="1:4" x14ac:dyDescent="0.25">
      <c r="A1256" s="8">
        <v>244.16</v>
      </c>
      <c r="B1256" s="8">
        <v>71.3</v>
      </c>
      <c r="C1256" s="8">
        <v>45.4</v>
      </c>
      <c r="D1256" s="8">
        <v>122.5</v>
      </c>
    </row>
    <row r="1257" spans="1:4" x14ac:dyDescent="0.25">
      <c r="A1257" s="8">
        <v>244.36</v>
      </c>
      <c r="B1257" s="8">
        <v>71</v>
      </c>
      <c r="C1257" s="8">
        <v>45.4</v>
      </c>
      <c r="D1257" s="8">
        <v>121.6</v>
      </c>
    </row>
    <row r="1258" spans="1:4" x14ac:dyDescent="0.25">
      <c r="A1258" s="8">
        <v>244.56</v>
      </c>
      <c r="B1258" s="8">
        <v>70.7</v>
      </c>
      <c r="C1258" s="8">
        <v>45.4</v>
      </c>
      <c r="D1258" s="8">
        <v>120.6</v>
      </c>
    </row>
    <row r="1259" spans="1:4" x14ac:dyDescent="0.25">
      <c r="A1259" s="8">
        <v>244.76</v>
      </c>
      <c r="B1259" s="8">
        <v>70.400000000000006</v>
      </c>
      <c r="C1259" s="8">
        <v>45.5</v>
      </c>
      <c r="D1259" s="8">
        <v>119.7</v>
      </c>
    </row>
    <row r="1260" spans="1:4" x14ac:dyDescent="0.25">
      <c r="A1260" s="8">
        <v>244.96</v>
      </c>
      <c r="B1260" s="8">
        <v>70.099999999999994</v>
      </c>
      <c r="C1260" s="8">
        <v>45.5</v>
      </c>
      <c r="D1260" s="8">
        <v>118.7</v>
      </c>
    </row>
    <row r="1261" spans="1:4" x14ac:dyDescent="0.25">
      <c r="A1261" s="8">
        <v>245.15</v>
      </c>
      <c r="B1261" s="8">
        <v>70.2</v>
      </c>
      <c r="C1261" s="8">
        <v>45.9</v>
      </c>
      <c r="D1261" s="8">
        <v>118.2</v>
      </c>
    </row>
    <row r="1262" spans="1:4" x14ac:dyDescent="0.25">
      <c r="A1262" s="8">
        <v>245.35</v>
      </c>
      <c r="B1262" s="8">
        <v>70.599999999999994</v>
      </c>
      <c r="C1262" s="8">
        <v>46.7</v>
      </c>
      <c r="D1262" s="8">
        <v>118.2</v>
      </c>
    </row>
    <row r="1263" spans="1:4" x14ac:dyDescent="0.25">
      <c r="A1263" s="8">
        <v>245.55</v>
      </c>
      <c r="B1263" s="8">
        <v>71</v>
      </c>
      <c r="C1263" s="8">
        <v>47.4</v>
      </c>
      <c r="D1263" s="8">
        <v>118.2</v>
      </c>
    </row>
    <row r="1264" spans="1:4" x14ac:dyDescent="0.25">
      <c r="A1264" s="8">
        <v>245.75</v>
      </c>
      <c r="B1264" s="8">
        <v>71.3</v>
      </c>
      <c r="C1264" s="8">
        <v>48.1</v>
      </c>
      <c r="D1264" s="8">
        <v>118.2</v>
      </c>
    </row>
    <row r="1265" spans="1:4" x14ac:dyDescent="0.25">
      <c r="A1265" s="8">
        <v>245.95</v>
      </c>
      <c r="B1265" s="8">
        <v>71.599999999999994</v>
      </c>
      <c r="C1265" s="8">
        <v>48.7</v>
      </c>
      <c r="D1265" s="8">
        <v>118.2</v>
      </c>
    </row>
    <row r="1266" spans="1:4" x14ac:dyDescent="0.25">
      <c r="A1266" s="8">
        <v>246.15</v>
      </c>
      <c r="B1266" s="8">
        <v>71.900000000000006</v>
      </c>
      <c r="C1266" s="8">
        <v>49.2</v>
      </c>
      <c r="D1266" s="8">
        <v>118.2</v>
      </c>
    </row>
    <row r="1267" spans="1:4" x14ac:dyDescent="0.25">
      <c r="A1267" s="8">
        <v>246.35</v>
      </c>
      <c r="B1267" s="8">
        <v>72.2</v>
      </c>
      <c r="C1267" s="8">
        <v>49.7</v>
      </c>
      <c r="D1267" s="8">
        <v>118.2</v>
      </c>
    </row>
    <row r="1268" spans="1:4" x14ac:dyDescent="0.25">
      <c r="A1268" s="8">
        <v>246.55</v>
      </c>
      <c r="B1268" s="8">
        <v>72.400000000000006</v>
      </c>
      <c r="C1268" s="8">
        <v>50.2</v>
      </c>
      <c r="D1268" s="8">
        <v>118.2</v>
      </c>
    </row>
    <row r="1269" spans="1:4" x14ac:dyDescent="0.25">
      <c r="A1269" s="8">
        <v>246.75</v>
      </c>
      <c r="B1269" s="8">
        <v>72.599999999999994</v>
      </c>
      <c r="C1269" s="8">
        <v>50.6</v>
      </c>
      <c r="D1269" s="8">
        <v>118.2</v>
      </c>
    </row>
    <row r="1270" spans="1:4" x14ac:dyDescent="0.25">
      <c r="A1270" s="8">
        <v>246.95</v>
      </c>
      <c r="B1270" s="8">
        <v>72.8</v>
      </c>
      <c r="C1270" s="8">
        <v>51</v>
      </c>
      <c r="D1270" s="8">
        <v>118.2</v>
      </c>
    </row>
    <row r="1271" spans="1:4" x14ac:dyDescent="0.25">
      <c r="A1271" s="8">
        <v>247.15</v>
      </c>
      <c r="B1271" s="8">
        <v>73</v>
      </c>
      <c r="C1271" s="8">
        <v>51.3</v>
      </c>
      <c r="D1271" s="8">
        <v>118.2</v>
      </c>
    </row>
    <row r="1272" spans="1:4" x14ac:dyDescent="0.25">
      <c r="A1272" s="8">
        <v>247.35</v>
      </c>
      <c r="B1272" s="8">
        <v>73.2</v>
      </c>
      <c r="C1272" s="8">
        <v>51.7</v>
      </c>
      <c r="D1272" s="8">
        <v>118.2</v>
      </c>
    </row>
    <row r="1273" spans="1:4" x14ac:dyDescent="0.25">
      <c r="A1273" s="8">
        <v>247.55</v>
      </c>
      <c r="B1273" s="8">
        <v>73.3</v>
      </c>
      <c r="C1273" s="8">
        <v>52</v>
      </c>
      <c r="D1273" s="8">
        <v>118.2</v>
      </c>
    </row>
    <row r="1274" spans="1:4" x14ac:dyDescent="0.25">
      <c r="A1274" s="8">
        <v>247.75</v>
      </c>
      <c r="B1274" s="8">
        <v>73.5</v>
      </c>
      <c r="C1274" s="8">
        <v>52.2</v>
      </c>
      <c r="D1274" s="8">
        <v>118.2</v>
      </c>
    </row>
    <row r="1275" spans="1:4" x14ac:dyDescent="0.25">
      <c r="A1275" s="8">
        <v>247.95</v>
      </c>
      <c r="B1275" s="8">
        <v>73.599999999999994</v>
      </c>
      <c r="C1275" s="8">
        <v>52.5</v>
      </c>
      <c r="D1275" s="8">
        <v>118.2</v>
      </c>
    </row>
    <row r="1276" spans="1:4" x14ac:dyDescent="0.25">
      <c r="A1276" s="8">
        <v>248.15</v>
      </c>
      <c r="B1276" s="8">
        <v>73.7</v>
      </c>
      <c r="C1276" s="8">
        <v>52.7</v>
      </c>
      <c r="D1276" s="8">
        <v>118.2</v>
      </c>
    </row>
    <row r="1277" spans="1:4" x14ac:dyDescent="0.25">
      <c r="A1277" s="8">
        <v>248.35</v>
      </c>
      <c r="B1277" s="8">
        <v>73.8</v>
      </c>
      <c r="C1277" s="8">
        <v>52.9</v>
      </c>
      <c r="D1277" s="8">
        <v>118.2</v>
      </c>
    </row>
    <row r="1278" spans="1:4" x14ac:dyDescent="0.25">
      <c r="A1278" s="8">
        <v>248.55</v>
      </c>
      <c r="B1278" s="8">
        <v>73.900000000000006</v>
      </c>
      <c r="C1278" s="8">
        <v>53.1</v>
      </c>
      <c r="D1278" s="8">
        <v>118.2</v>
      </c>
    </row>
    <row r="1279" spans="1:4" x14ac:dyDescent="0.25">
      <c r="A1279" s="8">
        <v>248.75</v>
      </c>
      <c r="B1279" s="8">
        <v>74</v>
      </c>
      <c r="C1279" s="8">
        <v>53.2</v>
      </c>
      <c r="D1279" s="8">
        <v>118.2</v>
      </c>
    </row>
    <row r="1280" spans="1:4" x14ac:dyDescent="0.25">
      <c r="A1280" s="8">
        <v>248.95</v>
      </c>
      <c r="B1280" s="8">
        <v>74.099999999999994</v>
      </c>
      <c r="C1280" s="8">
        <v>53.4</v>
      </c>
      <c r="D1280" s="8">
        <v>118.2</v>
      </c>
    </row>
    <row r="1281" spans="1:4" x14ac:dyDescent="0.25">
      <c r="A1281" s="8">
        <v>249.15</v>
      </c>
      <c r="B1281" s="8">
        <v>74.2</v>
      </c>
      <c r="C1281" s="8">
        <v>53.5</v>
      </c>
      <c r="D1281" s="8">
        <v>118.2</v>
      </c>
    </row>
    <row r="1282" spans="1:4" x14ac:dyDescent="0.25">
      <c r="A1282" s="8">
        <v>249.35</v>
      </c>
      <c r="B1282" s="8">
        <v>74.2</v>
      </c>
      <c r="C1282" s="8">
        <v>53.7</v>
      </c>
      <c r="D1282" s="8">
        <v>118.2</v>
      </c>
    </row>
    <row r="1283" spans="1:4" x14ac:dyDescent="0.25">
      <c r="A1283" s="8">
        <v>249.55</v>
      </c>
      <c r="B1283" s="8">
        <v>74.3</v>
      </c>
      <c r="C1283" s="8">
        <v>53.8</v>
      </c>
      <c r="D1283" s="8">
        <v>118.2</v>
      </c>
    </row>
    <row r="1284" spans="1:4" x14ac:dyDescent="0.25">
      <c r="A1284" s="8">
        <v>249.75</v>
      </c>
      <c r="B1284" s="8">
        <v>74.400000000000006</v>
      </c>
      <c r="C1284" s="8">
        <v>53.9</v>
      </c>
      <c r="D1284" s="8">
        <v>118.2</v>
      </c>
    </row>
    <row r="1285" spans="1:4" x14ac:dyDescent="0.25">
      <c r="A1285" s="8">
        <v>249.95</v>
      </c>
      <c r="B1285" s="8">
        <v>74.400000000000006</v>
      </c>
      <c r="C1285" s="8">
        <v>54</v>
      </c>
      <c r="D1285" s="8">
        <v>118.2</v>
      </c>
    </row>
    <row r="1286" spans="1:4" x14ac:dyDescent="0.25">
      <c r="A1286" s="8">
        <v>250.15</v>
      </c>
      <c r="B1286" s="8">
        <v>74.400000000000006</v>
      </c>
      <c r="C1286" s="8">
        <v>54.1</v>
      </c>
      <c r="D1286" s="8">
        <v>118.2</v>
      </c>
    </row>
    <row r="1287" spans="1:4" x14ac:dyDescent="0.25">
      <c r="A1287" s="8">
        <v>250.35</v>
      </c>
      <c r="B1287" s="8">
        <v>74.5</v>
      </c>
      <c r="C1287" s="8">
        <v>54.2</v>
      </c>
      <c r="D1287" s="8">
        <v>118.2</v>
      </c>
    </row>
    <row r="1288" spans="1:4" x14ac:dyDescent="0.25">
      <c r="A1288" s="8">
        <v>250.55</v>
      </c>
      <c r="B1288" s="8">
        <v>74.5</v>
      </c>
      <c r="C1288" s="8">
        <v>54.2</v>
      </c>
      <c r="D1288" s="8">
        <v>118.2</v>
      </c>
    </row>
    <row r="1289" spans="1:4" x14ac:dyDescent="0.25">
      <c r="A1289" s="8">
        <v>250.75</v>
      </c>
      <c r="B1289" s="8">
        <v>74.599999999999994</v>
      </c>
      <c r="C1289" s="8">
        <v>54.3</v>
      </c>
      <c r="D1289" s="8">
        <v>118.2</v>
      </c>
    </row>
    <row r="1290" spans="1:4" x14ac:dyDescent="0.25">
      <c r="A1290" s="8">
        <v>250.95</v>
      </c>
      <c r="B1290" s="8">
        <v>74.599999999999994</v>
      </c>
      <c r="C1290" s="8">
        <v>54.4</v>
      </c>
      <c r="D1290" s="8">
        <v>118.2</v>
      </c>
    </row>
    <row r="1291" spans="1:4" x14ac:dyDescent="0.25">
      <c r="A1291" s="8">
        <v>251.15</v>
      </c>
      <c r="B1291" s="8">
        <v>74.599999999999994</v>
      </c>
      <c r="C1291" s="8">
        <v>54.4</v>
      </c>
      <c r="D1291" s="8">
        <v>118.2</v>
      </c>
    </row>
    <row r="1292" spans="1:4" x14ac:dyDescent="0.25">
      <c r="A1292" s="8">
        <v>251.35</v>
      </c>
      <c r="B1292" s="8">
        <v>74.599999999999994</v>
      </c>
      <c r="C1292" s="8">
        <v>54.5</v>
      </c>
      <c r="D1292" s="8">
        <v>118.2</v>
      </c>
    </row>
    <row r="1293" spans="1:4" x14ac:dyDescent="0.25">
      <c r="A1293" s="8">
        <v>251.55</v>
      </c>
      <c r="B1293" s="8">
        <v>74.7</v>
      </c>
      <c r="C1293" s="8">
        <v>54.5</v>
      </c>
      <c r="D1293" s="8">
        <v>118.2</v>
      </c>
    </row>
    <row r="1294" spans="1:4" x14ac:dyDescent="0.25">
      <c r="A1294" s="8">
        <v>251.75</v>
      </c>
      <c r="B1294" s="8">
        <v>74.7</v>
      </c>
      <c r="C1294" s="8">
        <v>54.6</v>
      </c>
      <c r="D1294" s="8">
        <v>118.2</v>
      </c>
    </row>
    <row r="1295" spans="1:4" x14ac:dyDescent="0.25">
      <c r="A1295" s="8">
        <v>251.95</v>
      </c>
      <c r="B1295" s="8">
        <v>74.7</v>
      </c>
      <c r="C1295" s="8">
        <v>54.6</v>
      </c>
      <c r="D1295" s="8">
        <v>118.2</v>
      </c>
    </row>
    <row r="1296" spans="1:4" x14ac:dyDescent="0.25">
      <c r="A1296" s="8">
        <v>252.15</v>
      </c>
      <c r="B1296" s="8">
        <v>74.7</v>
      </c>
      <c r="C1296" s="8">
        <v>54.6</v>
      </c>
      <c r="D1296" s="8">
        <v>118.2</v>
      </c>
    </row>
    <row r="1297" spans="1:4" x14ac:dyDescent="0.25">
      <c r="A1297" s="8">
        <v>252.35</v>
      </c>
      <c r="B1297" s="8">
        <v>74.7</v>
      </c>
      <c r="C1297" s="8">
        <v>54.7</v>
      </c>
      <c r="D1297" s="8">
        <v>118.2</v>
      </c>
    </row>
    <row r="1298" spans="1:4" x14ac:dyDescent="0.25">
      <c r="A1298" s="8">
        <v>252.55</v>
      </c>
      <c r="B1298" s="8">
        <v>74.8</v>
      </c>
      <c r="C1298" s="8">
        <v>54.7</v>
      </c>
      <c r="D1298" s="8">
        <v>118.2</v>
      </c>
    </row>
    <row r="1299" spans="1:4" x14ac:dyDescent="0.25">
      <c r="A1299" s="8">
        <v>252.75</v>
      </c>
      <c r="B1299" s="8">
        <v>74.8</v>
      </c>
      <c r="C1299" s="8">
        <v>54.7</v>
      </c>
      <c r="D1299" s="8">
        <v>118.2</v>
      </c>
    </row>
    <row r="1300" spans="1:4" x14ac:dyDescent="0.25">
      <c r="A1300" s="8">
        <v>252.95</v>
      </c>
      <c r="B1300" s="8">
        <v>74.8</v>
      </c>
      <c r="C1300" s="8">
        <v>54.7</v>
      </c>
      <c r="D1300" s="8">
        <v>118.2</v>
      </c>
    </row>
    <row r="1301" spans="1:4" x14ac:dyDescent="0.25">
      <c r="A1301" s="8">
        <v>253.15</v>
      </c>
      <c r="B1301" s="8">
        <v>74.8</v>
      </c>
      <c r="C1301" s="8">
        <v>54.8</v>
      </c>
      <c r="D1301" s="8">
        <v>118.2</v>
      </c>
    </row>
    <row r="1302" spans="1:4" x14ac:dyDescent="0.25">
      <c r="A1302" s="8">
        <v>253.35</v>
      </c>
      <c r="B1302" s="8">
        <v>74.8</v>
      </c>
      <c r="C1302" s="8">
        <v>54.8</v>
      </c>
      <c r="D1302" s="8">
        <v>118.2</v>
      </c>
    </row>
    <row r="1303" spans="1:4" x14ac:dyDescent="0.25">
      <c r="A1303" s="8">
        <v>253.55</v>
      </c>
      <c r="B1303" s="8">
        <v>74.8</v>
      </c>
      <c r="C1303" s="8">
        <v>54.8</v>
      </c>
      <c r="D1303" s="8">
        <v>118.2</v>
      </c>
    </row>
    <row r="1304" spans="1:4" x14ac:dyDescent="0.25">
      <c r="A1304" s="8">
        <v>253.75</v>
      </c>
      <c r="B1304" s="8">
        <v>74.8</v>
      </c>
      <c r="C1304" s="8">
        <v>54.8</v>
      </c>
      <c r="D1304" s="8">
        <v>118.2</v>
      </c>
    </row>
    <row r="1305" spans="1:4" x14ac:dyDescent="0.25">
      <c r="A1305" s="8">
        <v>253.95</v>
      </c>
      <c r="B1305" s="8">
        <v>74.8</v>
      </c>
      <c r="C1305" s="8">
        <v>54.8</v>
      </c>
      <c r="D1305" s="8">
        <v>118.2</v>
      </c>
    </row>
    <row r="1306" spans="1:4" x14ac:dyDescent="0.25">
      <c r="A1306" s="8">
        <v>254.15</v>
      </c>
      <c r="B1306" s="8">
        <v>74.8</v>
      </c>
      <c r="C1306" s="8">
        <v>54.9</v>
      </c>
      <c r="D1306" s="8">
        <v>118.2</v>
      </c>
    </row>
    <row r="1307" spans="1:4" x14ac:dyDescent="0.25">
      <c r="A1307" s="8">
        <v>254.35</v>
      </c>
      <c r="B1307" s="8">
        <v>74.900000000000006</v>
      </c>
      <c r="C1307" s="8">
        <v>54.9</v>
      </c>
      <c r="D1307" s="8">
        <v>118.2</v>
      </c>
    </row>
    <row r="1308" spans="1:4" x14ac:dyDescent="0.25">
      <c r="A1308" s="8">
        <v>254.55</v>
      </c>
      <c r="B1308" s="8">
        <v>74.900000000000006</v>
      </c>
      <c r="C1308" s="8">
        <v>54.9</v>
      </c>
      <c r="D1308" s="8">
        <v>118.2</v>
      </c>
    </row>
    <row r="1309" spans="1:4" x14ac:dyDescent="0.25">
      <c r="A1309" s="8">
        <v>254.75</v>
      </c>
      <c r="B1309" s="8">
        <v>74.900000000000006</v>
      </c>
      <c r="C1309" s="8">
        <v>54.9</v>
      </c>
      <c r="D1309" s="8">
        <v>118.2</v>
      </c>
    </row>
    <row r="1310" spans="1:4" x14ac:dyDescent="0.25">
      <c r="A1310" s="8">
        <v>254.95</v>
      </c>
      <c r="B1310" s="8">
        <v>74.900000000000006</v>
      </c>
      <c r="C1310" s="8">
        <v>54.9</v>
      </c>
      <c r="D1310" s="8">
        <v>118.2</v>
      </c>
    </row>
    <row r="1311" spans="1:4" x14ac:dyDescent="0.25">
      <c r="A1311" s="8">
        <v>255.15</v>
      </c>
      <c r="B1311" s="8">
        <v>74.900000000000006</v>
      </c>
      <c r="C1311" s="8">
        <v>54.9</v>
      </c>
      <c r="D1311" s="8">
        <v>118.2</v>
      </c>
    </row>
    <row r="1312" spans="1:4" x14ac:dyDescent="0.25">
      <c r="A1312" s="8">
        <v>255.35</v>
      </c>
      <c r="B1312" s="8">
        <v>74.900000000000006</v>
      </c>
      <c r="C1312" s="8">
        <v>54.9</v>
      </c>
      <c r="D1312" s="8">
        <v>118.2</v>
      </c>
    </row>
    <row r="1313" spans="1:4" x14ac:dyDescent="0.25">
      <c r="A1313" s="8">
        <v>255.55</v>
      </c>
      <c r="B1313" s="8">
        <v>74.900000000000006</v>
      </c>
      <c r="C1313" s="8">
        <v>54.9</v>
      </c>
      <c r="D1313" s="8">
        <v>118.2</v>
      </c>
    </row>
    <row r="1314" spans="1:4" x14ac:dyDescent="0.25">
      <c r="A1314" s="8">
        <v>255.75</v>
      </c>
      <c r="B1314" s="8">
        <v>74.900000000000006</v>
      </c>
      <c r="C1314" s="8">
        <v>54.9</v>
      </c>
      <c r="D1314" s="8">
        <v>118.2</v>
      </c>
    </row>
    <row r="1315" spans="1:4" x14ac:dyDescent="0.25">
      <c r="A1315" s="8">
        <v>255.95</v>
      </c>
      <c r="B1315" s="8">
        <v>74.900000000000006</v>
      </c>
      <c r="C1315" s="8">
        <v>54.9</v>
      </c>
      <c r="D1315" s="8">
        <v>118.2</v>
      </c>
    </row>
    <row r="1316" spans="1:4" x14ac:dyDescent="0.25">
      <c r="A1316" s="8">
        <v>256.14999999999998</v>
      </c>
      <c r="B1316" s="8">
        <v>74.900000000000006</v>
      </c>
      <c r="C1316" s="8">
        <v>54.9</v>
      </c>
      <c r="D1316" s="8">
        <v>118.2</v>
      </c>
    </row>
    <row r="1317" spans="1:4" x14ac:dyDescent="0.25">
      <c r="A1317" s="8">
        <v>256.35000000000002</v>
      </c>
      <c r="B1317" s="8">
        <v>74.900000000000006</v>
      </c>
      <c r="C1317" s="8">
        <v>54.9</v>
      </c>
      <c r="D1317" s="8">
        <v>118.2</v>
      </c>
    </row>
    <row r="1318" spans="1:4" x14ac:dyDescent="0.25">
      <c r="A1318" s="8">
        <v>256.55</v>
      </c>
      <c r="B1318" s="8">
        <v>74.900000000000006</v>
      </c>
      <c r="C1318" s="8">
        <v>55</v>
      </c>
      <c r="D1318" s="8">
        <v>118.2</v>
      </c>
    </row>
    <row r="1319" spans="1:4" x14ac:dyDescent="0.25">
      <c r="A1319" s="8">
        <v>256.75</v>
      </c>
      <c r="B1319" s="8">
        <v>74.900000000000006</v>
      </c>
      <c r="C1319" s="8">
        <v>55</v>
      </c>
      <c r="D1319" s="8">
        <v>118.2</v>
      </c>
    </row>
    <row r="1320" spans="1:4" x14ac:dyDescent="0.25">
      <c r="A1320" s="8">
        <v>256.95</v>
      </c>
      <c r="B1320" s="8">
        <v>74.900000000000006</v>
      </c>
      <c r="C1320" s="8">
        <v>55</v>
      </c>
      <c r="D1320" s="8">
        <v>118.2</v>
      </c>
    </row>
    <row r="1321" spans="1:4" x14ac:dyDescent="0.25">
      <c r="A1321" s="8">
        <v>257.14999999999998</v>
      </c>
      <c r="B1321" s="8">
        <v>74.900000000000006</v>
      </c>
      <c r="C1321" s="8">
        <v>55</v>
      </c>
      <c r="D1321" s="8">
        <v>118.2</v>
      </c>
    </row>
    <row r="1322" spans="1:4" x14ac:dyDescent="0.25">
      <c r="A1322" s="8">
        <v>257.35000000000002</v>
      </c>
      <c r="B1322" s="8">
        <v>74.900000000000006</v>
      </c>
      <c r="C1322" s="8">
        <v>55</v>
      </c>
      <c r="D1322" s="8">
        <v>118.2</v>
      </c>
    </row>
    <row r="1323" spans="1:4" x14ac:dyDescent="0.25">
      <c r="A1323" s="8">
        <v>257.55</v>
      </c>
      <c r="B1323" s="8">
        <v>74.900000000000006</v>
      </c>
      <c r="C1323" s="8">
        <v>55</v>
      </c>
      <c r="D1323" s="8">
        <v>118.2</v>
      </c>
    </row>
    <row r="1324" spans="1:4" x14ac:dyDescent="0.25">
      <c r="A1324" s="8">
        <v>257.75</v>
      </c>
      <c r="B1324" s="8">
        <v>74.900000000000006</v>
      </c>
      <c r="C1324" s="8">
        <v>55</v>
      </c>
      <c r="D1324" s="8">
        <v>118.2</v>
      </c>
    </row>
    <row r="1325" spans="1:4" x14ac:dyDescent="0.25">
      <c r="A1325" s="8">
        <v>257.95</v>
      </c>
      <c r="B1325" s="8">
        <v>74.900000000000006</v>
      </c>
      <c r="C1325" s="8">
        <v>55</v>
      </c>
      <c r="D1325" s="8">
        <v>118.2</v>
      </c>
    </row>
    <row r="1326" spans="1:4" x14ac:dyDescent="0.25">
      <c r="A1326" s="8">
        <v>258.14999999999998</v>
      </c>
      <c r="B1326" s="8">
        <v>74.900000000000006</v>
      </c>
      <c r="C1326" s="8">
        <v>55</v>
      </c>
      <c r="D1326" s="8">
        <v>118.2</v>
      </c>
    </row>
    <row r="1327" spans="1:4" x14ac:dyDescent="0.25">
      <c r="A1327" s="8">
        <v>258.35000000000002</v>
      </c>
      <c r="B1327" s="8">
        <v>74.900000000000006</v>
      </c>
      <c r="C1327" s="8">
        <v>55</v>
      </c>
      <c r="D1327" s="8">
        <v>118.2</v>
      </c>
    </row>
    <row r="1328" spans="1:4" x14ac:dyDescent="0.25">
      <c r="A1328" s="8">
        <v>258.55</v>
      </c>
      <c r="B1328" s="8">
        <v>74.900000000000006</v>
      </c>
      <c r="C1328" s="8">
        <v>55</v>
      </c>
      <c r="D1328" s="8">
        <v>118.2</v>
      </c>
    </row>
    <row r="1329" spans="1:4" x14ac:dyDescent="0.25">
      <c r="A1329" s="8">
        <v>258.75</v>
      </c>
      <c r="B1329" s="8">
        <v>74.900000000000006</v>
      </c>
      <c r="C1329" s="8">
        <v>55</v>
      </c>
      <c r="D1329" s="8">
        <v>118.2</v>
      </c>
    </row>
    <row r="1330" spans="1:4" x14ac:dyDescent="0.25">
      <c r="A1330" s="8">
        <v>258.95</v>
      </c>
      <c r="B1330" s="8">
        <v>74.900000000000006</v>
      </c>
      <c r="C1330" s="8">
        <v>55</v>
      </c>
      <c r="D1330" s="8">
        <v>118.2</v>
      </c>
    </row>
    <row r="1331" spans="1:4" x14ac:dyDescent="0.25">
      <c r="A1331" s="8">
        <v>259.14999999999998</v>
      </c>
      <c r="B1331" s="8">
        <v>74.900000000000006</v>
      </c>
      <c r="C1331" s="8">
        <v>55</v>
      </c>
      <c r="D1331" s="8">
        <v>118.2</v>
      </c>
    </row>
    <row r="1332" spans="1:4" x14ac:dyDescent="0.25">
      <c r="A1332" s="8">
        <v>259.35000000000002</v>
      </c>
      <c r="B1332" s="8">
        <v>74.900000000000006</v>
      </c>
      <c r="C1332" s="8">
        <v>55</v>
      </c>
      <c r="D1332" s="8">
        <v>118.2</v>
      </c>
    </row>
    <row r="1333" spans="1:4" x14ac:dyDescent="0.25">
      <c r="A1333" s="8">
        <v>259.55</v>
      </c>
      <c r="B1333" s="8">
        <v>74.900000000000006</v>
      </c>
      <c r="C1333" s="8">
        <v>55</v>
      </c>
      <c r="D1333" s="8">
        <v>118.2</v>
      </c>
    </row>
    <row r="1334" spans="1:4" x14ac:dyDescent="0.25">
      <c r="A1334" s="8">
        <v>259.75</v>
      </c>
      <c r="B1334" s="8">
        <v>74.900000000000006</v>
      </c>
      <c r="C1334" s="8">
        <v>55</v>
      </c>
      <c r="D1334" s="8">
        <v>118.2</v>
      </c>
    </row>
    <row r="1335" spans="1:4" x14ac:dyDescent="0.25">
      <c r="A1335" s="8">
        <v>259.95</v>
      </c>
      <c r="B1335" s="8">
        <v>74.900000000000006</v>
      </c>
      <c r="C1335" s="8">
        <v>55</v>
      </c>
      <c r="D1335" s="8">
        <v>118.2</v>
      </c>
    </row>
    <row r="1336" spans="1:4" x14ac:dyDescent="0.25">
      <c r="A1336" s="8">
        <v>260.14999999999998</v>
      </c>
      <c r="B1336" s="8">
        <v>74.900000000000006</v>
      </c>
      <c r="C1336" s="8">
        <v>55</v>
      </c>
      <c r="D1336" s="8">
        <v>118.2</v>
      </c>
    </row>
    <row r="1337" spans="1:4" x14ac:dyDescent="0.25">
      <c r="A1337" s="8">
        <v>260.35000000000002</v>
      </c>
      <c r="B1337" s="8">
        <v>74.900000000000006</v>
      </c>
      <c r="C1337" s="8">
        <v>55</v>
      </c>
      <c r="D1337" s="8">
        <v>118.2</v>
      </c>
    </row>
    <row r="1338" spans="1:4" x14ac:dyDescent="0.25">
      <c r="A1338" s="8">
        <v>260.55</v>
      </c>
      <c r="B1338" s="8">
        <v>74.900000000000006</v>
      </c>
      <c r="C1338" s="8">
        <v>55</v>
      </c>
      <c r="D1338" s="8">
        <v>118.2</v>
      </c>
    </row>
    <row r="1339" spans="1:4" x14ac:dyDescent="0.25">
      <c r="A1339" s="8">
        <v>260.75</v>
      </c>
      <c r="B1339" s="8">
        <v>74.900000000000006</v>
      </c>
      <c r="C1339" s="8">
        <v>55</v>
      </c>
      <c r="D1339" s="8">
        <v>118.2</v>
      </c>
    </row>
    <row r="1340" spans="1:4" x14ac:dyDescent="0.25">
      <c r="A1340" s="8">
        <v>260.95</v>
      </c>
      <c r="B1340" s="8">
        <v>74.900000000000006</v>
      </c>
      <c r="C1340" s="8">
        <v>55</v>
      </c>
      <c r="D1340" s="8">
        <v>118.2</v>
      </c>
    </row>
    <row r="1341" spans="1:4" x14ac:dyDescent="0.25">
      <c r="A1341" s="8">
        <v>261.14999999999998</v>
      </c>
      <c r="B1341" s="8">
        <v>74.900000000000006</v>
      </c>
      <c r="C1341" s="8">
        <v>55</v>
      </c>
      <c r="D1341" s="8">
        <v>118.2</v>
      </c>
    </row>
    <row r="1342" spans="1:4" x14ac:dyDescent="0.25">
      <c r="A1342" s="8">
        <v>261.35000000000002</v>
      </c>
      <c r="B1342" s="8">
        <v>74.900000000000006</v>
      </c>
      <c r="C1342" s="8">
        <v>55</v>
      </c>
      <c r="D1342" s="8">
        <v>118.2</v>
      </c>
    </row>
    <row r="1343" spans="1:4" x14ac:dyDescent="0.25">
      <c r="A1343" s="8">
        <v>261.55</v>
      </c>
      <c r="B1343" s="8">
        <v>74.900000000000006</v>
      </c>
      <c r="C1343" s="8">
        <v>55</v>
      </c>
      <c r="D1343" s="8">
        <v>118.2</v>
      </c>
    </row>
    <row r="1344" spans="1:4" x14ac:dyDescent="0.25">
      <c r="A1344" s="8">
        <v>261.75</v>
      </c>
      <c r="B1344" s="8">
        <v>74.900000000000006</v>
      </c>
      <c r="C1344" s="8">
        <v>55</v>
      </c>
      <c r="D1344" s="8">
        <v>118.2</v>
      </c>
    </row>
    <row r="1345" spans="1:4" x14ac:dyDescent="0.25">
      <c r="A1345" s="8">
        <v>261.95</v>
      </c>
      <c r="B1345" s="8">
        <v>74.900000000000006</v>
      </c>
      <c r="C1345" s="8">
        <v>55</v>
      </c>
      <c r="D1345" s="8">
        <v>118.2</v>
      </c>
    </row>
    <row r="1346" spans="1:4" x14ac:dyDescent="0.25">
      <c r="A1346" s="8">
        <v>262.14999999999998</v>
      </c>
      <c r="B1346" s="8">
        <v>74.900000000000006</v>
      </c>
      <c r="C1346" s="8">
        <v>55</v>
      </c>
      <c r="D1346" s="8">
        <v>118.2</v>
      </c>
    </row>
    <row r="1347" spans="1:4" x14ac:dyDescent="0.25">
      <c r="A1347" s="8">
        <v>262.35000000000002</v>
      </c>
      <c r="B1347" s="8">
        <v>74.900000000000006</v>
      </c>
      <c r="C1347" s="8">
        <v>55</v>
      </c>
      <c r="D1347" s="8">
        <v>118.2</v>
      </c>
    </row>
    <row r="1348" spans="1:4" x14ac:dyDescent="0.25">
      <c r="A1348" s="8">
        <v>262.55</v>
      </c>
      <c r="B1348" s="8">
        <v>74.900000000000006</v>
      </c>
      <c r="C1348" s="8">
        <v>55</v>
      </c>
      <c r="D1348" s="8">
        <v>118.2</v>
      </c>
    </row>
    <row r="1349" spans="1:4" x14ac:dyDescent="0.25">
      <c r="A1349" s="8">
        <v>262.75</v>
      </c>
      <c r="B1349" s="8">
        <v>74.900000000000006</v>
      </c>
      <c r="C1349" s="8">
        <v>55</v>
      </c>
      <c r="D1349" s="8">
        <v>118.2</v>
      </c>
    </row>
    <row r="1350" spans="1:4" x14ac:dyDescent="0.25">
      <c r="A1350" s="8">
        <v>262.95</v>
      </c>
      <c r="B1350" s="8">
        <v>74.900000000000006</v>
      </c>
      <c r="C1350" s="8">
        <v>55</v>
      </c>
      <c r="D1350" s="8">
        <v>118.2</v>
      </c>
    </row>
    <row r="1351" spans="1:4" x14ac:dyDescent="0.25">
      <c r="A1351" s="8">
        <v>263.14999999999998</v>
      </c>
      <c r="B1351" s="8">
        <v>74.900000000000006</v>
      </c>
      <c r="C1351" s="8">
        <v>55</v>
      </c>
      <c r="D1351" s="8">
        <v>118.2</v>
      </c>
    </row>
    <row r="1352" spans="1:4" x14ac:dyDescent="0.25">
      <c r="A1352" s="8">
        <v>263.35000000000002</v>
      </c>
      <c r="B1352" s="8">
        <v>74.900000000000006</v>
      </c>
      <c r="C1352" s="8">
        <v>55</v>
      </c>
      <c r="D1352" s="8">
        <v>118.2</v>
      </c>
    </row>
    <row r="1353" spans="1:4" x14ac:dyDescent="0.25">
      <c r="A1353" s="8">
        <v>263.55</v>
      </c>
      <c r="B1353" s="8">
        <v>74.900000000000006</v>
      </c>
      <c r="C1353" s="8">
        <v>55</v>
      </c>
      <c r="D1353" s="8">
        <v>118.2</v>
      </c>
    </row>
    <row r="1354" spans="1:4" x14ac:dyDescent="0.25">
      <c r="A1354" s="8">
        <v>263.75</v>
      </c>
      <c r="B1354" s="8">
        <v>74.900000000000006</v>
      </c>
      <c r="C1354" s="8">
        <v>55</v>
      </c>
      <c r="D1354" s="8">
        <v>118.2</v>
      </c>
    </row>
    <row r="1355" spans="1:4" x14ac:dyDescent="0.25">
      <c r="A1355" s="8">
        <v>263.95</v>
      </c>
      <c r="B1355" s="8">
        <v>74.900000000000006</v>
      </c>
      <c r="C1355" s="8">
        <v>55</v>
      </c>
      <c r="D1355" s="8">
        <v>118.2</v>
      </c>
    </row>
    <row r="1356" spans="1:4" x14ac:dyDescent="0.25">
      <c r="A1356" s="8">
        <v>264.14999999999998</v>
      </c>
      <c r="B1356" s="8">
        <v>74.900000000000006</v>
      </c>
      <c r="C1356" s="8">
        <v>55</v>
      </c>
      <c r="D1356" s="8">
        <v>118.2</v>
      </c>
    </row>
    <row r="1357" spans="1:4" x14ac:dyDescent="0.25">
      <c r="A1357" s="8">
        <v>264.35000000000002</v>
      </c>
      <c r="B1357" s="8">
        <v>74.900000000000006</v>
      </c>
      <c r="C1357" s="8">
        <v>55</v>
      </c>
      <c r="D1357" s="8">
        <v>118.2</v>
      </c>
    </row>
    <row r="1358" spans="1:4" x14ac:dyDescent="0.25">
      <c r="A1358" s="8">
        <v>264.55</v>
      </c>
      <c r="B1358" s="8">
        <v>74.900000000000006</v>
      </c>
      <c r="C1358" s="8">
        <v>55</v>
      </c>
      <c r="D1358" s="8">
        <v>118.2</v>
      </c>
    </row>
    <row r="1359" spans="1:4" x14ac:dyDescent="0.25">
      <c r="A1359" s="8">
        <v>264.75</v>
      </c>
      <c r="B1359" s="8">
        <v>74.900000000000006</v>
      </c>
      <c r="C1359" s="8">
        <v>55</v>
      </c>
      <c r="D1359" s="8">
        <v>118.2</v>
      </c>
    </row>
    <row r="1360" spans="1:4" x14ac:dyDescent="0.25">
      <c r="A1360" s="8">
        <v>264.95</v>
      </c>
      <c r="B1360" s="8">
        <v>74.900000000000006</v>
      </c>
      <c r="C1360" s="8">
        <v>55</v>
      </c>
      <c r="D1360" s="8">
        <v>118.2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zoomScaleNormal="100" workbookViewId="0">
      <selection activeCell="H18" sqref="H18"/>
    </sheetView>
  </sheetViews>
  <sheetFormatPr baseColWidth="10" defaultColWidth="8.7109375" defaultRowHeight="15" x14ac:dyDescent="0.25"/>
  <cols>
    <col min="1" max="1" width="34" customWidth="1"/>
    <col min="2" max="3" width="12" customWidth="1"/>
    <col min="4" max="4" width="16.140625" customWidth="1"/>
    <col min="5" max="5" width="26.42578125" customWidth="1"/>
    <col min="6" max="6" width="26" customWidth="1"/>
    <col min="7" max="7" width="26.42578125" customWidth="1"/>
  </cols>
  <sheetData>
    <row r="1" spans="1:5" ht="17.25" customHeight="1" x14ac:dyDescent="0.25">
      <c r="A1" s="1" t="s">
        <v>389</v>
      </c>
      <c r="E1" t="s">
        <v>390</v>
      </c>
    </row>
    <row r="3" spans="1:5" ht="15" customHeight="1" x14ac:dyDescent="0.25">
      <c r="A3" s="4" t="s">
        <v>391</v>
      </c>
    </row>
    <row r="4" spans="1:5" ht="15" customHeight="1" x14ac:dyDescent="0.25">
      <c r="A4" s="20" t="s">
        <v>392</v>
      </c>
      <c r="B4" s="22">
        <v>85</v>
      </c>
      <c r="C4" s="2" t="s">
        <v>117</v>
      </c>
    </row>
    <row r="5" spans="1:5" ht="15" customHeight="1" x14ac:dyDescent="0.25">
      <c r="A5" s="20" t="s">
        <v>393</v>
      </c>
      <c r="B5" s="22">
        <v>15</v>
      </c>
      <c r="C5" s="2" t="s">
        <v>121</v>
      </c>
    </row>
    <row r="6" spans="1:5" ht="15" customHeight="1" x14ac:dyDescent="0.25">
      <c r="A6" s="20" t="s">
        <v>394</v>
      </c>
      <c r="B6" s="22">
        <v>111</v>
      </c>
      <c r="C6" s="2" t="s">
        <v>117</v>
      </c>
    </row>
    <row r="7" spans="1:5" ht="15" customHeight="1" x14ac:dyDescent="0.25">
      <c r="A7" s="20" t="s">
        <v>395</v>
      </c>
      <c r="B7" s="22">
        <v>0.8</v>
      </c>
      <c r="C7" s="2" t="s">
        <v>62</v>
      </c>
    </row>
    <row r="9" spans="1:5" ht="15" customHeight="1" x14ac:dyDescent="0.25">
      <c r="A9" s="20" t="s">
        <v>396</v>
      </c>
      <c r="B9" s="40">
        <v>17.899999999999999</v>
      </c>
      <c r="C9" s="2" t="s">
        <v>121</v>
      </c>
    </row>
    <row r="10" spans="1:5" ht="15" customHeight="1" x14ac:dyDescent="0.25">
      <c r="A10" s="20" t="s">
        <v>397</v>
      </c>
      <c r="B10" s="40">
        <v>3.7</v>
      </c>
      <c r="C10" s="2" t="s">
        <v>176</v>
      </c>
    </row>
    <row r="11" spans="1:5" ht="15" customHeight="1" x14ac:dyDescent="0.25">
      <c r="A11" s="20" t="s">
        <v>398</v>
      </c>
      <c r="B11" s="40">
        <v>874</v>
      </c>
      <c r="C11" s="2" t="s">
        <v>399</v>
      </c>
    </row>
    <row r="12" spans="1:5" ht="15" customHeight="1" x14ac:dyDescent="0.25">
      <c r="A12" s="20" t="s">
        <v>400</v>
      </c>
      <c r="B12" s="41" t="s">
        <v>401</v>
      </c>
      <c r="C12" s="2"/>
    </row>
    <row r="13" spans="1:5" ht="15" customHeight="1" x14ac:dyDescent="0.25">
      <c r="A13" s="14" t="s">
        <v>402</v>
      </c>
    </row>
    <row r="14" spans="1:5" ht="15" customHeight="1" x14ac:dyDescent="0.25">
      <c r="A14" s="2" t="s">
        <v>403</v>
      </c>
    </row>
    <row r="17" spans="1:8" ht="15" customHeight="1" x14ac:dyDescent="0.25">
      <c r="A17" s="4" t="s">
        <v>404</v>
      </c>
    </row>
    <row r="18" spans="1:8" ht="15" customHeight="1" x14ac:dyDescent="0.25">
      <c r="A18" s="5" t="s">
        <v>405</v>
      </c>
      <c r="B18" s="5" t="s">
        <v>406</v>
      </c>
      <c r="C18" s="5" t="s">
        <v>407</v>
      </c>
      <c r="D18" s="5" t="s">
        <v>408</v>
      </c>
      <c r="E18" s="5" t="s">
        <v>409</v>
      </c>
      <c r="F18" s="5" t="s">
        <v>410</v>
      </c>
      <c r="G18" s="5" t="s">
        <v>411</v>
      </c>
      <c r="H18" s="42" t="s">
        <v>412</v>
      </c>
    </row>
    <row r="19" spans="1:8" ht="15" customHeight="1" x14ac:dyDescent="0.25">
      <c r="A19" s="6">
        <v>1</v>
      </c>
      <c r="B19" s="6">
        <v>10</v>
      </c>
      <c r="C19" s="8">
        <v>15</v>
      </c>
      <c r="D19" s="6">
        <v>22.3</v>
      </c>
      <c r="E19" s="8">
        <v>73.2</v>
      </c>
      <c r="F19" s="8">
        <v>84.5</v>
      </c>
      <c r="G19" s="9" t="s">
        <v>47</v>
      </c>
    </row>
    <row r="20" spans="1:8" ht="15" customHeight="1" x14ac:dyDescent="0.25">
      <c r="A20" s="6">
        <v>2</v>
      </c>
      <c r="B20" s="6">
        <v>22.3</v>
      </c>
      <c r="C20" s="8">
        <v>40</v>
      </c>
      <c r="D20" s="6">
        <v>49.8</v>
      </c>
      <c r="E20" s="8">
        <v>103.7</v>
      </c>
      <c r="F20" s="8">
        <v>114.2</v>
      </c>
      <c r="G20" s="9" t="s">
        <v>47</v>
      </c>
    </row>
    <row r="21" spans="1:8" ht="15" customHeight="1" x14ac:dyDescent="0.25">
      <c r="A21" s="6">
        <v>3</v>
      </c>
      <c r="B21" s="6">
        <v>49.8</v>
      </c>
      <c r="C21" s="8">
        <v>40</v>
      </c>
      <c r="D21" s="6">
        <v>111</v>
      </c>
      <c r="E21" s="8">
        <v>107.2</v>
      </c>
      <c r="F21" s="8">
        <v>113.6</v>
      </c>
      <c r="G21" s="9" t="s">
        <v>21</v>
      </c>
    </row>
    <row r="23" spans="1:8" ht="15" customHeight="1" x14ac:dyDescent="0.25">
      <c r="A23" s="2" t="s">
        <v>413</v>
      </c>
    </row>
    <row r="24" spans="1:8" ht="15" customHeight="1" x14ac:dyDescent="0.25">
      <c r="A24" s="2" t="s">
        <v>414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workbookViewId="0">
      <selection activeCell="E10" sqref="E10"/>
    </sheetView>
  </sheetViews>
  <sheetFormatPr baseColWidth="10" defaultColWidth="8.7109375" defaultRowHeight="15" x14ac:dyDescent="0.25"/>
  <cols>
    <col min="1" max="1" width="14" customWidth="1"/>
    <col min="2" max="2" width="20" customWidth="1"/>
    <col min="3" max="3" width="16" customWidth="1"/>
    <col min="4" max="4" width="17" customWidth="1"/>
    <col min="5" max="5" width="22" customWidth="1"/>
    <col min="6" max="6" width="16" customWidth="1"/>
  </cols>
  <sheetData>
    <row r="1" spans="1:3" ht="17.25" customHeight="1" x14ac:dyDescent="0.25">
      <c r="A1" s="1" t="s">
        <v>415</v>
      </c>
    </row>
    <row r="3" spans="1:3" ht="15" customHeight="1" x14ac:dyDescent="0.25">
      <c r="A3" s="4" t="s">
        <v>416</v>
      </c>
    </row>
    <row r="4" spans="1:3" ht="15" customHeight="1" x14ac:dyDescent="0.25">
      <c r="A4" s="5" t="s">
        <v>417</v>
      </c>
      <c r="B4" s="5" t="s">
        <v>7</v>
      </c>
      <c r="C4" s="5" t="s">
        <v>8</v>
      </c>
    </row>
    <row r="5" spans="1:3" ht="15" customHeight="1" x14ac:dyDescent="0.25">
      <c r="A5" s="8">
        <v>120</v>
      </c>
      <c r="B5" s="8">
        <v>41</v>
      </c>
      <c r="C5" s="9" t="s">
        <v>21</v>
      </c>
    </row>
    <row r="6" spans="1:3" ht="15" customHeight="1" x14ac:dyDescent="0.25">
      <c r="A6" s="8">
        <v>115</v>
      </c>
      <c r="B6" s="8">
        <v>40.200000000000003</v>
      </c>
      <c r="C6" s="9" t="s">
        <v>21</v>
      </c>
    </row>
    <row r="7" spans="1:3" ht="15" customHeight="1" x14ac:dyDescent="0.25">
      <c r="A7" s="8">
        <v>110</v>
      </c>
      <c r="B7" s="8">
        <v>39.299999999999997</v>
      </c>
      <c r="C7" s="9" t="s">
        <v>21</v>
      </c>
    </row>
    <row r="8" spans="1:3" ht="15" customHeight="1" x14ac:dyDescent="0.25">
      <c r="A8" s="8">
        <v>105</v>
      </c>
      <c r="B8" s="8">
        <v>38.4</v>
      </c>
      <c r="C8" s="9" t="s">
        <v>21</v>
      </c>
    </row>
    <row r="9" spans="1:3" ht="15" customHeight="1" x14ac:dyDescent="0.25">
      <c r="A9" s="8">
        <v>100</v>
      </c>
      <c r="B9" s="8">
        <v>37.299999999999997</v>
      </c>
      <c r="C9" s="9" t="s">
        <v>21</v>
      </c>
    </row>
    <row r="10" spans="1:3" ht="15" customHeight="1" x14ac:dyDescent="0.25">
      <c r="A10" s="8">
        <v>95</v>
      </c>
      <c r="B10" s="8">
        <v>36.299999999999997</v>
      </c>
      <c r="C10" s="9" t="s">
        <v>21</v>
      </c>
    </row>
    <row r="11" spans="1:3" ht="15" customHeight="1" x14ac:dyDescent="0.25">
      <c r="A11" s="8">
        <v>90</v>
      </c>
      <c r="B11" s="8">
        <v>35.1</v>
      </c>
      <c r="C11" s="9" t="s">
        <v>21</v>
      </c>
    </row>
    <row r="12" spans="1:3" ht="15" customHeight="1" x14ac:dyDescent="0.25">
      <c r="A12" s="8">
        <v>85</v>
      </c>
      <c r="B12" s="8">
        <v>33.799999999999997</v>
      </c>
      <c r="C12" s="9" t="s">
        <v>21</v>
      </c>
    </row>
    <row r="14" spans="1:3" ht="15" customHeight="1" x14ac:dyDescent="0.25">
      <c r="A14" s="3" t="s">
        <v>418</v>
      </c>
    </row>
    <row r="15" spans="1:3" ht="15" customHeight="1" x14ac:dyDescent="0.25">
      <c r="A15" s="14" t="s">
        <v>419</v>
      </c>
    </row>
    <row r="16" spans="1:3" ht="15" customHeight="1" x14ac:dyDescent="0.25">
      <c r="A16" s="2" t="s">
        <v>420</v>
      </c>
    </row>
    <row r="17" spans="1:6" ht="15" customHeight="1" x14ac:dyDescent="0.25">
      <c r="A17" s="2" t="s">
        <v>421</v>
      </c>
    </row>
    <row r="18" spans="1:6" ht="15" customHeight="1" x14ac:dyDescent="0.25">
      <c r="A18" s="4" t="s">
        <v>422</v>
      </c>
    </row>
    <row r="19" spans="1:6" ht="15" customHeight="1" x14ac:dyDescent="0.25">
      <c r="A19" s="5" t="s">
        <v>417</v>
      </c>
      <c r="B19" s="5" t="s">
        <v>423</v>
      </c>
      <c r="C19" s="5" t="s">
        <v>424</v>
      </c>
      <c r="D19" s="5" t="s">
        <v>425</v>
      </c>
      <c r="E19" s="5" t="s">
        <v>426</v>
      </c>
      <c r="F19" s="5" t="s">
        <v>427</v>
      </c>
    </row>
    <row r="20" spans="1:6" ht="15" customHeight="1" x14ac:dyDescent="0.25">
      <c r="A20" s="8">
        <v>120</v>
      </c>
      <c r="B20" s="8">
        <v>20</v>
      </c>
      <c r="C20" s="9" t="s">
        <v>401</v>
      </c>
      <c r="D20" s="43" t="s">
        <v>62</v>
      </c>
      <c r="E20" s="8">
        <v>79.2</v>
      </c>
      <c r="F20" s="9" t="s">
        <v>428</v>
      </c>
    </row>
    <row r="21" spans="1:6" ht="15" customHeight="1" x14ac:dyDescent="0.25">
      <c r="A21" s="8">
        <v>115</v>
      </c>
      <c r="B21" s="8">
        <v>19.7</v>
      </c>
      <c r="C21" s="9" t="s">
        <v>401</v>
      </c>
      <c r="D21" s="43" t="s">
        <v>62</v>
      </c>
      <c r="E21" s="8">
        <v>76.5</v>
      </c>
      <c r="F21" s="9" t="s">
        <v>21</v>
      </c>
    </row>
    <row r="22" spans="1:6" ht="15" customHeight="1" x14ac:dyDescent="0.25">
      <c r="A22" s="8">
        <v>110</v>
      </c>
      <c r="B22" s="8">
        <v>19.5</v>
      </c>
      <c r="C22" s="9" t="s">
        <v>401</v>
      </c>
      <c r="D22" s="43" t="s">
        <v>62</v>
      </c>
      <c r="E22" s="8">
        <v>73.8</v>
      </c>
      <c r="F22" s="9" t="s">
        <v>21</v>
      </c>
    </row>
    <row r="23" spans="1:6" ht="15" customHeight="1" x14ac:dyDescent="0.25">
      <c r="A23" s="8">
        <v>105</v>
      </c>
      <c r="B23" s="8">
        <v>19.2</v>
      </c>
      <c r="C23" s="9" t="s">
        <v>401</v>
      </c>
      <c r="D23" s="43" t="s">
        <v>62</v>
      </c>
      <c r="E23" s="8">
        <v>70.900000000000006</v>
      </c>
      <c r="F23" s="9" t="s">
        <v>21</v>
      </c>
    </row>
    <row r="24" spans="1:6" ht="15" customHeight="1" x14ac:dyDescent="0.25">
      <c r="A24" s="8">
        <v>100</v>
      </c>
      <c r="B24" s="8">
        <v>18.899999999999999</v>
      </c>
      <c r="C24" s="9" t="s">
        <v>401</v>
      </c>
      <c r="D24" s="43" t="s">
        <v>62</v>
      </c>
      <c r="E24" s="8">
        <v>67.8</v>
      </c>
      <c r="F24" s="9" t="s">
        <v>21</v>
      </c>
    </row>
    <row r="25" spans="1:6" ht="15" customHeight="1" x14ac:dyDescent="0.25">
      <c r="A25" s="8">
        <v>95</v>
      </c>
      <c r="B25" s="8">
        <v>18.600000000000001</v>
      </c>
      <c r="C25" s="9" t="s">
        <v>401</v>
      </c>
      <c r="D25" s="43" t="s">
        <v>62</v>
      </c>
      <c r="E25" s="8">
        <v>64.599999999999994</v>
      </c>
      <c r="F25" s="9" t="s">
        <v>21</v>
      </c>
    </row>
    <row r="26" spans="1:6" ht="15" customHeight="1" x14ac:dyDescent="0.25">
      <c r="A26" s="8">
        <v>90</v>
      </c>
      <c r="B26" s="8">
        <v>18.3</v>
      </c>
      <c r="C26" s="9" t="s">
        <v>401</v>
      </c>
      <c r="D26" s="43" t="s">
        <v>62</v>
      </c>
      <c r="E26" s="8">
        <v>61.2</v>
      </c>
      <c r="F26" s="9" t="s">
        <v>21</v>
      </c>
    </row>
    <row r="27" spans="1:6" ht="15" customHeight="1" x14ac:dyDescent="0.25">
      <c r="A27" s="8">
        <v>85</v>
      </c>
      <c r="B27" s="8">
        <v>17.899999999999999</v>
      </c>
      <c r="C27" s="9" t="s">
        <v>401</v>
      </c>
      <c r="D27" s="43" t="s">
        <v>62</v>
      </c>
      <c r="E27" s="8">
        <v>57.7</v>
      </c>
      <c r="F27" s="9" t="s">
        <v>21</v>
      </c>
    </row>
    <row r="28" spans="1:6" ht="15" customHeight="1" x14ac:dyDescent="0.25">
      <c r="A28" s="8">
        <v>80</v>
      </c>
      <c r="B28" s="8">
        <v>17.5</v>
      </c>
      <c r="C28" s="9" t="s">
        <v>401</v>
      </c>
      <c r="D28" s="43" t="s">
        <v>62</v>
      </c>
      <c r="E28" s="8">
        <v>53.9</v>
      </c>
      <c r="F28" s="9" t="s">
        <v>21</v>
      </c>
    </row>
    <row r="29" spans="1:6" ht="15" customHeight="1" x14ac:dyDescent="0.25">
      <c r="A29" s="8">
        <v>75</v>
      </c>
      <c r="B29" s="8">
        <v>17.2</v>
      </c>
      <c r="C29" s="9" t="s">
        <v>401</v>
      </c>
      <c r="D29" s="43" t="s">
        <v>62</v>
      </c>
      <c r="E29" s="8">
        <v>50</v>
      </c>
      <c r="F29" s="9" t="s">
        <v>21</v>
      </c>
    </row>
    <row r="30" spans="1:6" ht="15" customHeight="1" x14ac:dyDescent="0.25">
      <c r="A30" s="8">
        <v>70</v>
      </c>
      <c r="B30" s="8">
        <v>16.7</v>
      </c>
      <c r="C30" s="9" t="s">
        <v>429</v>
      </c>
      <c r="D30" s="43" t="s">
        <v>62</v>
      </c>
      <c r="E30" s="8">
        <v>45.8</v>
      </c>
      <c r="F30" s="9" t="s">
        <v>47</v>
      </c>
    </row>
    <row r="31" spans="1:6" ht="15" customHeight="1" x14ac:dyDescent="0.25">
      <c r="A31" s="8">
        <v>65</v>
      </c>
      <c r="B31" s="8">
        <v>16.3</v>
      </c>
      <c r="C31" s="9" t="s">
        <v>429</v>
      </c>
      <c r="D31" s="43" t="s">
        <v>62</v>
      </c>
      <c r="E31" s="8">
        <v>41.5</v>
      </c>
      <c r="F31" s="9" t="s">
        <v>47</v>
      </c>
    </row>
    <row r="32" spans="1:6" ht="15" customHeight="1" x14ac:dyDescent="0.25">
      <c r="A32" s="8">
        <v>60</v>
      </c>
      <c r="B32" s="8">
        <v>15.9</v>
      </c>
      <c r="C32" s="9" t="s">
        <v>429</v>
      </c>
      <c r="D32" s="43" t="s">
        <v>62</v>
      </c>
      <c r="E32" s="8">
        <v>36.799999999999997</v>
      </c>
      <c r="F32" s="9" t="s">
        <v>47</v>
      </c>
    </row>
    <row r="33" spans="1:6" ht="15" customHeight="1" x14ac:dyDescent="0.25">
      <c r="A33" s="8">
        <v>55</v>
      </c>
      <c r="B33" s="8">
        <v>15.4</v>
      </c>
      <c r="C33" s="9" t="s">
        <v>429</v>
      </c>
      <c r="D33" s="43" t="s">
        <v>62</v>
      </c>
      <c r="E33" s="8">
        <v>31.9</v>
      </c>
      <c r="F33" s="9" t="s">
        <v>47</v>
      </c>
    </row>
    <row r="34" spans="1:6" ht="15" customHeight="1" x14ac:dyDescent="0.25">
      <c r="A34" s="8">
        <v>50</v>
      </c>
      <c r="B34" s="8">
        <v>14.3</v>
      </c>
      <c r="C34" s="18" t="s">
        <v>430</v>
      </c>
      <c r="D34" s="43">
        <v>0.01</v>
      </c>
      <c r="E34" s="8">
        <v>26.7</v>
      </c>
      <c r="F34" s="9" t="s">
        <v>41</v>
      </c>
    </row>
    <row r="35" spans="1:6" ht="15" customHeight="1" x14ac:dyDescent="0.25">
      <c r="A35" s="8">
        <v>45</v>
      </c>
      <c r="B35" s="8">
        <v>10</v>
      </c>
      <c r="C35" s="18" t="s">
        <v>430</v>
      </c>
      <c r="D35" s="43">
        <v>7.0000000000000007E-2</v>
      </c>
      <c r="E35" s="8">
        <v>21.2</v>
      </c>
      <c r="F35" s="9" t="s">
        <v>41</v>
      </c>
    </row>
    <row r="36" spans="1:6" ht="15" customHeight="1" x14ac:dyDescent="0.25">
      <c r="A36" s="8">
        <v>40</v>
      </c>
      <c r="B36" s="8">
        <v>5.3</v>
      </c>
      <c r="C36" s="18" t="s">
        <v>430</v>
      </c>
      <c r="D36" s="43">
        <v>0.12</v>
      </c>
      <c r="E36" s="8">
        <v>15.3</v>
      </c>
      <c r="F36" s="9" t="s">
        <v>41</v>
      </c>
    </row>
    <row r="37" spans="1:6" ht="15" customHeight="1" x14ac:dyDescent="0.25">
      <c r="A37" s="2" t="s">
        <v>431</v>
      </c>
    </row>
    <row r="38" spans="1:6" ht="15" customHeight="1" x14ac:dyDescent="0.25">
      <c r="A38" s="2" t="s">
        <v>432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312"/>
  <sheetViews>
    <sheetView topLeftCell="A51" zoomScaleNormal="100" workbookViewId="0">
      <selection activeCell="J32" sqref="J32"/>
    </sheetView>
  </sheetViews>
  <sheetFormatPr baseColWidth="10" defaultColWidth="8.7109375" defaultRowHeight="15" x14ac:dyDescent="0.25"/>
  <cols>
    <col min="1" max="2" width="13" customWidth="1"/>
    <col min="4" max="5" width="13" customWidth="1"/>
    <col min="7" max="8" width="13" customWidth="1"/>
    <col min="10" max="10" width="26.140625" customWidth="1"/>
    <col min="11" max="11" width="22.140625" customWidth="1"/>
    <col min="13" max="14" width="13" customWidth="1"/>
    <col min="43" max="43" width="26" customWidth="1"/>
  </cols>
  <sheetData>
    <row r="1" spans="1:50" ht="18" customHeight="1" x14ac:dyDescent="0.25">
      <c r="A1" s="1" t="s">
        <v>433</v>
      </c>
    </row>
    <row r="2" spans="1:50" ht="15" customHeight="1" x14ac:dyDescent="0.25">
      <c r="A2" s="2" t="s">
        <v>434</v>
      </c>
    </row>
    <row r="4" spans="1:50" ht="15.75" customHeight="1" x14ac:dyDescent="0.25">
      <c r="A4" s="5" t="s">
        <v>435</v>
      </c>
      <c r="B4" s="5" t="s">
        <v>436</v>
      </c>
      <c r="D4" s="5" t="s">
        <v>437</v>
      </c>
      <c r="E4" s="5" t="s">
        <v>438</v>
      </c>
      <c r="G4" s="5" t="s">
        <v>439</v>
      </c>
      <c r="H4" s="5" t="s">
        <v>440</v>
      </c>
      <c r="J4" s="5" t="s">
        <v>441</v>
      </c>
      <c r="K4" s="5" t="s">
        <v>442</v>
      </c>
      <c r="M4" s="5" t="s">
        <v>443</v>
      </c>
      <c r="N4" s="5" t="s">
        <v>444</v>
      </c>
      <c r="P4" s="44" t="s">
        <v>445</v>
      </c>
      <c r="Q4" s="44" t="s">
        <v>446</v>
      </c>
      <c r="S4" s="44" t="s">
        <v>447</v>
      </c>
      <c r="T4" s="44" t="s">
        <v>448</v>
      </c>
      <c r="V4" s="44" t="s">
        <v>449</v>
      </c>
      <c r="W4" s="44" t="s">
        <v>448</v>
      </c>
      <c r="Y4" s="44" t="s">
        <v>450</v>
      </c>
      <c r="Z4" s="44" t="s">
        <v>451</v>
      </c>
      <c r="AB4" s="44" t="s">
        <v>452</v>
      </c>
      <c r="AC4" s="44" t="s">
        <v>453</v>
      </c>
      <c r="AE4" s="44" t="s">
        <v>454</v>
      </c>
      <c r="AF4" s="44" t="s">
        <v>455</v>
      </c>
      <c r="AH4" s="44" t="s">
        <v>456</v>
      </c>
      <c r="AI4" s="44" t="s">
        <v>457</v>
      </c>
      <c r="AK4" s="44" t="s">
        <v>458</v>
      </c>
      <c r="AL4" s="44" t="s">
        <v>448</v>
      </c>
      <c r="AN4" s="44" t="s">
        <v>459</v>
      </c>
      <c r="AO4" s="44" t="s">
        <v>448</v>
      </c>
      <c r="AQ4" s="44" t="s">
        <v>460</v>
      </c>
      <c r="AR4" s="44" t="s">
        <v>448</v>
      </c>
      <c r="AT4" s="44" t="s">
        <v>461</v>
      </c>
      <c r="AU4" s="44" t="s">
        <v>448</v>
      </c>
      <c r="AW4" s="44" t="s">
        <v>462</v>
      </c>
      <c r="AX4" s="44" t="s">
        <v>448</v>
      </c>
    </row>
    <row r="5" spans="1:50" ht="15" customHeight="1" x14ac:dyDescent="0.25">
      <c r="A5" s="45">
        <v>-56.06</v>
      </c>
      <c r="B5" s="45">
        <v>5.29</v>
      </c>
      <c r="D5" s="45">
        <v>15</v>
      </c>
      <c r="E5" s="45">
        <v>10</v>
      </c>
      <c r="G5" s="45">
        <v>20</v>
      </c>
      <c r="H5" s="45">
        <v>120</v>
      </c>
      <c r="J5" s="45">
        <v>20</v>
      </c>
      <c r="K5" s="45">
        <v>120</v>
      </c>
      <c r="M5" s="45">
        <v>31</v>
      </c>
      <c r="N5" s="45">
        <v>73.8</v>
      </c>
      <c r="P5" s="45">
        <v>15</v>
      </c>
      <c r="Q5" s="45">
        <v>10</v>
      </c>
      <c r="S5" s="45">
        <v>31</v>
      </c>
      <c r="T5" s="45">
        <v>73.8</v>
      </c>
      <c r="V5" s="45">
        <v>31</v>
      </c>
      <c r="W5" s="45">
        <v>73.8</v>
      </c>
      <c r="Y5" s="45">
        <v>15</v>
      </c>
      <c r="Z5" s="45">
        <v>85</v>
      </c>
      <c r="AB5" s="45">
        <v>20</v>
      </c>
      <c r="AC5" s="45">
        <v>120</v>
      </c>
      <c r="AE5" s="45">
        <v>5</v>
      </c>
      <c r="AF5" s="45">
        <v>80</v>
      </c>
      <c r="AH5" s="45">
        <v>30</v>
      </c>
      <c r="AI5" s="45">
        <v>70</v>
      </c>
      <c r="AK5" s="45">
        <v>17.899999999999999</v>
      </c>
      <c r="AL5" s="45">
        <v>111</v>
      </c>
      <c r="AN5" s="45">
        <v>20</v>
      </c>
      <c r="AO5" s="45">
        <v>120</v>
      </c>
      <c r="AQ5" s="45">
        <v>42.3</v>
      </c>
      <c r="AR5" s="45">
        <v>129</v>
      </c>
      <c r="AT5" s="45">
        <v>41</v>
      </c>
      <c r="AU5" s="45">
        <v>120</v>
      </c>
      <c r="AW5" s="45">
        <v>51</v>
      </c>
      <c r="AX5" s="45">
        <v>110</v>
      </c>
    </row>
    <row r="6" spans="1:50" ht="15" customHeight="1" x14ac:dyDescent="0.25">
      <c r="A6" s="45">
        <v>-53.83</v>
      </c>
      <c r="B6" s="45">
        <v>5.82</v>
      </c>
      <c r="D6" s="45">
        <v>84.5</v>
      </c>
      <c r="E6" s="45">
        <v>22.3</v>
      </c>
      <c r="G6" s="45">
        <v>19.7</v>
      </c>
      <c r="H6" s="45">
        <v>115</v>
      </c>
      <c r="J6" s="45">
        <v>79.2</v>
      </c>
      <c r="K6" s="45">
        <v>120</v>
      </c>
      <c r="P6" s="45">
        <v>39.9</v>
      </c>
      <c r="Q6" s="45">
        <v>13.5</v>
      </c>
      <c r="S6" s="45">
        <v>31</v>
      </c>
      <c r="T6" s="45">
        <v>140</v>
      </c>
      <c r="V6" s="45">
        <v>140</v>
      </c>
      <c r="W6" s="45">
        <v>73.8</v>
      </c>
      <c r="Y6" s="45">
        <v>15.6</v>
      </c>
      <c r="Z6" s="45">
        <v>90.2</v>
      </c>
      <c r="AB6" s="45">
        <v>19.7</v>
      </c>
      <c r="AC6" s="45">
        <v>115</v>
      </c>
      <c r="AE6" s="45">
        <v>25</v>
      </c>
      <c r="AF6" s="45">
        <v>80</v>
      </c>
      <c r="AH6" s="45">
        <v>60</v>
      </c>
      <c r="AI6" s="45">
        <v>70</v>
      </c>
      <c r="AK6" s="45">
        <v>19.399999999999999</v>
      </c>
      <c r="AL6" s="45">
        <v>115.3</v>
      </c>
      <c r="AN6" s="45">
        <v>21.5</v>
      </c>
      <c r="AO6" s="45">
        <v>124.3</v>
      </c>
      <c r="AQ6" s="45">
        <v>43</v>
      </c>
      <c r="AR6" s="45">
        <v>132.5</v>
      </c>
      <c r="AT6" s="45">
        <v>40.200000000000003</v>
      </c>
      <c r="AU6" s="45">
        <v>115</v>
      </c>
      <c r="AW6" s="45">
        <v>50.9</v>
      </c>
      <c r="AX6" s="45">
        <v>109.9</v>
      </c>
    </row>
    <row r="7" spans="1:50" ht="15" customHeight="1" x14ac:dyDescent="0.25">
      <c r="A7" s="45">
        <v>-51.6</v>
      </c>
      <c r="B7" s="45">
        <v>6.39</v>
      </c>
      <c r="D7" s="45">
        <v>40</v>
      </c>
      <c r="E7" s="45">
        <v>22.3</v>
      </c>
      <c r="G7" s="45">
        <v>19.5</v>
      </c>
      <c r="H7" s="45">
        <v>110</v>
      </c>
      <c r="J7" s="45">
        <v>76.5</v>
      </c>
      <c r="K7" s="45">
        <v>115</v>
      </c>
      <c r="P7" s="45">
        <v>60.1</v>
      </c>
      <c r="Q7" s="45">
        <v>17</v>
      </c>
      <c r="Y7" s="45">
        <v>16.2</v>
      </c>
      <c r="Z7" s="45">
        <v>95.4</v>
      </c>
      <c r="AB7" s="45">
        <v>19.5</v>
      </c>
      <c r="AC7" s="45">
        <v>110</v>
      </c>
      <c r="AE7" s="45">
        <v>25</v>
      </c>
      <c r="AF7" s="45">
        <v>90</v>
      </c>
      <c r="AH7" s="45">
        <v>60</v>
      </c>
      <c r="AI7" s="45">
        <v>210</v>
      </c>
      <c r="AK7" s="45">
        <v>20.9</v>
      </c>
      <c r="AL7" s="45">
        <v>119.6</v>
      </c>
      <c r="AN7" s="45">
        <v>23</v>
      </c>
      <c r="AO7" s="45">
        <v>128.6</v>
      </c>
      <c r="AQ7" s="45">
        <v>43.6</v>
      </c>
      <c r="AR7" s="45">
        <v>136.1</v>
      </c>
      <c r="AT7" s="45">
        <v>39.299999999999997</v>
      </c>
      <c r="AU7" s="45">
        <v>110</v>
      </c>
      <c r="AW7" s="45">
        <v>50.9</v>
      </c>
      <c r="AX7" s="45">
        <v>109.8</v>
      </c>
    </row>
    <row r="8" spans="1:50" ht="15" customHeight="1" x14ac:dyDescent="0.25">
      <c r="A8" s="45">
        <v>-49.37</v>
      </c>
      <c r="B8" s="45">
        <v>7</v>
      </c>
      <c r="D8" s="45">
        <v>40</v>
      </c>
      <c r="E8" s="45">
        <v>22.3</v>
      </c>
      <c r="G8" s="45">
        <v>19.2</v>
      </c>
      <c r="H8" s="45">
        <v>105</v>
      </c>
      <c r="J8" s="45">
        <v>73.8</v>
      </c>
      <c r="K8" s="45">
        <v>110</v>
      </c>
      <c r="P8" s="45">
        <v>77.2</v>
      </c>
      <c r="Q8" s="45">
        <v>20.399999999999999</v>
      </c>
      <c r="Y8" s="45">
        <v>16.7</v>
      </c>
      <c r="Z8" s="45">
        <v>100.6</v>
      </c>
      <c r="AB8" s="45">
        <v>19.2</v>
      </c>
      <c r="AC8" s="45">
        <v>105</v>
      </c>
      <c r="AE8" s="45">
        <v>5</v>
      </c>
      <c r="AF8" s="45">
        <v>90</v>
      </c>
      <c r="AH8" s="45">
        <v>30</v>
      </c>
      <c r="AI8" s="45">
        <v>210</v>
      </c>
      <c r="AK8" s="45">
        <v>22.4</v>
      </c>
      <c r="AL8" s="45">
        <v>123.9</v>
      </c>
      <c r="AN8" s="45">
        <v>24.5</v>
      </c>
      <c r="AO8" s="45">
        <v>132.80000000000001</v>
      </c>
      <c r="AQ8" s="45">
        <v>44.3</v>
      </c>
      <c r="AR8" s="45">
        <v>139.69999999999999</v>
      </c>
      <c r="AT8" s="45">
        <v>38.4</v>
      </c>
      <c r="AU8" s="45">
        <v>105</v>
      </c>
      <c r="AW8" s="45">
        <v>50.8</v>
      </c>
      <c r="AX8" s="45">
        <v>109.6</v>
      </c>
    </row>
    <row r="9" spans="1:50" ht="15" customHeight="1" x14ac:dyDescent="0.25">
      <c r="A9" s="45">
        <v>-47.14</v>
      </c>
      <c r="B9" s="45">
        <v>7.65</v>
      </c>
      <c r="D9" s="45">
        <v>114.2</v>
      </c>
      <c r="E9" s="45">
        <v>49.8</v>
      </c>
      <c r="G9" s="45">
        <v>18.899999999999999</v>
      </c>
      <c r="H9" s="45">
        <v>100</v>
      </c>
      <c r="J9" s="45">
        <v>70.900000000000006</v>
      </c>
      <c r="K9" s="45">
        <v>105</v>
      </c>
      <c r="P9" s="45">
        <v>92.1</v>
      </c>
      <c r="Q9" s="45">
        <v>23.9</v>
      </c>
      <c r="Y9" s="45">
        <v>17.3</v>
      </c>
      <c r="Z9" s="45">
        <v>105.8</v>
      </c>
      <c r="AB9" s="45">
        <v>18.899999999999999</v>
      </c>
      <c r="AC9" s="45">
        <v>100</v>
      </c>
      <c r="AE9" s="45">
        <v>5</v>
      </c>
      <c r="AF9" s="45">
        <v>80</v>
      </c>
      <c r="AH9" s="45">
        <v>30</v>
      </c>
      <c r="AI9" s="45">
        <v>70</v>
      </c>
      <c r="AK9" s="45">
        <v>23.9</v>
      </c>
      <c r="AL9" s="45">
        <v>128.19999999999999</v>
      </c>
      <c r="AN9" s="45">
        <v>26</v>
      </c>
      <c r="AO9" s="45">
        <v>137.1</v>
      </c>
      <c r="AQ9" s="45">
        <v>44.9</v>
      </c>
      <c r="AR9" s="45">
        <v>143.19999999999999</v>
      </c>
      <c r="AT9" s="45">
        <v>37.299999999999997</v>
      </c>
      <c r="AU9" s="45">
        <v>100</v>
      </c>
      <c r="AW9" s="45">
        <v>50.7</v>
      </c>
      <c r="AX9" s="45">
        <v>109.5</v>
      </c>
    </row>
    <row r="10" spans="1:50" ht="15" customHeight="1" x14ac:dyDescent="0.25">
      <c r="A10" s="45">
        <v>-44.91</v>
      </c>
      <c r="B10" s="45">
        <v>8.35</v>
      </c>
      <c r="D10" s="45">
        <v>40</v>
      </c>
      <c r="E10" s="45">
        <v>49.8</v>
      </c>
      <c r="G10" s="45">
        <v>18.600000000000001</v>
      </c>
      <c r="H10" s="45">
        <v>95</v>
      </c>
      <c r="J10" s="45">
        <v>67.8</v>
      </c>
      <c r="K10" s="45">
        <v>100</v>
      </c>
      <c r="P10" s="45">
        <v>105.3</v>
      </c>
      <c r="Q10" s="45">
        <v>27.4</v>
      </c>
      <c r="Y10" s="45">
        <v>17.899999999999999</v>
      </c>
      <c r="Z10" s="45">
        <v>111</v>
      </c>
      <c r="AB10" s="45">
        <v>18.600000000000001</v>
      </c>
      <c r="AC10" s="45">
        <v>95</v>
      </c>
      <c r="AK10" s="45">
        <v>25.4</v>
      </c>
      <c r="AL10" s="45">
        <v>132.4</v>
      </c>
      <c r="AN10" s="45">
        <v>27.5</v>
      </c>
      <c r="AO10" s="45">
        <v>141.30000000000001</v>
      </c>
      <c r="AQ10" s="45">
        <v>45.5</v>
      </c>
      <c r="AR10" s="45">
        <v>146.80000000000001</v>
      </c>
      <c r="AT10" s="45">
        <v>36.299999999999997</v>
      </c>
      <c r="AU10" s="45">
        <v>95</v>
      </c>
      <c r="AW10" s="45">
        <v>50.6</v>
      </c>
      <c r="AX10" s="45">
        <v>109.4</v>
      </c>
    </row>
    <row r="11" spans="1:50" ht="15" customHeight="1" x14ac:dyDescent="0.25">
      <c r="A11" s="45">
        <v>-42.68</v>
      </c>
      <c r="B11" s="45">
        <v>9.09</v>
      </c>
      <c r="D11" s="45">
        <v>40</v>
      </c>
      <c r="E11" s="45">
        <v>49.8</v>
      </c>
      <c r="G11" s="45">
        <v>18.3</v>
      </c>
      <c r="H11" s="45">
        <v>90</v>
      </c>
      <c r="J11" s="45">
        <v>64.599999999999994</v>
      </c>
      <c r="K11" s="45">
        <v>95</v>
      </c>
      <c r="P11" s="45">
        <v>117.2</v>
      </c>
      <c r="Q11" s="45">
        <v>30.9</v>
      </c>
      <c r="AB11" s="45">
        <v>18.3</v>
      </c>
      <c r="AC11" s="45">
        <v>90</v>
      </c>
      <c r="AK11" s="45">
        <v>26.9</v>
      </c>
      <c r="AL11" s="45">
        <v>136.6</v>
      </c>
      <c r="AN11" s="45">
        <v>29</v>
      </c>
      <c r="AO11" s="45">
        <v>145.5</v>
      </c>
      <c r="AQ11" s="45">
        <v>46.1</v>
      </c>
      <c r="AR11" s="45">
        <v>150.4</v>
      </c>
      <c r="AT11" s="45">
        <v>35.1</v>
      </c>
      <c r="AU11" s="45">
        <v>90</v>
      </c>
      <c r="AW11" s="45">
        <v>50.5</v>
      </c>
      <c r="AX11" s="45">
        <v>109.3</v>
      </c>
    </row>
    <row r="12" spans="1:50" ht="15" customHeight="1" x14ac:dyDescent="0.25">
      <c r="A12" s="45">
        <v>-40.450000000000003</v>
      </c>
      <c r="B12" s="45">
        <v>9.8800000000000008</v>
      </c>
      <c r="D12" s="45">
        <v>113.6</v>
      </c>
      <c r="E12" s="45">
        <v>111</v>
      </c>
      <c r="G12" s="45">
        <v>17.899999999999999</v>
      </c>
      <c r="H12" s="45">
        <v>85</v>
      </c>
      <c r="J12" s="45">
        <v>61.2</v>
      </c>
      <c r="K12" s="45">
        <v>90</v>
      </c>
      <c r="P12" s="45">
        <v>128.1</v>
      </c>
      <c r="Q12" s="45">
        <v>34.4</v>
      </c>
      <c r="AB12" s="45">
        <v>17.899999999999999</v>
      </c>
      <c r="AC12" s="45">
        <v>85</v>
      </c>
      <c r="AK12" s="45">
        <v>28.4</v>
      </c>
      <c r="AL12" s="45">
        <v>140.80000000000001</v>
      </c>
      <c r="AN12" s="45">
        <v>30.5</v>
      </c>
      <c r="AO12" s="45">
        <v>149.6</v>
      </c>
      <c r="AQ12" s="45">
        <v>46.7</v>
      </c>
      <c r="AR12" s="45">
        <v>154</v>
      </c>
      <c r="AT12" s="45">
        <v>33.799999999999997</v>
      </c>
      <c r="AU12" s="45">
        <v>85</v>
      </c>
      <c r="AW12" s="45">
        <v>50.5</v>
      </c>
      <c r="AX12" s="45">
        <v>109.2</v>
      </c>
    </row>
    <row r="13" spans="1:50" ht="15" customHeight="1" x14ac:dyDescent="0.25">
      <c r="A13" s="45">
        <v>-38.21</v>
      </c>
      <c r="B13" s="45">
        <v>10.72</v>
      </c>
      <c r="D13" s="45">
        <v>40</v>
      </c>
      <c r="E13" s="45">
        <v>111</v>
      </c>
      <c r="G13" s="45">
        <v>17.5</v>
      </c>
      <c r="H13" s="45">
        <v>80</v>
      </c>
      <c r="J13" s="45">
        <v>57.7</v>
      </c>
      <c r="K13" s="45">
        <v>85</v>
      </c>
      <c r="P13" s="45">
        <v>138.1</v>
      </c>
      <c r="Q13" s="45">
        <v>37.9</v>
      </c>
      <c r="AK13" s="45">
        <v>29.9</v>
      </c>
      <c r="AL13" s="45">
        <v>144.9</v>
      </c>
      <c r="AN13" s="45">
        <v>32</v>
      </c>
      <c r="AO13" s="45">
        <v>153.80000000000001</v>
      </c>
      <c r="AQ13" s="45">
        <v>47.3</v>
      </c>
      <c r="AR13" s="45">
        <v>157.6</v>
      </c>
      <c r="AW13" s="45">
        <v>50.4</v>
      </c>
      <c r="AX13" s="45">
        <v>109.1</v>
      </c>
    </row>
    <row r="14" spans="1:50" ht="15" customHeight="1" x14ac:dyDescent="0.25">
      <c r="A14" s="45">
        <v>-35.979999999999997</v>
      </c>
      <c r="B14" s="45">
        <v>11.61</v>
      </c>
      <c r="G14" s="45">
        <v>17.2</v>
      </c>
      <c r="H14" s="45">
        <v>75</v>
      </c>
      <c r="J14" s="45">
        <v>53.9</v>
      </c>
      <c r="K14" s="45">
        <v>80</v>
      </c>
      <c r="P14" s="45">
        <v>147.4</v>
      </c>
      <c r="Q14" s="45">
        <v>41.3</v>
      </c>
      <c r="AK14" s="45">
        <v>31.4</v>
      </c>
      <c r="AL14" s="45">
        <v>149.1</v>
      </c>
      <c r="AN14" s="45">
        <v>33.5</v>
      </c>
      <c r="AO14" s="45">
        <v>157.9</v>
      </c>
      <c r="AQ14" s="45">
        <v>47.9</v>
      </c>
      <c r="AR14" s="45">
        <v>161.30000000000001</v>
      </c>
      <c r="AW14" s="45">
        <v>50.3</v>
      </c>
      <c r="AX14" s="45">
        <v>108.9</v>
      </c>
    </row>
    <row r="15" spans="1:50" ht="15" customHeight="1" x14ac:dyDescent="0.25">
      <c r="A15" s="45">
        <v>-33.75</v>
      </c>
      <c r="B15" s="45">
        <v>12.56</v>
      </c>
      <c r="G15" s="45">
        <v>16.7</v>
      </c>
      <c r="H15" s="45">
        <v>70</v>
      </c>
      <c r="J15" s="45">
        <v>50</v>
      </c>
      <c r="K15" s="45">
        <v>75</v>
      </c>
      <c r="P15" s="45">
        <v>156.1</v>
      </c>
      <c r="Q15" s="45">
        <v>44.8</v>
      </c>
      <c r="AK15" s="45">
        <v>32.9</v>
      </c>
      <c r="AL15" s="45">
        <v>153.19999999999999</v>
      </c>
      <c r="AN15" s="45">
        <v>35</v>
      </c>
      <c r="AO15" s="45">
        <v>162</v>
      </c>
      <c r="AQ15" s="45">
        <v>48.5</v>
      </c>
      <c r="AR15" s="45">
        <v>164.9</v>
      </c>
      <c r="AW15" s="45">
        <v>50.2</v>
      </c>
      <c r="AX15" s="45">
        <v>108.8</v>
      </c>
    </row>
    <row r="16" spans="1:50" ht="15" customHeight="1" x14ac:dyDescent="0.25">
      <c r="A16" s="45">
        <v>-31.52</v>
      </c>
      <c r="B16" s="45">
        <v>13.56</v>
      </c>
      <c r="G16" s="45">
        <v>16.3</v>
      </c>
      <c r="H16" s="45">
        <v>65</v>
      </c>
      <c r="J16" s="45">
        <v>45.8</v>
      </c>
      <c r="K16" s="45">
        <v>70</v>
      </c>
      <c r="P16" s="45">
        <v>164.3</v>
      </c>
      <c r="Q16" s="45">
        <v>48.3</v>
      </c>
      <c r="AK16" s="45">
        <v>34.4</v>
      </c>
      <c r="AL16" s="45">
        <v>157.19999999999999</v>
      </c>
      <c r="AN16" s="45">
        <v>36.5</v>
      </c>
      <c r="AO16" s="45">
        <v>166</v>
      </c>
      <c r="AQ16" s="45">
        <v>49.1</v>
      </c>
      <c r="AR16" s="45">
        <v>168.6</v>
      </c>
      <c r="AW16" s="45">
        <v>50.2</v>
      </c>
      <c r="AX16" s="45">
        <v>108.7</v>
      </c>
    </row>
    <row r="17" spans="1:50" ht="15" customHeight="1" x14ac:dyDescent="0.25">
      <c r="A17" s="45">
        <v>-29.29</v>
      </c>
      <c r="B17" s="45">
        <v>14.62</v>
      </c>
      <c r="G17" s="45">
        <v>15.9</v>
      </c>
      <c r="H17" s="45">
        <v>60</v>
      </c>
      <c r="J17" s="45">
        <v>41.5</v>
      </c>
      <c r="K17" s="45">
        <v>65</v>
      </c>
      <c r="P17" s="45">
        <v>172</v>
      </c>
      <c r="Q17" s="45">
        <v>51.8</v>
      </c>
      <c r="AK17" s="45">
        <v>35.9</v>
      </c>
      <c r="AL17" s="45">
        <v>161.30000000000001</v>
      </c>
      <c r="AN17" s="45">
        <v>38</v>
      </c>
      <c r="AO17" s="45">
        <v>170.1</v>
      </c>
      <c r="AQ17" s="45">
        <v>49.6</v>
      </c>
      <c r="AR17" s="45">
        <v>172.2</v>
      </c>
      <c r="AW17" s="45">
        <v>50.1</v>
      </c>
      <c r="AX17" s="45">
        <v>108.6</v>
      </c>
    </row>
    <row r="18" spans="1:50" ht="15" customHeight="1" x14ac:dyDescent="0.25">
      <c r="A18" s="45">
        <v>-27.06</v>
      </c>
      <c r="B18" s="45">
        <v>15.74</v>
      </c>
      <c r="G18" s="45">
        <v>15.4</v>
      </c>
      <c r="H18" s="45">
        <v>55</v>
      </c>
      <c r="J18" s="45">
        <v>36.799999999999997</v>
      </c>
      <c r="K18" s="45">
        <v>60</v>
      </c>
      <c r="P18" s="45">
        <v>179.3</v>
      </c>
      <c r="Q18" s="45">
        <v>55.3</v>
      </c>
      <c r="AK18" s="45">
        <v>37.4</v>
      </c>
      <c r="AL18" s="45">
        <v>165.3</v>
      </c>
      <c r="AN18" s="45">
        <v>39.5</v>
      </c>
      <c r="AO18" s="45">
        <v>174.1</v>
      </c>
      <c r="AQ18" s="45">
        <v>50.2</v>
      </c>
      <c r="AR18" s="45">
        <v>175.9</v>
      </c>
      <c r="AW18" s="45">
        <v>50</v>
      </c>
      <c r="AX18" s="45">
        <v>108.5</v>
      </c>
    </row>
    <row r="19" spans="1:50" ht="15" customHeight="1" x14ac:dyDescent="0.25">
      <c r="A19" s="45">
        <v>-24.83</v>
      </c>
      <c r="B19" s="45">
        <v>16.920000000000002</v>
      </c>
      <c r="G19" s="45">
        <v>14.3</v>
      </c>
      <c r="H19" s="45">
        <v>50</v>
      </c>
      <c r="J19" s="45">
        <v>31.9</v>
      </c>
      <c r="K19" s="45">
        <v>55</v>
      </c>
      <c r="P19" s="45">
        <v>186.2</v>
      </c>
      <c r="Q19" s="45">
        <v>58.8</v>
      </c>
      <c r="AK19" s="45">
        <v>38.9</v>
      </c>
      <c r="AL19" s="45">
        <v>169.4</v>
      </c>
      <c r="AN19" s="45">
        <v>41</v>
      </c>
      <c r="AO19" s="45">
        <v>178.1</v>
      </c>
      <c r="AQ19" s="45">
        <v>50.8</v>
      </c>
      <c r="AR19" s="45">
        <v>179.6</v>
      </c>
      <c r="AW19" s="45">
        <v>49.9</v>
      </c>
      <c r="AX19" s="45">
        <v>108.3</v>
      </c>
    </row>
    <row r="20" spans="1:50" ht="15" customHeight="1" x14ac:dyDescent="0.25">
      <c r="A20" s="45">
        <v>-22.6</v>
      </c>
      <c r="B20" s="45">
        <v>18.16</v>
      </c>
      <c r="G20" s="45">
        <v>10</v>
      </c>
      <c r="H20" s="45">
        <v>45</v>
      </c>
      <c r="J20" s="45">
        <v>26.7</v>
      </c>
      <c r="K20" s="45">
        <v>50</v>
      </c>
      <c r="P20" s="45">
        <v>192.8</v>
      </c>
      <c r="Q20" s="45">
        <v>62.2</v>
      </c>
      <c r="AK20" s="45">
        <v>40.4</v>
      </c>
      <c r="AL20" s="45">
        <v>173.3</v>
      </c>
      <c r="AN20" s="45">
        <v>42.5</v>
      </c>
      <c r="AO20" s="45">
        <v>182.1</v>
      </c>
      <c r="AQ20" s="45">
        <v>51.3</v>
      </c>
      <c r="AR20" s="45">
        <v>183.3</v>
      </c>
      <c r="AW20" s="45">
        <v>49.9</v>
      </c>
      <c r="AX20" s="45">
        <v>108.2</v>
      </c>
    </row>
    <row r="21" spans="1:50" ht="15" customHeight="1" x14ac:dyDescent="0.25">
      <c r="A21" s="45">
        <v>-20.37</v>
      </c>
      <c r="B21" s="45">
        <v>19.47</v>
      </c>
      <c r="G21" s="45">
        <v>5.3</v>
      </c>
      <c r="H21" s="45">
        <v>40</v>
      </c>
      <c r="J21" s="45">
        <v>21.2</v>
      </c>
      <c r="K21" s="45">
        <v>45</v>
      </c>
      <c r="P21" s="45">
        <v>199.1</v>
      </c>
      <c r="Q21" s="45">
        <v>65.7</v>
      </c>
      <c r="AK21" s="45">
        <v>41.9</v>
      </c>
      <c r="AL21" s="45">
        <v>177.3</v>
      </c>
      <c r="AN21" s="45">
        <v>44</v>
      </c>
      <c r="AO21" s="45">
        <v>186.1</v>
      </c>
      <c r="AQ21" s="45">
        <v>51.8</v>
      </c>
      <c r="AR21" s="45">
        <v>187</v>
      </c>
      <c r="AW21" s="45">
        <v>49.8</v>
      </c>
      <c r="AX21" s="45">
        <v>108.1</v>
      </c>
    </row>
    <row r="22" spans="1:50" ht="15" customHeight="1" x14ac:dyDescent="0.25">
      <c r="A22" s="45">
        <v>-18.14</v>
      </c>
      <c r="B22" s="45">
        <v>20.85</v>
      </c>
      <c r="J22" s="45">
        <v>15.3</v>
      </c>
      <c r="K22" s="45">
        <v>40</v>
      </c>
      <c r="P22" s="45">
        <v>205.1</v>
      </c>
      <c r="Q22" s="45">
        <v>69.2</v>
      </c>
      <c r="AK22" s="45">
        <v>43.4</v>
      </c>
      <c r="AL22" s="45">
        <v>181.3</v>
      </c>
      <c r="AN22" s="45">
        <v>45.5</v>
      </c>
      <c r="AO22" s="45">
        <v>190</v>
      </c>
      <c r="AQ22" s="45">
        <v>52.4</v>
      </c>
      <c r="AR22" s="45">
        <v>190.7</v>
      </c>
      <c r="AW22" s="45">
        <v>49.7</v>
      </c>
      <c r="AX22" s="45">
        <v>108</v>
      </c>
    </row>
    <row r="23" spans="1:50" ht="15" customHeight="1" x14ac:dyDescent="0.25">
      <c r="A23" s="45">
        <v>-15.91</v>
      </c>
      <c r="B23" s="45">
        <v>22.3</v>
      </c>
      <c r="P23" s="45">
        <v>210.9</v>
      </c>
      <c r="Q23" s="45">
        <v>72.7</v>
      </c>
      <c r="AK23" s="45">
        <v>44.9</v>
      </c>
      <c r="AL23" s="45">
        <v>185.2</v>
      </c>
      <c r="AN23" s="45">
        <v>47</v>
      </c>
      <c r="AO23" s="45">
        <v>193.9</v>
      </c>
      <c r="AQ23" s="45">
        <v>52.9</v>
      </c>
      <c r="AR23" s="45">
        <v>194.4</v>
      </c>
      <c r="AW23" s="45">
        <v>49.6</v>
      </c>
      <c r="AX23" s="45">
        <v>107.9</v>
      </c>
    </row>
    <row r="24" spans="1:50" ht="15" customHeight="1" x14ac:dyDescent="0.25">
      <c r="A24" s="45">
        <v>-13.68</v>
      </c>
      <c r="B24" s="45">
        <v>23.82</v>
      </c>
      <c r="P24" s="45">
        <v>216.4</v>
      </c>
      <c r="Q24" s="45">
        <v>76.2</v>
      </c>
      <c r="AK24" s="45">
        <v>46.4</v>
      </c>
      <c r="AL24" s="45">
        <v>189.1</v>
      </c>
      <c r="AN24" s="45">
        <v>48.5</v>
      </c>
      <c r="AO24" s="45">
        <v>197.8</v>
      </c>
      <c r="AQ24" s="45">
        <v>53.4</v>
      </c>
      <c r="AR24" s="45">
        <v>198.2</v>
      </c>
      <c r="AW24" s="45">
        <v>49.6</v>
      </c>
      <c r="AX24" s="45">
        <v>107.7</v>
      </c>
    </row>
    <row r="25" spans="1:50" ht="15" customHeight="1" x14ac:dyDescent="0.25">
      <c r="A25" s="45">
        <v>-11.45</v>
      </c>
      <c r="B25" s="45">
        <v>25.41</v>
      </c>
      <c r="P25" s="45">
        <v>221.8</v>
      </c>
      <c r="Q25" s="45">
        <v>79.7</v>
      </c>
      <c r="AK25" s="45">
        <v>47.9</v>
      </c>
      <c r="AL25" s="45">
        <v>193</v>
      </c>
      <c r="AN25" s="45">
        <v>50</v>
      </c>
      <c r="AO25" s="45">
        <v>201.7</v>
      </c>
      <c r="AQ25" s="45">
        <v>54</v>
      </c>
      <c r="AR25" s="45">
        <v>201.9</v>
      </c>
      <c r="AW25" s="45">
        <v>49.5</v>
      </c>
      <c r="AX25" s="45">
        <v>107.6</v>
      </c>
    </row>
    <row r="26" spans="1:50" ht="15" customHeight="1" x14ac:dyDescent="0.25">
      <c r="A26" s="45">
        <v>-9.2200000000000006</v>
      </c>
      <c r="B26" s="45">
        <v>27.08</v>
      </c>
      <c r="P26" s="45">
        <v>227</v>
      </c>
      <c r="Q26" s="45">
        <v>83.1</v>
      </c>
      <c r="AK26" s="45">
        <v>49.4</v>
      </c>
      <c r="AL26" s="45">
        <v>196.9</v>
      </c>
      <c r="AN26" s="45">
        <v>51.5</v>
      </c>
      <c r="AO26" s="45">
        <v>205.5</v>
      </c>
      <c r="AQ26" s="45">
        <v>54.5</v>
      </c>
      <c r="AR26" s="45">
        <v>205.7</v>
      </c>
      <c r="AW26" s="45">
        <v>49.4</v>
      </c>
      <c r="AX26" s="45">
        <v>107.5</v>
      </c>
    </row>
    <row r="27" spans="1:50" ht="15" customHeight="1" x14ac:dyDescent="0.25">
      <c r="A27" s="45">
        <v>-6.99</v>
      </c>
      <c r="B27" s="45">
        <v>28.83</v>
      </c>
      <c r="P27" s="45">
        <v>232</v>
      </c>
      <c r="Q27" s="45">
        <v>86.6</v>
      </c>
      <c r="AK27" s="45">
        <v>50.9</v>
      </c>
      <c r="AL27" s="45">
        <v>200.7</v>
      </c>
      <c r="AN27" s="45">
        <v>53</v>
      </c>
      <c r="AO27" s="45">
        <v>209.4</v>
      </c>
      <c r="AQ27" s="45">
        <v>55</v>
      </c>
      <c r="AR27" s="45">
        <v>209.4</v>
      </c>
      <c r="AW27" s="45">
        <v>49.4</v>
      </c>
      <c r="AX27" s="45">
        <v>107.4</v>
      </c>
    </row>
    <row r="28" spans="1:50" ht="15" customHeight="1" x14ac:dyDescent="0.25">
      <c r="A28" s="45">
        <v>-4.76</v>
      </c>
      <c r="B28" s="45">
        <v>30.66</v>
      </c>
      <c r="P28" s="45">
        <v>236.8</v>
      </c>
      <c r="Q28" s="45">
        <v>90.1</v>
      </c>
      <c r="AK28" s="45">
        <v>52.4</v>
      </c>
      <c r="AL28" s="45">
        <v>204.5</v>
      </c>
      <c r="AN28" s="45">
        <v>54.5</v>
      </c>
      <c r="AO28" s="45">
        <v>213.2</v>
      </c>
      <c r="AQ28" s="45">
        <v>55.5</v>
      </c>
      <c r="AR28" s="45">
        <v>213.2</v>
      </c>
      <c r="AW28" s="45">
        <v>49.3</v>
      </c>
      <c r="AX28" s="45">
        <v>107.3</v>
      </c>
    </row>
    <row r="29" spans="1:50" ht="15" customHeight="1" x14ac:dyDescent="0.25">
      <c r="A29" s="45">
        <v>-2.5299999999999998</v>
      </c>
      <c r="B29" s="45">
        <v>32.58</v>
      </c>
      <c r="P29" s="45">
        <v>241.5</v>
      </c>
      <c r="Q29" s="45">
        <v>93.6</v>
      </c>
      <c r="AK29" s="45">
        <v>53.9</v>
      </c>
      <c r="AL29" s="45">
        <v>208.3</v>
      </c>
      <c r="AN29" s="45">
        <v>56</v>
      </c>
      <c r="AO29" s="45">
        <v>217</v>
      </c>
      <c r="AQ29" s="45">
        <v>56</v>
      </c>
      <c r="AR29" s="45">
        <v>217</v>
      </c>
      <c r="AW29" s="45">
        <v>49.2</v>
      </c>
      <c r="AX29" s="45">
        <v>107.1</v>
      </c>
    </row>
    <row r="30" spans="1:50" ht="15" customHeight="1" x14ac:dyDescent="0.25">
      <c r="A30" s="45">
        <v>-0.3</v>
      </c>
      <c r="B30" s="45">
        <v>34.58</v>
      </c>
      <c r="P30" s="45">
        <v>246</v>
      </c>
      <c r="Q30" s="45">
        <v>97.1</v>
      </c>
      <c r="AW30" s="45">
        <v>49.1</v>
      </c>
      <c r="AX30" s="45">
        <v>107</v>
      </c>
    </row>
    <row r="31" spans="1:50" ht="15" customHeight="1" x14ac:dyDescent="0.25">
      <c r="A31" s="45">
        <v>1.93</v>
      </c>
      <c r="B31" s="45">
        <v>36.67</v>
      </c>
      <c r="P31" s="45">
        <v>250.5</v>
      </c>
      <c r="Q31" s="45">
        <v>100.6</v>
      </c>
      <c r="AW31" s="45">
        <v>49</v>
      </c>
      <c r="AX31" s="45">
        <v>106.9</v>
      </c>
    </row>
    <row r="32" spans="1:50" ht="15" customHeight="1" x14ac:dyDescent="0.25">
      <c r="A32" s="45">
        <v>4.16</v>
      </c>
      <c r="B32" s="45">
        <v>38.85</v>
      </c>
      <c r="P32" s="45">
        <v>254.8</v>
      </c>
      <c r="Q32" s="45">
        <v>104</v>
      </c>
      <c r="AW32" s="45">
        <v>49</v>
      </c>
      <c r="AX32" s="45">
        <v>106.8</v>
      </c>
    </row>
    <row r="33" spans="1:50" ht="15" customHeight="1" x14ac:dyDescent="0.25">
      <c r="A33" s="45">
        <v>6.39</v>
      </c>
      <c r="B33" s="45">
        <v>41.13</v>
      </c>
      <c r="P33" s="45">
        <v>258.89999999999998</v>
      </c>
      <c r="Q33" s="45">
        <v>107.5</v>
      </c>
      <c r="AW33" s="45">
        <v>48.9</v>
      </c>
      <c r="AX33" s="45">
        <v>106.7</v>
      </c>
    </row>
    <row r="34" spans="1:50" ht="15" customHeight="1" x14ac:dyDescent="0.25">
      <c r="A34" s="45">
        <v>8.6199999999999992</v>
      </c>
      <c r="B34" s="45">
        <v>43.51</v>
      </c>
      <c r="P34" s="45">
        <v>263</v>
      </c>
      <c r="Q34" s="45">
        <v>111</v>
      </c>
      <c r="AW34" s="45">
        <v>48.8</v>
      </c>
      <c r="AX34" s="45">
        <v>106.5</v>
      </c>
    </row>
    <row r="35" spans="1:50" ht="15" customHeight="1" x14ac:dyDescent="0.25">
      <c r="A35" s="45">
        <v>10.85</v>
      </c>
      <c r="B35" s="45">
        <v>45.98</v>
      </c>
      <c r="AW35" s="45">
        <v>48.8</v>
      </c>
      <c r="AX35" s="45">
        <v>106.4</v>
      </c>
    </row>
    <row r="36" spans="1:50" ht="15" customHeight="1" x14ac:dyDescent="0.25">
      <c r="A36" s="45">
        <v>13.08</v>
      </c>
      <c r="B36" s="45">
        <v>48.57</v>
      </c>
      <c r="AW36" s="45">
        <v>48.7</v>
      </c>
      <c r="AX36" s="45">
        <v>106.3</v>
      </c>
    </row>
    <row r="37" spans="1:50" ht="15" customHeight="1" x14ac:dyDescent="0.25">
      <c r="A37" s="45">
        <v>15.32</v>
      </c>
      <c r="B37" s="45">
        <v>51.26</v>
      </c>
      <c r="AW37" s="45">
        <v>48.6</v>
      </c>
      <c r="AX37" s="45">
        <v>106.2</v>
      </c>
    </row>
    <row r="38" spans="1:50" ht="15" customHeight="1" x14ac:dyDescent="0.25">
      <c r="A38" s="45">
        <v>17.55</v>
      </c>
      <c r="B38" s="45">
        <v>54.07</v>
      </c>
      <c r="AW38" s="45">
        <v>48.5</v>
      </c>
      <c r="AX38" s="45">
        <v>106.1</v>
      </c>
    </row>
    <row r="39" spans="1:50" ht="15" customHeight="1" x14ac:dyDescent="0.25">
      <c r="A39" s="45">
        <v>19.78</v>
      </c>
      <c r="B39" s="45">
        <v>56.99</v>
      </c>
      <c r="AW39" s="45">
        <v>48.4</v>
      </c>
      <c r="AX39" s="45">
        <v>105.9</v>
      </c>
    </row>
    <row r="40" spans="1:50" ht="15" customHeight="1" x14ac:dyDescent="0.25">
      <c r="A40" s="45">
        <v>22.01</v>
      </c>
      <c r="B40" s="45">
        <v>60.04</v>
      </c>
      <c r="AW40" s="45">
        <v>48.4</v>
      </c>
      <c r="AX40" s="45">
        <v>105.8</v>
      </c>
    </row>
    <row r="41" spans="1:50" ht="15" customHeight="1" x14ac:dyDescent="0.25">
      <c r="A41" s="45">
        <v>24.24</v>
      </c>
      <c r="B41" s="45">
        <v>63.22</v>
      </c>
      <c r="AW41" s="45">
        <v>48.3</v>
      </c>
      <c r="AX41" s="45">
        <v>105.7</v>
      </c>
    </row>
    <row r="42" spans="1:50" ht="15" customHeight="1" x14ac:dyDescent="0.25">
      <c r="A42" s="45">
        <v>26.47</v>
      </c>
      <c r="B42" s="45">
        <v>66.55</v>
      </c>
      <c r="AW42" s="45">
        <v>48.2</v>
      </c>
      <c r="AX42" s="45">
        <v>105.6</v>
      </c>
    </row>
    <row r="43" spans="1:50" ht="15" customHeight="1" x14ac:dyDescent="0.25">
      <c r="A43" s="45">
        <v>28.7</v>
      </c>
      <c r="B43" s="45">
        <v>70.02</v>
      </c>
      <c r="AW43" s="45">
        <v>48.1</v>
      </c>
      <c r="AX43" s="45">
        <v>105.5</v>
      </c>
    </row>
    <row r="44" spans="1:50" ht="15" customHeight="1" x14ac:dyDescent="0.25">
      <c r="A44" s="45">
        <v>30.93</v>
      </c>
      <c r="B44" s="45">
        <v>73.69</v>
      </c>
      <c r="AW44" s="45">
        <v>48.1</v>
      </c>
      <c r="AX44" s="45">
        <v>105.3</v>
      </c>
    </row>
    <row r="45" spans="1:50" ht="15" customHeight="1" x14ac:dyDescent="0.25">
      <c r="AW45" s="45">
        <v>48</v>
      </c>
      <c r="AX45" s="45">
        <v>105.2</v>
      </c>
    </row>
    <row r="46" spans="1:50" ht="15" customHeight="1" x14ac:dyDescent="0.25">
      <c r="AW46" s="45">
        <v>47.9</v>
      </c>
      <c r="AX46" s="45">
        <v>105.1</v>
      </c>
    </row>
    <row r="47" spans="1:50" ht="15" customHeight="1" x14ac:dyDescent="0.25">
      <c r="AW47" s="45">
        <v>47.9</v>
      </c>
      <c r="AX47" s="45">
        <v>105</v>
      </c>
    </row>
    <row r="48" spans="1:50" ht="15" customHeight="1" x14ac:dyDescent="0.25">
      <c r="AW48" s="45">
        <v>47.8</v>
      </c>
      <c r="AX48" s="45">
        <v>104.9</v>
      </c>
    </row>
    <row r="49" spans="49:50" ht="15" customHeight="1" x14ac:dyDescent="0.25">
      <c r="AW49" s="45">
        <v>47.7</v>
      </c>
      <c r="AX49" s="45">
        <v>104.7</v>
      </c>
    </row>
    <row r="50" spans="49:50" ht="15" customHeight="1" x14ac:dyDescent="0.25">
      <c r="AW50" s="45">
        <v>47.6</v>
      </c>
      <c r="AX50" s="45">
        <v>104.6</v>
      </c>
    </row>
    <row r="51" spans="49:50" ht="15" customHeight="1" x14ac:dyDescent="0.25">
      <c r="AW51" s="45">
        <v>47.5</v>
      </c>
      <c r="AX51" s="45">
        <v>104.5</v>
      </c>
    </row>
    <row r="52" spans="49:50" ht="15" customHeight="1" x14ac:dyDescent="0.25">
      <c r="AW52" s="45">
        <v>47.5</v>
      </c>
      <c r="AX52" s="45">
        <v>104.4</v>
      </c>
    </row>
    <row r="53" spans="49:50" ht="15" customHeight="1" x14ac:dyDescent="0.25">
      <c r="AW53" s="45">
        <v>47.4</v>
      </c>
      <c r="AX53" s="45">
        <v>104.3</v>
      </c>
    </row>
    <row r="54" spans="49:50" ht="15" customHeight="1" x14ac:dyDescent="0.25">
      <c r="AW54" s="45">
        <v>47.3</v>
      </c>
      <c r="AX54" s="45">
        <v>104.1</v>
      </c>
    </row>
    <row r="55" spans="49:50" ht="15" customHeight="1" x14ac:dyDescent="0.25">
      <c r="AW55" s="45">
        <v>47.2</v>
      </c>
      <c r="AX55" s="45">
        <v>104</v>
      </c>
    </row>
    <row r="56" spans="49:50" ht="15" customHeight="1" x14ac:dyDescent="0.25">
      <c r="AW56" s="45">
        <v>47.2</v>
      </c>
      <c r="AX56" s="45">
        <v>103.9</v>
      </c>
    </row>
    <row r="57" spans="49:50" ht="15" customHeight="1" x14ac:dyDescent="0.25">
      <c r="AW57" s="45">
        <v>47.1</v>
      </c>
      <c r="AX57" s="45">
        <v>103.8</v>
      </c>
    </row>
    <row r="58" spans="49:50" ht="15" customHeight="1" x14ac:dyDescent="0.25">
      <c r="AW58" s="45">
        <v>47</v>
      </c>
      <c r="AX58" s="45">
        <v>103.6</v>
      </c>
    </row>
    <row r="59" spans="49:50" ht="15" customHeight="1" x14ac:dyDescent="0.25">
      <c r="AW59" s="45">
        <v>47</v>
      </c>
      <c r="AX59" s="45">
        <v>103.5</v>
      </c>
    </row>
    <row r="60" spans="49:50" ht="15" customHeight="1" x14ac:dyDescent="0.25">
      <c r="AW60" s="45">
        <v>46.9</v>
      </c>
      <c r="AX60" s="45">
        <v>103.4</v>
      </c>
    </row>
    <row r="61" spans="49:50" ht="15" customHeight="1" x14ac:dyDescent="0.25">
      <c r="AW61" s="45">
        <v>46.8</v>
      </c>
      <c r="AX61" s="45">
        <v>103.3</v>
      </c>
    </row>
    <row r="62" spans="49:50" ht="15" customHeight="1" x14ac:dyDescent="0.25">
      <c r="AW62" s="45">
        <v>46.7</v>
      </c>
      <c r="AX62" s="45">
        <v>103.2</v>
      </c>
    </row>
    <row r="63" spans="49:50" ht="15" customHeight="1" x14ac:dyDescent="0.25">
      <c r="AW63" s="45">
        <v>46.6</v>
      </c>
      <c r="AX63" s="45">
        <v>103</v>
      </c>
    </row>
    <row r="64" spans="49:50" ht="15" customHeight="1" x14ac:dyDescent="0.25">
      <c r="AW64" s="45">
        <v>46.6</v>
      </c>
      <c r="AX64" s="45">
        <v>102.9</v>
      </c>
    </row>
    <row r="65" spans="1:50" ht="15" customHeight="1" x14ac:dyDescent="0.25">
      <c r="AW65" s="45">
        <v>46.5</v>
      </c>
      <c r="AX65" s="45">
        <v>102.8</v>
      </c>
    </row>
    <row r="66" spans="1:50" ht="15" customHeight="1" x14ac:dyDescent="0.25">
      <c r="AW66" s="45">
        <v>46.4</v>
      </c>
      <c r="AX66" s="45">
        <v>102.7</v>
      </c>
    </row>
    <row r="67" spans="1:50" ht="15" customHeight="1" x14ac:dyDescent="0.25">
      <c r="AW67" s="45">
        <v>46.3</v>
      </c>
      <c r="AX67" s="45">
        <v>102.6</v>
      </c>
    </row>
    <row r="68" spans="1:50" ht="15" customHeight="1" x14ac:dyDescent="0.25">
      <c r="AW68" s="45">
        <v>46.3</v>
      </c>
      <c r="AX68" s="45">
        <v>102.4</v>
      </c>
    </row>
    <row r="69" spans="1:50" ht="15" customHeight="1" x14ac:dyDescent="0.25">
      <c r="AW69" s="45">
        <v>46.2</v>
      </c>
      <c r="AX69" s="45">
        <v>102.3</v>
      </c>
    </row>
    <row r="70" spans="1:50" ht="15" customHeight="1" x14ac:dyDescent="0.25">
      <c r="AW70" s="45">
        <v>46.1</v>
      </c>
      <c r="AX70" s="45">
        <v>102.2</v>
      </c>
    </row>
    <row r="71" spans="1:50" ht="15" customHeight="1" x14ac:dyDescent="0.25">
      <c r="AW71" s="45">
        <v>46</v>
      </c>
      <c r="AX71" s="45">
        <v>102.1</v>
      </c>
    </row>
    <row r="72" spans="1:50" ht="15" customHeight="1" x14ac:dyDescent="0.25">
      <c r="AW72" s="45">
        <v>46</v>
      </c>
      <c r="AX72" s="45">
        <v>101.9</v>
      </c>
    </row>
    <row r="73" spans="1:50" ht="15" customHeight="1" x14ac:dyDescent="0.25">
      <c r="AW73" s="45">
        <v>45.9</v>
      </c>
      <c r="AX73" s="45">
        <v>101.8</v>
      </c>
    </row>
    <row r="74" spans="1:50" ht="15" customHeight="1" x14ac:dyDescent="0.25">
      <c r="AW74" s="45">
        <v>45.8</v>
      </c>
      <c r="AX74" s="45">
        <v>101.7</v>
      </c>
    </row>
    <row r="75" spans="1:50" ht="15" customHeight="1" x14ac:dyDescent="0.25">
      <c r="AW75" s="45">
        <v>45.8</v>
      </c>
      <c r="AX75" s="45">
        <v>101.6</v>
      </c>
    </row>
    <row r="76" spans="1:50" ht="15" customHeight="1" x14ac:dyDescent="0.25">
      <c r="A76" s="4" t="s">
        <v>463</v>
      </c>
      <c r="AW76" s="45">
        <v>45.7</v>
      </c>
      <c r="AX76" s="45">
        <v>101.5</v>
      </c>
    </row>
    <row r="77" spans="1:50" ht="15" customHeight="1" x14ac:dyDescent="0.25">
      <c r="A77" s="2" t="s">
        <v>464</v>
      </c>
      <c r="AW77" s="45">
        <v>45.6</v>
      </c>
      <c r="AX77" s="45">
        <v>101.3</v>
      </c>
    </row>
    <row r="78" spans="1:50" ht="15" customHeight="1" x14ac:dyDescent="0.25">
      <c r="A78" s="2" t="s">
        <v>465</v>
      </c>
      <c r="AW78" s="45">
        <v>45.5</v>
      </c>
      <c r="AX78" s="45">
        <v>101.2</v>
      </c>
    </row>
    <row r="79" spans="1:50" ht="15" customHeight="1" x14ac:dyDescent="0.25">
      <c r="A79" s="2" t="s">
        <v>466</v>
      </c>
      <c r="AW79" s="45">
        <v>45.5</v>
      </c>
      <c r="AX79" s="45">
        <v>101.1</v>
      </c>
    </row>
    <row r="80" spans="1:50" ht="15" customHeight="1" x14ac:dyDescent="0.25">
      <c r="A80" s="2" t="s">
        <v>467</v>
      </c>
      <c r="AW80" s="45">
        <v>45.4</v>
      </c>
      <c r="AX80" s="45">
        <v>101</v>
      </c>
    </row>
    <row r="81" spans="1:50" ht="15" customHeight="1" x14ac:dyDescent="0.25">
      <c r="A81" s="2" t="s">
        <v>468</v>
      </c>
      <c r="AW81" s="45">
        <v>45.3</v>
      </c>
      <c r="AX81" s="45">
        <v>100.8</v>
      </c>
    </row>
    <row r="82" spans="1:50" ht="15" customHeight="1" x14ac:dyDescent="0.25">
      <c r="A82" s="46" t="s">
        <v>469</v>
      </c>
      <c r="AW82" s="45">
        <v>45.2</v>
      </c>
      <c r="AX82" s="45">
        <v>100.7</v>
      </c>
    </row>
    <row r="83" spans="1:50" ht="15" customHeight="1" x14ac:dyDescent="0.25">
      <c r="A83" s="4" t="s">
        <v>470</v>
      </c>
      <c r="AW83" s="45">
        <v>45.1</v>
      </c>
      <c r="AX83" s="45">
        <v>100.6</v>
      </c>
    </row>
    <row r="84" spans="1:50" ht="15" customHeight="1" x14ac:dyDescent="0.25">
      <c r="A84" s="2" t="s">
        <v>471</v>
      </c>
      <c r="AW84" s="45">
        <v>45.1</v>
      </c>
      <c r="AX84" s="45">
        <v>100.5</v>
      </c>
    </row>
    <row r="85" spans="1:50" ht="15" customHeight="1" x14ac:dyDescent="0.25">
      <c r="A85" s="2" t="s">
        <v>472</v>
      </c>
      <c r="AW85" s="45">
        <v>45</v>
      </c>
      <c r="AX85" s="45">
        <v>100.3</v>
      </c>
    </row>
    <row r="86" spans="1:50" ht="15" customHeight="1" x14ac:dyDescent="0.25">
      <c r="A86" s="2" t="s">
        <v>473</v>
      </c>
      <c r="AW86" s="45">
        <v>44.9</v>
      </c>
      <c r="AX86" s="45">
        <v>100.2</v>
      </c>
    </row>
    <row r="87" spans="1:50" ht="15" customHeight="1" x14ac:dyDescent="0.25">
      <c r="A87" s="2" t="s">
        <v>474</v>
      </c>
      <c r="AW87" s="45">
        <v>44.8</v>
      </c>
      <c r="AX87" s="45">
        <v>100.1</v>
      </c>
    </row>
    <row r="88" spans="1:50" ht="15" customHeight="1" x14ac:dyDescent="0.25">
      <c r="AW88" s="45">
        <v>44.8</v>
      </c>
      <c r="AX88" s="45">
        <v>100</v>
      </c>
    </row>
    <row r="89" spans="1:50" ht="15" customHeight="1" x14ac:dyDescent="0.25">
      <c r="AW89" s="45">
        <v>44.7</v>
      </c>
      <c r="AX89" s="45">
        <v>99.8</v>
      </c>
    </row>
    <row r="90" spans="1:50" ht="15" customHeight="1" x14ac:dyDescent="0.25">
      <c r="AW90" s="45">
        <v>44.6</v>
      </c>
      <c r="AX90" s="45">
        <v>99.7</v>
      </c>
    </row>
    <row r="91" spans="1:50" ht="15" customHeight="1" x14ac:dyDescent="0.25">
      <c r="AW91" s="45">
        <v>44.5</v>
      </c>
      <c r="AX91" s="45">
        <v>99.6</v>
      </c>
    </row>
    <row r="92" spans="1:50" ht="15" customHeight="1" x14ac:dyDescent="0.25">
      <c r="AW92" s="45">
        <v>44.5</v>
      </c>
      <c r="AX92" s="45">
        <v>99.5</v>
      </c>
    </row>
    <row r="93" spans="1:50" ht="15" customHeight="1" x14ac:dyDescent="0.25">
      <c r="AW93" s="45">
        <v>44.4</v>
      </c>
      <c r="AX93" s="45">
        <v>99.4</v>
      </c>
    </row>
    <row r="94" spans="1:50" ht="15" customHeight="1" x14ac:dyDescent="0.25">
      <c r="AW94" s="45">
        <v>44.3</v>
      </c>
      <c r="AX94" s="45">
        <v>99.2</v>
      </c>
    </row>
    <row r="95" spans="1:50" ht="15" customHeight="1" x14ac:dyDescent="0.25">
      <c r="AW95" s="45">
        <v>44.2</v>
      </c>
      <c r="AX95" s="45">
        <v>99.1</v>
      </c>
    </row>
    <row r="96" spans="1:50" ht="15" customHeight="1" x14ac:dyDescent="0.25">
      <c r="AW96" s="45">
        <v>44.2</v>
      </c>
      <c r="AX96" s="45">
        <v>99</v>
      </c>
    </row>
    <row r="97" spans="49:50" ht="15" customHeight="1" x14ac:dyDescent="0.25">
      <c r="AW97" s="45">
        <v>44.1</v>
      </c>
      <c r="AX97" s="45">
        <v>98.9</v>
      </c>
    </row>
    <row r="98" spans="49:50" ht="15" customHeight="1" x14ac:dyDescent="0.25">
      <c r="AW98" s="45">
        <v>44</v>
      </c>
      <c r="AX98" s="45">
        <v>98.7</v>
      </c>
    </row>
    <row r="99" spans="49:50" ht="15" customHeight="1" x14ac:dyDescent="0.25">
      <c r="AW99" s="45">
        <v>44</v>
      </c>
      <c r="AX99" s="45">
        <v>98.6</v>
      </c>
    </row>
    <row r="100" spans="49:50" ht="15" customHeight="1" x14ac:dyDescent="0.25">
      <c r="AW100" s="45">
        <v>43.9</v>
      </c>
      <c r="AX100" s="45">
        <v>98.5</v>
      </c>
    </row>
    <row r="101" spans="49:50" ht="15" customHeight="1" x14ac:dyDescent="0.25">
      <c r="AW101" s="45">
        <v>43.8</v>
      </c>
      <c r="AX101" s="45">
        <v>98.4</v>
      </c>
    </row>
    <row r="102" spans="49:50" ht="15" customHeight="1" x14ac:dyDescent="0.25">
      <c r="AW102" s="45">
        <v>43.7</v>
      </c>
      <c r="AX102" s="45">
        <v>98.2</v>
      </c>
    </row>
    <row r="103" spans="49:50" ht="15" customHeight="1" x14ac:dyDescent="0.25">
      <c r="AW103" s="45">
        <v>43.6</v>
      </c>
      <c r="AX103" s="45">
        <v>98.1</v>
      </c>
    </row>
    <row r="104" spans="49:50" ht="15" customHeight="1" x14ac:dyDescent="0.25">
      <c r="AW104" s="45">
        <v>43.6</v>
      </c>
      <c r="AX104" s="45">
        <v>98</v>
      </c>
    </row>
    <row r="105" spans="49:50" ht="15" customHeight="1" x14ac:dyDescent="0.25">
      <c r="AW105" s="45">
        <v>43.5</v>
      </c>
      <c r="AX105" s="45">
        <v>97.9</v>
      </c>
    </row>
    <row r="106" spans="49:50" ht="15" customHeight="1" x14ac:dyDescent="0.25">
      <c r="AW106" s="45">
        <v>43.4</v>
      </c>
      <c r="AX106" s="45">
        <v>97.7</v>
      </c>
    </row>
    <row r="107" spans="49:50" ht="15" customHeight="1" x14ac:dyDescent="0.25">
      <c r="AW107" s="45">
        <v>43.3</v>
      </c>
      <c r="AX107" s="45">
        <v>97.6</v>
      </c>
    </row>
    <row r="108" spans="49:50" ht="15" customHeight="1" x14ac:dyDescent="0.25">
      <c r="AW108" s="45">
        <v>43.3</v>
      </c>
      <c r="AX108" s="45">
        <v>97.5</v>
      </c>
    </row>
    <row r="109" spans="49:50" ht="15" customHeight="1" x14ac:dyDescent="0.25">
      <c r="AW109" s="45">
        <v>43.2</v>
      </c>
      <c r="AX109" s="45">
        <v>97.4</v>
      </c>
    </row>
    <row r="110" spans="49:50" ht="15" customHeight="1" x14ac:dyDescent="0.25">
      <c r="AW110" s="45">
        <v>43.1</v>
      </c>
      <c r="AX110" s="45">
        <v>97.2</v>
      </c>
    </row>
    <row r="111" spans="49:50" ht="15" customHeight="1" x14ac:dyDescent="0.25">
      <c r="AW111" s="45">
        <v>43</v>
      </c>
      <c r="AX111" s="45">
        <v>97.1</v>
      </c>
    </row>
    <row r="112" spans="49:50" ht="15" customHeight="1" x14ac:dyDescent="0.25">
      <c r="AW112" s="45">
        <v>43</v>
      </c>
      <c r="AX112" s="45">
        <v>97</v>
      </c>
    </row>
    <row r="113" spans="49:50" ht="15" customHeight="1" x14ac:dyDescent="0.25">
      <c r="AW113" s="45">
        <v>42.9</v>
      </c>
      <c r="AX113" s="45">
        <v>96.9</v>
      </c>
    </row>
    <row r="114" spans="49:50" ht="15" customHeight="1" x14ac:dyDescent="0.25">
      <c r="AW114" s="45">
        <v>42.8</v>
      </c>
      <c r="AX114" s="45">
        <v>96.7</v>
      </c>
    </row>
    <row r="115" spans="49:50" ht="15" customHeight="1" x14ac:dyDescent="0.25">
      <c r="AW115" s="45">
        <v>42.8</v>
      </c>
      <c r="AX115" s="45">
        <v>96.6</v>
      </c>
    </row>
    <row r="116" spans="49:50" ht="15" customHeight="1" x14ac:dyDescent="0.25">
      <c r="AW116" s="45">
        <v>42.7</v>
      </c>
      <c r="AX116" s="45">
        <v>96.5</v>
      </c>
    </row>
    <row r="117" spans="49:50" ht="15" customHeight="1" x14ac:dyDescent="0.25">
      <c r="AW117" s="45">
        <v>42.6</v>
      </c>
      <c r="AX117" s="45">
        <v>96.4</v>
      </c>
    </row>
    <row r="118" spans="49:50" ht="15" customHeight="1" x14ac:dyDescent="0.25">
      <c r="AW118" s="45">
        <v>42.5</v>
      </c>
      <c r="AX118" s="45">
        <v>96.2</v>
      </c>
    </row>
    <row r="119" spans="49:50" ht="15" customHeight="1" x14ac:dyDescent="0.25">
      <c r="AW119" s="45">
        <v>42.5</v>
      </c>
      <c r="AX119" s="45">
        <v>96.1</v>
      </c>
    </row>
    <row r="120" spans="49:50" ht="15" customHeight="1" x14ac:dyDescent="0.25">
      <c r="AW120" s="45">
        <v>42.4</v>
      </c>
      <c r="AX120" s="45">
        <v>96</v>
      </c>
    </row>
    <row r="121" spans="49:50" ht="15" customHeight="1" x14ac:dyDescent="0.25">
      <c r="AW121" s="45">
        <v>42.3</v>
      </c>
      <c r="AX121" s="45">
        <v>95.8</v>
      </c>
    </row>
    <row r="122" spans="49:50" ht="15" customHeight="1" x14ac:dyDescent="0.25">
      <c r="AW122" s="45">
        <v>42.2</v>
      </c>
      <c r="AX122" s="45">
        <v>95.7</v>
      </c>
    </row>
    <row r="123" spans="49:50" ht="15" customHeight="1" x14ac:dyDescent="0.25">
      <c r="AW123" s="45">
        <v>42.1</v>
      </c>
      <c r="AX123" s="45">
        <v>95.6</v>
      </c>
    </row>
    <row r="124" spans="49:50" ht="15" customHeight="1" x14ac:dyDescent="0.25">
      <c r="AW124" s="45">
        <v>42.1</v>
      </c>
      <c r="AX124" s="45">
        <v>95.5</v>
      </c>
    </row>
    <row r="125" spans="49:50" ht="15" customHeight="1" x14ac:dyDescent="0.25">
      <c r="AW125" s="45">
        <v>42</v>
      </c>
      <c r="AX125" s="45">
        <v>95.3</v>
      </c>
    </row>
    <row r="126" spans="49:50" ht="15" customHeight="1" x14ac:dyDescent="0.25">
      <c r="AW126" s="45">
        <v>41.9</v>
      </c>
      <c r="AX126" s="45">
        <v>95.2</v>
      </c>
    </row>
    <row r="127" spans="49:50" ht="15" customHeight="1" x14ac:dyDescent="0.25">
      <c r="AW127" s="45">
        <v>41.8</v>
      </c>
      <c r="AX127" s="45">
        <v>95.1</v>
      </c>
    </row>
    <row r="128" spans="49:50" ht="15" customHeight="1" x14ac:dyDescent="0.25">
      <c r="AW128" s="45">
        <v>41.8</v>
      </c>
      <c r="AX128" s="45">
        <v>95</v>
      </c>
    </row>
    <row r="129" spans="49:50" ht="15" customHeight="1" x14ac:dyDescent="0.25">
      <c r="AW129" s="45">
        <v>41.7</v>
      </c>
      <c r="AX129" s="45">
        <v>94.8</v>
      </c>
    </row>
    <row r="130" spans="49:50" ht="15" customHeight="1" x14ac:dyDescent="0.25">
      <c r="AW130" s="45">
        <v>41.6</v>
      </c>
      <c r="AX130" s="45">
        <v>94.7</v>
      </c>
    </row>
    <row r="131" spans="49:50" ht="15" customHeight="1" x14ac:dyDescent="0.25">
      <c r="AW131" s="45">
        <v>41.5</v>
      </c>
      <c r="AX131" s="45">
        <v>94.6</v>
      </c>
    </row>
    <row r="132" spans="49:50" ht="15" customHeight="1" x14ac:dyDescent="0.25">
      <c r="AW132" s="45">
        <v>41.5</v>
      </c>
      <c r="AX132" s="45">
        <v>94.4</v>
      </c>
    </row>
    <row r="133" spans="49:50" ht="15" customHeight="1" x14ac:dyDescent="0.25">
      <c r="AW133" s="45">
        <v>41.4</v>
      </c>
      <c r="AX133" s="45">
        <v>94.3</v>
      </c>
    </row>
    <row r="134" spans="49:50" ht="15" customHeight="1" x14ac:dyDescent="0.25">
      <c r="AW134" s="45">
        <v>41.3</v>
      </c>
      <c r="AX134" s="45">
        <v>94.2</v>
      </c>
    </row>
    <row r="135" spans="49:50" ht="15" customHeight="1" x14ac:dyDescent="0.25">
      <c r="AW135" s="45">
        <v>41.2</v>
      </c>
      <c r="AX135" s="45">
        <v>94.1</v>
      </c>
    </row>
    <row r="136" spans="49:50" ht="15" customHeight="1" x14ac:dyDescent="0.25">
      <c r="AW136" s="45">
        <v>41.2</v>
      </c>
      <c r="AX136" s="45">
        <v>93.9</v>
      </c>
    </row>
    <row r="137" spans="49:50" ht="15" customHeight="1" x14ac:dyDescent="0.25">
      <c r="AW137" s="45">
        <v>41.1</v>
      </c>
      <c r="AX137" s="45">
        <v>93.8</v>
      </c>
    </row>
    <row r="138" spans="49:50" ht="15" customHeight="1" x14ac:dyDescent="0.25">
      <c r="AW138" s="45">
        <v>41</v>
      </c>
      <c r="AX138" s="45">
        <v>93.7</v>
      </c>
    </row>
    <row r="139" spans="49:50" ht="15" customHeight="1" x14ac:dyDescent="0.25">
      <c r="AW139" s="45">
        <v>41</v>
      </c>
      <c r="AX139" s="45">
        <v>93.6</v>
      </c>
    </row>
    <row r="140" spans="49:50" ht="15" customHeight="1" x14ac:dyDescent="0.25">
      <c r="AW140" s="45">
        <v>40.9</v>
      </c>
      <c r="AX140" s="45">
        <v>93.4</v>
      </c>
    </row>
    <row r="141" spans="49:50" ht="15" customHeight="1" x14ac:dyDescent="0.25">
      <c r="AW141" s="45">
        <v>40.799999999999997</v>
      </c>
      <c r="AX141" s="45">
        <v>93.3</v>
      </c>
    </row>
    <row r="142" spans="49:50" ht="15" customHeight="1" x14ac:dyDescent="0.25">
      <c r="AW142" s="45">
        <v>40.700000000000003</v>
      </c>
      <c r="AX142" s="45">
        <v>93.2</v>
      </c>
    </row>
    <row r="143" spans="49:50" ht="15" customHeight="1" x14ac:dyDescent="0.25">
      <c r="AW143" s="45">
        <v>40.6</v>
      </c>
      <c r="AX143" s="45">
        <v>93</v>
      </c>
    </row>
    <row r="144" spans="49:50" ht="15" customHeight="1" x14ac:dyDescent="0.25">
      <c r="AW144" s="45">
        <v>40.6</v>
      </c>
      <c r="AX144" s="45">
        <v>92.9</v>
      </c>
    </row>
    <row r="145" spans="49:50" ht="15" customHeight="1" x14ac:dyDescent="0.25">
      <c r="AW145" s="45">
        <v>40.5</v>
      </c>
      <c r="AX145" s="45">
        <v>92.8</v>
      </c>
    </row>
    <row r="146" spans="49:50" ht="15" customHeight="1" x14ac:dyDescent="0.25">
      <c r="AW146" s="45">
        <v>40.4</v>
      </c>
      <c r="AX146" s="45">
        <v>92.6</v>
      </c>
    </row>
    <row r="147" spans="49:50" ht="15" customHeight="1" x14ac:dyDescent="0.25">
      <c r="AW147" s="45">
        <v>40.299999999999997</v>
      </c>
      <c r="AX147" s="45">
        <v>92.5</v>
      </c>
    </row>
    <row r="148" spans="49:50" ht="15" customHeight="1" x14ac:dyDescent="0.25">
      <c r="AW148" s="45">
        <v>40.299999999999997</v>
      </c>
      <c r="AX148" s="45">
        <v>92.4</v>
      </c>
    </row>
    <row r="149" spans="49:50" ht="15" customHeight="1" x14ac:dyDescent="0.25">
      <c r="AW149" s="45">
        <v>40.200000000000003</v>
      </c>
      <c r="AX149" s="45">
        <v>92.3</v>
      </c>
    </row>
    <row r="150" spans="49:50" ht="15" customHeight="1" x14ac:dyDescent="0.25">
      <c r="AW150" s="45">
        <v>40.1</v>
      </c>
      <c r="AX150" s="45">
        <v>92.1</v>
      </c>
    </row>
    <row r="151" spans="49:50" ht="15" customHeight="1" x14ac:dyDescent="0.25">
      <c r="AW151" s="45">
        <v>40</v>
      </c>
      <c r="AX151" s="45">
        <v>92</v>
      </c>
    </row>
    <row r="152" spans="49:50" ht="15" customHeight="1" x14ac:dyDescent="0.25">
      <c r="AW152" s="45">
        <v>40</v>
      </c>
      <c r="AX152" s="45">
        <v>91.9</v>
      </c>
    </row>
    <row r="153" spans="49:50" ht="15" customHeight="1" x14ac:dyDescent="0.25">
      <c r="AW153" s="45">
        <v>39.9</v>
      </c>
      <c r="AX153" s="45">
        <v>91.7</v>
      </c>
    </row>
    <row r="154" spans="49:50" ht="15" customHeight="1" x14ac:dyDescent="0.25">
      <c r="AW154" s="45">
        <v>39.799999999999997</v>
      </c>
      <c r="AX154" s="45">
        <v>91.6</v>
      </c>
    </row>
    <row r="155" spans="49:50" ht="15" customHeight="1" x14ac:dyDescent="0.25">
      <c r="AW155" s="45">
        <v>39.799999999999997</v>
      </c>
      <c r="AX155" s="45">
        <v>91.5</v>
      </c>
    </row>
    <row r="156" spans="49:50" ht="15" customHeight="1" x14ac:dyDescent="0.25">
      <c r="AW156" s="45">
        <v>39.700000000000003</v>
      </c>
      <c r="AX156" s="45">
        <v>91.3</v>
      </c>
    </row>
    <row r="157" spans="49:50" ht="15" customHeight="1" x14ac:dyDescent="0.25">
      <c r="AW157" s="45">
        <v>39.6</v>
      </c>
      <c r="AX157" s="45">
        <v>91.2</v>
      </c>
    </row>
    <row r="158" spans="49:50" ht="15" customHeight="1" x14ac:dyDescent="0.25">
      <c r="AW158" s="45">
        <v>39.5</v>
      </c>
      <c r="AX158" s="45">
        <v>91.1</v>
      </c>
    </row>
    <row r="159" spans="49:50" ht="15" customHeight="1" x14ac:dyDescent="0.25">
      <c r="AW159" s="45">
        <v>39.5</v>
      </c>
      <c r="AX159" s="45">
        <v>91</v>
      </c>
    </row>
    <row r="160" spans="49:50" ht="15" customHeight="1" x14ac:dyDescent="0.25">
      <c r="AW160" s="45">
        <v>39.4</v>
      </c>
      <c r="AX160" s="45">
        <v>90.8</v>
      </c>
    </row>
    <row r="161" spans="49:50" ht="15" customHeight="1" x14ac:dyDescent="0.25">
      <c r="AW161" s="45">
        <v>39.299999999999997</v>
      </c>
      <c r="AX161" s="45">
        <v>90.7</v>
      </c>
    </row>
    <row r="162" spans="49:50" ht="15" customHeight="1" x14ac:dyDescent="0.25">
      <c r="AW162" s="45">
        <v>39.200000000000003</v>
      </c>
      <c r="AX162" s="45">
        <v>90.6</v>
      </c>
    </row>
    <row r="163" spans="49:50" ht="15" customHeight="1" x14ac:dyDescent="0.25">
      <c r="AW163" s="45">
        <v>39.1</v>
      </c>
      <c r="AX163" s="45">
        <v>90.4</v>
      </c>
    </row>
    <row r="164" spans="49:50" ht="15" customHeight="1" x14ac:dyDescent="0.25">
      <c r="AW164" s="45">
        <v>39.1</v>
      </c>
      <c r="AX164" s="45">
        <v>90.3</v>
      </c>
    </row>
    <row r="165" spans="49:50" ht="15" customHeight="1" x14ac:dyDescent="0.25">
      <c r="AW165" s="45">
        <v>39</v>
      </c>
      <c r="AX165" s="45">
        <v>90.2</v>
      </c>
    </row>
    <row r="166" spans="49:50" ht="15" customHeight="1" x14ac:dyDescent="0.25">
      <c r="AW166" s="45">
        <v>38.9</v>
      </c>
      <c r="AX166" s="45">
        <v>90</v>
      </c>
    </row>
    <row r="167" spans="49:50" ht="15" customHeight="1" x14ac:dyDescent="0.25">
      <c r="AW167" s="45">
        <v>38.799999999999997</v>
      </c>
      <c r="AX167" s="45">
        <v>89.9</v>
      </c>
    </row>
    <row r="168" spans="49:50" ht="15" customHeight="1" x14ac:dyDescent="0.25">
      <c r="AW168" s="45">
        <v>38.799999999999997</v>
      </c>
      <c r="AX168" s="45">
        <v>89.8</v>
      </c>
    </row>
    <row r="169" spans="49:50" ht="15" customHeight="1" x14ac:dyDescent="0.25">
      <c r="AW169" s="45">
        <v>38.700000000000003</v>
      </c>
      <c r="AX169" s="45">
        <v>89.6</v>
      </c>
    </row>
    <row r="170" spans="49:50" ht="15" customHeight="1" x14ac:dyDescent="0.25">
      <c r="AW170" s="45">
        <v>38.6</v>
      </c>
      <c r="AX170" s="45">
        <v>89.5</v>
      </c>
    </row>
    <row r="171" spans="49:50" ht="15" customHeight="1" x14ac:dyDescent="0.25">
      <c r="AW171" s="45">
        <v>38.5</v>
      </c>
      <c r="AX171" s="45">
        <v>89.4</v>
      </c>
    </row>
    <row r="172" spans="49:50" ht="15" customHeight="1" x14ac:dyDescent="0.25">
      <c r="AW172" s="45">
        <v>38.5</v>
      </c>
      <c r="AX172" s="45">
        <v>89.2</v>
      </c>
    </row>
    <row r="173" spans="49:50" ht="15" customHeight="1" x14ac:dyDescent="0.25">
      <c r="AW173" s="45">
        <v>38.4</v>
      </c>
      <c r="AX173" s="45">
        <v>89.1</v>
      </c>
    </row>
    <row r="174" spans="49:50" ht="15" customHeight="1" x14ac:dyDescent="0.25">
      <c r="AW174" s="45">
        <v>38.299999999999997</v>
      </c>
      <c r="AX174" s="45">
        <v>89</v>
      </c>
    </row>
    <row r="175" spans="49:50" ht="15" customHeight="1" x14ac:dyDescent="0.25">
      <c r="AW175" s="45">
        <v>38.200000000000003</v>
      </c>
      <c r="AX175" s="45">
        <v>88.8</v>
      </c>
    </row>
    <row r="176" spans="49:50" ht="15" customHeight="1" x14ac:dyDescent="0.25">
      <c r="AW176" s="45">
        <v>38.200000000000003</v>
      </c>
      <c r="AX176" s="45">
        <v>88.7</v>
      </c>
    </row>
    <row r="177" spans="49:50" ht="15" customHeight="1" x14ac:dyDescent="0.25">
      <c r="AW177" s="45">
        <v>38.1</v>
      </c>
      <c r="AX177" s="45">
        <v>88.6</v>
      </c>
    </row>
    <row r="178" spans="49:50" ht="15" customHeight="1" x14ac:dyDescent="0.25">
      <c r="AW178" s="45">
        <v>38</v>
      </c>
      <c r="AX178" s="45">
        <v>88.4</v>
      </c>
    </row>
    <row r="179" spans="49:50" ht="15" customHeight="1" x14ac:dyDescent="0.25">
      <c r="AW179" s="45">
        <v>38</v>
      </c>
      <c r="AX179" s="45">
        <v>88.3</v>
      </c>
    </row>
    <row r="180" spans="49:50" ht="15" customHeight="1" x14ac:dyDescent="0.25">
      <c r="AW180" s="45">
        <v>37.9</v>
      </c>
      <c r="AX180" s="45">
        <v>88.2</v>
      </c>
    </row>
    <row r="181" spans="49:50" ht="15" customHeight="1" x14ac:dyDescent="0.25">
      <c r="AW181" s="45">
        <v>37.799999999999997</v>
      </c>
      <c r="AX181" s="45">
        <v>88</v>
      </c>
    </row>
    <row r="182" spans="49:50" ht="15" customHeight="1" x14ac:dyDescent="0.25">
      <c r="AW182" s="45">
        <v>37.700000000000003</v>
      </c>
      <c r="AX182" s="45">
        <v>87.9</v>
      </c>
    </row>
    <row r="183" spans="49:50" ht="15" customHeight="1" x14ac:dyDescent="0.25">
      <c r="AW183" s="45">
        <v>37.6</v>
      </c>
      <c r="AX183" s="45">
        <v>87.8</v>
      </c>
    </row>
    <row r="184" spans="49:50" ht="15" customHeight="1" x14ac:dyDescent="0.25">
      <c r="AW184" s="45">
        <v>37.6</v>
      </c>
      <c r="AX184" s="45">
        <v>87.6</v>
      </c>
    </row>
    <row r="185" spans="49:50" ht="15" customHeight="1" x14ac:dyDescent="0.25">
      <c r="AW185" s="45">
        <v>37.5</v>
      </c>
      <c r="AX185" s="45">
        <v>87.5</v>
      </c>
    </row>
    <row r="186" spans="49:50" ht="15" customHeight="1" x14ac:dyDescent="0.25">
      <c r="AW186" s="45">
        <v>37.4</v>
      </c>
      <c r="AX186" s="45">
        <v>87.4</v>
      </c>
    </row>
    <row r="187" spans="49:50" ht="15" customHeight="1" x14ac:dyDescent="0.25">
      <c r="AW187" s="45">
        <v>37.299999999999997</v>
      </c>
      <c r="AX187" s="45">
        <v>87.2</v>
      </c>
    </row>
    <row r="188" spans="49:50" ht="15" customHeight="1" x14ac:dyDescent="0.25">
      <c r="AW188" s="45">
        <v>37.299999999999997</v>
      </c>
      <c r="AX188" s="45">
        <v>87.1</v>
      </c>
    </row>
    <row r="189" spans="49:50" ht="15" customHeight="1" x14ac:dyDescent="0.25">
      <c r="AW189" s="45">
        <v>37.200000000000003</v>
      </c>
      <c r="AX189" s="45">
        <v>87</v>
      </c>
    </row>
    <row r="190" spans="49:50" ht="15" customHeight="1" x14ac:dyDescent="0.25">
      <c r="AW190" s="45">
        <v>37.1</v>
      </c>
      <c r="AX190" s="45">
        <v>86.8</v>
      </c>
    </row>
    <row r="191" spans="49:50" ht="15" customHeight="1" x14ac:dyDescent="0.25">
      <c r="AW191" s="45">
        <v>37</v>
      </c>
      <c r="AX191" s="45">
        <v>86.7</v>
      </c>
    </row>
    <row r="192" spans="49:50" ht="15" customHeight="1" x14ac:dyDescent="0.25">
      <c r="AW192" s="45">
        <v>37</v>
      </c>
      <c r="AX192" s="45">
        <v>86.6</v>
      </c>
    </row>
    <row r="193" spans="49:50" ht="15" customHeight="1" x14ac:dyDescent="0.25">
      <c r="AW193" s="45">
        <v>36.9</v>
      </c>
      <c r="AX193" s="45">
        <v>86.4</v>
      </c>
    </row>
    <row r="194" spans="49:50" ht="15" customHeight="1" x14ac:dyDescent="0.25">
      <c r="AW194" s="45">
        <v>36.799999999999997</v>
      </c>
      <c r="AX194" s="45">
        <v>86.3</v>
      </c>
    </row>
    <row r="195" spans="49:50" ht="15" customHeight="1" x14ac:dyDescent="0.25">
      <c r="AW195" s="45">
        <v>36.799999999999997</v>
      </c>
      <c r="AX195" s="45">
        <v>86.2</v>
      </c>
    </row>
    <row r="196" spans="49:50" ht="15" customHeight="1" x14ac:dyDescent="0.25">
      <c r="AW196" s="45">
        <v>36.700000000000003</v>
      </c>
      <c r="AX196" s="45">
        <v>86</v>
      </c>
    </row>
    <row r="197" spans="49:50" ht="15" customHeight="1" x14ac:dyDescent="0.25">
      <c r="AW197" s="45">
        <v>36.6</v>
      </c>
      <c r="AX197" s="45">
        <v>85.9</v>
      </c>
    </row>
    <row r="198" spans="49:50" ht="15" customHeight="1" x14ac:dyDescent="0.25">
      <c r="AW198" s="45">
        <v>36.5</v>
      </c>
      <c r="AX198" s="45">
        <v>85.7</v>
      </c>
    </row>
    <row r="199" spans="49:50" ht="15" customHeight="1" x14ac:dyDescent="0.25">
      <c r="AW199" s="45">
        <v>36.5</v>
      </c>
      <c r="AX199" s="45">
        <v>85.6</v>
      </c>
    </row>
    <row r="200" spans="49:50" ht="15" customHeight="1" x14ac:dyDescent="0.25">
      <c r="AW200" s="45">
        <v>36.4</v>
      </c>
      <c r="AX200" s="45">
        <v>85.5</v>
      </c>
    </row>
    <row r="201" spans="49:50" ht="15" customHeight="1" x14ac:dyDescent="0.25">
      <c r="AW201" s="45">
        <v>36.299999999999997</v>
      </c>
      <c r="AX201" s="45">
        <v>85.3</v>
      </c>
    </row>
    <row r="202" spans="49:50" ht="15" customHeight="1" x14ac:dyDescent="0.25">
      <c r="AW202" s="45">
        <v>36.200000000000003</v>
      </c>
      <c r="AX202" s="45">
        <v>85.2</v>
      </c>
    </row>
    <row r="203" spans="49:50" ht="15" customHeight="1" x14ac:dyDescent="0.25">
      <c r="AW203" s="45">
        <v>36.1</v>
      </c>
      <c r="AX203" s="45">
        <v>85.1</v>
      </c>
    </row>
    <row r="204" spans="49:50" ht="15" customHeight="1" x14ac:dyDescent="0.25">
      <c r="AW204" s="45">
        <v>36.1</v>
      </c>
      <c r="AX204" s="45">
        <v>84.9</v>
      </c>
    </row>
    <row r="205" spans="49:50" ht="15" customHeight="1" x14ac:dyDescent="0.25">
      <c r="AW205" s="45">
        <v>36</v>
      </c>
      <c r="AX205" s="45">
        <v>84.8</v>
      </c>
    </row>
    <row r="206" spans="49:50" ht="15" customHeight="1" x14ac:dyDescent="0.25">
      <c r="AW206" s="45">
        <v>35.9</v>
      </c>
      <c r="AX206" s="45">
        <v>84.6</v>
      </c>
    </row>
    <row r="207" spans="49:50" ht="15" customHeight="1" x14ac:dyDescent="0.25">
      <c r="AW207" s="45">
        <v>35.799999999999997</v>
      </c>
      <c r="AX207" s="45">
        <v>84.5</v>
      </c>
    </row>
    <row r="208" spans="49:50" ht="15" customHeight="1" x14ac:dyDescent="0.25">
      <c r="AW208" s="45">
        <v>35.799999999999997</v>
      </c>
      <c r="AX208" s="45">
        <v>84.4</v>
      </c>
    </row>
    <row r="209" spans="49:50" ht="15" customHeight="1" x14ac:dyDescent="0.25">
      <c r="AW209" s="45">
        <v>35.700000000000003</v>
      </c>
      <c r="AX209" s="45">
        <v>84.2</v>
      </c>
    </row>
    <row r="210" spans="49:50" ht="15" customHeight="1" x14ac:dyDescent="0.25">
      <c r="AW210" s="45">
        <v>35.6</v>
      </c>
      <c r="AX210" s="45">
        <v>84.1</v>
      </c>
    </row>
    <row r="211" spans="49:50" ht="15" customHeight="1" x14ac:dyDescent="0.25">
      <c r="AW211" s="45">
        <v>35.5</v>
      </c>
      <c r="AX211" s="45">
        <v>84</v>
      </c>
    </row>
    <row r="212" spans="49:50" ht="15" customHeight="1" x14ac:dyDescent="0.25">
      <c r="AW212" s="45">
        <v>35.5</v>
      </c>
      <c r="AX212" s="45">
        <v>83.8</v>
      </c>
    </row>
    <row r="213" spans="49:50" ht="15" customHeight="1" x14ac:dyDescent="0.25">
      <c r="AW213" s="45">
        <v>35.4</v>
      </c>
      <c r="AX213" s="45">
        <v>83.7</v>
      </c>
    </row>
    <row r="214" spans="49:50" ht="15" customHeight="1" x14ac:dyDescent="0.25">
      <c r="AW214" s="45">
        <v>35.299999999999997</v>
      </c>
      <c r="AX214" s="45">
        <v>83.5</v>
      </c>
    </row>
    <row r="215" spans="49:50" ht="15" customHeight="1" x14ac:dyDescent="0.25">
      <c r="AW215" s="45">
        <v>35.200000000000003</v>
      </c>
      <c r="AX215" s="45">
        <v>83.4</v>
      </c>
    </row>
    <row r="216" spans="49:50" ht="15" customHeight="1" x14ac:dyDescent="0.25">
      <c r="AW216" s="45">
        <v>35.200000000000003</v>
      </c>
      <c r="AX216" s="45">
        <v>83.3</v>
      </c>
    </row>
    <row r="217" spans="49:50" ht="15" customHeight="1" x14ac:dyDescent="0.25">
      <c r="AW217" s="45">
        <v>35.1</v>
      </c>
      <c r="AX217" s="45">
        <v>83.1</v>
      </c>
    </row>
    <row r="218" spans="49:50" ht="15" customHeight="1" x14ac:dyDescent="0.25">
      <c r="AW218" s="45">
        <v>35</v>
      </c>
      <c r="AX218" s="45">
        <v>83</v>
      </c>
    </row>
    <row r="219" spans="49:50" ht="15" customHeight="1" x14ac:dyDescent="0.25">
      <c r="AW219" s="45">
        <v>35</v>
      </c>
      <c r="AX219" s="45">
        <v>82.8</v>
      </c>
    </row>
    <row r="220" spans="49:50" ht="15" customHeight="1" x14ac:dyDescent="0.25">
      <c r="AW220" s="45">
        <v>34.9</v>
      </c>
      <c r="AX220" s="45">
        <v>82.7</v>
      </c>
    </row>
    <row r="221" spans="49:50" ht="15" customHeight="1" x14ac:dyDescent="0.25">
      <c r="AW221" s="45">
        <v>34.799999999999997</v>
      </c>
      <c r="AX221" s="45">
        <v>82.6</v>
      </c>
    </row>
    <row r="222" spans="49:50" ht="15" customHeight="1" x14ac:dyDescent="0.25">
      <c r="AW222" s="45">
        <v>34.700000000000003</v>
      </c>
      <c r="AX222" s="45">
        <v>82.4</v>
      </c>
    </row>
    <row r="223" spans="49:50" ht="15" customHeight="1" x14ac:dyDescent="0.25">
      <c r="AW223" s="45">
        <v>34.6</v>
      </c>
      <c r="AX223" s="45">
        <v>82.3</v>
      </c>
    </row>
    <row r="224" spans="49:50" ht="15" customHeight="1" x14ac:dyDescent="0.25">
      <c r="AW224" s="45">
        <v>34.6</v>
      </c>
      <c r="AX224" s="45">
        <v>82.1</v>
      </c>
    </row>
    <row r="225" spans="49:50" ht="15" customHeight="1" x14ac:dyDescent="0.25">
      <c r="AW225" s="45">
        <v>34.5</v>
      </c>
      <c r="AX225" s="45">
        <v>82</v>
      </c>
    </row>
    <row r="226" spans="49:50" ht="15" customHeight="1" x14ac:dyDescent="0.25">
      <c r="AW226" s="45">
        <v>34.4</v>
      </c>
      <c r="AX226" s="45">
        <v>81.8</v>
      </c>
    </row>
    <row r="227" spans="49:50" ht="15" customHeight="1" x14ac:dyDescent="0.25">
      <c r="AW227" s="45">
        <v>34.299999999999997</v>
      </c>
      <c r="AX227" s="45">
        <v>81.7</v>
      </c>
    </row>
    <row r="228" spans="49:50" ht="15" customHeight="1" x14ac:dyDescent="0.25">
      <c r="AW228" s="45">
        <v>34.299999999999997</v>
      </c>
      <c r="AX228" s="45">
        <v>81.599999999999994</v>
      </c>
    </row>
    <row r="229" spans="49:50" ht="15" customHeight="1" x14ac:dyDescent="0.25">
      <c r="AW229" s="45">
        <v>34.200000000000003</v>
      </c>
      <c r="AX229" s="45">
        <v>81.400000000000006</v>
      </c>
    </row>
    <row r="230" spans="49:50" ht="15" customHeight="1" x14ac:dyDescent="0.25">
      <c r="AW230" s="45">
        <v>34.1</v>
      </c>
      <c r="AX230" s="45">
        <v>81.3</v>
      </c>
    </row>
    <row r="231" spans="49:50" ht="15" customHeight="1" x14ac:dyDescent="0.25">
      <c r="AW231" s="45">
        <v>34</v>
      </c>
      <c r="AX231" s="45">
        <v>81.099999999999994</v>
      </c>
    </row>
    <row r="232" spans="49:50" ht="15" customHeight="1" x14ac:dyDescent="0.25">
      <c r="AW232" s="45">
        <v>34</v>
      </c>
      <c r="AX232" s="45">
        <v>81</v>
      </c>
    </row>
    <row r="233" spans="49:50" ht="15" customHeight="1" x14ac:dyDescent="0.25">
      <c r="AW233" s="45">
        <v>33.9</v>
      </c>
      <c r="AX233" s="45">
        <v>80.900000000000006</v>
      </c>
    </row>
    <row r="234" spans="49:50" ht="15" customHeight="1" x14ac:dyDescent="0.25">
      <c r="AW234" s="45">
        <v>33.799999999999997</v>
      </c>
      <c r="AX234" s="45">
        <v>80.7</v>
      </c>
    </row>
    <row r="235" spans="49:50" ht="15" customHeight="1" x14ac:dyDescent="0.25">
      <c r="AW235" s="45">
        <v>33.799999999999997</v>
      </c>
      <c r="AX235" s="45">
        <v>80.599999999999994</v>
      </c>
    </row>
    <row r="236" spans="49:50" ht="15" customHeight="1" x14ac:dyDescent="0.25">
      <c r="AW236" s="45">
        <v>33.700000000000003</v>
      </c>
      <c r="AX236" s="45">
        <v>80.400000000000006</v>
      </c>
    </row>
    <row r="237" spans="49:50" ht="15" customHeight="1" x14ac:dyDescent="0.25">
      <c r="AW237" s="45">
        <v>33.6</v>
      </c>
      <c r="AX237" s="45">
        <v>80.3</v>
      </c>
    </row>
    <row r="238" spans="49:50" ht="15" customHeight="1" x14ac:dyDescent="0.25">
      <c r="AW238" s="45">
        <v>33.5</v>
      </c>
      <c r="AX238" s="45">
        <v>80.099999999999994</v>
      </c>
    </row>
    <row r="239" spans="49:50" ht="15" customHeight="1" x14ac:dyDescent="0.25">
      <c r="AW239" s="45">
        <v>33.5</v>
      </c>
      <c r="AX239" s="45">
        <v>80</v>
      </c>
    </row>
    <row r="240" spans="49:50" ht="15" customHeight="1" x14ac:dyDescent="0.25">
      <c r="AW240" s="45">
        <v>33.4</v>
      </c>
      <c r="AX240" s="45">
        <v>79.8</v>
      </c>
    </row>
    <row r="241" spans="49:50" ht="15" customHeight="1" x14ac:dyDescent="0.25">
      <c r="AW241" s="45">
        <v>33.299999999999997</v>
      </c>
      <c r="AX241" s="45">
        <v>79.7</v>
      </c>
    </row>
    <row r="242" spans="49:50" ht="15" customHeight="1" x14ac:dyDescent="0.25">
      <c r="AW242" s="45">
        <v>33.200000000000003</v>
      </c>
      <c r="AX242" s="45">
        <v>79.599999999999994</v>
      </c>
    </row>
    <row r="243" spans="49:50" ht="15" customHeight="1" x14ac:dyDescent="0.25">
      <c r="AW243" s="45">
        <v>33.1</v>
      </c>
      <c r="AX243" s="45">
        <v>79.400000000000006</v>
      </c>
    </row>
    <row r="244" spans="49:50" ht="15" customHeight="1" x14ac:dyDescent="0.25">
      <c r="AW244" s="45">
        <v>33.1</v>
      </c>
      <c r="AX244" s="45">
        <v>79.3</v>
      </c>
    </row>
    <row r="245" spans="49:50" ht="15" customHeight="1" x14ac:dyDescent="0.25">
      <c r="AW245" s="45">
        <v>33</v>
      </c>
      <c r="AX245" s="45">
        <v>79.099999999999994</v>
      </c>
    </row>
    <row r="246" spans="49:50" ht="15" customHeight="1" x14ac:dyDescent="0.25">
      <c r="AW246" s="45">
        <v>32.9</v>
      </c>
      <c r="AX246" s="45">
        <v>79</v>
      </c>
    </row>
    <row r="247" spans="49:50" ht="15" customHeight="1" x14ac:dyDescent="0.25">
      <c r="AW247" s="45">
        <v>32.799999999999997</v>
      </c>
      <c r="AX247" s="45">
        <v>78.8</v>
      </c>
    </row>
    <row r="248" spans="49:50" ht="15" customHeight="1" x14ac:dyDescent="0.25">
      <c r="AW248" s="45">
        <v>32.799999999999997</v>
      </c>
      <c r="AX248" s="45">
        <v>78.7</v>
      </c>
    </row>
    <row r="249" spans="49:50" ht="15" customHeight="1" x14ac:dyDescent="0.25">
      <c r="AW249" s="45">
        <v>32.700000000000003</v>
      </c>
      <c r="AX249" s="45">
        <v>78.5</v>
      </c>
    </row>
    <row r="250" spans="49:50" ht="15" customHeight="1" x14ac:dyDescent="0.25">
      <c r="AW250" s="45">
        <v>32.6</v>
      </c>
      <c r="AX250" s="45">
        <v>78.400000000000006</v>
      </c>
    </row>
    <row r="251" spans="49:50" ht="15" customHeight="1" x14ac:dyDescent="0.25">
      <c r="AW251" s="45">
        <v>32.5</v>
      </c>
      <c r="AX251" s="45">
        <v>78.2</v>
      </c>
    </row>
    <row r="252" spans="49:50" ht="15" customHeight="1" x14ac:dyDescent="0.25">
      <c r="AW252" s="45">
        <v>32.5</v>
      </c>
      <c r="AX252" s="45">
        <v>78.099999999999994</v>
      </c>
    </row>
    <row r="253" spans="49:50" ht="15" customHeight="1" x14ac:dyDescent="0.25">
      <c r="AW253" s="45">
        <v>32.4</v>
      </c>
      <c r="AX253" s="45">
        <v>77.900000000000006</v>
      </c>
    </row>
    <row r="254" spans="49:50" ht="15" customHeight="1" x14ac:dyDescent="0.25">
      <c r="AW254" s="45">
        <v>32.299999999999997</v>
      </c>
      <c r="AX254" s="45">
        <v>77.8</v>
      </c>
    </row>
    <row r="255" spans="49:50" ht="15" customHeight="1" x14ac:dyDescent="0.25">
      <c r="AW255" s="45">
        <v>32.200000000000003</v>
      </c>
      <c r="AX255" s="45">
        <v>77.7</v>
      </c>
    </row>
    <row r="256" spans="49:50" ht="15" customHeight="1" x14ac:dyDescent="0.25">
      <c r="AW256" s="45">
        <v>32.200000000000003</v>
      </c>
      <c r="AX256" s="45">
        <v>77.5</v>
      </c>
    </row>
    <row r="257" spans="49:50" ht="15" customHeight="1" x14ac:dyDescent="0.25">
      <c r="AW257" s="45">
        <v>32.1</v>
      </c>
      <c r="AX257" s="45">
        <v>77.400000000000006</v>
      </c>
    </row>
    <row r="258" spans="49:50" ht="15" customHeight="1" x14ac:dyDescent="0.25">
      <c r="AW258" s="45">
        <v>32</v>
      </c>
      <c r="AX258" s="45">
        <v>77.2</v>
      </c>
    </row>
    <row r="259" spans="49:50" ht="15" customHeight="1" x14ac:dyDescent="0.25">
      <c r="AW259" s="45">
        <v>31.9</v>
      </c>
      <c r="AX259" s="45">
        <v>77.099999999999994</v>
      </c>
    </row>
    <row r="260" spans="49:50" ht="15" customHeight="1" x14ac:dyDescent="0.25">
      <c r="AW260" s="45">
        <v>31.9</v>
      </c>
      <c r="AX260" s="45">
        <v>76.900000000000006</v>
      </c>
    </row>
    <row r="261" spans="49:50" ht="15" customHeight="1" x14ac:dyDescent="0.25">
      <c r="AW261" s="45">
        <v>31.8</v>
      </c>
      <c r="AX261" s="45">
        <v>76.8</v>
      </c>
    </row>
    <row r="262" spans="49:50" ht="15" customHeight="1" x14ac:dyDescent="0.25">
      <c r="AW262" s="45">
        <v>31.7</v>
      </c>
      <c r="AX262" s="45">
        <v>76.599999999999994</v>
      </c>
    </row>
    <row r="263" spans="49:50" ht="15" customHeight="1" x14ac:dyDescent="0.25">
      <c r="AW263" s="45">
        <v>31.6</v>
      </c>
      <c r="AX263" s="45">
        <v>76.5</v>
      </c>
    </row>
    <row r="264" spans="49:50" ht="15" customHeight="1" x14ac:dyDescent="0.25">
      <c r="AW264" s="45">
        <v>31.6</v>
      </c>
      <c r="AX264" s="45">
        <v>76.3</v>
      </c>
    </row>
    <row r="265" spans="49:50" ht="15" customHeight="1" x14ac:dyDescent="0.25">
      <c r="AW265" s="45">
        <v>31.5</v>
      </c>
      <c r="AX265" s="45">
        <v>76.2</v>
      </c>
    </row>
    <row r="266" spans="49:50" ht="15" customHeight="1" x14ac:dyDescent="0.25">
      <c r="AW266" s="45">
        <v>31.4</v>
      </c>
      <c r="AX266" s="45">
        <v>76</v>
      </c>
    </row>
    <row r="267" spans="49:50" ht="15" customHeight="1" x14ac:dyDescent="0.25">
      <c r="AW267" s="45">
        <v>31.3</v>
      </c>
      <c r="AX267" s="45">
        <v>75.900000000000006</v>
      </c>
    </row>
    <row r="268" spans="49:50" ht="15" customHeight="1" x14ac:dyDescent="0.25">
      <c r="AW268" s="45">
        <v>31.3</v>
      </c>
      <c r="AX268" s="45">
        <v>75.7</v>
      </c>
    </row>
    <row r="269" spans="49:50" ht="15" customHeight="1" x14ac:dyDescent="0.25">
      <c r="AW269" s="45">
        <v>31.2</v>
      </c>
      <c r="AX269" s="45">
        <v>75.599999999999994</v>
      </c>
    </row>
    <row r="270" spans="49:50" ht="15" customHeight="1" x14ac:dyDescent="0.25">
      <c r="AW270" s="45">
        <v>31.1</v>
      </c>
      <c r="AX270" s="45">
        <v>75.400000000000006</v>
      </c>
    </row>
    <row r="271" spans="49:50" ht="15" customHeight="1" x14ac:dyDescent="0.25">
      <c r="AW271" s="45">
        <v>31.1</v>
      </c>
      <c r="AX271" s="45">
        <v>75.3</v>
      </c>
    </row>
    <row r="272" spans="49:50" ht="15" customHeight="1" x14ac:dyDescent="0.25">
      <c r="AW272" s="45">
        <v>31</v>
      </c>
      <c r="AX272" s="45">
        <v>75.099999999999994</v>
      </c>
    </row>
    <row r="273" spans="49:50" ht="15" customHeight="1" x14ac:dyDescent="0.25">
      <c r="AW273" s="45">
        <v>30.9</v>
      </c>
      <c r="AX273" s="45">
        <v>75</v>
      </c>
    </row>
    <row r="274" spans="49:50" ht="15" customHeight="1" x14ac:dyDescent="0.25">
      <c r="AW274" s="45">
        <v>30.8</v>
      </c>
      <c r="AX274" s="45">
        <v>74.8</v>
      </c>
    </row>
    <row r="275" spans="49:50" ht="15" customHeight="1" x14ac:dyDescent="0.25">
      <c r="AW275" s="45">
        <v>30.8</v>
      </c>
      <c r="AX275" s="45">
        <v>74.7</v>
      </c>
    </row>
    <row r="276" spans="49:50" ht="15" customHeight="1" x14ac:dyDescent="0.25">
      <c r="AW276" s="45">
        <v>30.7</v>
      </c>
      <c r="AX276" s="45">
        <v>74.5</v>
      </c>
    </row>
    <row r="277" spans="49:50" ht="15" customHeight="1" x14ac:dyDescent="0.25">
      <c r="AW277" s="45">
        <v>30.6</v>
      </c>
      <c r="AX277" s="45">
        <v>74.3</v>
      </c>
    </row>
    <row r="278" spans="49:50" ht="15" customHeight="1" x14ac:dyDescent="0.25">
      <c r="AW278" s="45">
        <v>30.5</v>
      </c>
      <c r="AX278" s="45">
        <v>74.2</v>
      </c>
    </row>
    <row r="279" spans="49:50" ht="15" customHeight="1" x14ac:dyDescent="0.25">
      <c r="AW279" s="45">
        <v>30.4</v>
      </c>
      <c r="AX279" s="45">
        <v>74</v>
      </c>
    </row>
    <row r="280" spans="49:50" ht="15" customHeight="1" x14ac:dyDescent="0.25">
      <c r="AW280" s="45">
        <v>30.4</v>
      </c>
      <c r="AX280" s="45">
        <v>73.900000000000006</v>
      </c>
    </row>
    <row r="281" spans="49:50" ht="15" customHeight="1" x14ac:dyDescent="0.25">
      <c r="AW281" s="45">
        <v>30.3</v>
      </c>
      <c r="AX281" s="45">
        <v>73.7</v>
      </c>
    </row>
    <row r="282" spans="49:50" ht="15" customHeight="1" x14ac:dyDescent="0.25">
      <c r="AW282" s="45">
        <v>30.2</v>
      </c>
      <c r="AX282" s="45">
        <v>73.599999999999994</v>
      </c>
    </row>
    <row r="283" spans="49:50" ht="15" customHeight="1" x14ac:dyDescent="0.25">
      <c r="AW283" s="45">
        <v>30.1</v>
      </c>
      <c r="AX283" s="45">
        <v>73.400000000000006</v>
      </c>
    </row>
    <row r="284" spans="49:50" ht="15" customHeight="1" x14ac:dyDescent="0.25">
      <c r="AW284" s="45">
        <v>30.1</v>
      </c>
      <c r="AX284" s="45">
        <v>73.3</v>
      </c>
    </row>
    <row r="285" spans="49:50" ht="15" customHeight="1" x14ac:dyDescent="0.25">
      <c r="AW285" s="45">
        <v>30</v>
      </c>
      <c r="AX285" s="45">
        <v>73.099999999999994</v>
      </c>
    </row>
    <row r="286" spans="49:50" ht="15" customHeight="1" x14ac:dyDescent="0.25">
      <c r="AW286" s="45">
        <v>29.9</v>
      </c>
      <c r="AX286" s="45">
        <v>73</v>
      </c>
    </row>
    <row r="287" spans="49:50" ht="15" customHeight="1" x14ac:dyDescent="0.25">
      <c r="AW287" s="45">
        <v>29.9</v>
      </c>
      <c r="AX287" s="45">
        <v>72.8</v>
      </c>
    </row>
    <row r="288" spans="49:50" ht="15" customHeight="1" x14ac:dyDescent="0.25">
      <c r="AW288" s="45">
        <v>29.8</v>
      </c>
      <c r="AX288" s="45">
        <v>72.7</v>
      </c>
    </row>
    <row r="289" spans="49:50" ht="15" customHeight="1" x14ac:dyDescent="0.25">
      <c r="AW289" s="45">
        <v>29.7</v>
      </c>
      <c r="AX289" s="45">
        <v>72.5</v>
      </c>
    </row>
    <row r="290" spans="49:50" ht="15" customHeight="1" x14ac:dyDescent="0.25">
      <c r="AW290" s="45">
        <v>29.6</v>
      </c>
      <c r="AX290" s="45">
        <v>72.3</v>
      </c>
    </row>
    <row r="291" spans="49:50" ht="15" customHeight="1" x14ac:dyDescent="0.25">
      <c r="AW291" s="45">
        <v>29.5</v>
      </c>
      <c r="AX291" s="45">
        <v>72.2</v>
      </c>
    </row>
    <row r="292" spans="49:50" ht="15" customHeight="1" x14ac:dyDescent="0.25">
      <c r="AW292" s="45">
        <v>29.5</v>
      </c>
      <c r="AX292" s="45">
        <v>72</v>
      </c>
    </row>
    <row r="293" spans="49:50" ht="15" customHeight="1" x14ac:dyDescent="0.25">
      <c r="AW293" s="45">
        <v>29.4</v>
      </c>
      <c r="AX293" s="45">
        <v>71.900000000000006</v>
      </c>
    </row>
    <row r="294" spans="49:50" ht="15" customHeight="1" x14ac:dyDescent="0.25">
      <c r="AW294" s="45">
        <v>29.3</v>
      </c>
      <c r="AX294" s="45">
        <v>71.7</v>
      </c>
    </row>
    <row r="295" spans="49:50" ht="15" customHeight="1" x14ac:dyDescent="0.25">
      <c r="AW295" s="45">
        <v>29.2</v>
      </c>
      <c r="AX295" s="45">
        <v>71.599999999999994</v>
      </c>
    </row>
    <row r="296" spans="49:50" ht="15" customHeight="1" x14ac:dyDescent="0.25">
      <c r="AW296" s="45">
        <v>29.2</v>
      </c>
      <c r="AX296" s="45">
        <v>71.400000000000006</v>
      </c>
    </row>
    <row r="297" spans="49:50" ht="15" customHeight="1" x14ac:dyDescent="0.25">
      <c r="AW297" s="45">
        <v>29.1</v>
      </c>
      <c r="AX297" s="45">
        <v>71.2</v>
      </c>
    </row>
    <row r="298" spans="49:50" ht="15" customHeight="1" x14ac:dyDescent="0.25">
      <c r="AW298" s="45">
        <v>29</v>
      </c>
      <c r="AX298" s="45">
        <v>71.099999999999994</v>
      </c>
    </row>
    <row r="299" spans="49:50" ht="15" customHeight="1" x14ac:dyDescent="0.25">
      <c r="AW299" s="45">
        <v>28.9</v>
      </c>
      <c r="AX299" s="45">
        <v>70.900000000000006</v>
      </c>
    </row>
    <row r="300" spans="49:50" ht="15" customHeight="1" x14ac:dyDescent="0.25">
      <c r="AW300" s="45">
        <v>28.9</v>
      </c>
      <c r="AX300" s="45">
        <v>70.8</v>
      </c>
    </row>
    <row r="301" spans="49:50" ht="15" customHeight="1" x14ac:dyDescent="0.25">
      <c r="AW301" s="45">
        <v>28.8</v>
      </c>
      <c r="AX301" s="45">
        <v>70.599999999999994</v>
      </c>
    </row>
    <row r="302" spans="49:50" ht="15" customHeight="1" x14ac:dyDescent="0.25">
      <c r="AW302" s="45">
        <v>28.7</v>
      </c>
      <c r="AX302" s="45">
        <v>70.5</v>
      </c>
    </row>
    <row r="303" spans="49:50" ht="15" customHeight="1" x14ac:dyDescent="0.25">
      <c r="AW303" s="45">
        <v>28.6</v>
      </c>
      <c r="AX303" s="45">
        <v>70.3</v>
      </c>
    </row>
    <row r="304" spans="49:50" ht="15" customHeight="1" x14ac:dyDescent="0.25">
      <c r="AW304" s="45">
        <v>28.6</v>
      </c>
      <c r="AX304" s="45">
        <v>70.099999999999994</v>
      </c>
    </row>
    <row r="305" spans="49:50" ht="15" customHeight="1" x14ac:dyDescent="0.25">
      <c r="AW305" s="45">
        <v>28.5</v>
      </c>
      <c r="AX305" s="45">
        <v>70</v>
      </c>
    </row>
    <row r="306" spans="49:50" ht="15" customHeight="1" x14ac:dyDescent="0.25">
      <c r="AW306" s="45">
        <v>28.4</v>
      </c>
      <c r="AX306" s="45">
        <v>69.8</v>
      </c>
    </row>
    <row r="307" spans="49:50" ht="15" customHeight="1" x14ac:dyDescent="0.25">
      <c r="AW307" s="45">
        <v>28.4</v>
      </c>
      <c r="AX307" s="45">
        <v>69.7</v>
      </c>
    </row>
    <row r="308" spans="49:50" ht="15" customHeight="1" x14ac:dyDescent="0.25">
      <c r="AW308" s="45">
        <v>28.3</v>
      </c>
      <c r="AX308" s="45">
        <v>69.5</v>
      </c>
    </row>
    <row r="309" spans="49:50" ht="15" customHeight="1" x14ac:dyDescent="0.25">
      <c r="AW309" s="45">
        <v>28.2</v>
      </c>
      <c r="AX309" s="45">
        <v>69.3</v>
      </c>
    </row>
    <row r="310" spans="49:50" ht="15" customHeight="1" x14ac:dyDescent="0.25">
      <c r="AW310" s="45">
        <v>28.1</v>
      </c>
      <c r="AX310" s="45">
        <v>69.2</v>
      </c>
    </row>
    <row r="311" spans="49:50" ht="15" customHeight="1" x14ac:dyDescent="0.25">
      <c r="AW311" s="45">
        <v>28</v>
      </c>
      <c r="AX311" s="45">
        <v>69</v>
      </c>
    </row>
    <row r="312" spans="49:50" ht="15" customHeight="1" x14ac:dyDescent="0.25">
      <c r="AW312" s="45">
        <v>28</v>
      </c>
      <c r="AX312" s="45">
        <v>68.900000000000006</v>
      </c>
    </row>
  </sheetData>
  <pageMargins left="0.75" right="0.75" top="1" bottom="1" header="0.51180555555555596" footer="0.511811023622047"/>
  <pageSetup paperSize="9" orientation="portrait" horizontalDpi="300" verticalDpi="300"/>
  <headerFooter>
    <oddHeader>&amp;C&amp;"Arial"&amp;10&amp;K000000 General - Unencrypted&amp;1#_x000D_&amp;"Calibri"&amp;11&amp;K000000&amp;"Arial,Regular"&amp;1  General - Unencrypted#_x005F_x000d_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82"/>
  <sheetViews>
    <sheetView tabSelected="1" topLeftCell="A51" zoomScaleNormal="100" workbookViewId="0">
      <selection activeCell="J32" sqref="J32"/>
    </sheetView>
  </sheetViews>
  <sheetFormatPr baseColWidth="10" defaultColWidth="8.7109375" defaultRowHeight="15" x14ac:dyDescent="0.25"/>
  <cols>
    <col min="1" max="2" width="13" customWidth="1"/>
    <col min="4" max="5" width="13" customWidth="1"/>
    <col min="7" max="8" width="13" customWidth="1"/>
    <col min="10" max="11" width="13" customWidth="1"/>
    <col min="13" max="14" width="13" customWidth="1"/>
    <col min="16" max="17" width="13" customWidth="1"/>
  </cols>
  <sheetData>
    <row r="1" spans="1:32" ht="17.25" customHeight="1" x14ac:dyDescent="0.25">
      <c r="A1" s="1" t="s">
        <v>475</v>
      </c>
    </row>
    <row r="2" spans="1:32" ht="15" customHeight="1" x14ac:dyDescent="0.25">
      <c r="A2" s="2" t="s">
        <v>476</v>
      </c>
    </row>
    <row r="4" spans="1:32" ht="15" customHeight="1" x14ac:dyDescent="0.25">
      <c r="A4" s="5" t="s">
        <v>477</v>
      </c>
      <c r="B4" s="5" t="s">
        <v>478</v>
      </c>
      <c r="D4" s="5" t="s">
        <v>479</v>
      </c>
      <c r="E4" s="5" t="s">
        <v>480</v>
      </c>
      <c r="G4" s="5" t="s">
        <v>481</v>
      </c>
      <c r="H4" s="5" t="s">
        <v>446</v>
      </c>
      <c r="J4" s="5" t="s">
        <v>482</v>
      </c>
      <c r="K4" s="5" t="s">
        <v>440</v>
      </c>
      <c r="M4" s="5" t="s">
        <v>483</v>
      </c>
      <c r="N4" s="5" t="s">
        <v>442</v>
      </c>
      <c r="P4" s="5" t="s">
        <v>484</v>
      </c>
      <c r="Q4" s="5" t="s">
        <v>485</v>
      </c>
      <c r="S4" s="44" t="s">
        <v>486</v>
      </c>
      <c r="T4" s="44" t="s">
        <v>451</v>
      </c>
      <c r="V4" s="44" t="s">
        <v>487</v>
      </c>
      <c r="W4" s="44" t="s">
        <v>453</v>
      </c>
      <c r="Y4" s="44" t="s">
        <v>488</v>
      </c>
      <c r="Z4" s="44" t="s">
        <v>489</v>
      </c>
      <c r="AB4" s="44" t="s">
        <v>490</v>
      </c>
      <c r="AC4" s="44" t="s">
        <v>457</v>
      </c>
      <c r="AE4" s="44" t="s">
        <v>491</v>
      </c>
      <c r="AF4" s="44" t="s">
        <v>448</v>
      </c>
    </row>
    <row r="5" spans="1:32" ht="15" customHeight="1" x14ac:dyDescent="0.25">
      <c r="A5" s="45">
        <v>81</v>
      </c>
      <c r="B5" s="45">
        <v>5.3</v>
      </c>
      <c r="D5" s="45">
        <v>487.9</v>
      </c>
      <c r="E5" s="45">
        <v>10</v>
      </c>
      <c r="G5" s="45">
        <v>487.9</v>
      </c>
      <c r="H5" s="45">
        <v>10</v>
      </c>
      <c r="J5" s="45">
        <v>239.8</v>
      </c>
      <c r="K5" s="45">
        <v>120</v>
      </c>
      <c r="M5" s="45">
        <v>239.8</v>
      </c>
      <c r="N5" s="45">
        <v>120</v>
      </c>
      <c r="P5" s="45">
        <v>332.2</v>
      </c>
      <c r="Q5" s="45">
        <v>73.8</v>
      </c>
      <c r="S5" s="45">
        <v>232.1</v>
      </c>
      <c r="T5" s="45">
        <v>85</v>
      </c>
      <c r="V5" s="45">
        <v>239.8</v>
      </c>
      <c r="W5" s="45">
        <v>120</v>
      </c>
      <c r="Y5" s="45">
        <v>208</v>
      </c>
      <c r="Z5" s="45">
        <v>80</v>
      </c>
      <c r="AB5" s="45">
        <v>392.7</v>
      </c>
      <c r="AC5" s="45">
        <v>70</v>
      </c>
      <c r="AE5" s="45">
        <v>299.5</v>
      </c>
      <c r="AF5" s="45">
        <v>120</v>
      </c>
    </row>
    <row r="6" spans="1:32" ht="15" customHeight="1" x14ac:dyDescent="0.25">
      <c r="A6" s="45">
        <v>86</v>
      </c>
      <c r="B6" s="45">
        <v>5.9</v>
      </c>
      <c r="D6" s="45">
        <v>544.1</v>
      </c>
      <c r="E6" s="45">
        <v>22.3</v>
      </c>
      <c r="G6" s="45">
        <v>507.7</v>
      </c>
      <c r="H6" s="45">
        <v>13.5</v>
      </c>
      <c r="J6" s="45">
        <v>239.8</v>
      </c>
      <c r="K6" s="45">
        <v>40</v>
      </c>
      <c r="M6" s="45">
        <v>445.7</v>
      </c>
      <c r="N6" s="45">
        <v>120</v>
      </c>
      <c r="S6" s="45">
        <v>232.8</v>
      </c>
      <c r="T6" s="45">
        <v>90.2</v>
      </c>
      <c r="V6" s="45">
        <v>239.8</v>
      </c>
      <c r="W6" s="45">
        <v>85</v>
      </c>
      <c r="Y6" s="45">
        <v>263.10000000000002</v>
      </c>
      <c r="Z6" s="45">
        <v>80</v>
      </c>
      <c r="AB6" s="45">
        <v>471.5</v>
      </c>
      <c r="AC6" s="45">
        <v>70</v>
      </c>
      <c r="AE6" s="45">
        <v>299.5</v>
      </c>
      <c r="AF6" s="45">
        <v>85</v>
      </c>
    </row>
    <row r="7" spans="1:32" ht="15" customHeight="1" x14ac:dyDescent="0.25">
      <c r="A7" s="45">
        <v>91.1</v>
      </c>
      <c r="B7" s="45">
        <v>6.6</v>
      </c>
      <c r="D7" s="45">
        <v>499.4</v>
      </c>
      <c r="E7" s="45">
        <v>22.3</v>
      </c>
      <c r="G7" s="45">
        <v>524.1</v>
      </c>
      <c r="H7" s="45">
        <v>17</v>
      </c>
      <c r="M7" s="45">
        <v>445.7</v>
      </c>
      <c r="N7" s="45">
        <v>40</v>
      </c>
      <c r="S7" s="45">
        <v>233.5</v>
      </c>
      <c r="T7" s="45">
        <v>95.4</v>
      </c>
      <c r="Y7" s="45">
        <v>259.2</v>
      </c>
      <c r="Z7" s="45">
        <v>90</v>
      </c>
      <c r="AB7" s="45">
        <v>322.10000000000002</v>
      </c>
      <c r="AC7" s="45">
        <v>210</v>
      </c>
    </row>
    <row r="8" spans="1:32" ht="15" customHeight="1" x14ac:dyDescent="0.25">
      <c r="A8" s="45">
        <v>96.1</v>
      </c>
      <c r="B8" s="45">
        <v>7.3</v>
      </c>
      <c r="D8" s="45">
        <v>499.4</v>
      </c>
      <c r="E8" s="45">
        <v>22.3</v>
      </c>
      <c r="G8" s="45">
        <v>538.20000000000005</v>
      </c>
      <c r="H8" s="45">
        <v>20.399999999999999</v>
      </c>
      <c r="S8" s="45">
        <v>234.3</v>
      </c>
      <c r="T8" s="45">
        <v>100.6</v>
      </c>
      <c r="Y8" s="45">
        <v>207.2</v>
      </c>
      <c r="Z8" s="45">
        <v>90</v>
      </c>
      <c r="AB8" s="45">
        <v>254.3</v>
      </c>
      <c r="AC8" s="45">
        <v>210</v>
      </c>
    </row>
    <row r="9" spans="1:32" ht="15" customHeight="1" x14ac:dyDescent="0.25">
      <c r="A9" s="45">
        <v>101.2</v>
      </c>
      <c r="B9" s="45">
        <v>8.1</v>
      </c>
      <c r="D9" s="45">
        <v>557.5</v>
      </c>
      <c r="E9" s="45">
        <v>49.8</v>
      </c>
      <c r="G9" s="45">
        <v>550.6</v>
      </c>
      <c r="H9" s="45">
        <v>23.9</v>
      </c>
      <c r="S9" s="45">
        <v>235</v>
      </c>
      <c r="T9" s="45">
        <v>105.8</v>
      </c>
      <c r="Y9" s="45">
        <v>208</v>
      </c>
      <c r="Z9" s="45">
        <v>80</v>
      </c>
      <c r="AB9" s="45">
        <v>392.7</v>
      </c>
      <c r="AC9" s="45">
        <v>70</v>
      </c>
    </row>
    <row r="10" spans="1:32" ht="15" customHeight="1" x14ac:dyDescent="0.25">
      <c r="A10" s="45">
        <v>106.3</v>
      </c>
      <c r="B10" s="45">
        <v>8.9</v>
      </c>
      <c r="D10" s="45">
        <v>467.5</v>
      </c>
      <c r="E10" s="45">
        <v>49.8</v>
      </c>
      <c r="G10" s="45">
        <v>561.79999999999995</v>
      </c>
      <c r="H10" s="45">
        <v>27.4</v>
      </c>
      <c r="S10" s="45">
        <v>235.8</v>
      </c>
      <c r="T10" s="45">
        <v>111</v>
      </c>
    </row>
    <row r="11" spans="1:32" ht="15" customHeight="1" x14ac:dyDescent="0.25">
      <c r="A11" s="45">
        <v>111.5</v>
      </c>
      <c r="B11" s="45">
        <v>9.8000000000000007</v>
      </c>
      <c r="D11" s="45">
        <v>467.5</v>
      </c>
      <c r="E11" s="45">
        <v>49.8</v>
      </c>
      <c r="G11" s="45">
        <v>571.9</v>
      </c>
      <c r="H11" s="45">
        <v>30.9</v>
      </c>
    </row>
    <row r="12" spans="1:32" ht="15" customHeight="1" x14ac:dyDescent="0.25">
      <c r="A12" s="45">
        <v>116.6</v>
      </c>
      <c r="B12" s="45">
        <v>10.7</v>
      </c>
      <c r="D12" s="45">
        <v>516.29999999999995</v>
      </c>
      <c r="E12" s="45">
        <v>111</v>
      </c>
      <c r="G12" s="45">
        <v>581.29999999999995</v>
      </c>
      <c r="H12" s="45">
        <v>34.4</v>
      </c>
    </row>
    <row r="13" spans="1:32" ht="15" customHeight="1" x14ac:dyDescent="0.25">
      <c r="A13" s="45">
        <v>121.8</v>
      </c>
      <c r="B13" s="45">
        <v>11.8</v>
      </c>
      <c r="D13" s="45">
        <v>301.60000000000002</v>
      </c>
      <c r="E13" s="45">
        <v>111</v>
      </c>
      <c r="G13" s="45">
        <v>589.9</v>
      </c>
      <c r="H13" s="45">
        <v>37.9</v>
      </c>
    </row>
    <row r="14" spans="1:32" ht="15" customHeight="1" x14ac:dyDescent="0.25">
      <c r="A14" s="45">
        <v>127.1</v>
      </c>
      <c r="B14" s="45">
        <v>12.9</v>
      </c>
      <c r="G14" s="45">
        <v>598</v>
      </c>
      <c r="H14" s="45">
        <v>41.3</v>
      </c>
    </row>
    <row r="15" spans="1:32" ht="15" customHeight="1" x14ac:dyDescent="0.25">
      <c r="A15" s="45">
        <v>132.4</v>
      </c>
      <c r="B15" s="45">
        <v>14.1</v>
      </c>
      <c r="G15" s="45">
        <v>605.6</v>
      </c>
      <c r="H15" s="45">
        <v>44.8</v>
      </c>
    </row>
    <row r="16" spans="1:32" ht="15" customHeight="1" x14ac:dyDescent="0.25">
      <c r="A16" s="45">
        <v>137.69999999999999</v>
      </c>
      <c r="B16" s="45">
        <v>15.3</v>
      </c>
      <c r="G16" s="45">
        <v>612.79999999999995</v>
      </c>
      <c r="H16" s="45">
        <v>48.3</v>
      </c>
    </row>
    <row r="17" spans="1:8" ht="15" customHeight="1" x14ac:dyDescent="0.25">
      <c r="A17" s="45">
        <v>143</v>
      </c>
      <c r="B17" s="45">
        <v>16.600000000000001</v>
      </c>
      <c r="G17" s="45">
        <v>619.6</v>
      </c>
      <c r="H17" s="45">
        <v>51.8</v>
      </c>
    </row>
    <row r="18" spans="1:8" ht="15" customHeight="1" x14ac:dyDescent="0.25">
      <c r="A18" s="45">
        <v>148.5</v>
      </c>
      <c r="B18" s="45">
        <v>18</v>
      </c>
      <c r="G18" s="45">
        <v>626.1</v>
      </c>
      <c r="H18" s="45">
        <v>55.3</v>
      </c>
    </row>
    <row r="19" spans="1:8" ht="15" customHeight="1" x14ac:dyDescent="0.25">
      <c r="A19" s="45">
        <v>153.9</v>
      </c>
      <c r="B19" s="45">
        <v>19.600000000000001</v>
      </c>
      <c r="G19" s="45">
        <v>632.20000000000005</v>
      </c>
      <c r="H19" s="45">
        <v>58.8</v>
      </c>
    </row>
    <row r="20" spans="1:8" ht="15" customHeight="1" x14ac:dyDescent="0.25">
      <c r="A20" s="45">
        <v>159.5</v>
      </c>
      <c r="B20" s="45">
        <v>21.1</v>
      </c>
      <c r="G20" s="45">
        <v>638.1</v>
      </c>
      <c r="H20" s="45">
        <v>62.2</v>
      </c>
    </row>
    <row r="21" spans="1:8" ht="15" customHeight="1" x14ac:dyDescent="0.25">
      <c r="A21" s="45">
        <v>165.1</v>
      </c>
      <c r="B21" s="45">
        <v>22.8</v>
      </c>
      <c r="G21" s="45">
        <v>643.79999999999995</v>
      </c>
      <c r="H21" s="45">
        <v>65.7</v>
      </c>
    </row>
    <row r="22" spans="1:8" ht="15" customHeight="1" x14ac:dyDescent="0.25">
      <c r="A22" s="45">
        <v>170.7</v>
      </c>
      <c r="B22" s="45">
        <v>24.6</v>
      </c>
      <c r="G22" s="45">
        <v>649.29999999999995</v>
      </c>
      <c r="H22" s="45">
        <v>69.2</v>
      </c>
    </row>
    <row r="23" spans="1:8" ht="15" customHeight="1" x14ac:dyDescent="0.25">
      <c r="A23" s="45">
        <v>176.5</v>
      </c>
      <c r="B23" s="45">
        <v>26.5</v>
      </c>
      <c r="G23" s="45">
        <v>654.5</v>
      </c>
      <c r="H23" s="45">
        <v>72.7</v>
      </c>
    </row>
    <row r="24" spans="1:8" ht="15" customHeight="1" x14ac:dyDescent="0.25">
      <c r="A24" s="45">
        <v>182.4</v>
      </c>
      <c r="B24" s="45">
        <v>28.5</v>
      </c>
      <c r="G24" s="45">
        <v>659.6</v>
      </c>
      <c r="H24" s="45">
        <v>76.2</v>
      </c>
    </row>
    <row r="25" spans="1:8" ht="15" customHeight="1" x14ac:dyDescent="0.25">
      <c r="A25" s="45">
        <v>188.3</v>
      </c>
      <c r="B25" s="45">
        <v>30.6</v>
      </c>
      <c r="G25" s="45">
        <v>664.5</v>
      </c>
      <c r="H25" s="45">
        <v>79.7</v>
      </c>
    </row>
    <row r="26" spans="1:8" ht="15" customHeight="1" x14ac:dyDescent="0.25">
      <c r="A26" s="45">
        <v>194.4</v>
      </c>
      <c r="B26" s="45">
        <v>32.700000000000003</v>
      </c>
      <c r="G26" s="45">
        <v>669.2</v>
      </c>
      <c r="H26" s="45">
        <v>83.1</v>
      </c>
    </row>
    <row r="27" spans="1:8" ht="15" customHeight="1" x14ac:dyDescent="0.25">
      <c r="A27" s="45">
        <v>200.6</v>
      </c>
      <c r="B27" s="45">
        <v>35.1</v>
      </c>
      <c r="G27" s="45">
        <v>673.8</v>
      </c>
      <c r="H27" s="45">
        <v>86.6</v>
      </c>
    </row>
    <row r="28" spans="1:8" ht="15" customHeight="1" x14ac:dyDescent="0.25">
      <c r="A28" s="45">
        <v>206.9</v>
      </c>
      <c r="B28" s="45">
        <v>37.5</v>
      </c>
      <c r="G28" s="45">
        <v>678.3</v>
      </c>
      <c r="H28" s="45">
        <v>90.1</v>
      </c>
    </row>
    <row r="29" spans="1:8" ht="15" customHeight="1" x14ac:dyDescent="0.25">
      <c r="A29" s="45">
        <v>213.4</v>
      </c>
      <c r="B29" s="45">
        <v>40</v>
      </c>
      <c r="G29" s="45">
        <v>682.6</v>
      </c>
      <c r="H29" s="45">
        <v>93.6</v>
      </c>
    </row>
    <row r="30" spans="1:8" ht="15" customHeight="1" x14ac:dyDescent="0.25">
      <c r="A30" s="45">
        <v>220.1</v>
      </c>
      <c r="B30" s="45">
        <v>42.7</v>
      </c>
      <c r="G30" s="45">
        <v>686.9</v>
      </c>
      <c r="H30" s="45">
        <v>97.1</v>
      </c>
    </row>
    <row r="31" spans="1:8" ht="15" customHeight="1" x14ac:dyDescent="0.25">
      <c r="A31" s="45">
        <v>227</v>
      </c>
      <c r="B31" s="45">
        <v>45.5</v>
      </c>
      <c r="G31" s="45">
        <v>691</v>
      </c>
      <c r="H31" s="45">
        <v>100.6</v>
      </c>
    </row>
    <row r="32" spans="1:8" ht="15" customHeight="1" x14ac:dyDescent="0.25">
      <c r="A32" s="45">
        <v>234.2</v>
      </c>
      <c r="B32" s="45">
        <v>48.5</v>
      </c>
      <c r="G32" s="45">
        <v>695</v>
      </c>
      <c r="H32" s="45">
        <v>104</v>
      </c>
    </row>
    <row r="33" spans="1:8" ht="15" customHeight="1" x14ac:dyDescent="0.25">
      <c r="A33" s="45">
        <v>241.7</v>
      </c>
      <c r="B33" s="45">
        <v>51.6</v>
      </c>
      <c r="G33" s="45">
        <v>698.9</v>
      </c>
      <c r="H33" s="45">
        <v>107.5</v>
      </c>
    </row>
    <row r="34" spans="1:8" ht="15" customHeight="1" x14ac:dyDescent="0.25">
      <c r="A34" s="45">
        <v>249.7</v>
      </c>
      <c r="B34" s="45">
        <v>54.8</v>
      </c>
      <c r="G34" s="45">
        <v>702.8</v>
      </c>
      <c r="H34" s="45">
        <v>111</v>
      </c>
    </row>
    <row r="35" spans="1:8" ht="15" customHeight="1" x14ac:dyDescent="0.25">
      <c r="A35" s="45">
        <v>258.3</v>
      </c>
      <c r="B35" s="45">
        <v>58.2</v>
      </c>
    </row>
    <row r="36" spans="1:8" ht="15" customHeight="1" x14ac:dyDescent="0.25">
      <c r="A36" s="45">
        <v>267.7</v>
      </c>
      <c r="B36" s="45">
        <v>61.8</v>
      </c>
    </row>
    <row r="37" spans="1:8" ht="15" customHeight="1" x14ac:dyDescent="0.25">
      <c r="A37" s="45">
        <v>278.39999999999998</v>
      </c>
      <c r="B37" s="45">
        <v>65.599999999999994</v>
      </c>
    </row>
    <row r="38" spans="1:8" ht="15" customHeight="1" x14ac:dyDescent="0.25">
      <c r="A38" s="45">
        <v>291.89999999999998</v>
      </c>
      <c r="B38" s="45">
        <v>69.5</v>
      </c>
    </row>
    <row r="39" spans="1:8" ht="15" customHeight="1" x14ac:dyDescent="0.25">
      <c r="A39" s="45">
        <v>321.8</v>
      </c>
      <c r="B39" s="45">
        <v>73.7</v>
      </c>
    </row>
    <row r="40" spans="1:8" ht="15" customHeight="1" x14ac:dyDescent="0.25">
      <c r="A40" s="45">
        <v>343.5</v>
      </c>
      <c r="B40" s="45">
        <v>73.7</v>
      </c>
    </row>
    <row r="41" spans="1:8" ht="15" customHeight="1" x14ac:dyDescent="0.25">
      <c r="A41" s="45">
        <v>379</v>
      </c>
      <c r="B41" s="45">
        <v>69.5</v>
      </c>
    </row>
    <row r="42" spans="1:8" ht="15" customHeight="1" x14ac:dyDescent="0.25">
      <c r="A42" s="45">
        <v>391.4</v>
      </c>
      <c r="B42" s="45">
        <v>65.599999999999994</v>
      </c>
    </row>
    <row r="43" spans="1:8" ht="15" customHeight="1" x14ac:dyDescent="0.25">
      <c r="A43" s="45">
        <v>399.9</v>
      </c>
      <c r="B43" s="45">
        <v>61.8</v>
      </c>
    </row>
    <row r="44" spans="1:8" ht="15" customHeight="1" x14ac:dyDescent="0.25">
      <c r="A44" s="45">
        <v>406.4</v>
      </c>
      <c r="B44" s="45">
        <v>58.2</v>
      </c>
    </row>
    <row r="45" spans="1:8" ht="15" customHeight="1" x14ac:dyDescent="0.25">
      <c r="A45" s="45">
        <v>411.5</v>
      </c>
      <c r="B45" s="45">
        <v>54.8</v>
      </c>
    </row>
    <row r="46" spans="1:8" ht="15" customHeight="1" x14ac:dyDescent="0.25">
      <c r="A46" s="45">
        <v>415.8</v>
      </c>
      <c r="B46" s="45">
        <v>51.6</v>
      </c>
    </row>
    <row r="47" spans="1:8" ht="15" customHeight="1" x14ac:dyDescent="0.25">
      <c r="A47" s="45">
        <v>419.3</v>
      </c>
      <c r="B47" s="45">
        <v>48.5</v>
      </c>
    </row>
    <row r="48" spans="1:8" ht="15" customHeight="1" x14ac:dyDescent="0.25">
      <c r="A48" s="45">
        <v>422.4</v>
      </c>
      <c r="B48" s="45">
        <v>45.5</v>
      </c>
    </row>
    <row r="49" spans="1:2" ht="15" customHeight="1" x14ac:dyDescent="0.25">
      <c r="A49" s="45">
        <v>425</v>
      </c>
      <c r="B49" s="45">
        <v>42.7</v>
      </c>
    </row>
    <row r="50" spans="1:2" ht="15" customHeight="1" x14ac:dyDescent="0.25">
      <c r="A50" s="45">
        <v>427.2</v>
      </c>
      <c r="B50" s="45">
        <v>40</v>
      </c>
    </row>
    <row r="51" spans="1:2" ht="15" customHeight="1" x14ac:dyDescent="0.25">
      <c r="A51" s="45">
        <v>429.1</v>
      </c>
      <c r="B51" s="45">
        <v>37.5</v>
      </c>
    </row>
    <row r="52" spans="1:2" ht="15" customHeight="1" x14ac:dyDescent="0.25">
      <c r="A52" s="45">
        <v>430.8</v>
      </c>
      <c r="B52" s="45">
        <v>35.1</v>
      </c>
    </row>
    <row r="53" spans="1:2" ht="15" customHeight="1" x14ac:dyDescent="0.25">
      <c r="A53" s="45">
        <v>432.2</v>
      </c>
      <c r="B53" s="45">
        <v>32.700000000000003</v>
      </c>
    </row>
    <row r="54" spans="1:2" ht="15" customHeight="1" x14ac:dyDescent="0.25">
      <c r="A54" s="45">
        <v>433.3</v>
      </c>
      <c r="B54" s="45">
        <v>30.6</v>
      </c>
    </row>
    <row r="55" spans="1:2" ht="15" customHeight="1" x14ac:dyDescent="0.25">
      <c r="A55" s="45">
        <v>434.3</v>
      </c>
      <c r="B55" s="45">
        <v>28.5</v>
      </c>
    </row>
    <row r="56" spans="1:2" ht="15" customHeight="1" x14ac:dyDescent="0.25">
      <c r="A56" s="45">
        <v>435.1</v>
      </c>
      <c r="B56" s="45">
        <v>26.5</v>
      </c>
    </row>
    <row r="57" spans="1:2" ht="15" customHeight="1" x14ac:dyDescent="0.25">
      <c r="A57" s="45">
        <v>435.8</v>
      </c>
      <c r="B57" s="45">
        <v>24.6</v>
      </c>
    </row>
    <row r="58" spans="1:2" ht="15" customHeight="1" x14ac:dyDescent="0.25">
      <c r="A58" s="45">
        <v>436.3</v>
      </c>
      <c r="B58" s="45">
        <v>22.8</v>
      </c>
    </row>
    <row r="59" spans="1:2" ht="15" customHeight="1" x14ac:dyDescent="0.25">
      <c r="A59" s="45">
        <v>436.7</v>
      </c>
      <c r="B59" s="45">
        <v>21.1</v>
      </c>
    </row>
    <row r="60" spans="1:2" ht="15" customHeight="1" x14ac:dyDescent="0.25">
      <c r="A60" s="45">
        <v>436.9</v>
      </c>
      <c r="B60" s="45">
        <v>19.600000000000001</v>
      </c>
    </row>
    <row r="61" spans="1:2" ht="15" customHeight="1" x14ac:dyDescent="0.25">
      <c r="A61" s="45">
        <v>437</v>
      </c>
      <c r="B61" s="45">
        <v>18</v>
      </c>
    </row>
    <row r="62" spans="1:2" ht="15" customHeight="1" x14ac:dyDescent="0.25">
      <c r="A62" s="45">
        <v>437.1</v>
      </c>
      <c r="B62" s="45">
        <v>16.600000000000001</v>
      </c>
    </row>
    <row r="63" spans="1:2" ht="15" customHeight="1" x14ac:dyDescent="0.25">
      <c r="A63" s="45">
        <v>437</v>
      </c>
      <c r="B63" s="45">
        <v>15.3</v>
      </c>
    </row>
    <row r="64" spans="1:2" ht="15" customHeight="1" x14ac:dyDescent="0.25">
      <c r="A64" s="45">
        <v>436.8</v>
      </c>
      <c r="B64" s="45">
        <v>14.1</v>
      </c>
    </row>
    <row r="65" spans="1:2" ht="15" customHeight="1" x14ac:dyDescent="0.25">
      <c r="A65" s="45">
        <v>436.5</v>
      </c>
      <c r="B65" s="45">
        <v>12.9</v>
      </c>
    </row>
    <row r="66" spans="1:2" ht="15" customHeight="1" x14ac:dyDescent="0.25">
      <c r="A66" s="45">
        <v>436.1</v>
      </c>
      <c r="B66" s="45">
        <v>11.8</v>
      </c>
    </row>
    <row r="67" spans="1:2" ht="15" customHeight="1" x14ac:dyDescent="0.25">
      <c r="A67" s="45">
        <v>435.7</v>
      </c>
      <c r="B67" s="45">
        <v>10.7</v>
      </c>
    </row>
    <row r="68" spans="1:2" ht="15" customHeight="1" x14ac:dyDescent="0.25">
      <c r="A68" s="45">
        <v>435.2</v>
      </c>
      <c r="B68" s="45">
        <v>9.8000000000000007</v>
      </c>
    </row>
    <row r="69" spans="1:2" ht="15" customHeight="1" x14ac:dyDescent="0.25">
      <c r="A69" s="45">
        <v>434.6</v>
      </c>
      <c r="B69" s="45">
        <v>8.9</v>
      </c>
    </row>
    <row r="70" spans="1:2" ht="15" customHeight="1" x14ac:dyDescent="0.25">
      <c r="A70" s="45">
        <v>433.9</v>
      </c>
      <c r="B70" s="45">
        <v>8.1</v>
      </c>
    </row>
    <row r="71" spans="1:2" ht="15" customHeight="1" x14ac:dyDescent="0.25">
      <c r="A71" s="45">
        <v>433.2</v>
      </c>
      <c r="B71" s="45">
        <v>7.3</v>
      </c>
    </row>
    <row r="72" spans="1:2" ht="15" customHeight="1" x14ac:dyDescent="0.25">
      <c r="A72" s="45">
        <v>432.4</v>
      </c>
      <c r="B72" s="45">
        <v>6.6</v>
      </c>
    </row>
    <row r="73" spans="1:2" ht="15" customHeight="1" x14ac:dyDescent="0.25">
      <c r="A73" s="45">
        <v>431.5</v>
      </c>
      <c r="B73" s="45">
        <v>5.9</v>
      </c>
    </row>
    <row r="74" spans="1:2" ht="15" customHeight="1" x14ac:dyDescent="0.25">
      <c r="A74" s="45">
        <v>430.6</v>
      </c>
      <c r="B74" s="45">
        <v>5.3</v>
      </c>
    </row>
    <row r="78" spans="1:2" ht="15" customHeight="1" x14ac:dyDescent="0.25">
      <c r="A78" s="4" t="s">
        <v>492</v>
      </c>
    </row>
    <row r="79" spans="1:2" ht="15" customHeight="1" x14ac:dyDescent="0.25">
      <c r="A79" s="2" t="s">
        <v>493</v>
      </c>
    </row>
    <row r="80" spans="1:2" ht="15" customHeight="1" x14ac:dyDescent="0.25">
      <c r="A80" s="2" t="s">
        <v>494</v>
      </c>
    </row>
    <row r="81" spans="1:1" ht="15" customHeight="1" x14ac:dyDescent="0.25">
      <c r="A81" s="2" t="s">
        <v>495</v>
      </c>
    </row>
    <row r="82" spans="1:1" ht="15" customHeight="1" x14ac:dyDescent="0.25">
      <c r="A82" s="2"/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7"/>
  <sheetViews>
    <sheetView topLeftCell="A30" zoomScale="55" zoomScaleNormal="55" workbookViewId="0">
      <selection activeCell="J32" sqref="J32"/>
    </sheetView>
  </sheetViews>
  <sheetFormatPr baseColWidth="10" defaultColWidth="8.7109375" defaultRowHeight="15" x14ac:dyDescent="0.25"/>
  <cols>
    <col min="1" max="2" width="13" customWidth="1"/>
    <col min="4" max="5" width="13" customWidth="1"/>
    <col min="7" max="8" width="13" customWidth="1"/>
    <col min="10" max="11" width="13" customWidth="1"/>
    <col min="13" max="14" width="13" customWidth="1"/>
    <col min="16" max="17" width="13" customWidth="1"/>
    <col min="19" max="20" width="13" customWidth="1"/>
    <col min="22" max="23" width="13" customWidth="1"/>
    <col min="25" max="26" width="13" customWidth="1"/>
  </cols>
  <sheetData>
    <row r="1" spans="1:26" ht="17.25" customHeight="1" x14ac:dyDescent="0.25">
      <c r="A1" s="1" t="s">
        <v>496</v>
      </c>
    </row>
    <row r="2" spans="1:26" ht="15" customHeight="1" x14ac:dyDescent="0.25">
      <c r="A2" s="2" t="s">
        <v>497</v>
      </c>
    </row>
    <row r="3" spans="1:26" ht="15" customHeight="1" x14ac:dyDescent="0.25">
      <c r="A3" s="4" t="s">
        <v>498</v>
      </c>
    </row>
    <row r="4" spans="1:26" ht="15" customHeight="1" x14ac:dyDescent="0.25">
      <c r="A4" s="44" t="s">
        <v>499</v>
      </c>
      <c r="B4" s="44" t="s">
        <v>6</v>
      </c>
      <c r="D4" s="44" t="s">
        <v>500</v>
      </c>
      <c r="E4" s="44" t="s">
        <v>6</v>
      </c>
      <c r="G4" s="44" t="s">
        <v>501</v>
      </c>
      <c r="H4" s="44" t="s">
        <v>6</v>
      </c>
      <c r="J4" s="44" t="s">
        <v>502</v>
      </c>
      <c r="K4" s="44" t="s">
        <v>6</v>
      </c>
      <c r="M4" s="44" t="s">
        <v>503</v>
      </c>
      <c r="N4" s="44" t="s">
        <v>6</v>
      </c>
      <c r="P4" s="44" t="s">
        <v>443</v>
      </c>
      <c r="Q4" s="44" t="s">
        <v>6</v>
      </c>
      <c r="S4" s="44" t="s">
        <v>504</v>
      </c>
      <c r="T4" s="44" t="s">
        <v>6</v>
      </c>
      <c r="V4" s="44" t="s">
        <v>505</v>
      </c>
      <c r="W4" s="44" t="s">
        <v>6</v>
      </c>
      <c r="Y4" s="44" t="s">
        <v>456</v>
      </c>
      <c r="Z4" s="44" t="s">
        <v>6</v>
      </c>
    </row>
    <row r="5" spans="1:26" ht="15" customHeight="1" x14ac:dyDescent="0.25">
      <c r="A5" s="45">
        <v>-56.1</v>
      </c>
      <c r="B5" s="45">
        <v>5.3</v>
      </c>
      <c r="D5" s="45">
        <v>15</v>
      </c>
      <c r="E5" s="45">
        <v>10</v>
      </c>
      <c r="G5" s="45">
        <v>15</v>
      </c>
      <c r="H5" s="45">
        <v>10</v>
      </c>
      <c r="J5" s="45">
        <v>20</v>
      </c>
      <c r="K5" s="45">
        <v>120</v>
      </c>
      <c r="M5" s="45">
        <v>20</v>
      </c>
      <c r="N5" s="45">
        <v>120</v>
      </c>
      <c r="P5" s="45">
        <v>31</v>
      </c>
      <c r="Q5" s="45">
        <v>73.8</v>
      </c>
      <c r="S5" s="45">
        <v>31</v>
      </c>
      <c r="T5" s="45">
        <v>73.8</v>
      </c>
      <c r="V5" s="45">
        <v>31</v>
      </c>
      <c r="W5" s="45">
        <v>73.8</v>
      </c>
      <c r="Y5" s="45">
        <v>30</v>
      </c>
      <c r="Z5" s="45">
        <v>70</v>
      </c>
    </row>
    <row r="6" spans="1:26" ht="15" customHeight="1" x14ac:dyDescent="0.25">
      <c r="A6" s="45">
        <v>-53.8</v>
      </c>
      <c r="B6" s="45">
        <v>5.8</v>
      </c>
      <c r="D6" s="45">
        <v>84.5</v>
      </c>
      <c r="E6" s="45">
        <v>22.3</v>
      </c>
      <c r="G6" s="45">
        <v>39.9</v>
      </c>
      <c r="H6" s="45">
        <v>13.5</v>
      </c>
      <c r="J6" s="45">
        <v>19.7</v>
      </c>
      <c r="K6" s="45">
        <v>115</v>
      </c>
      <c r="M6" s="45">
        <v>79.2</v>
      </c>
      <c r="N6" s="45">
        <v>120</v>
      </c>
      <c r="S6" s="45">
        <v>31</v>
      </c>
      <c r="T6" s="45">
        <v>140</v>
      </c>
      <c r="V6" s="45">
        <v>140</v>
      </c>
      <c r="W6" s="45">
        <v>73.8</v>
      </c>
      <c r="Y6" s="45">
        <v>60</v>
      </c>
      <c r="Z6" s="45">
        <v>70</v>
      </c>
    </row>
    <row r="7" spans="1:26" ht="15" customHeight="1" x14ac:dyDescent="0.25">
      <c r="A7" s="45">
        <v>-51.6</v>
      </c>
      <c r="B7" s="45">
        <v>6.4</v>
      </c>
      <c r="D7" s="45">
        <v>40</v>
      </c>
      <c r="E7" s="45">
        <v>22.3</v>
      </c>
      <c r="G7" s="45">
        <v>60.1</v>
      </c>
      <c r="H7" s="45">
        <v>17</v>
      </c>
      <c r="J7" s="45">
        <v>19.5</v>
      </c>
      <c r="K7" s="45">
        <v>110</v>
      </c>
      <c r="M7" s="45">
        <v>76.5</v>
      </c>
      <c r="N7" s="45">
        <v>115</v>
      </c>
      <c r="Y7" s="45">
        <v>60</v>
      </c>
      <c r="Z7" s="45">
        <v>210</v>
      </c>
    </row>
    <row r="8" spans="1:26" ht="15" customHeight="1" x14ac:dyDescent="0.25">
      <c r="A8" s="45">
        <v>-49.4</v>
      </c>
      <c r="B8" s="45">
        <v>7</v>
      </c>
      <c r="D8" s="45">
        <v>40</v>
      </c>
      <c r="E8" s="45">
        <v>22.3</v>
      </c>
      <c r="G8" s="45">
        <v>77.2</v>
      </c>
      <c r="H8" s="45">
        <v>20.399999999999999</v>
      </c>
      <c r="J8" s="45">
        <v>19.2</v>
      </c>
      <c r="K8" s="45">
        <v>105</v>
      </c>
      <c r="M8" s="45">
        <v>73.8</v>
      </c>
      <c r="N8" s="45">
        <v>110</v>
      </c>
      <c r="Y8" s="45">
        <v>30</v>
      </c>
      <c r="Z8" s="45">
        <v>210</v>
      </c>
    </row>
    <row r="9" spans="1:26" ht="15" customHeight="1" x14ac:dyDescent="0.25">
      <c r="A9" s="45">
        <v>-47.1</v>
      </c>
      <c r="B9" s="45">
        <v>7.7</v>
      </c>
      <c r="D9" s="45">
        <v>114.2</v>
      </c>
      <c r="E9" s="45">
        <v>49.8</v>
      </c>
      <c r="G9" s="45">
        <v>92.1</v>
      </c>
      <c r="H9" s="45">
        <v>23.9</v>
      </c>
      <c r="J9" s="45">
        <v>18.899999999999999</v>
      </c>
      <c r="K9" s="45">
        <v>100</v>
      </c>
      <c r="M9" s="45">
        <v>70.900000000000006</v>
      </c>
      <c r="N9" s="45">
        <v>105</v>
      </c>
      <c r="Y9" s="45">
        <v>30</v>
      </c>
      <c r="Z9" s="45">
        <v>70</v>
      </c>
    </row>
    <row r="10" spans="1:26" ht="15" customHeight="1" x14ac:dyDescent="0.25">
      <c r="A10" s="45">
        <v>-44.9</v>
      </c>
      <c r="B10" s="45">
        <v>8.3000000000000007</v>
      </c>
      <c r="D10" s="45">
        <v>40</v>
      </c>
      <c r="E10" s="45">
        <v>49.8</v>
      </c>
      <c r="G10" s="45">
        <v>105.3</v>
      </c>
      <c r="H10" s="45">
        <v>27.4</v>
      </c>
      <c r="J10" s="45">
        <v>18.600000000000001</v>
      </c>
      <c r="K10" s="45">
        <v>95</v>
      </c>
      <c r="M10" s="45">
        <v>67.8</v>
      </c>
      <c r="N10" s="45">
        <v>100</v>
      </c>
    </row>
    <row r="11" spans="1:26" ht="15" customHeight="1" x14ac:dyDescent="0.25">
      <c r="A11" s="45">
        <v>-42.7</v>
      </c>
      <c r="B11" s="45">
        <v>9.1</v>
      </c>
      <c r="D11" s="45">
        <v>40</v>
      </c>
      <c r="E11" s="45">
        <v>49.8</v>
      </c>
      <c r="G11" s="45">
        <v>117.2</v>
      </c>
      <c r="H11" s="45">
        <v>30.9</v>
      </c>
      <c r="J11" s="45">
        <v>18.3</v>
      </c>
      <c r="K11" s="45">
        <v>90</v>
      </c>
      <c r="M11" s="45">
        <v>64.599999999999994</v>
      </c>
      <c r="N11" s="45">
        <v>95</v>
      </c>
    </row>
    <row r="12" spans="1:26" ht="15" customHeight="1" x14ac:dyDescent="0.25">
      <c r="A12" s="45">
        <v>-40.4</v>
      </c>
      <c r="B12" s="45">
        <v>9.9</v>
      </c>
      <c r="D12" s="45">
        <v>113.6</v>
      </c>
      <c r="E12" s="45">
        <v>111</v>
      </c>
      <c r="G12" s="45">
        <v>128.1</v>
      </c>
      <c r="H12" s="45">
        <v>34.4</v>
      </c>
      <c r="J12" s="45">
        <v>17.899999999999999</v>
      </c>
      <c r="K12" s="45">
        <v>85</v>
      </c>
      <c r="M12" s="45">
        <v>61.2</v>
      </c>
      <c r="N12" s="45">
        <v>90</v>
      </c>
    </row>
    <row r="13" spans="1:26" ht="15" customHeight="1" x14ac:dyDescent="0.25">
      <c r="A13" s="45">
        <v>-38.200000000000003</v>
      </c>
      <c r="B13" s="45">
        <v>10.7</v>
      </c>
      <c r="D13" s="45">
        <v>40</v>
      </c>
      <c r="E13" s="45">
        <v>111</v>
      </c>
      <c r="G13" s="45">
        <v>138.1</v>
      </c>
      <c r="H13" s="45">
        <v>37.9</v>
      </c>
      <c r="J13" s="45">
        <v>17.5</v>
      </c>
      <c r="K13" s="45">
        <v>80</v>
      </c>
      <c r="M13" s="45">
        <v>57.7</v>
      </c>
      <c r="N13" s="45">
        <v>85</v>
      </c>
    </row>
    <row r="14" spans="1:26" ht="15" customHeight="1" x14ac:dyDescent="0.25">
      <c r="A14" s="45">
        <v>-36</v>
      </c>
      <c r="B14" s="45">
        <v>11.6</v>
      </c>
      <c r="G14" s="45">
        <v>147.4</v>
      </c>
      <c r="H14" s="45">
        <v>41.3</v>
      </c>
      <c r="J14" s="45">
        <v>17.2</v>
      </c>
      <c r="K14" s="45">
        <v>75</v>
      </c>
      <c r="M14" s="45">
        <v>53.9</v>
      </c>
      <c r="N14" s="45">
        <v>80</v>
      </c>
    </row>
    <row r="15" spans="1:26" ht="15" customHeight="1" x14ac:dyDescent="0.25">
      <c r="A15" s="45">
        <v>-33.799999999999997</v>
      </c>
      <c r="B15" s="45">
        <v>12.6</v>
      </c>
      <c r="G15" s="45">
        <v>156.1</v>
      </c>
      <c r="H15" s="45">
        <v>44.8</v>
      </c>
      <c r="J15" s="45">
        <v>16.7</v>
      </c>
      <c r="K15" s="45">
        <v>70</v>
      </c>
      <c r="M15" s="45">
        <v>50</v>
      </c>
      <c r="N15" s="45">
        <v>75</v>
      </c>
    </row>
    <row r="16" spans="1:26" ht="15" customHeight="1" x14ac:dyDescent="0.25">
      <c r="A16" s="45">
        <v>-31.5</v>
      </c>
      <c r="B16" s="45">
        <v>13.6</v>
      </c>
      <c r="G16" s="45">
        <v>164.3</v>
      </c>
      <c r="H16" s="45">
        <v>48.3</v>
      </c>
      <c r="J16" s="45">
        <v>16.3</v>
      </c>
      <c r="K16" s="45">
        <v>65</v>
      </c>
      <c r="M16" s="45">
        <v>45.8</v>
      </c>
      <c r="N16" s="45">
        <v>70</v>
      </c>
    </row>
    <row r="17" spans="1:14" ht="15" customHeight="1" x14ac:dyDescent="0.25">
      <c r="A17" s="45">
        <v>-29.3</v>
      </c>
      <c r="B17" s="45">
        <v>14.6</v>
      </c>
      <c r="G17" s="45">
        <v>172</v>
      </c>
      <c r="H17" s="45">
        <v>51.8</v>
      </c>
      <c r="J17" s="45">
        <v>15.9</v>
      </c>
      <c r="K17" s="45">
        <v>60</v>
      </c>
      <c r="M17" s="45">
        <v>41.5</v>
      </c>
      <c r="N17" s="45">
        <v>65</v>
      </c>
    </row>
    <row r="18" spans="1:14" ht="15" customHeight="1" x14ac:dyDescent="0.25">
      <c r="A18" s="45">
        <v>-27.1</v>
      </c>
      <c r="B18" s="45">
        <v>15.7</v>
      </c>
      <c r="G18" s="45">
        <v>179.3</v>
      </c>
      <c r="H18" s="45">
        <v>55.3</v>
      </c>
      <c r="J18" s="45">
        <v>15.4</v>
      </c>
      <c r="K18" s="45">
        <v>55</v>
      </c>
      <c r="M18" s="45">
        <v>36.799999999999997</v>
      </c>
      <c r="N18" s="45">
        <v>60</v>
      </c>
    </row>
    <row r="19" spans="1:14" ht="15" customHeight="1" x14ac:dyDescent="0.25">
      <c r="A19" s="45">
        <v>-24.8</v>
      </c>
      <c r="B19" s="45">
        <v>16.899999999999999</v>
      </c>
      <c r="G19" s="45">
        <v>186.2</v>
      </c>
      <c r="H19" s="45">
        <v>58.8</v>
      </c>
      <c r="J19" s="45">
        <v>14.3</v>
      </c>
      <c r="K19" s="45">
        <v>50</v>
      </c>
      <c r="M19" s="45">
        <v>31.9</v>
      </c>
      <c r="N19" s="45">
        <v>55</v>
      </c>
    </row>
    <row r="20" spans="1:14" ht="15" customHeight="1" x14ac:dyDescent="0.25">
      <c r="A20" s="45">
        <v>-22.6</v>
      </c>
      <c r="B20" s="45">
        <v>18.2</v>
      </c>
      <c r="G20" s="45">
        <v>192.8</v>
      </c>
      <c r="H20" s="45">
        <v>62.2</v>
      </c>
      <c r="J20" s="45">
        <v>10</v>
      </c>
      <c r="K20" s="45">
        <v>45</v>
      </c>
      <c r="M20" s="45">
        <v>26.7</v>
      </c>
      <c r="N20" s="45">
        <v>50</v>
      </c>
    </row>
    <row r="21" spans="1:14" ht="15" customHeight="1" x14ac:dyDescent="0.25">
      <c r="A21" s="45">
        <v>-20.399999999999999</v>
      </c>
      <c r="B21" s="45">
        <v>19.5</v>
      </c>
      <c r="G21" s="45">
        <v>199.1</v>
      </c>
      <c r="H21" s="45">
        <v>65.7</v>
      </c>
      <c r="J21" s="45">
        <v>5.3</v>
      </c>
      <c r="K21" s="45">
        <v>40</v>
      </c>
      <c r="M21" s="45">
        <v>21.2</v>
      </c>
      <c r="N21" s="45">
        <v>45</v>
      </c>
    </row>
    <row r="22" spans="1:14" ht="15" customHeight="1" x14ac:dyDescent="0.25">
      <c r="A22" s="45">
        <v>-18.100000000000001</v>
      </c>
      <c r="B22" s="45">
        <v>20.8</v>
      </c>
      <c r="G22" s="45">
        <v>205.1</v>
      </c>
      <c r="H22" s="45">
        <v>69.2</v>
      </c>
      <c r="M22" s="45">
        <v>15.3</v>
      </c>
      <c r="N22" s="45">
        <v>40</v>
      </c>
    </row>
    <row r="23" spans="1:14" ht="15" customHeight="1" x14ac:dyDescent="0.25">
      <c r="A23" s="45">
        <v>-15.9</v>
      </c>
      <c r="B23" s="45">
        <v>22.3</v>
      </c>
      <c r="G23" s="45">
        <v>210.9</v>
      </c>
      <c r="H23" s="45">
        <v>72.7</v>
      </c>
    </row>
    <row r="24" spans="1:14" ht="15" customHeight="1" x14ac:dyDescent="0.25">
      <c r="A24" s="45">
        <v>-13.7</v>
      </c>
      <c r="B24" s="45">
        <v>23.8</v>
      </c>
      <c r="G24" s="45">
        <v>216.4</v>
      </c>
      <c r="H24" s="45">
        <v>76.2</v>
      </c>
    </row>
    <row r="25" spans="1:14" ht="15" customHeight="1" x14ac:dyDescent="0.25">
      <c r="A25" s="45">
        <v>-11.4</v>
      </c>
      <c r="B25" s="45">
        <v>25.4</v>
      </c>
      <c r="G25" s="45">
        <v>221.8</v>
      </c>
      <c r="H25" s="45">
        <v>79.7</v>
      </c>
    </row>
    <row r="26" spans="1:14" ht="15" customHeight="1" x14ac:dyDescent="0.25">
      <c r="A26" s="45">
        <v>-9.1999999999999993</v>
      </c>
      <c r="B26" s="45">
        <v>27.1</v>
      </c>
      <c r="G26" s="45">
        <v>227</v>
      </c>
      <c r="H26" s="45">
        <v>83.1</v>
      </c>
    </row>
    <row r="27" spans="1:14" ht="15" customHeight="1" x14ac:dyDescent="0.25">
      <c r="A27" s="45">
        <v>-7</v>
      </c>
      <c r="B27" s="45">
        <v>28.8</v>
      </c>
      <c r="G27" s="45">
        <v>232</v>
      </c>
      <c r="H27" s="45">
        <v>86.6</v>
      </c>
    </row>
    <row r="28" spans="1:14" ht="15" customHeight="1" x14ac:dyDescent="0.25">
      <c r="A28" s="45">
        <v>-4.8</v>
      </c>
      <c r="B28" s="45">
        <v>30.7</v>
      </c>
      <c r="G28" s="45">
        <v>236.8</v>
      </c>
      <c r="H28" s="45">
        <v>90.1</v>
      </c>
    </row>
    <row r="29" spans="1:14" ht="15" customHeight="1" x14ac:dyDescent="0.25">
      <c r="A29" s="45">
        <v>-2.5</v>
      </c>
      <c r="B29" s="45">
        <v>32.6</v>
      </c>
      <c r="G29" s="45">
        <v>241.5</v>
      </c>
      <c r="H29" s="45">
        <v>93.6</v>
      </c>
    </row>
    <row r="30" spans="1:14" ht="15" customHeight="1" x14ac:dyDescent="0.25">
      <c r="A30" s="45">
        <v>-0.3</v>
      </c>
      <c r="B30" s="45">
        <v>34.6</v>
      </c>
      <c r="G30" s="45">
        <v>246</v>
      </c>
      <c r="H30" s="45">
        <v>97.1</v>
      </c>
    </row>
    <row r="31" spans="1:14" ht="15" customHeight="1" x14ac:dyDescent="0.25">
      <c r="A31" s="45">
        <v>1.9</v>
      </c>
      <c r="B31" s="45">
        <v>36.700000000000003</v>
      </c>
      <c r="G31" s="45">
        <v>250.5</v>
      </c>
      <c r="H31" s="45">
        <v>100.6</v>
      </c>
    </row>
    <row r="32" spans="1:14" ht="15" customHeight="1" x14ac:dyDescent="0.25">
      <c r="A32" s="45">
        <v>4.2</v>
      </c>
      <c r="B32" s="45">
        <v>38.9</v>
      </c>
      <c r="G32" s="45">
        <v>254.8</v>
      </c>
      <c r="H32" s="45">
        <v>104</v>
      </c>
    </row>
    <row r="33" spans="1:8" ht="15" customHeight="1" x14ac:dyDescent="0.25">
      <c r="A33" s="45">
        <v>6.4</v>
      </c>
      <c r="B33" s="45">
        <v>41.1</v>
      </c>
      <c r="G33" s="45">
        <v>258.89999999999998</v>
      </c>
      <c r="H33" s="45">
        <v>107.5</v>
      </c>
    </row>
    <row r="34" spans="1:8" ht="15" customHeight="1" x14ac:dyDescent="0.25">
      <c r="A34" s="45">
        <v>8.6</v>
      </c>
      <c r="B34" s="45">
        <v>43.5</v>
      </c>
      <c r="G34" s="45">
        <v>263</v>
      </c>
      <c r="H34" s="45">
        <v>111</v>
      </c>
    </row>
    <row r="35" spans="1:8" ht="15" customHeight="1" x14ac:dyDescent="0.25">
      <c r="A35" s="45">
        <v>10.9</v>
      </c>
      <c r="B35" s="45">
        <v>46</v>
      </c>
    </row>
    <row r="36" spans="1:8" ht="15" customHeight="1" x14ac:dyDescent="0.25">
      <c r="A36" s="45">
        <v>13.1</v>
      </c>
      <c r="B36" s="45">
        <v>48.6</v>
      </c>
    </row>
    <row r="37" spans="1:8" ht="15" customHeight="1" x14ac:dyDescent="0.25">
      <c r="A37" s="45">
        <v>15.3</v>
      </c>
      <c r="B37" s="45">
        <v>51.3</v>
      </c>
    </row>
    <row r="38" spans="1:8" ht="15" customHeight="1" x14ac:dyDescent="0.25">
      <c r="A38" s="45">
        <v>17.5</v>
      </c>
      <c r="B38" s="45">
        <v>54.1</v>
      </c>
    </row>
    <row r="39" spans="1:8" ht="15" customHeight="1" x14ac:dyDescent="0.25">
      <c r="A39" s="45">
        <v>19.8</v>
      </c>
      <c r="B39" s="45">
        <v>57</v>
      </c>
    </row>
    <row r="40" spans="1:8" ht="15" customHeight="1" x14ac:dyDescent="0.25">
      <c r="A40" s="45">
        <v>22</v>
      </c>
      <c r="B40" s="45">
        <v>60</v>
      </c>
    </row>
    <row r="41" spans="1:8" ht="15" customHeight="1" x14ac:dyDescent="0.25">
      <c r="A41" s="45">
        <v>24.2</v>
      </c>
      <c r="B41" s="45">
        <v>63.2</v>
      </c>
    </row>
    <row r="42" spans="1:8" ht="15" customHeight="1" x14ac:dyDescent="0.25">
      <c r="A42" s="45">
        <v>26.5</v>
      </c>
      <c r="B42" s="45">
        <v>66.5</v>
      </c>
    </row>
    <row r="43" spans="1:8" ht="15" customHeight="1" x14ac:dyDescent="0.25">
      <c r="A43" s="45">
        <v>28.7</v>
      </c>
      <c r="B43" s="45">
        <v>70</v>
      </c>
    </row>
    <row r="44" spans="1:8" ht="15" customHeight="1" x14ac:dyDescent="0.25">
      <c r="A44" s="45">
        <v>30.9</v>
      </c>
      <c r="B44" s="45">
        <v>73.7</v>
      </c>
    </row>
    <row r="82" spans="1:1" ht="15" customHeight="1" x14ac:dyDescent="0.25">
      <c r="A82" s="4" t="s">
        <v>506</v>
      </c>
    </row>
    <row r="83" spans="1:1" ht="15" customHeight="1" x14ac:dyDescent="0.25">
      <c r="A83" s="2" t="s">
        <v>507</v>
      </c>
    </row>
    <row r="84" spans="1:1" ht="15" customHeight="1" x14ac:dyDescent="0.25">
      <c r="A84" s="2" t="s">
        <v>508</v>
      </c>
    </row>
    <row r="85" spans="1:1" ht="15" customHeight="1" x14ac:dyDescent="0.25">
      <c r="A85" s="2" t="s">
        <v>509</v>
      </c>
    </row>
    <row r="86" spans="1:1" ht="15" customHeight="1" x14ac:dyDescent="0.25">
      <c r="A86" s="2" t="s">
        <v>510</v>
      </c>
    </row>
    <row r="87" spans="1:1" ht="15" customHeight="1" x14ac:dyDescent="0.25">
      <c r="A87" s="2" t="s">
        <v>511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&amp;C&amp;"Arial"&amp;10&amp;K000000 General - Unencrypted&amp;1#_x000D_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F1AC6575134448A0058E48A43925A9" ma:contentTypeVersion="11" ma:contentTypeDescription="Create a new document." ma:contentTypeScope="" ma:versionID="5c7745ac9277419254f50494c8e91551">
  <xsd:schema xmlns:xsd="http://www.w3.org/2001/XMLSchema" xmlns:xs="http://www.w3.org/2001/XMLSchema" xmlns:p="http://schemas.microsoft.com/office/2006/metadata/properties" xmlns:ns2="b55276c4-b338-4cb7-9737-66b5ce5b91f1" xmlns:ns3="0c7dbdb7-e219-4ebe-854f-4ab699024ee0" targetNamespace="http://schemas.microsoft.com/office/2006/metadata/properties" ma:root="true" ma:fieldsID="41291f306ffd6106717b7e023cea7f2b" ns2:_="" ns3:_="">
    <xsd:import namespace="b55276c4-b338-4cb7-9737-66b5ce5b91f1"/>
    <xsd:import namespace="0c7dbdb7-e219-4ebe-854f-4ab699024e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276c4-b338-4cb7-9737-66b5ce5b91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354813c-11b9-47e8-a31a-cbfea2ba9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7dbdb7-e219-4ebe-854f-4ab699024e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9a8bc1-d1df-4f1a-8052-018a445f2a08}" ma:internalName="TaxCatchAll" ma:showField="CatchAllData" ma:web="0c7dbdb7-e219-4ebe-854f-4ab699024e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7dbdb7-e219-4ebe-854f-4ab699024ee0" xsi:nil="true"/>
    <lcf76f155ced4ddcb4097134ff3c332f xmlns="b55276c4-b338-4cb7-9737-66b5ce5b91f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D705C6-1FDA-4A55-B027-E52BA415F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276c4-b338-4cb7-9737-66b5ce5b91f1"/>
    <ds:schemaRef ds:uri="0c7dbdb7-e219-4ebe-854f-4ab699024e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B87C8A-3993-4F59-9D50-F92278027231}">
  <ds:schemaRefs>
    <ds:schemaRef ds:uri="http://schemas.microsoft.com/office/2006/metadata/properties"/>
    <ds:schemaRef ds:uri="http://schemas.microsoft.com/office/infopath/2007/PartnerControls"/>
    <ds:schemaRef ds:uri="0c7dbdb7-e219-4ebe-854f-4ab699024ee0"/>
    <ds:schemaRef ds:uri="b55276c4-b338-4cb7-9737-66b5ce5b91f1"/>
  </ds:schemaRefs>
</ds:datastoreItem>
</file>

<file path=customXml/itemProps3.xml><?xml version="1.0" encoding="utf-8"?>
<ds:datastoreItem xmlns:ds="http://schemas.openxmlformats.org/officeDocument/2006/customXml" ds:itemID="{F33EB048-68AB-4CDD-89B4-7DBB62A97CC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Anlagenkonzept</vt:lpstr>
      <vt:lpstr>Annahmen</vt:lpstr>
      <vt:lpstr>Berechnung</vt:lpstr>
      <vt:lpstr>Sensitivität &amp; Medienvergleich</vt:lpstr>
      <vt:lpstr>Arbeitsgas &amp; Regime</vt:lpstr>
      <vt:lpstr>Zyklus &amp; Inventar</vt:lpstr>
      <vt:lpstr>Einspeichern Stufen</vt:lpstr>
      <vt:lpstr>Ausspeichern Drossel</vt:lpstr>
      <vt:lpstr>Phasendiagramm</vt:lpstr>
      <vt:lpstr>p-h Diagramm</vt:lpstr>
      <vt:lpstr>Phasendiagramm gasförmig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Maxara, Sarah</cp:lastModifiedBy>
  <cp:revision>22</cp:revision>
  <dcterms:created xsi:type="dcterms:W3CDTF">2026-08-03T12:03:42Z</dcterms:created>
  <dcterms:modified xsi:type="dcterms:W3CDTF">2026-08-11T09:19:00Z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0x010100E9F1AC6575134448A0058E48A43925A9</vt:lpwstr>
  </property>
  <property fmtid="{D5CDD505-2E9C-101B-9397-08002B2CF9AE}" pid="3" name="MediaServiceImageTags">
    <vt:lpwstr/>
  </property>
</Properties>
</file>