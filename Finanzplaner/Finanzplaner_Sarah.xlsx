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ythonProjekte\Finanzplaner\"/>
    </mc:Choice>
  </mc:AlternateContent>
  <xr:revisionPtr revIDLastSave="0" documentId="13_ncr:1_{E76A71FD-0016-4E20-A0B5-FAAB463CAB4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Anleitung" sheetId="1" r:id="rId1"/>
    <sheet name="Dashboard" sheetId="2" r:id="rId2"/>
    <sheet name="Buchungen" sheetId="3" r:id="rId3"/>
    <sheet name="Fixkosten" sheetId="4" r:id="rId4"/>
    <sheet name="Monatsübersicht" sheetId="5" r:id="rId5"/>
    <sheet name="Kategorien" sheetId="6" r:id="rId6"/>
    <sheet name="Sparziele" sheetId="7" r:id="rId7"/>
    <sheet name="Vermögen" sheetId="8" r:id="rId8"/>
    <sheet name="Prognose" sheetId="9" r:id="rId9"/>
    <sheet name="Einstellungen" sheetId="10" r:id="rId10"/>
  </sheets>
  <definedNames>
    <definedName name="_xlnm._FilterDatabase" localSheetId="2" hidden="1">Buchungen!$A$3:$I$1003</definedName>
    <definedName name="KategorienListe">Einstellungen!$A$4:$A$40</definedName>
    <definedName name="KontenListe">Einstellungen!$F$4:$F$15</definedName>
    <definedName name="RhythmusListe">Einstellungen!$H$4:$H$7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0" l="1"/>
  <c r="K14" i="5" s="1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G27" i="8"/>
  <c r="I27" i="8" s="1"/>
  <c r="J27" i="8" s="1"/>
  <c r="A27" i="8"/>
  <c r="G26" i="8"/>
  <c r="I26" i="8" s="1"/>
  <c r="J26" i="8" s="1"/>
  <c r="A26" i="8"/>
  <c r="I25" i="8"/>
  <c r="G25" i="8"/>
  <c r="A25" i="8"/>
  <c r="G24" i="8"/>
  <c r="I24" i="8" s="1"/>
  <c r="J24" i="8" s="1"/>
  <c r="A24" i="8"/>
  <c r="J23" i="8"/>
  <c r="I23" i="8"/>
  <c r="G23" i="8"/>
  <c r="A23" i="8"/>
  <c r="I22" i="8"/>
  <c r="J22" i="8" s="1"/>
  <c r="K24" i="8" s="1"/>
  <c r="G22" i="8"/>
  <c r="A22" i="8"/>
  <c r="G21" i="8"/>
  <c r="I21" i="8" s="1"/>
  <c r="J21" i="8" s="1"/>
  <c r="K23" i="8" s="1"/>
  <c r="A21" i="8"/>
  <c r="I20" i="8"/>
  <c r="J20" i="8" s="1"/>
  <c r="G20" i="8"/>
  <c r="A20" i="8"/>
  <c r="I19" i="8"/>
  <c r="J19" i="8" s="1"/>
  <c r="G19" i="8"/>
  <c r="A19" i="8"/>
  <c r="I18" i="8"/>
  <c r="G18" i="8"/>
  <c r="A18" i="8"/>
  <c r="G17" i="8"/>
  <c r="I17" i="8" s="1"/>
  <c r="A17" i="8"/>
  <c r="G16" i="8"/>
  <c r="I16" i="8" s="1"/>
  <c r="J16" i="8" s="1"/>
  <c r="A16" i="8"/>
  <c r="I15" i="8"/>
  <c r="G15" i="8"/>
  <c r="A15" i="8"/>
  <c r="I14" i="8"/>
  <c r="J14" i="8" s="1"/>
  <c r="G14" i="8"/>
  <c r="A14" i="8"/>
  <c r="J13" i="8"/>
  <c r="I13" i="8"/>
  <c r="G13" i="8"/>
  <c r="A13" i="8"/>
  <c r="G12" i="8"/>
  <c r="I12" i="8" s="1"/>
  <c r="J12" i="8" s="1"/>
  <c r="K14" i="8" s="1"/>
  <c r="A12" i="8"/>
  <c r="I11" i="8"/>
  <c r="G11" i="8"/>
  <c r="A11" i="8"/>
  <c r="G10" i="8"/>
  <c r="I10" i="8" s="1"/>
  <c r="J10" i="8" s="1"/>
  <c r="A10" i="8"/>
  <c r="I9" i="8"/>
  <c r="G9" i="8"/>
  <c r="A9" i="8"/>
  <c r="I8" i="8"/>
  <c r="G8" i="8"/>
  <c r="A8" i="8"/>
  <c r="I7" i="8"/>
  <c r="J7" i="8" s="1"/>
  <c r="G7" i="8"/>
  <c r="A7" i="8"/>
  <c r="I6" i="8"/>
  <c r="J6" i="8" s="1"/>
  <c r="G6" i="8"/>
  <c r="A6" i="8"/>
  <c r="G5" i="8"/>
  <c r="I5" i="8" s="1"/>
  <c r="A5" i="8"/>
  <c r="G4" i="8"/>
  <c r="I4" i="8" s="1"/>
  <c r="A4" i="8"/>
  <c r="H18" i="7"/>
  <c r="G18" i="7"/>
  <c r="F18" i="7"/>
  <c r="E18" i="7"/>
  <c r="G17" i="7"/>
  <c r="H17" i="7" s="1"/>
  <c r="F17" i="7"/>
  <c r="E17" i="7"/>
  <c r="H16" i="7"/>
  <c r="G16" i="7"/>
  <c r="F16" i="7"/>
  <c r="E16" i="7"/>
  <c r="G15" i="7"/>
  <c r="H15" i="7" s="1"/>
  <c r="F15" i="7"/>
  <c r="E15" i="7"/>
  <c r="G14" i="7"/>
  <c r="H14" i="7" s="1"/>
  <c r="F14" i="7"/>
  <c r="E14" i="7"/>
  <c r="H13" i="7"/>
  <c r="G13" i="7"/>
  <c r="F13" i="7"/>
  <c r="E13" i="7"/>
  <c r="H12" i="7"/>
  <c r="G12" i="7"/>
  <c r="F12" i="7"/>
  <c r="E12" i="7"/>
  <c r="G11" i="7"/>
  <c r="H11" i="7" s="1"/>
  <c r="F11" i="7"/>
  <c r="E11" i="7"/>
  <c r="H10" i="7"/>
  <c r="G10" i="7"/>
  <c r="F10" i="7"/>
  <c r="E10" i="7"/>
  <c r="G9" i="7"/>
  <c r="H9" i="7" s="1"/>
  <c r="F9" i="7"/>
  <c r="E9" i="7"/>
  <c r="H8" i="7"/>
  <c r="G8" i="7"/>
  <c r="F8" i="7"/>
  <c r="E8" i="7"/>
  <c r="G7" i="7"/>
  <c r="H7" i="7" s="1"/>
  <c r="F7" i="7"/>
  <c r="E7" i="7"/>
  <c r="G6" i="7"/>
  <c r="H6" i="7" s="1"/>
  <c r="F6" i="7"/>
  <c r="E6" i="7"/>
  <c r="G5" i="7"/>
  <c r="H5" i="7" s="1"/>
  <c r="F5" i="7"/>
  <c r="E5" i="7"/>
  <c r="F4" i="7"/>
  <c r="G4" i="7" s="1"/>
  <c r="H4" i="7" s="1"/>
  <c r="E4" i="7"/>
  <c r="Q42" i="6"/>
  <c r="B42" i="6"/>
  <c r="S42" i="6" s="1"/>
  <c r="A42" i="6"/>
  <c r="C42" i="6" s="1"/>
  <c r="Q41" i="6"/>
  <c r="B41" i="6"/>
  <c r="S41" i="6" s="1"/>
  <c r="A41" i="6"/>
  <c r="N41" i="6" s="1"/>
  <c r="Q40" i="6"/>
  <c r="B40" i="6"/>
  <c r="S40" i="6" s="1"/>
  <c r="A40" i="6"/>
  <c r="S39" i="6"/>
  <c r="Q39" i="6"/>
  <c r="C39" i="6"/>
  <c r="B39" i="6"/>
  <c r="A39" i="6"/>
  <c r="S38" i="6"/>
  <c r="Q38" i="6"/>
  <c r="B38" i="6"/>
  <c r="A38" i="6"/>
  <c r="L38" i="6" s="1"/>
  <c r="S37" i="6"/>
  <c r="Q37" i="6"/>
  <c r="E37" i="6"/>
  <c r="B37" i="6"/>
  <c r="A37" i="6"/>
  <c r="N37" i="6" s="1"/>
  <c r="S36" i="6"/>
  <c r="Q36" i="6"/>
  <c r="G36" i="6"/>
  <c r="D36" i="6"/>
  <c r="C36" i="6"/>
  <c r="B36" i="6"/>
  <c r="A36" i="6"/>
  <c r="E36" i="6" s="1"/>
  <c r="Q35" i="6"/>
  <c r="N35" i="6"/>
  <c r="L35" i="6"/>
  <c r="J35" i="6"/>
  <c r="I35" i="6"/>
  <c r="G35" i="6"/>
  <c r="F35" i="6"/>
  <c r="D35" i="6"/>
  <c r="C35" i="6"/>
  <c r="B35" i="6"/>
  <c r="S35" i="6" s="1"/>
  <c r="A35" i="6"/>
  <c r="M35" i="6" s="1"/>
  <c r="Q34" i="6"/>
  <c r="M34" i="6"/>
  <c r="J34" i="6"/>
  <c r="I34" i="6"/>
  <c r="G34" i="6"/>
  <c r="F34" i="6"/>
  <c r="E34" i="6"/>
  <c r="D34" i="6"/>
  <c r="C34" i="6"/>
  <c r="B34" i="6"/>
  <c r="S34" i="6" s="1"/>
  <c r="A34" i="6"/>
  <c r="N34" i="6" s="1"/>
  <c r="Q33" i="6"/>
  <c r="M33" i="6"/>
  <c r="L33" i="6"/>
  <c r="J33" i="6"/>
  <c r="I33" i="6"/>
  <c r="H33" i="6"/>
  <c r="G33" i="6"/>
  <c r="F33" i="6"/>
  <c r="E33" i="6"/>
  <c r="D33" i="6"/>
  <c r="C33" i="6"/>
  <c r="B33" i="6"/>
  <c r="S33" i="6" s="1"/>
  <c r="A33" i="6"/>
  <c r="Q32" i="6"/>
  <c r="M32" i="6"/>
  <c r="L32" i="6"/>
  <c r="K32" i="6"/>
  <c r="J32" i="6"/>
  <c r="I32" i="6"/>
  <c r="H32" i="6"/>
  <c r="G32" i="6"/>
  <c r="F32" i="6"/>
  <c r="O32" i="6" s="1"/>
  <c r="E32" i="6"/>
  <c r="D32" i="6"/>
  <c r="C32" i="6"/>
  <c r="P32" i="6" s="1"/>
  <c r="R32" i="6" s="1"/>
  <c r="B32" i="6"/>
  <c r="S32" i="6" s="1"/>
  <c r="A32" i="6"/>
  <c r="N32" i="6" s="1"/>
  <c r="S31" i="6"/>
  <c r="Q31" i="6"/>
  <c r="N31" i="6"/>
  <c r="M31" i="6"/>
  <c r="L31" i="6"/>
  <c r="K31" i="6"/>
  <c r="J31" i="6"/>
  <c r="I31" i="6"/>
  <c r="H31" i="6"/>
  <c r="G31" i="6"/>
  <c r="F31" i="6"/>
  <c r="E31" i="6"/>
  <c r="D31" i="6"/>
  <c r="C31" i="6"/>
  <c r="P31" i="6" s="1"/>
  <c r="R31" i="6" s="1"/>
  <c r="B31" i="6"/>
  <c r="A31" i="6"/>
  <c r="Q30" i="6"/>
  <c r="N30" i="6"/>
  <c r="M30" i="6"/>
  <c r="L30" i="6"/>
  <c r="H30" i="6"/>
  <c r="F30" i="6"/>
  <c r="E30" i="6"/>
  <c r="B30" i="6"/>
  <c r="S30" i="6" s="1"/>
  <c r="A30" i="6"/>
  <c r="S29" i="6"/>
  <c r="Q29" i="6"/>
  <c r="N29" i="6"/>
  <c r="M29" i="6"/>
  <c r="H29" i="6"/>
  <c r="E29" i="6"/>
  <c r="C29" i="6"/>
  <c r="B29" i="6"/>
  <c r="A29" i="6"/>
  <c r="S28" i="6"/>
  <c r="Q28" i="6"/>
  <c r="B28" i="6"/>
  <c r="A28" i="6"/>
  <c r="N28" i="6" s="1"/>
  <c r="Q27" i="6"/>
  <c r="B27" i="6"/>
  <c r="S27" i="6" s="1"/>
  <c r="A27" i="6"/>
  <c r="M27" i="6" s="1"/>
  <c r="Q26" i="6"/>
  <c r="B26" i="6"/>
  <c r="S26" i="6" s="1"/>
  <c r="A26" i="6"/>
  <c r="C26" i="6" s="1"/>
  <c r="Q25" i="6"/>
  <c r="B25" i="6"/>
  <c r="S25" i="6" s="1"/>
  <c r="A25" i="6"/>
  <c r="S24" i="6"/>
  <c r="Q24" i="6"/>
  <c r="C24" i="6"/>
  <c r="B24" i="6"/>
  <c r="A24" i="6"/>
  <c r="S23" i="6"/>
  <c r="Q23" i="6"/>
  <c r="B23" i="6"/>
  <c r="A23" i="6"/>
  <c r="Q22" i="6"/>
  <c r="B22" i="6"/>
  <c r="A22" i="6"/>
  <c r="Q21" i="6"/>
  <c r="C21" i="6"/>
  <c r="B21" i="6"/>
  <c r="A21" i="6"/>
  <c r="N21" i="6" s="1"/>
  <c r="Q20" i="6"/>
  <c r="K20" i="6"/>
  <c r="B20" i="6"/>
  <c r="A20" i="6"/>
  <c r="N20" i="6" s="1"/>
  <c r="Q19" i="6"/>
  <c r="B19" i="6"/>
  <c r="A19" i="6"/>
  <c r="N19" i="6" s="1"/>
  <c r="Q18" i="6"/>
  <c r="B18" i="6"/>
  <c r="A18" i="6"/>
  <c r="Q17" i="6"/>
  <c r="B17" i="6"/>
  <c r="A17" i="6"/>
  <c r="Q16" i="6"/>
  <c r="B16" i="6"/>
  <c r="A16" i="6"/>
  <c r="Q15" i="6"/>
  <c r="B15" i="6"/>
  <c r="A15" i="6"/>
  <c r="Q14" i="6"/>
  <c r="B14" i="6"/>
  <c r="A14" i="6"/>
  <c r="Q13" i="6"/>
  <c r="B13" i="6"/>
  <c r="A13" i="6"/>
  <c r="Q12" i="6"/>
  <c r="B12" i="6"/>
  <c r="A12" i="6"/>
  <c r="D12" i="6" s="1"/>
  <c r="Q11" i="6"/>
  <c r="B11" i="6"/>
  <c r="A11" i="6"/>
  <c r="Q10" i="6"/>
  <c r="B10" i="6"/>
  <c r="A10" i="6"/>
  <c r="N10" i="6" s="1"/>
  <c r="Q9" i="6"/>
  <c r="B9" i="6"/>
  <c r="A9" i="6"/>
  <c r="N9" i="6" s="1"/>
  <c r="Q8" i="6"/>
  <c r="B8" i="6"/>
  <c r="S8" i="6" s="1"/>
  <c r="A8" i="6"/>
  <c r="Q7" i="6"/>
  <c r="B7" i="6"/>
  <c r="S7" i="6" s="1"/>
  <c r="A7" i="6"/>
  <c r="Q6" i="6"/>
  <c r="B6" i="6"/>
  <c r="S6" i="6" s="1"/>
  <c r="A6" i="6"/>
  <c r="K27" i="5"/>
  <c r="C27" i="5"/>
  <c r="B27" i="5"/>
  <c r="K26" i="5"/>
  <c r="E26" i="5"/>
  <c r="L26" i="5" s="1"/>
  <c r="C26" i="5"/>
  <c r="B26" i="5"/>
  <c r="K25" i="5"/>
  <c r="C25" i="5"/>
  <c r="B25" i="5"/>
  <c r="K24" i="5"/>
  <c r="C24" i="5"/>
  <c r="B24" i="5"/>
  <c r="K23" i="5"/>
  <c r="C23" i="5"/>
  <c r="B23" i="5"/>
  <c r="K22" i="5"/>
  <c r="C22" i="5"/>
  <c r="B22" i="5"/>
  <c r="K21" i="5"/>
  <c r="C21" i="5"/>
  <c r="E21" i="5" s="1"/>
  <c r="B21" i="5"/>
  <c r="K20" i="5"/>
  <c r="C20" i="5"/>
  <c r="B20" i="5"/>
  <c r="K19" i="5"/>
  <c r="C19" i="5"/>
  <c r="B19" i="5"/>
  <c r="K18" i="5"/>
  <c r="C18" i="5"/>
  <c r="B18" i="5"/>
  <c r="K17" i="5"/>
  <c r="D17" i="5"/>
  <c r="C17" i="5"/>
  <c r="E17" i="5" s="1"/>
  <c r="B17" i="5"/>
  <c r="K16" i="5"/>
  <c r="C16" i="5"/>
  <c r="B16" i="5"/>
  <c r="K15" i="5"/>
  <c r="C15" i="5"/>
  <c r="B15" i="5"/>
  <c r="C14" i="5"/>
  <c r="B14" i="5"/>
  <c r="K13" i="5"/>
  <c r="C13" i="5"/>
  <c r="B13" i="5"/>
  <c r="K12" i="5"/>
  <c r="C12" i="5"/>
  <c r="B12" i="5"/>
  <c r="E12" i="5" s="1"/>
  <c r="K11" i="5"/>
  <c r="C11" i="5"/>
  <c r="B11" i="5"/>
  <c r="K10" i="5"/>
  <c r="C10" i="5"/>
  <c r="B10" i="5"/>
  <c r="K9" i="5"/>
  <c r="C9" i="5"/>
  <c r="B9" i="5"/>
  <c r="K8" i="5"/>
  <c r="C8" i="5"/>
  <c r="B8" i="5"/>
  <c r="K7" i="5"/>
  <c r="C7" i="5"/>
  <c r="B7" i="5"/>
  <c r="E7" i="5" s="1"/>
  <c r="K6" i="5"/>
  <c r="C6" i="5"/>
  <c r="B6" i="5"/>
  <c r="K5" i="5"/>
  <c r="C5" i="5"/>
  <c r="B5" i="5"/>
  <c r="K4" i="5"/>
  <c r="C4" i="5"/>
  <c r="B4" i="5"/>
  <c r="F33" i="4"/>
  <c r="E33" i="4"/>
  <c r="G33" i="4" s="1"/>
  <c r="G32" i="4"/>
  <c r="F32" i="4"/>
  <c r="E32" i="4"/>
  <c r="F31" i="4"/>
  <c r="E31" i="4"/>
  <c r="G31" i="4" s="1"/>
  <c r="G30" i="4"/>
  <c r="E30" i="4"/>
  <c r="F30" i="4" s="1"/>
  <c r="F29" i="4"/>
  <c r="E29" i="4"/>
  <c r="G29" i="4" s="1"/>
  <c r="G28" i="4"/>
  <c r="F28" i="4"/>
  <c r="E28" i="4"/>
  <c r="G27" i="4"/>
  <c r="E27" i="4"/>
  <c r="F27" i="4" s="1"/>
  <c r="G26" i="4"/>
  <c r="E26" i="4"/>
  <c r="F26" i="4" s="1"/>
  <c r="G25" i="4"/>
  <c r="F25" i="4"/>
  <c r="E25" i="4"/>
  <c r="E24" i="4"/>
  <c r="G24" i="4" s="1"/>
  <c r="E23" i="4"/>
  <c r="G23" i="4" s="1"/>
  <c r="F22" i="4"/>
  <c r="E22" i="4"/>
  <c r="G22" i="4" s="1"/>
  <c r="G21" i="4"/>
  <c r="F21" i="4"/>
  <c r="E21" i="4"/>
  <c r="F20" i="4"/>
  <c r="E20" i="4"/>
  <c r="G20" i="4" s="1"/>
  <c r="F19" i="4"/>
  <c r="E19" i="4"/>
  <c r="G19" i="4" s="1"/>
  <c r="F18" i="4"/>
  <c r="E18" i="4"/>
  <c r="G18" i="4" s="1"/>
  <c r="G17" i="4"/>
  <c r="F17" i="4"/>
  <c r="E17" i="4"/>
  <c r="G16" i="4"/>
  <c r="E16" i="4"/>
  <c r="F16" i="4" s="1"/>
  <c r="G15" i="4"/>
  <c r="E15" i="4"/>
  <c r="F15" i="4" s="1"/>
  <c r="G14" i="4"/>
  <c r="E14" i="4"/>
  <c r="F14" i="4" s="1"/>
  <c r="G13" i="4"/>
  <c r="F13" i="4"/>
  <c r="E13" i="4"/>
  <c r="G12" i="4"/>
  <c r="F12" i="4"/>
  <c r="E12" i="4"/>
  <c r="E11" i="4"/>
  <c r="G11" i="4" s="1"/>
  <c r="E10" i="4"/>
  <c r="G10" i="4" s="1"/>
  <c r="G9" i="4"/>
  <c r="F9" i="4"/>
  <c r="E9" i="4"/>
  <c r="G8" i="4"/>
  <c r="F8" i="4"/>
  <c r="E8" i="4"/>
  <c r="F7" i="4"/>
  <c r="E7" i="4"/>
  <c r="G7" i="4" s="1"/>
  <c r="G6" i="4"/>
  <c r="F6" i="4"/>
  <c r="E6" i="4"/>
  <c r="G5" i="4"/>
  <c r="E5" i="4"/>
  <c r="F5" i="4" s="1"/>
  <c r="G4" i="4"/>
  <c r="E4" i="4"/>
  <c r="F4" i="4" s="1"/>
  <c r="I1003" i="3"/>
  <c r="G1003" i="3"/>
  <c r="C1003" i="3"/>
  <c r="B1003" i="3"/>
  <c r="I1002" i="3"/>
  <c r="G1002" i="3"/>
  <c r="C1002" i="3"/>
  <c r="B1002" i="3"/>
  <c r="I1001" i="3"/>
  <c r="G1001" i="3"/>
  <c r="C1001" i="3"/>
  <c r="B1001" i="3"/>
  <c r="I1000" i="3"/>
  <c r="G1000" i="3"/>
  <c r="C1000" i="3"/>
  <c r="B1000" i="3"/>
  <c r="I999" i="3"/>
  <c r="G999" i="3"/>
  <c r="C999" i="3"/>
  <c r="B999" i="3"/>
  <c r="I998" i="3"/>
  <c r="G998" i="3"/>
  <c r="C998" i="3"/>
  <c r="B998" i="3"/>
  <c r="I997" i="3"/>
  <c r="G997" i="3"/>
  <c r="C997" i="3"/>
  <c r="B997" i="3"/>
  <c r="I996" i="3"/>
  <c r="G996" i="3"/>
  <c r="C996" i="3"/>
  <c r="B996" i="3"/>
  <c r="I995" i="3"/>
  <c r="G995" i="3"/>
  <c r="C995" i="3"/>
  <c r="B995" i="3"/>
  <c r="I994" i="3"/>
  <c r="G994" i="3"/>
  <c r="C994" i="3"/>
  <c r="B994" i="3"/>
  <c r="I993" i="3"/>
  <c r="G993" i="3"/>
  <c r="C993" i="3"/>
  <c r="B993" i="3"/>
  <c r="I992" i="3"/>
  <c r="G992" i="3"/>
  <c r="C992" i="3"/>
  <c r="B992" i="3"/>
  <c r="I991" i="3"/>
  <c r="G991" i="3"/>
  <c r="C991" i="3"/>
  <c r="B991" i="3"/>
  <c r="I990" i="3"/>
  <c r="G990" i="3"/>
  <c r="C990" i="3"/>
  <c r="B990" i="3"/>
  <c r="I989" i="3"/>
  <c r="G989" i="3"/>
  <c r="C989" i="3"/>
  <c r="B989" i="3"/>
  <c r="I988" i="3"/>
  <c r="G988" i="3"/>
  <c r="C988" i="3"/>
  <c r="B988" i="3"/>
  <c r="I987" i="3"/>
  <c r="G987" i="3"/>
  <c r="C987" i="3"/>
  <c r="B987" i="3"/>
  <c r="I986" i="3"/>
  <c r="G986" i="3"/>
  <c r="C986" i="3"/>
  <c r="B986" i="3"/>
  <c r="I985" i="3"/>
  <c r="G985" i="3"/>
  <c r="C985" i="3"/>
  <c r="B985" i="3"/>
  <c r="I984" i="3"/>
  <c r="G984" i="3"/>
  <c r="C984" i="3"/>
  <c r="B984" i="3"/>
  <c r="I983" i="3"/>
  <c r="G983" i="3"/>
  <c r="C983" i="3"/>
  <c r="B983" i="3"/>
  <c r="I982" i="3"/>
  <c r="G982" i="3"/>
  <c r="C982" i="3"/>
  <c r="B982" i="3"/>
  <c r="I981" i="3"/>
  <c r="G981" i="3"/>
  <c r="C981" i="3"/>
  <c r="B981" i="3"/>
  <c r="I980" i="3"/>
  <c r="G980" i="3"/>
  <c r="C980" i="3"/>
  <c r="B980" i="3"/>
  <c r="I979" i="3"/>
  <c r="G979" i="3"/>
  <c r="C979" i="3"/>
  <c r="B979" i="3"/>
  <c r="I978" i="3"/>
  <c r="G978" i="3"/>
  <c r="C978" i="3"/>
  <c r="B978" i="3"/>
  <c r="I977" i="3"/>
  <c r="G977" i="3"/>
  <c r="C977" i="3"/>
  <c r="B977" i="3"/>
  <c r="I976" i="3"/>
  <c r="G976" i="3"/>
  <c r="C976" i="3"/>
  <c r="B976" i="3"/>
  <c r="I975" i="3"/>
  <c r="G975" i="3"/>
  <c r="C975" i="3"/>
  <c r="B975" i="3"/>
  <c r="I974" i="3"/>
  <c r="G974" i="3"/>
  <c r="C974" i="3"/>
  <c r="B974" i="3"/>
  <c r="I973" i="3"/>
  <c r="G973" i="3"/>
  <c r="C973" i="3"/>
  <c r="B973" i="3"/>
  <c r="I972" i="3"/>
  <c r="G972" i="3"/>
  <c r="C972" i="3"/>
  <c r="B972" i="3"/>
  <c r="I971" i="3"/>
  <c r="G971" i="3"/>
  <c r="C971" i="3"/>
  <c r="B971" i="3"/>
  <c r="I970" i="3"/>
  <c r="G970" i="3"/>
  <c r="C970" i="3"/>
  <c r="B970" i="3"/>
  <c r="I969" i="3"/>
  <c r="G969" i="3"/>
  <c r="C969" i="3"/>
  <c r="B969" i="3"/>
  <c r="I968" i="3"/>
  <c r="G968" i="3"/>
  <c r="C968" i="3"/>
  <c r="B968" i="3"/>
  <c r="I967" i="3"/>
  <c r="G967" i="3"/>
  <c r="C967" i="3"/>
  <c r="B967" i="3"/>
  <c r="I966" i="3"/>
  <c r="G966" i="3"/>
  <c r="C966" i="3"/>
  <c r="B966" i="3"/>
  <c r="I965" i="3"/>
  <c r="G965" i="3"/>
  <c r="C965" i="3"/>
  <c r="B965" i="3"/>
  <c r="I964" i="3"/>
  <c r="G964" i="3"/>
  <c r="C964" i="3"/>
  <c r="B964" i="3"/>
  <c r="I963" i="3"/>
  <c r="G963" i="3"/>
  <c r="C963" i="3"/>
  <c r="B963" i="3"/>
  <c r="I962" i="3"/>
  <c r="G962" i="3"/>
  <c r="C962" i="3"/>
  <c r="B962" i="3"/>
  <c r="I961" i="3"/>
  <c r="G961" i="3"/>
  <c r="C961" i="3"/>
  <c r="B961" i="3"/>
  <c r="I960" i="3"/>
  <c r="G960" i="3"/>
  <c r="C960" i="3"/>
  <c r="B960" i="3"/>
  <c r="I959" i="3"/>
  <c r="G959" i="3"/>
  <c r="C959" i="3"/>
  <c r="B959" i="3"/>
  <c r="I958" i="3"/>
  <c r="G958" i="3"/>
  <c r="C958" i="3"/>
  <c r="B958" i="3"/>
  <c r="I957" i="3"/>
  <c r="G957" i="3"/>
  <c r="C957" i="3"/>
  <c r="B957" i="3"/>
  <c r="I956" i="3"/>
  <c r="G956" i="3"/>
  <c r="C956" i="3"/>
  <c r="B956" i="3"/>
  <c r="I955" i="3"/>
  <c r="G955" i="3"/>
  <c r="C955" i="3"/>
  <c r="B955" i="3"/>
  <c r="I954" i="3"/>
  <c r="G954" i="3"/>
  <c r="C954" i="3"/>
  <c r="B954" i="3"/>
  <c r="I953" i="3"/>
  <c r="G953" i="3"/>
  <c r="C953" i="3"/>
  <c r="B953" i="3"/>
  <c r="I952" i="3"/>
  <c r="G952" i="3"/>
  <c r="C952" i="3"/>
  <c r="B952" i="3"/>
  <c r="I951" i="3"/>
  <c r="G951" i="3"/>
  <c r="C951" i="3"/>
  <c r="B951" i="3"/>
  <c r="I950" i="3"/>
  <c r="G950" i="3"/>
  <c r="C950" i="3"/>
  <c r="B950" i="3"/>
  <c r="I949" i="3"/>
  <c r="G949" i="3"/>
  <c r="C949" i="3"/>
  <c r="B949" i="3"/>
  <c r="I948" i="3"/>
  <c r="G948" i="3"/>
  <c r="C948" i="3"/>
  <c r="B948" i="3"/>
  <c r="I947" i="3"/>
  <c r="G947" i="3"/>
  <c r="C947" i="3"/>
  <c r="B947" i="3"/>
  <c r="I946" i="3"/>
  <c r="G946" i="3"/>
  <c r="C946" i="3"/>
  <c r="B946" i="3"/>
  <c r="I945" i="3"/>
  <c r="G945" i="3"/>
  <c r="C945" i="3"/>
  <c r="B945" i="3"/>
  <c r="I944" i="3"/>
  <c r="G944" i="3"/>
  <c r="C944" i="3"/>
  <c r="B944" i="3"/>
  <c r="I943" i="3"/>
  <c r="G943" i="3"/>
  <c r="C943" i="3"/>
  <c r="B943" i="3"/>
  <c r="I942" i="3"/>
  <c r="G942" i="3"/>
  <c r="C942" i="3"/>
  <c r="B942" i="3"/>
  <c r="I941" i="3"/>
  <c r="G941" i="3"/>
  <c r="C941" i="3"/>
  <c r="B941" i="3"/>
  <c r="I940" i="3"/>
  <c r="G940" i="3"/>
  <c r="C940" i="3"/>
  <c r="B940" i="3"/>
  <c r="I939" i="3"/>
  <c r="G939" i="3"/>
  <c r="C939" i="3"/>
  <c r="B939" i="3"/>
  <c r="I938" i="3"/>
  <c r="G938" i="3"/>
  <c r="C938" i="3"/>
  <c r="B938" i="3"/>
  <c r="I937" i="3"/>
  <c r="G937" i="3"/>
  <c r="C937" i="3"/>
  <c r="B937" i="3"/>
  <c r="I936" i="3"/>
  <c r="G936" i="3"/>
  <c r="C936" i="3"/>
  <c r="B936" i="3"/>
  <c r="I935" i="3"/>
  <c r="G935" i="3"/>
  <c r="C935" i="3"/>
  <c r="B935" i="3"/>
  <c r="I934" i="3"/>
  <c r="G934" i="3"/>
  <c r="C934" i="3"/>
  <c r="B934" i="3"/>
  <c r="I933" i="3"/>
  <c r="G933" i="3"/>
  <c r="C933" i="3"/>
  <c r="B933" i="3"/>
  <c r="I932" i="3"/>
  <c r="G932" i="3"/>
  <c r="C932" i="3"/>
  <c r="B932" i="3"/>
  <c r="I931" i="3"/>
  <c r="G931" i="3"/>
  <c r="C931" i="3"/>
  <c r="B931" i="3"/>
  <c r="I930" i="3"/>
  <c r="G930" i="3"/>
  <c r="C930" i="3"/>
  <c r="B930" i="3"/>
  <c r="I929" i="3"/>
  <c r="G929" i="3"/>
  <c r="C929" i="3"/>
  <c r="B929" i="3"/>
  <c r="I928" i="3"/>
  <c r="G928" i="3"/>
  <c r="C928" i="3"/>
  <c r="B928" i="3"/>
  <c r="I927" i="3"/>
  <c r="G927" i="3"/>
  <c r="C927" i="3"/>
  <c r="B927" i="3"/>
  <c r="I926" i="3"/>
  <c r="G926" i="3"/>
  <c r="C926" i="3"/>
  <c r="B926" i="3"/>
  <c r="I925" i="3"/>
  <c r="G925" i="3"/>
  <c r="C925" i="3"/>
  <c r="B925" i="3"/>
  <c r="I924" i="3"/>
  <c r="G924" i="3"/>
  <c r="C924" i="3"/>
  <c r="B924" i="3"/>
  <c r="I923" i="3"/>
  <c r="G923" i="3"/>
  <c r="C923" i="3"/>
  <c r="B923" i="3"/>
  <c r="I922" i="3"/>
  <c r="G922" i="3"/>
  <c r="C922" i="3"/>
  <c r="B922" i="3"/>
  <c r="I921" i="3"/>
  <c r="G921" i="3"/>
  <c r="C921" i="3"/>
  <c r="B921" i="3"/>
  <c r="I920" i="3"/>
  <c r="G920" i="3"/>
  <c r="C920" i="3"/>
  <c r="B920" i="3"/>
  <c r="I919" i="3"/>
  <c r="G919" i="3"/>
  <c r="C919" i="3"/>
  <c r="B919" i="3"/>
  <c r="I918" i="3"/>
  <c r="G918" i="3"/>
  <c r="C918" i="3"/>
  <c r="B918" i="3"/>
  <c r="I917" i="3"/>
  <c r="G917" i="3"/>
  <c r="C917" i="3"/>
  <c r="B917" i="3"/>
  <c r="I916" i="3"/>
  <c r="G916" i="3"/>
  <c r="C916" i="3"/>
  <c r="B916" i="3"/>
  <c r="I915" i="3"/>
  <c r="G915" i="3"/>
  <c r="C915" i="3"/>
  <c r="B915" i="3"/>
  <c r="I914" i="3"/>
  <c r="G914" i="3"/>
  <c r="C914" i="3"/>
  <c r="B914" i="3"/>
  <c r="I913" i="3"/>
  <c r="G913" i="3"/>
  <c r="C913" i="3"/>
  <c r="B913" i="3"/>
  <c r="I912" i="3"/>
  <c r="G912" i="3"/>
  <c r="C912" i="3"/>
  <c r="B912" i="3"/>
  <c r="I911" i="3"/>
  <c r="G911" i="3"/>
  <c r="C911" i="3"/>
  <c r="B911" i="3"/>
  <c r="I910" i="3"/>
  <c r="G910" i="3"/>
  <c r="C910" i="3"/>
  <c r="B910" i="3"/>
  <c r="I909" i="3"/>
  <c r="G909" i="3"/>
  <c r="C909" i="3"/>
  <c r="B909" i="3"/>
  <c r="I908" i="3"/>
  <c r="G908" i="3"/>
  <c r="C908" i="3"/>
  <c r="B908" i="3"/>
  <c r="I907" i="3"/>
  <c r="G907" i="3"/>
  <c r="C907" i="3"/>
  <c r="B907" i="3"/>
  <c r="I906" i="3"/>
  <c r="G906" i="3"/>
  <c r="C906" i="3"/>
  <c r="B906" i="3"/>
  <c r="I905" i="3"/>
  <c r="G905" i="3"/>
  <c r="C905" i="3"/>
  <c r="B905" i="3"/>
  <c r="I904" i="3"/>
  <c r="G904" i="3"/>
  <c r="C904" i="3"/>
  <c r="B904" i="3"/>
  <c r="I903" i="3"/>
  <c r="G903" i="3"/>
  <c r="C903" i="3"/>
  <c r="B903" i="3"/>
  <c r="I902" i="3"/>
  <c r="G902" i="3"/>
  <c r="C902" i="3"/>
  <c r="B902" i="3"/>
  <c r="I901" i="3"/>
  <c r="G901" i="3"/>
  <c r="C901" i="3"/>
  <c r="B901" i="3"/>
  <c r="I900" i="3"/>
  <c r="G900" i="3"/>
  <c r="C900" i="3"/>
  <c r="B900" i="3"/>
  <c r="I899" i="3"/>
  <c r="G899" i="3"/>
  <c r="C899" i="3"/>
  <c r="B899" i="3"/>
  <c r="I898" i="3"/>
  <c r="G898" i="3"/>
  <c r="C898" i="3"/>
  <c r="B898" i="3"/>
  <c r="I897" i="3"/>
  <c r="G897" i="3"/>
  <c r="C897" i="3"/>
  <c r="B897" i="3"/>
  <c r="I896" i="3"/>
  <c r="G896" i="3"/>
  <c r="C896" i="3"/>
  <c r="B896" i="3"/>
  <c r="I895" i="3"/>
  <c r="G895" i="3"/>
  <c r="C895" i="3"/>
  <c r="B895" i="3"/>
  <c r="I894" i="3"/>
  <c r="G894" i="3"/>
  <c r="C894" i="3"/>
  <c r="B894" i="3"/>
  <c r="I893" i="3"/>
  <c r="G893" i="3"/>
  <c r="C893" i="3"/>
  <c r="B893" i="3"/>
  <c r="I892" i="3"/>
  <c r="G892" i="3"/>
  <c r="C892" i="3"/>
  <c r="B892" i="3"/>
  <c r="I891" i="3"/>
  <c r="G891" i="3"/>
  <c r="C891" i="3"/>
  <c r="B891" i="3"/>
  <c r="I890" i="3"/>
  <c r="G890" i="3"/>
  <c r="C890" i="3"/>
  <c r="B890" i="3"/>
  <c r="I889" i="3"/>
  <c r="G889" i="3"/>
  <c r="C889" i="3"/>
  <c r="B889" i="3"/>
  <c r="I888" i="3"/>
  <c r="G888" i="3"/>
  <c r="C888" i="3"/>
  <c r="B888" i="3"/>
  <c r="I887" i="3"/>
  <c r="G887" i="3"/>
  <c r="C887" i="3"/>
  <c r="B887" i="3"/>
  <c r="I886" i="3"/>
  <c r="G886" i="3"/>
  <c r="C886" i="3"/>
  <c r="B886" i="3"/>
  <c r="I885" i="3"/>
  <c r="G885" i="3"/>
  <c r="C885" i="3"/>
  <c r="B885" i="3"/>
  <c r="I884" i="3"/>
  <c r="G884" i="3"/>
  <c r="C884" i="3"/>
  <c r="B884" i="3"/>
  <c r="I883" i="3"/>
  <c r="G883" i="3"/>
  <c r="C883" i="3"/>
  <c r="B883" i="3"/>
  <c r="I882" i="3"/>
  <c r="G882" i="3"/>
  <c r="C882" i="3"/>
  <c r="B882" i="3"/>
  <c r="I881" i="3"/>
  <c r="G881" i="3"/>
  <c r="C881" i="3"/>
  <c r="B881" i="3"/>
  <c r="I880" i="3"/>
  <c r="G880" i="3"/>
  <c r="C880" i="3"/>
  <c r="B880" i="3"/>
  <c r="I879" i="3"/>
  <c r="G879" i="3"/>
  <c r="C879" i="3"/>
  <c r="B879" i="3"/>
  <c r="I878" i="3"/>
  <c r="G878" i="3"/>
  <c r="C878" i="3"/>
  <c r="B878" i="3"/>
  <c r="I877" i="3"/>
  <c r="G877" i="3"/>
  <c r="C877" i="3"/>
  <c r="B877" i="3"/>
  <c r="I876" i="3"/>
  <c r="G876" i="3"/>
  <c r="C876" i="3"/>
  <c r="B876" i="3"/>
  <c r="I875" i="3"/>
  <c r="G875" i="3"/>
  <c r="C875" i="3"/>
  <c r="B875" i="3"/>
  <c r="I874" i="3"/>
  <c r="G874" i="3"/>
  <c r="C874" i="3"/>
  <c r="B874" i="3"/>
  <c r="I873" i="3"/>
  <c r="G873" i="3"/>
  <c r="C873" i="3"/>
  <c r="B873" i="3"/>
  <c r="I872" i="3"/>
  <c r="G872" i="3"/>
  <c r="C872" i="3"/>
  <c r="B872" i="3"/>
  <c r="I871" i="3"/>
  <c r="G871" i="3"/>
  <c r="C871" i="3"/>
  <c r="B871" i="3"/>
  <c r="I870" i="3"/>
  <c r="G870" i="3"/>
  <c r="C870" i="3"/>
  <c r="B870" i="3"/>
  <c r="I869" i="3"/>
  <c r="G869" i="3"/>
  <c r="C869" i="3"/>
  <c r="B869" i="3"/>
  <c r="I868" i="3"/>
  <c r="G868" i="3"/>
  <c r="C868" i="3"/>
  <c r="B868" i="3"/>
  <c r="I867" i="3"/>
  <c r="G867" i="3"/>
  <c r="C867" i="3"/>
  <c r="B867" i="3"/>
  <c r="I866" i="3"/>
  <c r="G866" i="3"/>
  <c r="C866" i="3"/>
  <c r="B866" i="3"/>
  <c r="I865" i="3"/>
  <c r="G865" i="3"/>
  <c r="C865" i="3"/>
  <c r="B865" i="3"/>
  <c r="I864" i="3"/>
  <c r="G864" i="3"/>
  <c r="C864" i="3"/>
  <c r="B864" i="3"/>
  <c r="I863" i="3"/>
  <c r="G863" i="3"/>
  <c r="C863" i="3"/>
  <c r="B863" i="3"/>
  <c r="I862" i="3"/>
  <c r="G862" i="3"/>
  <c r="C862" i="3"/>
  <c r="B862" i="3"/>
  <c r="I861" i="3"/>
  <c r="G861" i="3"/>
  <c r="C861" i="3"/>
  <c r="B861" i="3"/>
  <c r="I860" i="3"/>
  <c r="G860" i="3"/>
  <c r="C860" i="3"/>
  <c r="B860" i="3"/>
  <c r="I859" i="3"/>
  <c r="G859" i="3"/>
  <c r="C859" i="3"/>
  <c r="B859" i="3"/>
  <c r="I858" i="3"/>
  <c r="G858" i="3"/>
  <c r="C858" i="3"/>
  <c r="B858" i="3"/>
  <c r="I857" i="3"/>
  <c r="G857" i="3"/>
  <c r="C857" i="3"/>
  <c r="B857" i="3"/>
  <c r="I856" i="3"/>
  <c r="G856" i="3"/>
  <c r="C856" i="3"/>
  <c r="B856" i="3"/>
  <c r="I855" i="3"/>
  <c r="G855" i="3"/>
  <c r="C855" i="3"/>
  <c r="B855" i="3"/>
  <c r="I854" i="3"/>
  <c r="G854" i="3"/>
  <c r="C854" i="3"/>
  <c r="B854" i="3"/>
  <c r="I853" i="3"/>
  <c r="G853" i="3"/>
  <c r="C853" i="3"/>
  <c r="B853" i="3"/>
  <c r="I852" i="3"/>
  <c r="G852" i="3"/>
  <c r="C852" i="3"/>
  <c r="B852" i="3"/>
  <c r="I851" i="3"/>
  <c r="G851" i="3"/>
  <c r="C851" i="3"/>
  <c r="B851" i="3"/>
  <c r="I850" i="3"/>
  <c r="G850" i="3"/>
  <c r="C850" i="3"/>
  <c r="B850" i="3"/>
  <c r="I849" i="3"/>
  <c r="G849" i="3"/>
  <c r="C849" i="3"/>
  <c r="B849" i="3"/>
  <c r="I848" i="3"/>
  <c r="G848" i="3"/>
  <c r="C848" i="3"/>
  <c r="B848" i="3"/>
  <c r="I847" i="3"/>
  <c r="G847" i="3"/>
  <c r="C847" i="3"/>
  <c r="B847" i="3"/>
  <c r="I846" i="3"/>
  <c r="G846" i="3"/>
  <c r="C846" i="3"/>
  <c r="B846" i="3"/>
  <c r="I845" i="3"/>
  <c r="G845" i="3"/>
  <c r="C845" i="3"/>
  <c r="B845" i="3"/>
  <c r="I844" i="3"/>
  <c r="G844" i="3"/>
  <c r="C844" i="3"/>
  <c r="B844" i="3"/>
  <c r="I843" i="3"/>
  <c r="G843" i="3"/>
  <c r="C843" i="3"/>
  <c r="B843" i="3"/>
  <c r="I842" i="3"/>
  <c r="G842" i="3"/>
  <c r="C842" i="3"/>
  <c r="B842" i="3"/>
  <c r="I841" i="3"/>
  <c r="G841" i="3"/>
  <c r="C841" i="3"/>
  <c r="B841" i="3"/>
  <c r="I840" i="3"/>
  <c r="G840" i="3"/>
  <c r="C840" i="3"/>
  <c r="B840" i="3"/>
  <c r="I839" i="3"/>
  <c r="G839" i="3"/>
  <c r="C839" i="3"/>
  <c r="B839" i="3"/>
  <c r="I838" i="3"/>
  <c r="G838" i="3"/>
  <c r="C838" i="3"/>
  <c r="B838" i="3"/>
  <c r="I837" i="3"/>
  <c r="G837" i="3"/>
  <c r="C837" i="3"/>
  <c r="B837" i="3"/>
  <c r="I836" i="3"/>
  <c r="G836" i="3"/>
  <c r="C836" i="3"/>
  <c r="B836" i="3"/>
  <c r="I835" i="3"/>
  <c r="G835" i="3"/>
  <c r="C835" i="3"/>
  <c r="B835" i="3"/>
  <c r="I834" i="3"/>
  <c r="G834" i="3"/>
  <c r="C834" i="3"/>
  <c r="B834" i="3"/>
  <c r="I833" i="3"/>
  <c r="G833" i="3"/>
  <c r="C833" i="3"/>
  <c r="B833" i="3"/>
  <c r="I832" i="3"/>
  <c r="G832" i="3"/>
  <c r="C832" i="3"/>
  <c r="B832" i="3"/>
  <c r="I831" i="3"/>
  <c r="G831" i="3"/>
  <c r="C831" i="3"/>
  <c r="B831" i="3"/>
  <c r="I830" i="3"/>
  <c r="G830" i="3"/>
  <c r="C830" i="3"/>
  <c r="B830" i="3"/>
  <c r="I829" i="3"/>
  <c r="G829" i="3"/>
  <c r="C829" i="3"/>
  <c r="B829" i="3"/>
  <c r="I828" i="3"/>
  <c r="G828" i="3"/>
  <c r="C828" i="3"/>
  <c r="B828" i="3"/>
  <c r="I827" i="3"/>
  <c r="G827" i="3"/>
  <c r="C827" i="3"/>
  <c r="B827" i="3"/>
  <c r="I826" i="3"/>
  <c r="G826" i="3"/>
  <c r="C826" i="3"/>
  <c r="B826" i="3"/>
  <c r="I825" i="3"/>
  <c r="G825" i="3"/>
  <c r="C825" i="3"/>
  <c r="B825" i="3"/>
  <c r="I824" i="3"/>
  <c r="G824" i="3"/>
  <c r="C824" i="3"/>
  <c r="B824" i="3"/>
  <c r="I823" i="3"/>
  <c r="G823" i="3"/>
  <c r="C823" i="3"/>
  <c r="B823" i="3"/>
  <c r="I822" i="3"/>
  <c r="G822" i="3"/>
  <c r="C822" i="3"/>
  <c r="B822" i="3"/>
  <c r="I821" i="3"/>
  <c r="G821" i="3"/>
  <c r="C821" i="3"/>
  <c r="B821" i="3"/>
  <c r="I820" i="3"/>
  <c r="G820" i="3"/>
  <c r="C820" i="3"/>
  <c r="B820" i="3"/>
  <c r="I819" i="3"/>
  <c r="G819" i="3"/>
  <c r="C819" i="3"/>
  <c r="B819" i="3"/>
  <c r="I818" i="3"/>
  <c r="G818" i="3"/>
  <c r="C818" i="3"/>
  <c r="B818" i="3"/>
  <c r="I817" i="3"/>
  <c r="G817" i="3"/>
  <c r="C817" i="3"/>
  <c r="B817" i="3"/>
  <c r="I816" i="3"/>
  <c r="G816" i="3"/>
  <c r="C816" i="3"/>
  <c r="B816" i="3"/>
  <c r="I815" i="3"/>
  <c r="G815" i="3"/>
  <c r="C815" i="3"/>
  <c r="B815" i="3"/>
  <c r="I814" i="3"/>
  <c r="G814" i="3"/>
  <c r="C814" i="3"/>
  <c r="B814" i="3"/>
  <c r="I813" i="3"/>
  <c r="G813" i="3"/>
  <c r="C813" i="3"/>
  <c r="B813" i="3"/>
  <c r="I812" i="3"/>
  <c r="G812" i="3"/>
  <c r="C812" i="3"/>
  <c r="B812" i="3"/>
  <c r="I811" i="3"/>
  <c r="G811" i="3"/>
  <c r="C811" i="3"/>
  <c r="B811" i="3"/>
  <c r="I810" i="3"/>
  <c r="G810" i="3"/>
  <c r="C810" i="3"/>
  <c r="B810" i="3"/>
  <c r="I809" i="3"/>
  <c r="G809" i="3"/>
  <c r="C809" i="3"/>
  <c r="B809" i="3"/>
  <c r="I808" i="3"/>
  <c r="G808" i="3"/>
  <c r="C808" i="3"/>
  <c r="B808" i="3"/>
  <c r="I807" i="3"/>
  <c r="G807" i="3"/>
  <c r="C807" i="3"/>
  <c r="B807" i="3"/>
  <c r="I806" i="3"/>
  <c r="G806" i="3"/>
  <c r="C806" i="3"/>
  <c r="B806" i="3"/>
  <c r="I805" i="3"/>
  <c r="G805" i="3"/>
  <c r="C805" i="3"/>
  <c r="B805" i="3"/>
  <c r="I804" i="3"/>
  <c r="G804" i="3"/>
  <c r="C804" i="3"/>
  <c r="B804" i="3"/>
  <c r="I803" i="3"/>
  <c r="G803" i="3"/>
  <c r="C803" i="3"/>
  <c r="B803" i="3"/>
  <c r="I802" i="3"/>
  <c r="G802" i="3"/>
  <c r="C802" i="3"/>
  <c r="B802" i="3"/>
  <c r="I801" i="3"/>
  <c r="G801" i="3"/>
  <c r="C801" i="3"/>
  <c r="B801" i="3"/>
  <c r="I800" i="3"/>
  <c r="G800" i="3"/>
  <c r="C800" i="3"/>
  <c r="B800" i="3"/>
  <c r="I799" i="3"/>
  <c r="G799" i="3"/>
  <c r="C799" i="3"/>
  <c r="B799" i="3"/>
  <c r="I798" i="3"/>
  <c r="G798" i="3"/>
  <c r="C798" i="3"/>
  <c r="B798" i="3"/>
  <c r="I797" i="3"/>
  <c r="G797" i="3"/>
  <c r="C797" i="3"/>
  <c r="B797" i="3"/>
  <c r="I796" i="3"/>
  <c r="G796" i="3"/>
  <c r="C796" i="3"/>
  <c r="B796" i="3"/>
  <c r="I795" i="3"/>
  <c r="G795" i="3"/>
  <c r="C795" i="3"/>
  <c r="B795" i="3"/>
  <c r="I794" i="3"/>
  <c r="G794" i="3"/>
  <c r="C794" i="3"/>
  <c r="B794" i="3"/>
  <c r="I793" i="3"/>
  <c r="G793" i="3"/>
  <c r="C793" i="3"/>
  <c r="B793" i="3"/>
  <c r="I792" i="3"/>
  <c r="G792" i="3"/>
  <c r="C792" i="3"/>
  <c r="B792" i="3"/>
  <c r="I791" i="3"/>
  <c r="G791" i="3"/>
  <c r="C791" i="3"/>
  <c r="B791" i="3"/>
  <c r="I790" i="3"/>
  <c r="G790" i="3"/>
  <c r="C790" i="3"/>
  <c r="B790" i="3"/>
  <c r="I789" i="3"/>
  <c r="G789" i="3"/>
  <c r="C789" i="3"/>
  <c r="B789" i="3"/>
  <c r="I788" i="3"/>
  <c r="G788" i="3"/>
  <c r="C788" i="3"/>
  <c r="B788" i="3"/>
  <c r="I787" i="3"/>
  <c r="G787" i="3"/>
  <c r="C787" i="3"/>
  <c r="B787" i="3"/>
  <c r="I786" i="3"/>
  <c r="G786" i="3"/>
  <c r="C786" i="3"/>
  <c r="B786" i="3"/>
  <c r="I785" i="3"/>
  <c r="G785" i="3"/>
  <c r="C785" i="3"/>
  <c r="B785" i="3"/>
  <c r="I784" i="3"/>
  <c r="G784" i="3"/>
  <c r="C784" i="3"/>
  <c r="B784" i="3"/>
  <c r="I783" i="3"/>
  <c r="G783" i="3"/>
  <c r="C783" i="3"/>
  <c r="B783" i="3"/>
  <c r="I782" i="3"/>
  <c r="G782" i="3"/>
  <c r="C782" i="3"/>
  <c r="B782" i="3"/>
  <c r="I781" i="3"/>
  <c r="G781" i="3"/>
  <c r="C781" i="3"/>
  <c r="B781" i="3"/>
  <c r="I780" i="3"/>
  <c r="G780" i="3"/>
  <c r="C780" i="3"/>
  <c r="B780" i="3"/>
  <c r="I779" i="3"/>
  <c r="G779" i="3"/>
  <c r="C779" i="3"/>
  <c r="B779" i="3"/>
  <c r="I778" i="3"/>
  <c r="G778" i="3"/>
  <c r="C778" i="3"/>
  <c r="B778" i="3"/>
  <c r="I777" i="3"/>
  <c r="G777" i="3"/>
  <c r="C777" i="3"/>
  <c r="B777" i="3"/>
  <c r="I776" i="3"/>
  <c r="G776" i="3"/>
  <c r="C776" i="3"/>
  <c r="B776" i="3"/>
  <c r="I775" i="3"/>
  <c r="G775" i="3"/>
  <c r="C775" i="3"/>
  <c r="B775" i="3"/>
  <c r="I774" i="3"/>
  <c r="G774" i="3"/>
  <c r="C774" i="3"/>
  <c r="B774" i="3"/>
  <c r="I773" i="3"/>
  <c r="G773" i="3"/>
  <c r="C773" i="3"/>
  <c r="B773" i="3"/>
  <c r="I772" i="3"/>
  <c r="G772" i="3"/>
  <c r="C772" i="3"/>
  <c r="B772" i="3"/>
  <c r="I771" i="3"/>
  <c r="G771" i="3"/>
  <c r="C771" i="3"/>
  <c r="B771" i="3"/>
  <c r="I770" i="3"/>
  <c r="G770" i="3"/>
  <c r="C770" i="3"/>
  <c r="B770" i="3"/>
  <c r="I769" i="3"/>
  <c r="G769" i="3"/>
  <c r="C769" i="3"/>
  <c r="B769" i="3"/>
  <c r="I768" i="3"/>
  <c r="G768" i="3"/>
  <c r="C768" i="3"/>
  <c r="B768" i="3"/>
  <c r="I767" i="3"/>
  <c r="G767" i="3"/>
  <c r="C767" i="3"/>
  <c r="B767" i="3"/>
  <c r="I766" i="3"/>
  <c r="G766" i="3"/>
  <c r="C766" i="3"/>
  <c r="B766" i="3"/>
  <c r="I765" i="3"/>
  <c r="G765" i="3"/>
  <c r="C765" i="3"/>
  <c r="B765" i="3"/>
  <c r="I764" i="3"/>
  <c r="G764" i="3"/>
  <c r="C764" i="3"/>
  <c r="B764" i="3"/>
  <c r="I763" i="3"/>
  <c r="G763" i="3"/>
  <c r="C763" i="3"/>
  <c r="B763" i="3"/>
  <c r="I762" i="3"/>
  <c r="G762" i="3"/>
  <c r="C762" i="3"/>
  <c r="B762" i="3"/>
  <c r="I761" i="3"/>
  <c r="G761" i="3"/>
  <c r="C761" i="3"/>
  <c r="B761" i="3"/>
  <c r="I760" i="3"/>
  <c r="G760" i="3"/>
  <c r="C760" i="3"/>
  <c r="B760" i="3"/>
  <c r="I759" i="3"/>
  <c r="G759" i="3"/>
  <c r="C759" i="3"/>
  <c r="B759" i="3"/>
  <c r="I758" i="3"/>
  <c r="G758" i="3"/>
  <c r="C758" i="3"/>
  <c r="B758" i="3"/>
  <c r="I757" i="3"/>
  <c r="G757" i="3"/>
  <c r="C757" i="3"/>
  <c r="B757" i="3"/>
  <c r="I756" i="3"/>
  <c r="G756" i="3"/>
  <c r="C756" i="3"/>
  <c r="B756" i="3"/>
  <c r="I755" i="3"/>
  <c r="G755" i="3"/>
  <c r="C755" i="3"/>
  <c r="B755" i="3"/>
  <c r="I754" i="3"/>
  <c r="G754" i="3"/>
  <c r="C754" i="3"/>
  <c r="B754" i="3"/>
  <c r="I753" i="3"/>
  <c r="G753" i="3"/>
  <c r="C753" i="3"/>
  <c r="B753" i="3"/>
  <c r="I752" i="3"/>
  <c r="G752" i="3"/>
  <c r="C752" i="3"/>
  <c r="B752" i="3"/>
  <c r="I751" i="3"/>
  <c r="G751" i="3"/>
  <c r="C751" i="3"/>
  <c r="B751" i="3"/>
  <c r="I750" i="3"/>
  <c r="G750" i="3"/>
  <c r="C750" i="3"/>
  <c r="B750" i="3"/>
  <c r="I749" i="3"/>
  <c r="G749" i="3"/>
  <c r="C749" i="3"/>
  <c r="B749" i="3"/>
  <c r="I748" i="3"/>
  <c r="G748" i="3"/>
  <c r="C748" i="3"/>
  <c r="B748" i="3"/>
  <c r="I747" i="3"/>
  <c r="G747" i="3"/>
  <c r="C747" i="3"/>
  <c r="B747" i="3"/>
  <c r="I746" i="3"/>
  <c r="G746" i="3"/>
  <c r="C746" i="3"/>
  <c r="B746" i="3"/>
  <c r="I745" i="3"/>
  <c r="G745" i="3"/>
  <c r="C745" i="3"/>
  <c r="B745" i="3"/>
  <c r="I744" i="3"/>
  <c r="G744" i="3"/>
  <c r="C744" i="3"/>
  <c r="B744" i="3"/>
  <c r="I743" i="3"/>
  <c r="G743" i="3"/>
  <c r="C743" i="3"/>
  <c r="B743" i="3"/>
  <c r="I742" i="3"/>
  <c r="G742" i="3"/>
  <c r="C742" i="3"/>
  <c r="B742" i="3"/>
  <c r="I741" i="3"/>
  <c r="G741" i="3"/>
  <c r="C741" i="3"/>
  <c r="B741" i="3"/>
  <c r="I740" i="3"/>
  <c r="G740" i="3"/>
  <c r="C740" i="3"/>
  <c r="B740" i="3"/>
  <c r="I739" i="3"/>
  <c r="G739" i="3"/>
  <c r="C739" i="3"/>
  <c r="B739" i="3"/>
  <c r="I738" i="3"/>
  <c r="G738" i="3"/>
  <c r="C738" i="3"/>
  <c r="B738" i="3"/>
  <c r="I737" i="3"/>
  <c r="G737" i="3"/>
  <c r="C737" i="3"/>
  <c r="B737" i="3"/>
  <c r="I736" i="3"/>
  <c r="G736" i="3"/>
  <c r="C736" i="3"/>
  <c r="B736" i="3"/>
  <c r="I735" i="3"/>
  <c r="G735" i="3"/>
  <c r="C735" i="3"/>
  <c r="B735" i="3"/>
  <c r="I734" i="3"/>
  <c r="G734" i="3"/>
  <c r="C734" i="3"/>
  <c r="B734" i="3"/>
  <c r="I733" i="3"/>
  <c r="G733" i="3"/>
  <c r="C733" i="3"/>
  <c r="B733" i="3"/>
  <c r="I732" i="3"/>
  <c r="G732" i="3"/>
  <c r="C732" i="3"/>
  <c r="B732" i="3"/>
  <c r="I731" i="3"/>
  <c r="G731" i="3"/>
  <c r="C731" i="3"/>
  <c r="B731" i="3"/>
  <c r="I730" i="3"/>
  <c r="G730" i="3"/>
  <c r="C730" i="3"/>
  <c r="B730" i="3"/>
  <c r="I729" i="3"/>
  <c r="G729" i="3"/>
  <c r="C729" i="3"/>
  <c r="B729" i="3"/>
  <c r="I728" i="3"/>
  <c r="G728" i="3"/>
  <c r="C728" i="3"/>
  <c r="B728" i="3"/>
  <c r="I727" i="3"/>
  <c r="G727" i="3"/>
  <c r="C727" i="3"/>
  <c r="B727" i="3"/>
  <c r="I726" i="3"/>
  <c r="G726" i="3"/>
  <c r="C726" i="3"/>
  <c r="B726" i="3"/>
  <c r="I725" i="3"/>
  <c r="G725" i="3"/>
  <c r="C725" i="3"/>
  <c r="B725" i="3"/>
  <c r="I724" i="3"/>
  <c r="G724" i="3"/>
  <c r="C724" i="3"/>
  <c r="B724" i="3"/>
  <c r="I723" i="3"/>
  <c r="G723" i="3"/>
  <c r="C723" i="3"/>
  <c r="B723" i="3"/>
  <c r="I722" i="3"/>
  <c r="G722" i="3"/>
  <c r="C722" i="3"/>
  <c r="B722" i="3"/>
  <c r="I721" i="3"/>
  <c r="G721" i="3"/>
  <c r="C721" i="3"/>
  <c r="B721" i="3"/>
  <c r="I720" i="3"/>
  <c r="G720" i="3"/>
  <c r="C720" i="3"/>
  <c r="B720" i="3"/>
  <c r="I719" i="3"/>
  <c r="G719" i="3"/>
  <c r="C719" i="3"/>
  <c r="B719" i="3"/>
  <c r="I718" i="3"/>
  <c r="G718" i="3"/>
  <c r="C718" i="3"/>
  <c r="B718" i="3"/>
  <c r="I717" i="3"/>
  <c r="G717" i="3"/>
  <c r="C717" i="3"/>
  <c r="B717" i="3"/>
  <c r="I716" i="3"/>
  <c r="G716" i="3"/>
  <c r="C716" i="3"/>
  <c r="B716" i="3"/>
  <c r="I715" i="3"/>
  <c r="G715" i="3"/>
  <c r="C715" i="3"/>
  <c r="B715" i="3"/>
  <c r="I714" i="3"/>
  <c r="G714" i="3"/>
  <c r="C714" i="3"/>
  <c r="B714" i="3"/>
  <c r="I713" i="3"/>
  <c r="G713" i="3"/>
  <c r="C713" i="3"/>
  <c r="B713" i="3"/>
  <c r="I712" i="3"/>
  <c r="G712" i="3"/>
  <c r="C712" i="3"/>
  <c r="B712" i="3"/>
  <c r="I711" i="3"/>
  <c r="G711" i="3"/>
  <c r="C711" i="3"/>
  <c r="B711" i="3"/>
  <c r="I710" i="3"/>
  <c r="G710" i="3"/>
  <c r="C710" i="3"/>
  <c r="B710" i="3"/>
  <c r="I709" i="3"/>
  <c r="G709" i="3"/>
  <c r="C709" i="3"/>
  <c r="B709" i="3"/>
  <c r="I708" i="3"/>
  <c r="G708" i="3"/>
  <c r="C708" i="3"/>
  <c r="B708" i="3"/>
  <c r="I707" i="3"/>
  <c r="G707" i="3"/>
  <c r="C707" i="3"/>
  <c r="B707" i="3"/>
  <c r="I706" i="3"/>
  <c r="G706" i="3"/>
  <c r="C706" i="3"/>
  <c r="B706" i="3"/>
  <c r="I705" i="3"/>
  <c r="G705" i="3"/>
  <c r="C705" i="3"/>
  <c r="B705" i="3"/>
  <c r="I704" i="3"/>
  <c r="G704" i="3"/>
  <c r="C704" i="3"/>
  <c r="B704" i="3"/>
  <c r="I703" i="3"/>
  <c r="G703" i="3"/>
  <c r="C703" i="3"/>
  <c r="B703" i="3"/>
  <c r="I702" i="3"/>
  <c r="G702" i="3"/>
  <c r="C702" i="3"/>
  <c r="B702" i="3"/>
  <c r="I701" i="3"/>
  <c r="G701" i="3"/>
  <c r="C701" i="3"/>
  <c r="B701" i="3"/>
  <c r="I700" i="3"/>
  <c r="G700" i="3"/>
  <c r="C700" i="3"/>
  <c r="B700" i="3"/>
  <c r="I699" i="3"/>
  <c r="G699" i="3"/>
  <c r="C699" i="3"/>
  <c r="B699" i="3"/>
  <c r="I698" i="3"/>
  <c r="G698" i="3"/>
  <c r="C698" i="3"/>
  <c r="B698" i="3"/>
  <c r="I697" i="3"/>
  <c r="G697" i="3"/>
  <c r="C697" i="3"/>
  <c r="B697" i="3"/>
  <c r="I696" i="3"/>
  <c r="G696" i="3"/>
  <c r="C696" i="3"/>
  <c r="B696" i="3"/>
  <c r="I695" i="3"/>
  <c r="G695" i="3"/>
  <c r="C695" i="3"/>
  <c r="B695" i="3"/>
  <c r="I694" i="3"/>
  <c r="G694" i="3"/>
  <c r="C694" i="3"/>
  <c r="B694" i="3"/>
  <c r="I693" i="3"/>
  <c r="G693" i="3"/>
  <c r="C693" i="3"/>
  <c r="B693" i="3"/>
  <c r="I692" i="3"/>
  <c r="G692" i="3"/>
  <c r="C692" i="3"/>
  <c r="B692" i="3"/>
  <c r="I691" i="3"/>
  <c r="G691" i="3"/>
  <c r="C691" i="3"/>
  <c r="B691" i="3"/>
  <c r="I690" i="3"/>
  <c r="G690" i="3"/>
  <c r="C690" i="3"/>
  <c r="B690" i="3"/>
  <c r="I689" i="3"/>
  <c r="G689" i="3"/>
  <c r="C689" i="3"/>
  <c r="B689" i="3"/>
  <c r="I688" i="3"/>
  <c r="G688" i="3"/>
  <c r="C688" i="3"/>
  <c r="B688" i="3"/>
  <c r="I687" i="3"/>
  <c r="G687" i="3"/>
  <c r="C687" i="3"/>
  <c r="B687" i="3"/>
  <c r="I686" i="3"/>
  <c r="G686" i="3"/>
  <c r="C686" i="3"/>
  <c r="B686" i="3"/>
  <c r="I685" i="3"/>
  <c r="G685" i="3"/>
  <c r="C685" i="3"/>
  <c r="B685" i="3"/>
  <c r="I684" i="3"/>
  <c r="G684" i="3"/>
  <c r="C684" i="3"/>
  <c r="B684" i="3"/>
  <c r="I683" i="3"/>
  <c r="G683" i="3"/>
  <c r="C683" i="3"/>
  <c r="B683" i="3"/>
  <c r="I682" i="3"/>
  <c r="G682" i="3"/>
  <c r="C682" i="3"/>
  <c r="B682" i="3"/>
  <c r="I681" i="3"/>
  <c r="G681" i="3"/>
  <c r="C681" i="3"/>
  <c r="B681" i="3"/>
  <c r="I680" i="3"/>
  <c r="G680" i="3"/>
  <c r="C680" i="3"/>
  <c r="B680" i="3"/>
  <c r="I679" i="3"/>
  <c r="G679" i="3"/>
  <c r="C679" i="3"/>
  <c r="B679" i="3"/>
  <c r="I678" i="3"/>
  <c r="G678" i="3"/>
  <c r="C678" i="3"/>
  <c r="B678" i="3"/>
  <c r="I677" i="3"/>
  <c r="G677" i="3"/>
  <c r="C677" i="3"/>
  <c r="B677" i="3"/>
  <c r="I676" i="3"/>
  <c r="G676" i="3"/>
  <c r="C676" i="3"/>
  <c r="B676" i="3"/>
  <c r="I675" i="3"/>
  <c r="G675" i="3"/>
  <c r="C675" i="3"/>
  <c r="B675" i="3"/>
  <c r="I674" i="3"/>
  <c r="G674" i="3"/>
  <c r="C674" i="3"/>
  <c r="B674" i="3"/>
  <c r="I673" i="3"/>
  <c r="G673" i="3"/>
  <c r="C673" i="3"/>
  <c r="B673" i="3"/>
  <c r="I672" i="3"/>
  <c r="G672" i="3"/>
  <c r="C672" i="3"/>
  <c r="B672" i="3"/>
  <c r="I671" i="3"/>
  <c r="G671" i="3"/>
  <c r="C671" i="3"/>
  <c r="B671" i="3"/>
  <c r="I670" i="3"/>
  <c r="G670" i="3"/>
  <c r="C670" i="3"/>
  <c r="B670" i="3"/>
  <c r="I669" i="3"/>
  <c r="G669" i="3"/>
  <c r="C669" i="3"/>
  <c r="B669" i="3"/>
  <c r="I668" i="3"/>
  <c r="G668" i="3"/>
  <c r="C668" i="3"/>
  <c r="B668" i="3"/>
  <c r="I667" i="3"/>
  <c r="G667" i="3"/>
  <c r="C667" i="3"/>
  <c r="B667" i="3"/>
  <c r="I666" i="3"/>
  <c r="G666" i="3"/>
  <c r="C666" i="3"/>
  <c r="B666" i="3"/>
  <c r="I665" i="3"/>
  <c r="G665" i="3"/>
  <c r="C665" i="3"/>
  <c r="B665" i="3"/>
  <c r="I664" i="3"/>
  <c r="G664" i="3"/>
  <c r="C664" i="3"/>
  <c r="B664" i="3"/>
  <c r="I663" i="3"/>
  <c r="G663" i="3"/>
  <c r="C663" i="3"/>
  <c r="B663" i="3"/>
  <c r="I662" i="3"/>
  <c r="G662" i="3"/>
  <c r="C662" i="3"/>
  <c r="B662" i="3"/>
  <c r="I661" i="3"/>
  <c r="G661" i="3"/>
  <c r="C661" i="3"/>
  <c r="B661" i="3"/>
  <c r="I660" i="3"/>
  <c r="G660" i="3"/>
  <c r="C660" i="3"/>
  <c r="B660" i="3"/>
  <c r="I659" i="3"/>
  <c r="G659" i="3"/>
  <c r="C659" i="3"/>
  <c r="B659" i="3"/>
  <c r="I658" i="3"/>
  <c r="G658" i="3"/>
  <c r="C658" i="3"/>
  <c r="B658" i="3"/>
  <c r="I657" i="3"/>
  <c r="G657" i="3"/>
  <c r="C657" i="3"/>
  <c r="B657" i="3"/>
  <c r="I656" i="3"/>
  <c r="G656" i="3"/>
  <c r="C656" i="3"/>
  <c r="B656" i="3"/>
  <c r="I655" i="3"/>
  <c r="G655" i="3"/>
  <c r="C655" i="3"/>
  <c r="B655" i="3"/>
  <c r="I654" i="3"/>
  <c r="G654" i="3"/>
  <c r="C654" i="3"/>
  <c r="B654" i="3"/>
  <c r="I653" i="3"/>
  <c r="G653" i="3"/>
  <c r="C653" i="3"/>
  <c r="B653" i="3"/>
  <c r="I652" i="3"/>
  <c r="G652" i="3"/>
  <c r="C652" i="3"/>
  <c r="B652" i="3"/>
  <c r="I651" i="3"/>
  <c r="G651" i="3"/>
  <c r="C651" i="3"/>
  <c r="B651" i="3"/>
  <c r="I650" i="3"/>
  <c r="G650" i="3"/>
  <c r="C650" i="3"/>
  <c r="B650" i="3"/>
  <c r="I649" i="3"/>
  <c r="G649" i="3"/>
  <c r="C649" i="3"/>
  <c r="B649" i="3"/>
  <c r="I648" i="3"/>
  <c r="G648" i="3"/>
  <c r="C648" i="3"/>
  <c r="B648" i="3"/>
  <c r="I647" i="3"/>
  <c r="G647" i="3"/>
  <c r="C647" i="3"/>
  <c r="B647" i="3"/>
  <c r="I646" i="3"/>
  <c r="G646" i="3"/>
  <c r="C646" i="3"/>
  <c r="B646" i="3"/>
  <c r="I645" i="3"/>
  <c r="G645" i="3"/>
  <c r="C645" i="3"/>
  <c r="B645" i="3"/>
  <c r="I644" i="3"/>
  <c r="G644" i="3"/>
  <c r="C644" i="3"/>
  <c r="B644" i="3"/>
  <c r="I643" i="3"/>
  <c r="G643" i="3"/>
  <c r="C643" i="3"/>
  <c r="B643" i="3"/>
  <c r="I642" i="3"/>
  <c r="G642" i="3"/>
  <c r="C642" i="3"/>
  <c r="B642" i="3"/>
  <c r="I641" i="3"/>
  <c r="G641" i="3"/>
  <c r="C641" i="3"/>
  <c r="B641" i="3"/>
  <c r="I640" i="3"/>
  <c r="G640" i="3"/>
  <c r="C640" i="3"/>
  <c r="B640" i="3"/>
  <c r="I639" i="3"/>
  <c r="G639" i="3"/>
  <c r="C639" i="3"/>
  <c r="B639" i="3"/>
  <c r="I638" i="3"/>
  <c r="G638" i="3"/>
  <c r="C638" i="3"/>
  <c r="B638" i="3"/>
  <c r="I637" i="3"/>
  <c r="G637" i="3"/>
  <c r="C637" i="3"/>
  <c r="B637" i="3"/>
  <c r="I636" i="3"/>
  <c r="G636" i="3"/>
  <c r="C636" i="3"/>
  <c r="B636" i="3"/>
  <c r="I635" i="3"/>
  <c r="G635" i="3"/>
  <c r="C635" i="3"/>
  <c r="B635" i="3"/>
  <c r="I634" i="3"/>
  <c r="G634" i="3"/>
  <c r="C634" i="3"/>
  <c r="B634" i="3"/>
  <c r="I633" i="3"/>
  <c r="G633" i="3"/>
  <c r="C633" i="3"/>
  <c r="B633" i="3"/>
  <c r="I632" i="3"/>
  <c r="G632" i="3"/>
  <c r="C632" i="3"/>
  <c r="B632" i="3"/>
  <c r="I631" i="3"/>
  <c r="G631" i="3"/>
  <c r="C631" i="3"/>
  <c r="B631" i="3"/>
  <c r="I630" i="3"/>
  <c r="G630" i="3"/>
  <c r="C630" i="3"/>
  <c r="B630" i="3"/>
  <c r="I629" i="3"/>
  <c r="G629" i="3"/>
  <c r="C629" i="3"/>
  <c r="B629" i="3"/>
  <c r="I628" i="3"/>
  <c r="G628" i="3"/>
  <c r="C628" i="3"/>
  <c r="B628" i="3"/>
  <c r="I627" i="3"/>
  <c r="G627" i="3"/>
  <c r="C627" i="3"/>
  <c r="B627" i="3"/>
  <c r="I626" i="3"/>
  <c r="G626" i="3"/>
  <c r="C626" i="3"/>
  <c r="B626" i="3"/>
  <c r="I625" i="3"/>
  <c r="G625" i="3"/>
  <c r="C625" i="3"/>
  <c r="B625" i="3"/>
  <c r="I624" i="3"/>
  <c r="G624" i="3"/>
  <c r="C624" i="3"/>
  <c r="B624" i="3"/>
  <c r="I623" i="3"/>
  <c r="G623" i="3"/>
  <c r="C623" i="3"/>
  <c r="B623" i="3"/>
  <c r="I622" i="3"/>
  <c r="G622" i="3"/>
  <c r="C622" i="3"/>
  <c r="B622" i="3"/>
  <c r="I621" i="3"/>
  <c r="G621" i="3"/>
  <c r="C621" i="3"/>
  <c r="B621" i="3"/>
  <c r="I620" i="3"/>
  <c r="G620" i="3"/>
  <c r="C620" i="3"/>
  <c r="B620" i="3"/>
  <c r="I619" i="3"/>
  <c r="G619" i="3"/>
  <c r="C619" i="3"/>
  <c r="B619" i="3"/>
  <c r="I618" i="3"/>
  <c r="G618" i="3"/>
  <c r="C618" i="3"/>
  <c r="B618" i="3"/>
  <c r="I617" i="3"/>
  <c r="G617" i="3"/>
  <c r="C617" i="3"/>
  <c r="B617" i="3"/>
  <c r="I616" i="3"/>
  <c r="G616" i="3"/>
  <c r="C616" i="3"/>
  <c r="B616" i="3"/>
  <c r="I615" i="3"/>
  <c r="G615" i="3"/>
  <c r="C615" i="3"/>
  <c r="B615" i="3"/>
  <c r="I614" i="3"/>
  <c r="G614" i="3"/>
  <c r="C614" i="3"/>
  <c r="B614" i="3"/>
  <c r="I613" i="3"/>
  <c r="G613" i="3"/>
  <c r="C613" i="3"/>
  <c r="B613" i="3"/>
  <c r="I612" i="3"/>
  <c r="G612" i="3"/>
  <c r="C612" i="3"/>
  <c r="B612" i="3"/>
  <c r="I611" i="3"/>
  <c r="G611" i="3"/>
  <c r="C611" i="3"/>
  <c r="B611" i="3"/>
  <c r="I610" i="3"/>
  <c r="G610" i="3"/>
  <c r="C610" i="3"/>
  <c r="B610" i="3"/>
  <c r="I609" i="3"/>
  <c r="G609" i="3"/>
  <c r="C609" i="3"/>
  <c r="B609" i="3"/>
  <c r="I608" i="3"/>
  <c r="G608" i="3"/>
  <c r="C608" i="3"/>
  <c r="B608" i="3"/>
  <c r="I607" i="3"/>
  <c r="G607" i="3"/>
  <c r="C607" i="3"/>
  <c r="B607" i="3"/>
  <c r="I606" i="3"/>
  <c r="G606" i="3"/>
  <c r="C606" i="3"/>
  <c r="B606" i="3"/>
  <c r="I605" i="3"/>
  <c r="G605" i="3"/>
  <c r="C605" i="3"/>
  <c r="B605" i="3"/>
  <c r="I604" i="3"/>
  <c r="G604" i="3"/>
  <c r="C604" i="3"/>
  <c r="B604" i="3"/>
  <c r="I603" i="3"/>
  <c r="G603" i="3"/>
  <c r="C603" i="3"/>
  <c r="B603" i="3"/>
  <c r="I602" i="3"/>
  <c r="G602" i="3"/>
  <c r="C602" i="3"/>
  <c r="B602" i="3"/>
  <c r="I601" i="3"/>
  <c r="G601" i="3"/>
  <c r="C601" i="3"/>
  <c r="B601" i="3"/>
  <c r="I600" i="3"/>
  <c r="G600" i="3"/>
  <c r="C600" i="3"/>
  <c r="B600" i="3"/>
  <c r="I599" i="3"/>
  <c r="G599" i="3"/>
  <c r="C599" i="3"/>
  <c r="B599" i="3"/>
  <c r="I598" i="3"/>
  <c r="G598" i="3"/>
  <c r="C598" i="3"/>
  <c r="B598" i="3"/>
  <c r="I597" i="3"/>
  <c r="G597" i="3"/>
  <c r="C597" i="3"/>
  <c r="B597" i="3"/>
  <c r="I596" i="3"/>
  <c r="G596" i="3"/>
  <c r="C596" i="3"/>
  <c r="B596" i="3"/>
  <c r="I595" i="3"/>
  <c r="G595" i="3"/>
  <c r="C595" i="3"/>
  <c r="B595" i="3"/>
  <c r="I594" i="3"/>
  <c r="G594" i="3"/>
  <c r="C594" i="3"/>
  <c r="B594" i="3"/>
  <c r="I593" i="3"/>
  <c r="G593" i="3"/>
  <c r="C593" i="3"/>
  <c r="B593" i="3"/>
  <c r="I592" i="3"/>
  <c r="G592" i="3"/>
  <c r="C592" i="3"/>
  <c r="B592" i="3"/>
  <c r="I591" i="3"/>
  <c r="G591" i="3"/>
  <c r="C591" i="3"/>
  <c r="B591" i="3"/>
  <c r="I590" i="3"/>
  <c r="G590" i="3"/>
  <c r="C590" i="3"/>
  <c r="B590" i="3"/>
  <c r="I589" i="3"/>
  <c r="G589" i="3"/>
  <c r="C589" i="3"/>
  <c r="B589" i="3"/>
  <c r="I588" i="3"/>
  <c r="G588" i="3"/>
  <c r="C588" i="3"/>
  <c r="B588" i="3"/>
  <c r="I587" i="3"/>
  <c r="G587" i="3"/>
  <c r="C587" i="3"/>
  <c r="B587" i="3"/>
  <c r="I586" i="3"/>
  <c r="G586" i="3"/>
  <c r="C586" i="3"/>
  <c r="B586" i="3"/>
  <c r="I585" i="3"/>
  <c r="G585" i="3"/>
  <c r="C585" i="3"/>
  <c r="B585" i="3"/>
  <c r="I584" i="3"/>
  <c r="G584" i="3"/>
  <c r="C584" i="3"/>
  <c r="B584" i="3"/>
  <c r="I583" i="3"/>
  <c r="G583" i="3"/>
  <c r="C583" i="3"/>
  <c r="B583" i="3"/>
  <c r="I582" i="3"/>
  <c r="G582" i="3"/>
  <c r="C582" i="3"/>
  <c r="B582" i="3"/>
  <c r="I581" i="3"/>
  <c r="G581" i="3"/>
  <c r="C581" i="3"/>
  <c r="B581" i="3"/>
  <c r="I580" i="3"/>
  <c r="G580" i="3"/>
  <c r="C580" i="3"/>
  <c r="B580" i="3"/>
  <c r="I579" i="3"/>
  <c r="G579" i="3"/>
  <c r="C579" i="3"/>
  <c r="B579" i="3"/>
  <c r="I578" i="3"/>
  <c r="G578" i="3"/>
  <c r="C578" i="3"/>
  <c r="B578" i="3"/>
  <c r="I577" i="3"/>
  <c r="G577" i="3"/>
  <c r="C577" i="3"/>
  <c r="B577" i="3"/>
  <c r="I576" i="3"/>
  <c r="G576" i="3"/>
  <c r="C576" i="3"/>
  <c r="B576" i="3"/>
  <c r="I575" i="3"/>
  <c r="G575" i="3"/>
  <c r="C575" i="3"/>
  <c r="B575" i="3"/>
  <c r="I574" i="3"/>
  <c r="G574" i="3"/>
  <c r="C574" i="3"/>
  <c r="B574" i="3"/>
  <c r="I573" i="3"/>
  <c r="G573" i="3"/>
  <c r="C573" i="3"/>
  <c r="B573" i="3"/>
  <c r="I572" i="3"/>
  <c r="G572" i="3"/>
  <c r="C572" i="3"/>
  <c r="B572" i="3"/>
  <c r="I571" i="3"/>
  <c r="G571" i="3"/>
  <c r="C571" i="3"/>
  <c r="B571" i="3"/>
  <c r="I570" i="3"/>
  <c r="G570" i="3"/>
  <c r="C570" i="3"/>
  <c r="B570" i="3"/>
  <c r="I569" i="3"/>
  <c r="G569" i="3"/>
  <c r="C569" i="3"/>
  <c r="B569" i="3"/>
  <c r="I568" i="3"/>
  <c r="G568" i="3"/>
  <c r="C568" i="3"/>
  <c r="B568" i="3"/>
  <c r="I567" i="3"/>
  <c r="G567" i="3"/>
  <c r="C567" i="3"/>
  <c r="B567" i="3"/>
  <c r="I566" i="3"/>
  <c r="G566" i="3"/>
  <c r="C566" i="3"/>
  <c r="B566" i="3"/>
  <c r="I565" i="3"/>
  <c r="G565" i="3"/>
  <c r="C565" i="3"/>
  <c r="B565" i="3"/>
  <c r="I564" i="3"/>
  <c r="G564" i="3"/>
  <c r="C564" i="3"/>
  <c r="B564" i="3"/>
  <c r="I563" i="3"/>
  <c r="G563" i="3"/>
  <c r="C563" i="3"/>
  <c r="B563" i="3"/>
  <c r="I562" i="3"/>
  <c r="G562" i="3"/>
  <c r="C562" i="3"/>
  <c r="B562" i="3"/>
  <c r="I561" i="3"/>
  <c r="G561" i="3"/>
  <c r="C561" i="3"/>
  <c r="B561" i="3"/>
  <c r="I560" i="3"/>
  <c r="G560" i="3"/>
  <c r="C560" i="3"/>
  <c r="B560" i="3"/>
  <c r="I559" i="3"/>
  <c r="G559" i="3"/>
  <c r="C559" i="3"/>
  <c r="B559" i="3"/>
  <c r="I558" i="3"/>
  <c r="G558" i="3"/>
  <c r="C558" i="3"/>
  <c r="B558" i="3"/>
  <c r="I557" i="3"/>
  <c r="G557" i="3"/>
  <c r="C557" i="3"/>
  <c r="B557" i="3"/>
  <c r="I556" i="3"/>
  <c r="G556" i="3"/>
  <c r="C556" i="3"/>
  <c r="B556" i="3"/>
  <c r="I555" i="3"/>
  <c r="G555" i="3"/>
  <c r="C555" i="3"/>
  <c r="B555" i="3"/>
  <c r="I554" i="3"/>
  <c r="G554" i="3"/>
  <c r="C554" i="3"/>
  <c r="B554" i="3"/>
  <c r="I553" i="3"/>
  <c r="G553" i="3"/>
  <c r="C553" i="3"/>
  <c r="B553" i="3"/>
  <c r="I552" i="3"/>
  <c r="G552" i="3"/>
  <c r="C552" i="3"/>
  <c r="B552" i="3"/>
  <c r="I551" i="3"/>
  <c r="G551" i="3"/>
  <c r="C551" i="3"/>
  <c r="B551" i="3"/>
  <c r="I550" i="3"/>
  <c r="G550" i="3"/>
  <c r="C550" i="3"/>
  <c r="B550" i="3"/>
  <c r="I549" i="3"/>
  <c r="G549" i="3"/>
  <c r="C549" i="3"/>
  <c r="B549" i="3"/>
  <c r="I548" i="3"/>
  <c r="G548" i="3"/>
  <c r="C548" i="3"/>
  <c r="B548" i="3"/>
  <c r="I547" i="3"/>
  <c r="G547" i="3"/>
  <c r="C547" i="3"/>
  <c r="B547" i="3"/>
  <c r="I546" i="3"/>
  <c r="G546" i="3"/>
  <c r="C546" i="3"/>
  <c r="B546" i="3"/>
  <c r="I545" i="3"/>
  <c r="G545" i="3"/>
  <c r="C545" i="3"/>
  <c r="B545" i="3"/>
  <c r="I544" i="3"/>
  <c r="G544" i="3"/>
  <c r="C544" i="3"/>
  <c r="B544" i="3"/>
  <c r="I543" i="3"/>
  <c r="G543" i="3"/>
  <c r="C543" i="3"/>
  <c r="B543" i="3"/>
  <c r="I542" i="3"/>
  <c r="G542" i="3"/>
  <c r="C542" i="3"/>
  <c r="B542" i="3"/>
  <c r="I541" i="3"/>
  <c r="G541" i="3"/>
  <c r="C541" i="3"/>
  <c r="B541" i="3"/>
  <c r="I540" i="3"/>
  <c r="G540" i="3"/>
  <c r="C540" i="3"/>
  <c r="B540" i="3"/>
  <c r="I539" i="3"/>
  <c r="G539" i="3"/>
  <c r="C539" i="3"/>
  <c r="B539" i="3"/>
  <c r="I538" i="3"/>
  <c r="G538" i="3"/>
  <c r="C538" i="3"/>
  <c r="B538" i="3"/>
  <c r="I537" i="3"/>
  <c r="G537" i="3"/>
  <c r="C537" i="3"/>
  <c r="B537" i="3"/>
  <c r="I536" i="3"/>
  <c r="G536" i="3"/>
  <c r="C536" i="3"/>
  <c r="B536" i="3"/>
  <c r="I535" i="3"/>
  <c r="G535" i="3"/>
  <c r="C535" i="3"/>
  <c r="B535" i="3"/>
  <c r="I534" i="3"/>
  <c r="G534" i="3"/>
  <c r="C534" i="3"/>
  <c r="B534" i="3"/>
  <c r="I533" i="3"/>
  <c r="G533" i="3"/>
  <c r="C533" i="3"/>
  <c r="B533" i="3"/>
  <c r="I532" i="3"/>
  <c r="G532" i="3"/>
  <c r="C532" i="3"/>
  <c r="B532" i="3"/>
  <c r="I531" i="3"/>
  <c r="G531" i="3"/>
  <c r="C531" i="3"/>
  <c r="B531" i="3"/>
  <c r="I530" i="3"/>
  <c r="G530" i="3"/>
  <c r="C530" i="3"/>
  <c r="B530" i="3"/>
  <c r="I529" i="3"/>
  <c r="G529" i="3"/>
  <c r="C529" i="3"/>
  <c r="B529" i="3"/>
  <c r="I528" i="3"/>
  <c r="G528" i="3"/>
  <c r="C528" i="3"/>
  <c r="B528" i="3"/>
  <c r="I527" i="3"/>
  <c r="G527" i="3"/>
  <c r="C527" i="3"/>
  <c r="B527" i="3"/>
  <c r="I526" i="3"/>
  <c r="G526" i="3"/>
  <c r="C526" i="3"/>
  <c r="B526" i="3"/>
  <c r="I525" i="3"/>
  <c r="G525" i="3"/>
  <c r="C525" i="3"/>
  <c r="B525" i="3"/>
  <c r="I524" i="3"/>
  <c r="G524" i="3"/>
  <c r="C524" i="3"/>
  <c r="B524" i="3"/>
  <c r="I523" i="3"/>
  <c r="G523" i="3"/>
  <c r="C523" i="3"/>
  <c r="B523" i="3"/>
  <c r="I522" i="3"/>
  <c r="G522" i="3"/>
  <c r="C522" i="3"/>
  <c r="B522" i="3"/>
  <c r="I521" i="3"/>
  <c r="G521" i="3"/>
  <c r="C521" i="3"/>
  <c r="B521" i="3"/>
  <c r="I520" i="3"/>
  <c r="G520" i="3"/>
  <c r="C520" i="3"/>
  <c r="B520" i="3"/>
  <c r="I519" i="3"/>
  <c r="G519" i="3"/>
  <c r="C519" i="3"/>
  <c r="B519" i="3"/>
  <c r="I518" i="3"/>
  <c r="G518" i="3"/>
  <c r="C518" i="3"/>
  <c r="B518" i="3"/>
  <c r="I517" i="3"/>
  <c r="G517" i="3"/>
  <c r="C517" i="3"/>
  <c r="B517" i="3"/>
  <c r="I516" i="3"/>
  <c r="G516" i="3"/>
  <c r="C516" i="3"/>
  <c r="B516" i="3"/>
  <c r="I515" i="3"/>
  <c r="G515" i="3"/>
  <c r="C515" i="3"/>
  <c r="B515" i="3"/>
  <c r="I514" i="3"/>
  <c r="G514" i="3"/>
  <c r="C514" i="3"/>
  <c r="B514" i="3"/>
  <c r="I513" i="3"/>
  <c r="G513" i="3"/>
  <c r="C513" i="3"/>
  <c r="B513" i="3"/>
  <c r="I512" i="3"/>
  <c r="G512" i="3"/>
  <c r="C512" i="3"/>
  <c r="B512" i="3"/>
  <c r="I511" i="3"/>
  <c r="G511" i="3"/>
  <c r="C511" i="3"/>
  <c r="B511" i="3"/>
  <c r="I510" i="3"/>
  <c r="G510" i="3"/>
  <c r="C510" i="3"/>
  <c r="B510" i="3"/>
  <c r="I509" i="3"/>
  <c r="G509" i="3"/>
  <c r="C509" i="3"/>
  <c r="B509" i="3"/>
  <c r="I508" i="3"/>
  <c r="G508" i="3"/>
  <c r="C508" i="3"/>
  <c r="B508" i="3"/>
  <c r="I507" i="3"/>
  <c r="G507" i="3"/>
  <c r="C507" i="3"/>
  <c r="B507" i="3"/>
  <c r="I506" i="3"/>
  <c r="G506" i="3"/>
  <c r="C506" i="3"/>
  <c r="B506" i="3"/>
  <c r="I505" i="3"/>
  <c r="G505" i="3"/>
  <c r="C505" i="3"/>
  <c r="B505" i="3"/>
  <c r="I504" i="3"/>
  <c r="G504" i="3"/>
  <c r="C504" i="3"/>
  <c r="B504" i="3"/>
  <c r="I503" i="3"/>
  <c r="G503" i="3"/>
  <c r="C503" i="3"/>
  <c r="B503" i="3"/>
  <c r="I502" i="3"/>
  <c r="G502" i="3"/>
  <c r="C502" i="3"/>
  <c r="B502" i="3"/>
  <c r="I501" i="3"/>
  <c r="G501" i="3"/>
  <c r="C501" i="3"/>
  <c r="B501" i="3"/>
  <c r="I500" i="3"/>
  <c r="G500" i="3"/>
  <c r="C500" i="3"/>
  <c r="B500" i="3"/>
  <c r="I499" i="3"/>
  <c r="G499" i="3"/>
  <c r="C499" i="3"/>
  <c r="B499" i="3"/>
  <c r="I498" i="3"/>
  <c r="G498" i="3"/>
  <c r="C498" i="3"/>
  <c r="B498" i="3"/>
  <c r="I497" i="3"/>
  <c r="G497" i="3"/>
  <c r="C497" i="3"/>
  <c r="B497" i="3"/>
  <c r="I496" i="3"/>
  <c r="G496" i="3"/>
  <c r="C496" i="3"/>
  <c r="B496" i="3"/>
  <c r="I495" i="3"/>
  <c r="G495" i="3"/>
  <c r="C495" i="3"/>
  <c r="B495" i="3"/>
  <c r="I494" i="3"/>
  <c r="G494" i="3"/>
  <c r="C494" i="3"/>
  <c r="B494" i="3"/>
  <c r="I493" i="3"/>
  <c r="G493" i="3"/>
  <c r="C493" i="3"/>
  <c r="B493" i="3"/>
  <c r="I492" i="3"/>
  <c r="G492" i="3"/>
  <c r="C492" i="3"/>
  <c r="B492" i="3"/>
  <c r="I491" i="3"/>
  <c r="G491" i="3"/>
  <c r="C491" i="3"/>
  <c r="B491" i="3"/>
  <c r="I490" i="3"/>
  <c r="G490" i="3"/>
  <c r="C490" i="3"/>
  <c r="B490" i="3"/>
  <c r="I489" i="3"/>
  <c r="G489" i="3"/>
  <c r="C489" i="3"/>
  <c r="B489" i="3"/>
  <c r="I488" i="3"/>
  <c r="G488" i="3"/>
  <c r="C488" i="3"/>
  <c r="B488" i="3"/>
  <c r="I487" i="3"/>
  <c r="G487" i="3"/>
  <c r="C487" i="3"/>
  <c r="B487" i="3"/>
  <c r="I486" i="3"/>
  <c r="G486" i="3"/>
  <c r="C486" i="3"/>
  <c r="B486" i="3"/>
  <c r="I485" i="3"/>
  <c r="G485" i="3"/>
  <c r="C485" i="3"/>
  <c r="B485" i="3"/>
  <c r="I484" i="3"/>
  <c r="G484" i="3"/>
  <c r="C484" i="3"/>
  <c r="B484" i="3"/>
  <c r="I483" i="3"/>
  <c r="G483" i="3"/>
  <c r="C483" i="3"/>
  <c r="B483" i="3"/>
  <c r="I482" i="3"/>
  <c r="G482" i="3"/>
  <c r="C482" i="3"/>
  <c r="B482" i="3"/>
  <c r="I481" i="3"/>
  <c r="G481" i="3"/>
  <c r="C481" i="3"/>
  <c r="B481" i="3"/>
  <c r="I480" i="3"/>
  <c r="G480" i="3"/>
  <c r="C480" i="3"/>
  <c r="B480" i="3"/>
  <c r="I479" i="3"/>
  <c r="G479" i="3"/>
  <c r="C479" i="3"/>
  <c r="B479" i="3"/>
  <c r="I478" i="3"/>
  <c r="G478" i="3"/>
  <c r="C478" i="3"/>
  <c r="B478" i="3"/>
  <c r="I477" i="3"/>
  <c r="G477" i="3"/>
  <c r="C477" i="3"/>
  <c r="B477" i="3"/>
  <c r="I476" i="3"/>
  <c r="G476" i="3"/>
  <c r="C476" i="3"/>
  <c r="B476" i="3"/>
  <c r="I475" i="3"/>
  <c r="G475" i="3"/>
  <c r="C475" i="3"/>
  <c r="B475" i="3"/>
  <c r="I474" i="3"/>
  <c r="G474" i="3"/>
  <c r="C474" i="3"/>
  <c r="B474" i="3"/>
  <c r="I473" i="3"/>
  <c r="G473" i="3"/>
  <c r="C473" i="3"/>
  <c r="B473" i="3"/>
  <c r="I472" i="3"/>
  <c r="G472" i="3"/>
  <c r="C472" i="3"/>
  <c r="B472" i="3"/>
  <c r="I471" i="3"/>
  <c r="G471" i="3"/>
  <c r="C471" i="3"/>
  <c r="B471" i="3"/>
  <c r="I470" i="3"/>
  <c r="G470" i="3"/>
  <c r="C470" i="3"/>
  <c r="B470" i="3"/>
  <c r="I469" i="3"/>
  <c r="G469" i="3"/>
  <c r="C469" i="3"/>
  <c r="B469" i="3"/>
  <c r="I468" i="3"/>
  <c r="G468" i="3"/>
  <c r="C468" i="3"/>
  <c r="B468" i="3"/>
  <c r="I467" i="3"/>
  <c r="G467" i="3"/>
  <c r="C467" i="3"/>
  <c r="B467" i="3"/>
  <c r="I466" i="3"/>
  <c r="G466" i="3"/>
  <c r="C466" i="3"/>
  <c r="B466" i="3"/>
  <c r="I465" i="3"/>
  <c r="G465" i="3"/>
  <c r="C465" i="3"/>
  <c r="B465" i="3"/>
  <c r="I464" i="3"/>
  <c r="G464" i="3"/>
  <c r="C464" i="3"/>
  <c r="B464" i="3"/>
  <c r="I463" i="3"/>
  <c r="G463" i="3"/>
  <c r="C463" i="3"/>
  <c r="B463" i="3"/>
  <c r="I462" i="3"/>
  <c r="G462" i="3"/>
  <c r="C462" i="3"/>
  <c r="B462" i="3"/>
  <c r="I461" i="3"/>
  <c r="G461" i="3"/>
  <c r="C461" i="3"/>
  <c r="B461" i="3"/>
  <c r="I460" i="3"/>
  <c r="G460" i="3"/>
  <c r="C460" i="3"/>
  <c r="B460" i="3"/>
  <c r="I459" i="3"/>
  <c r="G459" i="3"/>
  <c r="C459" i="3"/>
  <c r="B459" i="3"/>
  <c r="I458" i="3"/>
  <c r="G458" i="3"/>
  <c r="C458" i="3"/>
  <c r="B458" i="3"/>
  <c r="I457" i="3"/>
  <c r="G457" i="3"/>
  <c r="C457" i="3"/>
  <c r="B457" i="3"/>
  <c r="I456" i="3"/>
  <c r="G456" i="3"/>
  <c r="C456" i="3"/>
  <c r="B456" i="3"/>
  <c r="I455" i="3"/>
  <c r="G455" i="3"/>
  <c r="C455" i="3"/>
  <c r="B455" i="3"/>
  <c r="I454" i="3"/>
  <c r="G454" i="3"/>
  <c r="C454" i="3"/>
  <c r="B454" i="3"/>
  <c r="I453" i="3"/>
  <c r="G453" i="3"/>
  <c r="C453" i="3"/>
  <c r="B453" i="3"/>
  <c r="I452" i="3"/>
  <c r="G452" i="3"/>
  <c r="C452" i="3"/>
  <c r="B452" i="3"/>
  <c r="I451" i="3"/>
  <c r="G451" i="3"/>
  <c r="C451" i="3"/>
  <c r="B451" i="3"/>
  <c r="I450" i="3"/>
  <c r="G450" i="3"/>
  <c r="C450" i="3"/>
  <c r="B450" i="3"/>
  <c r="I449" i="3"/>
  <c r="G449" i="3"/>
  <c r="C449" i="3"/>
  <c r="B449" i="3"/>
  <c r="I448" i="3"/>
  <c r="G448" i="3"/>
  <c r="C448" i="3"/>
  <c r="B448" i="3"/>
  <c r="I447" i="3"/>
  <c r="G447" i="3"/>
  <c r="C447" i="3"/>
  <c r="B447" i="3"/>
  <c r="I446" i="3"/>
  <c r="G446" i="3"/>
  <c r="C446" i="3"/>
  <c r="B446" i="3"/>
  <c r="I445" i="3"/>
  <c r="G445" i="3"/>
  <c r="C445" i="3"/>
  <c r="B445" i="3"/>
  <c r="I444" i="3"/>
  <c r="G444" i="3"/>
  <c r="C444" i="3"/>
  <c r="B444" i="3"/>
  <c r="I443" i="3"/>
  <c r="G443" i="3"/>
  <c r="C443" i="3"/>
  <c r="B443" i="3"/>
  <c r="I442" i="3"/>
  <c r="G442" i="3"/>
  <c r="C442" i="3"/>
  <c r="B442" i="3"/>
  <c r="I441" i="3"/>
  <c r="G441" i="3"/>
  <c r="C441" i="3"/>
  <c r="B441" i="3"/>
  <c r="I440" i="3"/>
  <c r="G440" i="3"/>
  <c r="C440" i="3"/>
  <c r="B440" i="3"/>
  <c r="I439" i="3"/>
  <c r="G439" i="3"/>
  <c r="C439" i="3"/>
  <c r="B439" i="3"/>
  <c r="I438" i="3"/>
  <c r="G438" i="3"/>
  <c r="C438" i="3"/>
  <c r="B438" i="3"/>
  <c r="I437" i="3"/>
  <c r="G437" i="3"/>
  <c r="C437" i="3"/>
  <c r="B437" i="3"/>
  <c r="I436" i="3"/>
  <c r="G436" i="3"/>
  <c r="C436" i="3"/>
  <c r="B436" i="3"/>
  <c r="I435" i="3"/>
  <c r="G435" i="3"/>
  <c r="C435" i="3"/>
  <c r="B435" i="3"/>
  <c r="I434" i="3"/>
  <c r="G434" i="3"/>
  <c r="C434" i="3"/>
  <c r="B434" i="3"/>
  <c r="I433" i="3"/>
  <c r="G433" i="3"/>
  <c r="C433" i="3"/>
  <c r="B433" i="3"/>
  <c r="I432" i="3"/>
  <c r="G432" i="3"/>
  <c r="C432" i="3"/>
  <c r="B432" i="3"/>
  <c r="I431" i="3"/>
  <c r="G431" i="3"/>
  <c r="C431" i="3"/>
  <c r="B431" i="3"/>
  <c r="I430" i="3"/>
  <c r="G430" i="3"/>
  <c r="C430" i="3"/>
  <c r="B430" i="3"/>
  <c r="I429" i="3"/>
  <c r="G429" i="3"/>
  <c r="C429" i="3"/>
  <c r="B429" i="3"/>
  <c r="I428" i="3"/>
  <c r="G428" i="3"/>
  <c r="C428" i="3"/>
  <c r="B428" i="3"/>
  <c r="I427" i="3"/>
  <c r="G427" i="3"/>
  <c r="C427" i="3"/>
  <c r="B427" i="3"/>
  <c r="I426" i="3"/>
  <c r="G426" i="3"/>
  <c r="C426" i="3"/>
  <c r="B426" i="3"/>
  <c r="I425" i="3"/>
  <c r="G425" i="3"/>
  <c r="C425" i="3"/>
  <c r="B425" i="3"/>
  <c r="I424" i="3"/>
  <c r="G424" i="3"/>
  <c r="C424" i="3"/>
  <c r="B424" i="3"/>
  <c r="I423" i="3"/>
  <c r="G423" i="3"/>
  <c r="C423" i="3"/>
  <c r="B423" i="3"/>
  <c r="I422" i="3"/>
  <c r="G422" i="3"/>
  <c r="C422" i="3"/>
  <c r="B422" i="3"/>
  <c r="I421" i="3"/>
  <c r="G421" i="3"/>
  <c r="C421" i="3"/>
  <c r="B421" i="3"/>
  <c r="I420" i="3"/>
  <c r="G420" i="3"/>
  <c r="C420" i="3"/>
  <c r="B420" i="3"/>
  <c r="I419" i="3"/>
  <c r="G419" i="3"/>
  <c r="C419" i="3"/>
  <c r="B419" i="3"/>
  <c r="I418" i="3"/>
  <c r="G418" i="3"/>
  <c r="C418" i="3"/>
  <c r="B418" i="3"/>
  <c r="I417" i="3"/>
  <c r="G417" i="3"/>
  <c r="C417" i="3"/>
  <c r="B417" i="3"/>
  <c r="I416" i="3"/>
  <c r="G416" i="3"/>
  <c r="C416" i="3"/>
  <c r="B416" i="3"/>
  <c r="I415" i="3"/>
  <c r="G415" i="3"/>
  <c r="C415" i="3"/>
  <c r="B415" i="3"/>
  <c r="I414" i="3"/>
  <c r="G414" i="3"/>
  <c r="C414" i="3"/>
  <c r="B414" i="3"/>
  <c r="I413" i="3"/>
  <c r="G413" i="3"/>
  <c r="C413" i="3"/>
  <c r="B413" i="3"/>
  <c r="I412" i="3"/>
  <c r="G412" i="3"/>
  <c r="C412" i="3"/>
  <c r="B412" i="3"/>
  <c r="I411" i="3"/>
  <c r="G411" i="3"/>
  <c r="C411" i="3"/>
  <c r="B411" i="3"/>
  <c r="I410" i="3"/>
  <c r="G410" i="3"/>
  <c r="C410" i="3"/>
  <c r="B410" i="3"/>
  <c r="I409" i="3"/>
  <c r="G409" i="3"/>
  <c r="C409" i="3"/>
  <c r="B409" i="3"/>
  <c r="I408" i="3"/>
  <c r="G408" i="3"/>
  <c r="C408" i="3"/>
  <c r="B408" i="3"/>
  <c r="I407" i="3"/>
  <c r="G407" i="3"/>
  <c r="C407" i="3"/>
  <c r="B407" i="3"/>
  <c r="I406" i="3"/>
  <c r="G406" i="3"/>
  <c r="C406" i="3"/>
  <c r="B406" i="3"/>
  <c r="I405" i="3"/>
  <c r="G405" i="3"/>
  <c r="C405" i="3"/>
  <c r="B405" i="3"/>
  <c r="I404" i="3"/>
  <c r="G404" i="3"/>
  <c r="C404" i="3"/>
  <c r="B404" i="3"/>
  <c r="I403" i="3"/>
  <c r="G403" i="3"/>
  <c r="C403" i="3"/>
  <c r="B403" i="3"/>
  <c r="I402" i="3"/>
  <c r="G402" i="3"/>
  <c r="C402" i="3"/>
  <c r="B402" i="3"/>
  <c r="I401" i="3"/>
  <c r="G401" i="3"/>
  <c r="C401" i="3"/>
  <c r="B401" i="3"/>
  <c r="I400" i="3"/>
  <c r="G400" i="3"/>
  <c r="C400" i="3"/>
  <c r="B400" i="3"/>
  <c r="I399" i="3"/>
  <c r="G399" i="3"/>
  <c r="C399" i="3"/>
  <c r="B399" i="3"/>
  <c r="I398" i="3"/>
  <c r="G398" i="3"/>
  <c r="C398" i="3"/>
  <c r="B398" i="3"/>
  <c r="I397" i="3"/>
  <c r="G397" i="3"/>
  <c r="C397" i="3"/>
  <c r="B397" i="3"/>
  <c r="I396" i="3"/>
  <c r="G396" i="3"/>
  <c r="C396" i="3"/>
  <c r="B396" i="3"/>
  <c r="I395" i="3"/>
  <c r="G395" i="3"/>
  <c r="C395" i="3"/>
  <c r="B395" i="3"/>
  <c r="I394" i="3"/>
  <c r="G394" i="3"/>
  <c r="C394" i="3"/>
  <c r="B394" i="3"/>
  <c r="I393" i="3"/>
  <c r="G393" i="3"/>
  <c r="C393" i="3"/>
  <c r="B393" i="3"/>
  <c r="I392" i="3"/>
  <c r="G392" i="3"/>
  <c r="C392" i="3"/>
  <c r="B392" i="3"/>
  <c r="I391" i="3"/>
  <c r="G391" i="3"/>
  <c r="C391" i="3"/>
  <c r="B391" i="3"/>
  <c r="I390" i="3"/>
  <c r="G390" i="3"/>
  <c r="C390" i="3"/>
  <c r="B390" i="3"/>
  <c r="I389" i="3"/>
  <c r="G389" i="3"/>
  <c r="C389" i="3"/>
  <c r="B389" i="3"/>
  <c r="I388" i="3"/>
  <c r="G388" i="3"/>
  <c r="C388" i="3"/>
  <c r="B388" i="3"/>
  <c r="I387" i="3"/>
  <c r="G387" i="3"/>
  <c r="C387" i="3"/>
  <c r="B387" i="3"/>
  <c r="I386" i="3"/>
  <c r="G386" i="3"/>
  <c r="C386" i="3"/>
  <c r="B386" i="3"/>
  <c r="I385" i="3"/>
  <c r="G385" i="3"/>
  <c r="C385" i="3"/>
  <c r="B385" i="3"/>
  <c r="I384" i="3"/>
  <c r="G384" i="3"/>
  <c r="C384" i="3"/>
  <c r="B384" i="3"/>
  <c r="I383" i="3"/>
  <c r="G383" i="3"/>
  <c r="C383" i="3"/>
  <c r="B383" i="3"/>
  <c r="I382" i="3"/>
  <c r="G382" i="3"/>
  <c r="C382" i="3"/>
  <c r="B382" i="3"/>
  <c r="I381" i="3"/>
  <c r="G381" i="3"/>
  <c r="C381" i="3"/>
  <c r="B381" i="3"/>
  <c r="I380" i="3"/>
  <c r="G380" i="3"/>
  <c r="C380" i="3"/>
  <c r="B380" i="3"/>
  <c r="I379" i="3"/>
  <c r="G379" i="3"/>
  <c r="C379" i="3"/>
  <c r="B379" i="3"/>
  <c r="I378" i="3"/>
  <c r="G378" i="3"/>
  <c r="C378" i="3"/>
  <c r="B378" i="3"/>
  <c r="I377" i="3"/>
  <c r="G377" i="3"/>
  <c r="C377" i="3"/>
  <c r="B377" i="3"/>
  <c r="I376" i="3"/>
  <c r="G376" i="3"/>
  <c r="C376" i="3"/>
  <c r="B376" i="3"/>
  <c r="I375" i="3"/>
  <c r="G375" i="3"/>
  <c r="C375" i="3"/>
  <c r="B375" i="3"/>
  <c r="I374" i="3"/>
  <c r="G374" i="3"/>
  <c r="C374" i="3"/>
  <c r="B374" i="3"/>
  <c r="I373" i="3"/>
  <c r="G373" i="3"/>
  <c r="C373" i="3"/>
  <c r="B373" i="3"/>
  <c r="I372" i="3"/>
  <c r="G372" i="3"/>
  <c r="C372" i="3"/>
  <c r="B372" i="3"/>
  <c r="I371" i="3"/>
  <c r="G371" i="3"/>
  <c r="C371" i="3"/>
  <c r="B371" i="3"/>
  <c r="I370" i="3"/>
  <c r="G370" i="3"/>
  <c r="C370" i="3"/>
  <c r="B370" i="3"/>
  <c r="I369" i="3"/>
  <c r="G369" i="3"/>
  <c r="C369" i="3"/>
  <c r="B369" i="3"/>
  <c r="I368" i="3"/>
  <c r="G368" i="3"/>
  <c r="C368" i="3"/>
  <c r="B368" i="3"/>
  <c r="I367" i="3"/>
  <c r="G367" i="3"/>
  <c r="C367" i="3"/>
  <c r="B367" i="3"/>
  <c r="I366" i="3"/>
  <c r="G366" i="3"/>
  <c r="C366" i="3"/>
  <c r="B366" i="3"/>
  <c r="I365" i="3"/>
  <c r="G365" i="3"/>
  <c r="C365" i="3"/>
  <c r="B365" i="3"/>
  <c r="I364" i="3"/>
  <c r="G364" i="3"/>
  <c r="C364" i="3"/>
  <c r="B364" i="3"/>
  <c r="I363" i="3"/>
  <c r="G363" i="3"/>
  <c r="C363" i="3"/>
  <c r="B363" i="3"/>
  <c r="I362" i="3"/>
  <c r="G362" i="3"/>
  <c r="C362" i="3"/>
  <c r="B362" i="3"/>
  <c r="I361" i="3"/>
  <c r="G361" i="3"/>
  <c r="C361" i="3"/>
  <c r="B361" i="3"/>
  <c r="I360" i="3"/>
  <c r="G360" i="3"/>
  <c r="C360" i="3"/>
  <c r="B360" i="3"/>
  <c r="I359" i="3"/>
  <c r="G359" i="3"/>
  <c r="C359" i="3"/>
  <c r="B359" i="3"/>
  <c r="I358" i="3"/>
  <c r="G358" i="3"/>
  <c r="C358" i="3"/>
  <c r="B358" i="3"/>
  <c r="I357" i="3"/>
  <c r="G357" i="3"/>
  <c r="C357" i="3"/>
  <c r="B357" i="3"/>
  <c r="I356" i="3"/>
  <c r="G356" i="3"/>
  <c r="C356" i="3"/>
  <c r="B356" i="3"/>
  <c r="I355" i="3"/>
  <c r="G355" i="3"/>
  <c r="C355" i="3"/>
  <c r="B355" i="3"/>
  <c r="I354" i="3"/>
  <c r="G354" i="3"/>
  <c r="C354" i="3"/>
  <c r="B354" i="3"/>
  <c r="I353" i="3"/>
  <c r="G353" i="3"/>
  <c r="C353" i="3"/>
  <c r="B353" i="3"/>
  <c r="I352" i="3"/>
  <c r="G352" i="3"/>
  <c r="C352" i="3"/>
  <c r="B352" i="3"/>
  <c r="I351" i="3"/>
  <c r="G351" i="3"/>
  <c r="C351" i="3"/>
  <c r="B351" i="3"/>
  <c r="I350" i="3"/>
  <c r="G350" i="3"/>
  <c r="C350" i="3"/>
  <c r="B350" i="3"/>
  <c r="I349" i="3"/>
  <c r="G349" i="3"/>
  <c r="C349" i="3"/>
  <c r="B349" i="3"/>
  <c r="I348" i="3"/>
  <c r="G348" i="3"/>
  <c r="C348" i="3"/>
  <c r="B348" i="3"/>
  <c r="I347" i="3"/>
  <c r="G347" i="3"/>
  <c r="C347" i="3"/>
  <c r="B347" i="3"/>
  <c r="I346" i="3"/>
  <c r="G346" i="3"/>
  <c r="C346" i="3"/>
  <c r="B346" i="3"/>
  <c r="I345" i="3"/>
  <c r="G345" i="3"/>
  <c r="C345" i="3"/>
  <c r="B345" i="3"/>
  <c r="I344" i="3"/>
  <c r="G344" i="3"/>
  <c r="C344" i="3"/>
  <c r="B344" i="3"/>
  <c r="I343" i="3"/>
  <c r="G343" i="3"/>
  <c r="C343" i="3"/>
  <c r="B343" i="3"/>
  <c r="I342" i="3"/>
  <c r="G342" i="3"/>
  <c r="C342" i="3"/>
  <c r="B342" i="3"/>
  <c r="I341" i="3"/>
  <c r="G341" i="3"/>
  <c r="C341" i="3"/>
  <c r="B341" i="3"/>
  <c r="I340" i="3"/>
  <c r="G340" i="3"/>
  <c r="C340" i="3"/>
  <c r="B340" i="3"/>
  <c r="I339" i="3"/>
  <c r="G339" i="3"/>
  <c r="C339" i="3"/>
  <c r="B339" i="3"/>
  <c r="I338" i="3"/>
  <c r="G338" i="3"/>
  <c r="C338" i="3"/>
  <c r="B338" i="3"/>
  <c r="I337" i="3"/>
  <c r="G337" i="3"/>
  <c r="C337" i="3"/>
  <c r="B337" i="3"/>
  <c r="I336" i="3"/>
  <c r="G336" i="3"/>
  <c r="C336" i="3"/>
  <c r="B336" i="3"/>
  <c r="I335" i="3"/>
  <c r="G335" i="3"/>
  <c r="C335" i="3"/>
  <c r="B335" i="3"/>
  <c r="I334" i="3"/>
  <c r="G334" i="3"/>
  <c r="C334" i="3"/>
  <c r="B334" i="3"/>
  <c r="I333" i="3"/>
  <c r="G333" i="3"/>
  <c r="C333" i="3"/>
  <c r="B333" i="3"/>
  <c r="I332" i="3"/>
  <c r="G332" i="3"/>
  <c r="C332" i="3"/>
  <c r="B332" i="3"/>
  <c r="I331" i="3"/>
  <c r="G331" i="3"/>
  <c r="C331" i="3"/>
  <c r="B331" i="3"/>
  <c r="I330" i="3"/>
  <c r="G330" i="3"/>
  <c r="C330" i="3"/>
  <c r="B330" i="3"/>
  <c r="I329" i="3"/>
  <c r="G329" i="3"/>
  <c r="C329" i="3"/>
  <c r="B329" i="3"/>
  <c r="I328" i="3"/>
  <c r="G328" i="3"/>
  <c r="C328" i="3"/>
  <c r="B328" i="3"/>
  <c r="I327" i="3"/>
  <c r="G327" i="3"/>
  <c r="C327" i="3"/>
  <c r="B327" i="3"/>
  <c r="I326" i="3"/>
  <c r="G326" i="3"/>
  <c r="C326" i="3"/>
  <c r="B326" i="3"/>
  <c r="I325" i="3"/>
  <c r="G325" i="3"/>
  <c r="C325" i="3"/>
  <c r="B325" i="3"/>
  <c r="I324" i="3"/>
  <c r="G324" i="3"/>
  <c r="C324" i="3"/>
  <c r="B324" i="3"/>
  <c r="I323" i="3"/>
  <c r="G323" i="3"/>
  <c r="C323" i="3"/>
  <c r="B323" i="3"/>
  <c r="I322" i="3"/>
  <c r="G322" i="3"/>
  <c r="C322" i="3"/>
  <c r="B322" i="3"/>
  <c r="I321" i="3"/>
  <c r="G321" i="3"/>
  <c r="C321" i="3"/>
  <c r="B321" i="3"/>
  <c r="I320" i="3"/>
  <c r="G320" i="3"/>
  <c r="C320" i="3"/>
  <c r="B320" i="3"/>
  <c r="I319" i="3"/>
  <c r="G319" i="3"/>
  <c r="C319" i="3"/>
  <c r="B319" i="3"/>
  <c r="I318" i="3"/>
  <c r="G318" i="3"/>
  <c r="C318" i="3"/>
  <c r="B318" i="3"/>
  <c r="I317" i="3"/>
  <c r="G317" i="3"/>
  <c r="C317" i="3"/>
  <c r="B317" i="3"/>
  <c r="I316" i="3"/>
  <c r="G316" i="3"/>
  <c r="C316" i="3"/>
  <c r="B316" i="3"/>
  <c r="I315" i="3"/>
  <c r="G315" i="3"/>
  <c r="C315" i="3"/>
  <c r="B315" i="3"/>
  <c r="I314" i="3"/>
  <c r="G314" i="3"/>
  <c r="C314" i="3"/>
  <c r="B314" i="3"/>
  <c r="I313" i="3"/>
  <c r="G313" i="3"/>
  <c r="C313" i="3"/>
  <c r="B313" i="3"/>
  <c r="I312" i="3"/>
  <c r="G312" i="3"/>
  <c r="C312" i="3"/>
  <c r="B312" i="3"/>
  <c r="I311" i="3"/>
  <c r="G311" i="3"/>
  <c r="C311" i="3"/>
  <c r="B311" i="3"/>
  <c r="I310" i="3"/>
  <c r="G310" i="3"/>
  <c r="C310" i="3"/>
  <c r="B310" i="3"/>
  <c r="I309" i="3"/>
  <c r="G309" i="3"/>
  <c r="C309" i="3"/>
  <c r="B309" i="3"/>
  <c r="I308" i="3"/>
  <c r="G308" i="3"/>
  <c r="C308" i="3"/>
  <c r="B308" i="3"/>
  <c r="I307" i="3"/>
  <c r="G307" i="3"/>
  <c r="C307" i="3"/>
  <c r="B307" i="3"/>
  <c r="I306" i="3"/>
  <c r="G306" i="3"/>
  <c r="C306" i="3"/>
  <c r="B306" i="3"/>
  <c r="I305" i="3"/>
  <c r="G305" i="3"/>
  <c r="C305" i="3"/>
  <c r="B305" i="3"/>
  <c r="I304" i="3"/>
  <c r="G304" i="3"/>
  <c r="C304" i="3"/>
  <c r="B304" i="3"/>
  <c r="I303" i="3"/>
  <c r="G303" i="3"/>
  <c r="C303" i="3"/>
  <c r="B303" i="3"/>
  <c r="I302" i="3"/>
  <c r="G302" i="3"/>
  <c r="C302" i="3"/>
  <c r="B302" i="3"/>
  <c r="I301" i="3"/>
  <c r="G301" i="3"/>
  <c r="C301" i="3"/>
  <c r="B301" i="3"/>
  <c r="I300" i="3"/>
  <c r="G300" i="3"/>
  <c r="C300" i="3"/>
  <c r="B300" i="3"/>
  <c r="I299" i="3"/>
  <c r="G299" i="3"/>
  <c r="C299" i="3"/>
  <c r="B299" i="3"/>
  <c r="I298" i="3"/>
  <c r="G298" i="3"/>
  <c r="C298" i="3"/>
  <c r="B298" i="3"/>
  <c r="I297" i="3"/>
  <c r="G297" i="3"/>
  <c r="C297" i="3"/>
  <c r="B297" i="3"/>
  <c r="I296" i="3"/>
  <c r="G296" i="3"/>
  <c r="C296" i="3"/>
  <c r="B296" i="3"/>
  <c r="I295" i="3"/>
  <c r="G295" i="3"/>
  <c r="C295" i="3"/>
  <c r="B295" i="3"/>
  <c r="I294" i="3"/>
  <c r="G294" i="3"/>
  <c r="C294" i="3"/>
  <c r="B294" i="3"/>
  <c r="I293" i="3"/>
  <c r="G293" i="3"/>
  <c r="C293" i="3"/>
  <c r="B293" i="3"/>
  <c r="I292" i="3"/>
  <c r="G292" i="3"/>
  <c r="C292" i="3"/>
  <c r="B292" i="3"/>
  <c r="I291" i="3"/>
  <c r="G291" i="3"/>
  <c r="C291" i="3"/>
  <c r="B291" i="3"/>
  <c r="I290" i="3"/>
  <c r="G290" i="3"/>
  <c r="C290" i="3"/>
  <c r="B290" i="3"/>
  <c r="I289" i="3"/>
  <c r="G289" i="3"/>
  <c r="C289" i="3"/>
  <c r="B289" i="3"/>
  <c r="I288" i="3"/>
  <c r="G288" i="3"/>
  <c r="C288" i="3"/>
  <c r="B288" i="3"/>
  <c r="I287" i="3"/>
  <c r="G287" i="3"/>
  <c r="C287" i="3"/>
  <c r="B287" i="3"/>
  <c r="I286" i="3"/>
  <c r="G286" i="3"/>
  <c r="C286" i="3"/>
  <c r="B286" i="3"/>
  <c r="I285" i="3"/>
  <c r="G285" i="3"/>
  <c r="C285" i="3"/>
  <c r="B285" i="3"/>
  <c r="I284" i="3"/>
  <c r="G284" i="3"/>
  <c r="C284" i="3"/>
  <c r="B284" i="3"/>
  <c r="I283" i="3"/>
  <c r="G283" i="3"/>
  <c r="C283" i="3"/>
  <c r="B283" i="3"/>
  <c r="I282" i="3"/>
  <c r="G282" i="3"/>
  <c r="C282" i="3"/>
  <c r="B282" i="3"/>
  <c r="I281" i="3"/>
  <c r="G281" i="3"/>
  <c r="C281" i="3"/>
  <c r="B281" i="3"/>
  <c r="I280" i="3"/>
  <c r="G280" i="3"/>
  <c r="C280" i="3"/>
  <c r="B280" i="3"/>
  <c r="I279" i="3"/>
  <c r="G279" i="3"/>
  <c r="C279" i="3"/>
  <c r="B279" i="3"/>
  <c r="I278" i="3"/>
  <c r="G278" i="3"/>
  <c r="C278" i="3"/>
  <c r="B278" i="3"/>
  <c r="I277" i="3"/>
  <c r="G277" i="3"/>
  <c r="C277" i="3"/>
  <c r="B277" i="3"/>
  <c r="I276" i="3"/>
  <c r="G276" i="3"/>
  <c r="C276" i="3"/>
  <c r="B276" i="3"/>
  <c r="I275" i="3"/>
  <c r="G275" i="3"/>
  <c r="C275" i="3"/>
  <c r="B275" i="3"/>
  <c r="I274" i="3"/>
  <c r="G274" i="3"/>
  <c r="C274" i="3"/>
  <c r="B274" i="3"/>
  <c r="I273" i="3"/>
  <c r="G273" i="3"/>
  <c r="C273" i="3"/>
  <c r="B273" i="3"/>
  <c r="I272" i="3"/>
  <c r="G272" i="3"/>
  <c r="C272" i="3"/>
  <c r="B272" i="3"/>
  <c r="I271" i="3"/>
  <c r="G271" i="3"/>
  <c r="C271" i="3"/>
  <c r="B271" i="3"/>
  <c r="I270" i="3"/>
  <c r="G270" i="3"/>
  <c r="C270" i="3"/>
  <c r="B270" i="3"/>
  <c r="I269" i="3"/>
  <c r="G269" i="3"/>
  <c r="C269" i="3"/>
  <c r="B269" i="3"/>
  <c r="I268" i="3"/>
  <c r="G268" i="3"/>
  <c r="C268" i="3"/>
  <c r="B268" i="3"/>
  <c r="I267" i="3"/>
  <c r="G267" i="3"/>
  <c r="C267" i="3"/>
  <c r="B267" i="3"/>
  <c r="I266" i="3"/>
  <c r="G266" i="3"/>
  <c r="C266" i="3"/>
  <c r="B266" i="3"/>
  <c r="I265" i="3"/>
  <c r="G265" i="3"/>
  <c r="C265" i="3"/>
  <c r="B265" i="3"/>
  <c r="I264" i="3"/>
  <c r="G264" i="3"/>
  <c r="C264" i="3"/>
  <c r="B264" i="3"/>
  <c r="I263" i="3"/>
  <c r="G263" i="3"/>
  <c r="C263" i="3"/>
  <c r="B263" i="3"/>
  <c r="I262" i="3"/>
  <c r="G262" i="3"/>
  <c r="C262" i="3"/>
  <c r="B262" i="3"/>
  <c r="I261" i="3"/>
  <c r="G261" i="3"/>
  <c r="C261" i="3"/>
  <c r="B261" i="3"/>
  <c r="I260" i="3"/>
  <c r="G260" i="3"/>
  <c r="C260" i="3"/>
  <c r="B260" i="3"/>
  <c r="I259" i="3"/>
  <c r="G259" i="3"/>
  <c r="C259" i="3"/>
  <c r="B259" i="3"/>
  <c r="I258" i="3"/>
  <c r="G258" i="3"/>
  <c r="C258" i="3"/>
  <c r="B258" i="3"/>
  <c r="I257" i="3"/>
  <c r="G257" i="3"/>
  <c r="C257" i="3"/>
  <c r="B257" i="3"/>
  <c r="I256" i="3"/>
  <c r="G256" i="3"/>
  <c r="C256" i="3"/>
  <c r="B256" i="3"/>
  <c r="I255" i="3"/>
  <c r="G255" i="3"/>
  <c r="C255" i="3"/>
  <c r="B255" i="3"/>
  <c r="I254" i="3"/>
  <c r="G254" i="3"/>
  <c r="C254" i="3"/>
  <c r="B254" i="3"/>
  <c r="I253" i="3"/>
  <c r="G253" i="3"/>
  <c r="C253" i="3"/>
  <c r="B253" i="3"/>
  <c r="I252" i="3"/>
  <c r="G252" i="3"/>
  <c r="C252" i="3"/>
  <c r="B252" i="3"/>
  <c r="I251" i="3"/>
  <c r="G251" i="3"/>
  <c r="C251" i="3"/>
  <c r="B251" i="3"/>
  <c r="I250" i="3"/>
  <c r="G250" i="3"/>
  <c r="C250" i="3"/>
  <c r="B250" i="3"/>
  <c r="I249" i="3"/>
  <c r="G249" i="3"/>
  <c r="C249" i="3"/>
  <c r="B249" i="3"/>
  <c r="I248" i="3"/>
  <c r="G248" i="3"/>
  <c r="C248" i="3"/>
  <c r="B248" i="3"/>
  <c r="I247" i="3"/>
  <c r="G247" i="3"/>
  <c r="C247" i="3"/>
  <c r="B247" i="3"/>
  <c r="I246" i="3"/>
  <c r="G246" i="3"/>
  <c r="C246" i="3"/>
  <c r="B246" i="3"/>
  <c r="I245" i="3"/>
  <c r="G245" i="3"/>
  <c r="C245" i="3"/>
  <c r="B245" i="3"/>
  <c r="I244" i="3"/>
  <c r="G244" i="3"/>
  <c r="C244" i="3"/>
  <c r="B244" i="3"/>
  <c r="I243" i="3"/>
  <c r="G243" i="3"/>
  <c r="C243" i="3"/>
  <c r="B243" i="3"/>
  <c r="I242" i="3"/>
  <c r="G242" i="3"/>
  <c r="C242" i="3"/>
  <c r="B242" i="3"/>
  <c r="I241" i="3"/>
  <c r="G241" i="3"/>
  <c r="C241" i="3"/>
  <c r="B241" i="3"/>
  <c r="I240" i="3"/>
  <c r="G240" i="3"/>
  <c r="C240" i="3"/>
  <c r="B240" i="3"/>
  <c r="I239" i="3"/>
  <c r="G239" i="3"/>
  <c r="C239" i="3"/>
  <c r="B239" i="3"/>
  <c r="I238" i="3"/>
  <c r="G238" i="3"/>
  <c r="C238" i="3"/>
  <c r="B238" i="3"/>
  <c r="I237" i="3"/>
  <c r="G237" i="3"/>
  <c r="C237" i="3"/>
  <c r="B237" i="3"/>
  <c r="I236" i="3"/>
  <c r="G236" i="3"/>
  <c r="C236" i="3"/>
  <c r="B236" i="3"/>
  <c r="I235" i="3"/>
  <c r="G235" i="3"/>
  <c r="C235" i="3"/>
  <c r="B235" i="3"/>
  <c r="I234" i="3"/>
  <c r="G234" i="3"/>
  <c r="C234" i="3"/>
  <c r="B234" i="3"/>
  <c r="I233" i="3"/>
  <c r="G233" i="3"/>
  <c r="C233" i="3"/>
  <c r="B233" i="3"/>
  <c r="I232" i="3"/>
  <c r="G232" i="3"/>
  <c r="C232" i="3"/>
  <c r="B232" i="3"/>
  <c r="I231" i="3"/>
  <c r="G231" i="3"/>
  <c r="C231" i="3"/>
  <c r="B231" i="3"/>
  <c r="I230" i="3"/>
  <c r="G230" i="3"/>
  <c r="C230" i="3"/>
  <c r="B230" i="3"/>
  <c r="I229" i="3"/>
  <c r="G229" i="3"/>
  <c r="C229" i="3"/>
  <c r="B229" i="3"/>
  <c r="I228" i="3"/>
  <c r="G228" i="3"/>
  <c r="C228" i="3"/>
  <c r="B228" i="3"/>
  <c r="I227" i="3"/>
  <c r="G227" i="3"/>
  <c r="C227" i="3"/>
  <c r="B227" i="3"/>
  <c r="I226" i="3"/>
  <c r="G226" i="3"/>
  <c r="C226" i="3"/>
  <c r="B226" i="3"/>
  <c r="I225" i="3"/>
  <c r="G225" i="3"/>
  <c r="C225" i="3"/>
  <c r="B225" i="3"/>
  <c r="I224" i="3"/>
  <c r="G224" i="3"/>
  <c r="C224" i="3"/>
  <c r="B224" i="3"/>
  <c r="I223" i="3"/>
  <c r="G223" i="3"/>
  <c r="C223" i="3"/>
  <c r="B223" i="3"/>
  <c r="I222" i="3"/>
  <c r="G222" i="3"/>
  <c r="C222" i="3"/>
  <c r="B222" i="3"/>
  <c r="I221" i="3"/>
  <c r="G221" i="3"/>
  <c r="C221" i="3"/>
  <c r="B221" i="3"/>
  <c r="I220" i="3"/>
  <c r="G220" i="3"/>
  <c r="C220" i="3"/>
  <c r="B220" i="3"/>
  <c r="I219" i="3"/>
  <c r="G219" i="3"/>
  <c r="C219" i="3"/>
  <c r="B219" i="3"/>
  <c r="I218" i="3"/>
  <c r="G218" i="3"/>
  <c r="C218" i="3"/>
  <c r="B218" i="3"/>
  <c r="I217" i="3"/>
  <c r="G217" i="3"/>
  <c r="C217" i="3"/>
  <c r="B217" i="3"/>
  <c r="I216" i="3"/>
  <c r="G216" i="3"/>
  <c r="C216" i="3"/>
  <c r="B216" i="3"/>
  <c r="I215" i="3"/>
  <c r="G215" i="3"/>
  <c r="C215" i="3"/>
  <c r="B215" i="3"/>
  <c r="I214" i="3"/>
  <c r="G214" i="3"/>
  <c r="C214" i="3"/>
  <c r="B214" i="3"/>
  <c r="I213" i="3"/>
  <c r="G213" i="3"/>
  <c r="C213" i="3"/>
  <c r="B213" i="3"/>
  <c r="I212" i="3"/>
  <c r="G212" i="3"/>
  <c r="C212" i="3"/>
  <c r="B212" i="3"/>
  <c r="I211" i="3"/>
  <c r="G211" i="3"/>
  <c r="C211" i="3"/>
  <c r="B211" i="3"/>
  <c r="I210" i="3"/>
  <c r="G210" i="3"/>
  <c r="C210" i="3"/>
  <c r="B210" i="3"/>
  <c r="I209" i="3"/>
  <c r="G209" i="3"/>
  <c r="C209" i="3"/>
  <c r="B209" i="3"/>
  <c r="I208" i="3"/>
  <c r="G208" i="3"/>
  <c r="C208" i="3"/>
  <c r="B208" i="3"/>
  <c r="I207" i="3"/>
  <c r="G207" i="3"/>
  <c r="C207" i="3"/>
  <c r="B207" i="3"/>
  <c r="I206" i="3"/>
  <c r="G206" i="3"/>
  <c r="C206" i="3"/>
  <c r="B206" i="3"/>
  <c r="I205" i="3"/>
  <c r="G205" i="3"/>
  <c r="C205" i="3"/>
  <c r="B205" i="3"/>
  <c r="I204" i="3"/>
  <c r="G204" i="3"/>
  <c r="C204" i="3"/>
  <c r="B204" i="3"/>
  <c r="I203" i="3"/>
  <c r="G203" i="3"/>
  <c r="C203" i="3"/>
  <c r="B203" i="3"/>
  <c r="I202" i="3"/>
  <c r="G202" i="3"/>
  <c r="C202" i="3"/>
  <c r="B202" i="3"/>
  <c r="I201" i="3"/>
  <c r="G201" i="3"/>
  <c r="C201" i="3"/>
  <c r="B201" i="3"/>
  <c r="I200" i="3"/>
  <c r="G200" i="3"/>
  <c r="C200" i="3"/>
  <c r="B200" i="3"/>
  <c r="I199" i="3"/>
  <c r="G199" i="3"/>
  <c r="C199" i="3"/>
  <c r="B199" i="3"/>
  <c r="I198" i="3"/>
  <c r="G198" i="3"/>
  <c r="C198" i="3"/>
  <c r="B198" i="3"/>
  <c r="I197" i="3"/>
  <c r="G197" i="3"/>
  <c r="C197" i="3"/>
  <c r="B197" i="3"/>
  <c r="I196" i="3"/>
  <c r="G196" i="3"/>
  <c r="C196" i="3"/>
  <c r="B196" i="3"/>
  <c r="I195" i="3"/>
  <c r="G195" i="3"/>
  <c r="C195" i="3"/>
  <c r="B195" i="3"/>
  <c r="I194" i="3"/>
  <c r="G194" i="3"/>
  <c r="C194" i="3"/>
  <c r="B194" i="3"/>
  <c r="I193" i="3"/>
  <c r="G193" i="3"/>
  <c r="C193" i="3"/>
  <c r="B193" i="3"/>
  <c r="I192" i="3"/>
  <c r="G192" i="3"/>
  <c r="C192" i="3"/>
  <c r="B192" i="3"/>
  <c r="I191" i="3"/>
  <c r="G191" i="3"/>
  <c r="C191" i="3"/>
  <c r="B191" i="3"/>
  <c r="I190" i="3"/>
  <c r="G190" i="3"/>
  <c r="C190" i="3"/>
  <c r="B190" i="3"/>
  <c r="I189" i="3"/>
  <c r="G189" i="3"/>
  <c r="C189" i="3"/>
  <c r="B189" i="3"/>
  <c r="I188" i="3"/>
  <c r="G188" i="3"/>
  <c r="C188" i="3"/>
  <c r="B188" i="3"/>
  <c r="I187" i="3"/>
  <c r="G187" i="3"/>
  <c r="C187" i="3"/>
  <c r="B187" i="3"/>
  <c r="I186" i="3"/>
  <c r="G186" i="3"/>
  <c r="C186" i="3"/>
  <c r="B186" i="3"/>
  <c r="I185" i="3"/>
  <c r="G185" i="3"/>
  <c r="C185" i="3"/>
  <c r="B185" i="3"/>
  <c r="I184" i="3"/>
  <c r="G184" i="3"/>
  <c r="C184" i="3"/>
  <c r="B184" i="3"/>
  <c r="I183" i="3"/>
  <c r="G183" i="3"/>
  <c r="C183" i="3"/>
  <c r="B183" i="3"/>
  <c r="I182" i="3"/>
  <c r="G182" i="3"/>
  <c r="C182" i="3"/>
  <c r="B182" i="3"/>
  <c r="I181" i="3"/>
  <c r="G181" i="3"/>
  <c r="C181" i="3"/>
  <c r="B181" i="3"/>
  <c r="I180" i="3"/>
  <c r="G180" i="3"/>
  <c r="C180" i="3"/>
  <c r="B180" i="3"/>
  <c r="I179" i="3"/>
  <c r="G179" i="3"/>
  <c r="C179" i="3"/>
  <c r="B179" i="3"/>
  <c r="I178" i="3"/>
  <c r="G178" i="3"/>
  <c r="C178" i="3"/>
  <c r="B178" i="3"/>
  <c r="I177" i="3"/>
  <c r="G177" i="3"/>
  <c r="C177" i="3"/>
  <c r="B177" i="3"/>
  <c r="I176" i="3"/>
  <c r="G176" i="3"/>
  <c r="C176" i="3"/>
  <c r="B176" i="3"/>
  <c r="I175" i="3"/>
  <c r="G175" i="3"/>
  <c r="C175" i="3"/>
  <c r="B175" i="3"/>
  <c r="I174" i="3"/>
  <c r="G174" i="3"/>
  <c r="C174" i="3"/>
  <c r="B174" i="3"/>
  <c r="I173" i="3"/>
  <c r="G173" i="3"/>
  <c r="C173" i="3"/>
  <c r="B173" i="3"/>
  <c r="I172" i="3"/>
  <c r="G172" i="3"/>
  <c r="C172" i="3"/>
  <c r="B172" i="3"/>
  <c r="I171" i="3"/>
  <c r="G171" i="3"/>
  <c r="C171" i="3"/>
  <c r="B171" i="3"/>
  <c r="I170" i="3"/>
  <c r="G170" i="3"/>
  <c r="C170" i="3"/>
  <c r="B170" i="3"/>
  <c r="I169" i="3"/>
  <c r="G169" i="3"/>
  <c r="C169" i="3"/>
  <c r="B169" i="3"/>
  <c r="I168" i="3"/>
  <c r="G168" i="3"/>
  <c r="C168" i="3"/>
  <c r="B168" i="3"/>
  <c r="I167" i="3"/>
  <c r="G167" i="3"/>
  <c r="C167" i="3"/>
  <c r="B167" i="3"/>
  <c r="I166" i="3"/>
  <c r="G166" i="3"/>
  <c r="C166" i="3"/>
  <c r="B166" i="3"/>
  <c r="I165" i="3"/>
  <c r="G165" i="3"/>
  <c r="C165" i="3"/>
  <c r="B165" i="3"/>
  <c r="I164" i="3"/>
  <c r="G164" i="3"/>
  <c r="C164" i="3"/>
  <c r="B164" i="3"/>
  <c r="I163" i="3"/>
  <c r="G163" i="3"/>
  <c r="C163" i="3"/>
  <c r="B163" i="3"/>
  <c r="I162" i="3"/>
  <c r="G162" i="3"/>
  <c r="C162" i="3"/>
  <c r="B162" i="3"/>
  <c r="I161" i="3"/>
  <c r="G161" i="3"/>
  <c r="C161" i="3"/>
  <c r="B161" i="3"/>
  <c r="I160" i="3"/>
  <c r="G160" i="3"/>
  <c r="C160" i="3"/>
  <c r="B160" i="3"/>
  <c r="I159" i="3"/>
  <c r="G159" i="3"/>
  <c r="C159" i="3"/>
  <c r="B159" i="3"/>
  <c r="I158" i="3"/>
  <c r="G158" i="3"/>
  <c r="C158" i="3"/>
  <c r="B158" i="3"/>
  <c r="I157" i="3"/>
  <c r="G157" i="3"/>
  <c r="C157" i="3"/>
  <c r="B157" i="3"/>
  <c r="I156" i="3"/>
  <c r="G156" i="3"/>
  <c r="C156" i="3"/>
  <c r="B156" i="3"/>
  <c r="I155" i="3"/>
  <c r="G155" i="3"/>
  <c r="C155" i="3"/>
  <c r="B155" i="3"/>
  <c r="I154" i="3"/>
  <c r="G154" i="3"/>
  <c r="C154" i="3"/>
  <c r="B154" i="3"/>
  <c r="I153" i="3"/>
  <c r="G153" i="3"/>
  <c r="C153" i="3"/>
  <c r="B153" i="3"/>
  <c r="I152" i="3"/>
  <c r="G152" i="3"/>
  <c r="C152" i="3"/>
  <c r="B152" i="3"/>
  <c r="I151" i="3"/>
  <c r="G151" i="3"/>
  <c r="C151" i="3"/>
  <c r="B151" i="3"/>
  <c r="I150" i="3"/>
  <c r="G150" i="3"/>
  <c r="C150" i="3"/>
  <c r="B150" i="3"/>
  <c r="I149" i="3"/>
  <c r="G149" i="3"/>
  <c r="C149" i="3"/>
  <c r="B149" i="3"/>
  <c r="I148" i="3"/>
  <c r="G148" i="3"/>
  <c r="C148" i="3"/>
  <c r="B148" i="3"/>
  <c r="I147" i="3"/>
  <c r="G147" i="3"/>
  <c r="C147" i="3"/>
  <c r="B147" i="3"/>
  <c r="I146" i="3"/>
  <c r="G146" i="3"/>
  <c r="C146" i="3"/>
  <c r="B146" i="3"/>
  <c r="I145" i="3"/>
  <c r="G145" i="3"/>
  <c r="C145" i="3"/>
  <c r="B145" i="3"/>
  <c r="I144" i="3"/>
  <c r="G144" i="3"/>
  <c r="C144" i="3"/>
  <c r="B144" i="3"/>
  <c r="I143" i="3"/>
  <c r="G143" i="3"/>
  <c r="C143" i="3"/>
  <c r="B143" i="3"/>
  <c r="I142" i="3"/>
  <c r="G142" i="3"/>
  <c r="C142" i="3"/>
  <c r="B142" i="3"/>
  <c r="I141" i="3"/>
  <c r="G141" i="3"/>
  <c r="C141" i="3"/>
  <c r="B141" i="3"/>
  <c r="I140" i="3"/>
  <c r="G140" i="3"/>
  <c r="C140" i="3"/>
  <c r="B140" i="3"/>
  <c r="I139" i="3"/>
  <c r="G139" i="3"/>
  <c r="C139" i="3"/>
  <c r="B139" i="3"/>
  <c r="I138" i="3"/>
  <c r="G138" i="3"/>
  <c r="C138" i="3"/>
  <c r="B138" i="3"/>
  <c r="I137" i="3"/>
  <c r="G137" i="3"/>
  <c r="C137" i="3"/>
  <c r="B137" i="3"/>
  <c r="I136" i="3"/>
  <c r="G136" i="3"/>
  <c r="C136" i="3"/>
  <c r="B136" i="3"/>
  <c r="I135" i="3"/>
  <c r="G135" i="3"/>
  <c r="C135" i="3"/>
  <c r="B135" i="3"/>
  <c r="I134" i="3"/>
  <c r="G134" i="3"/>
  <c r="C134" i="3"/>
  <c r="B134" i="3"/>
  <c r="I133" i="3"/>
  <c r="G133" i="3"/>
  <c r="C133" i="3"/>
  <c r="B133" i="3"/>
  <c r="I132" i="3"/>
  <c r="G132" i="3"/>
  <c r="C132" i="3"/>
  <c r="B132" i="3"/>
  <c r="I131" i="3"/>
  <c r="G131" i="3"/>
  <c r="C131" i="3"/>
  <c r="B131" i="3"/>
  <c r="I130" i="3"/>
  <c r="G130" i="3"/>
  <c r="C130" i="3"/>
  <c r="B130" i="3"/>
  <c r="I129" i="3"/>
  <c r="G129" i="3"/>
  <c r="C129" i="3"/>
  <c r="B129" i="3"/>
  <c r="I128" i="3"/>
  <c r="G128" i="3"/>
  <c r="C128" i="3"/>
  <c r="B128" i="3"/>
  <c r="I127" i="3"/>
  <c r="G127" i="3"/>
  <c r="C127" i="3"/>
  <c r="B127" i="3"/>
  <c r="I126" i="3"/>
  <c r="G126" i="3"/>
  <c r="C126" i="3"/>
  <c r="B126" i="3"/>
  <c r="I125" i="3"/>
  <c r="G125" i="3"/>
  <c r="C125" i="3"/>
  <c r="B125" i="3"/>
  <c r="I124" i="3"/>
  <c r="G124" i="3"/>
  <c r="C124" i="3"/>
  <c r="B124" i="3"/>
  <c r="I123" i="3"/>
  <c r="G123" i="3"/>
  <c r="C123" i="3"/>
  <c r="B123" i="3"/>
  <c r="I122" i="3"/>
  <c r="G122" i="3"/>
  <c r="C122" i="3"/>
  <c r="B122" i="3"/>
  <c r="I121" i="3"/>
  <c r="G121" i="3"/>
  <c r="C121" i="3"/>
  <c r="B121" i="3"/>
  <c r="I120" i="3"/>
  <c r="G120" i="3"/>
  <c r="C120" i="3"/>
  <c r="B120" i="3"/>
  <c r="I119" i="3"/>
  <c r="G119" i="3"/>
  <c r="C119" i="3"/>
  <c r="B119" i="3"/>
  <c r="I118" i="3"/>
  <c r="G118" i="3"/>
  <c r="C118" i="3"/>
  <c r="B118" i="3"/>
  <c r="I117" i="3"/>
  <c r="G117" i="3"/>
  <c r="C117" i="3"/>
  <c r="B117" i="3"/>
  <c r="I116" i="3"/>
  <c r="G116" i="3"/>
  <c r="C116" i="3"/>
  <c r="B116" i="3"/>
  <c r="I115" i="3"/>
  <c r="G115" i="3"/>
  <c r="C115" i="3"/>
  <c r="B115" i="3"/>
  <c r="I114" i="3"/>
  <c r="G114" i="3"/>
  <c r="C114" i="3"/>
  <c r="B114" i="3"/>
  <c r="I113" i="3"/>
  <c r="G113" i="3"/>
  <c r="C113" i="3"/>
  <c r="B113" i="3"/>
  <c r="I112" i="3"/>
  <c r="G112" i="3"/>
  <c r="C112" i="3"/>
  <c r="B112" i="3"/>
  <c r="I111" i="3"/>
  <c r="G111" i="3"/>
  <c r="C111" i="3"/>
  <c r="B111" i="3"/>
  <c r="I110" i="3"/>
  <c r="G110" i="3"/>
  <c r="C110" i="3"/>
  <c r="B110" i="3"/>
  <c r="I109" i="3"/>
  <c r="G109" i="3"/>
  <c r="C109" i="3"/>
  <c r="B109" i="3"/>
  <c r="I108" i="3"/>
  <c r="G108" i="3"/>
  <c r="C108" i="3"/>
  <c r="B108" i="3"/>
  <c r="I107" i="3"/>
  <c r="G107" i="3"/>
  <c r="C107" i="3"/>
  <c r="B107" i="3"/>
  <c r="I106" i="3"/>
  <c r="G106" i="3"/>
  <c r="C106" i="3"/>
  <c r="B106" i="3"/>
  <c r="I105" i="3"/>
  <c r="G105" i="3"/>
  <c r="C105" i="3"/>
  <c r="B105" i="3"/>
  <c r="I104" i="3"/>
  <c r="G104" i="3"/>
  <c r="C104" i="3"/>
  <c r="B104" i="3"/>
  <c r="I103" i="3"/>
  <c r="G103" i="3"/>
  <c r="C103" i="3"/>
  <c r="B103" i="3"/>
  <c r="I102" i="3"/>
  <c r="G102" i="3"/>
  <c r="C102" i="3"/>
  <c r="B102" i="3"/>
  <c r="I101" i="3"/>
  <c r="G101" i="3"/>
  <c r="C101" i="3"/>
  <c r="B101" i="3"/>
  <c r="I100" i="3"/>
  <c r="G100" i="3"/>
  <c r="C100" i="3"/>
  <c r="B100" i="3"/>
  <c r="I99" i="3"/>
  <c r="G99" i="3"/>
  <c r="C99" i="3"/>
  <c r="B99" i="3"/>
  <c r="I98" i="3"/>
  <c r="G98" i="3"/>
  <c r="C98" i="3"/>
  <c r="B98" i="3"/>
  <c r="I97" i="3"/>
  <c r="G97" i="3"/>
  <c r="C97" i="3"/>
  <c r="B97" i="3"/>
  <c r="I96" i="3"/>
  <c r="G96" i="3"/>
  <c r="C96" i="3"/>
  <c r="B96" i="3"/>
  <c r="I95" i="3"/>
  <c r="G95" i="3"/>
  <c r="C95" i="3"/>
  <c r="B95" i="3"/>
  <c r="I94" i="3"/>
  <c r="G94" i="3"/>
  <c r="C94" i="3"/>
  <c r="B94" i="3"/>
  <c r="I93" i="3"/>
  <c r="G93" i="3"/>
  <c r="C93" i="3"/>
  <c r="B93" i="3"/>
  <c r="I92" i="3"/>
  <c r="G92" i="3"/>
  <c r="C92" i="3"/>
  <c r="B92" i="3"/>
  <c r="I91" i="3"/>
  <c r="G91" i="3"/>
  <c r="C91" i="3"/>
  <c r="B91" i="3"/>
  <c r="I90" i="3"/>
  <c r="G90" i="3"/>
  <c r="C90" i="3"/>
  <c r="B90" i="3"/>
  <c r="I89" i="3"/>
  <c r="G89" i="3"/>
  <c r="C89" i="3"/>
  <c r="B89" i="3"/>
  <c r="I88" i="3"/>
  <c r="G88" i="3"/>
  <c r="C88" i="3"/>
  <c r="B88" i="3"/>
  <c r="I87" i="3"/>
  <c r="G87" i="3"/>
  <c r="C87" i="3"/>
  <c r="B87" i="3"/>
  <c r="I86" i="3"/>
  <c r="G86" i="3"/>
  <c r="C86" i="3"/>
  <c r="B86" i="3"/>
  <c r="I85" i="3"/>
  <c r="G85" i="3"/>
  <c r="C85" i="3"/>
  <c r="B85" i="3"/>
  <c r="I84" i="3"/>
  <c r="G84" i="3"/>
  <c r="C84" i="3"/>
  <c r="B84" i="3"/>
  <c r="I83" i="3"/>
  <c r="G83" i="3"/>
  <c r="C83" i="3"/>
  <c r="B83" i="3"/>
  <c r="I82" i="3"/>
  <c r="G82" i="3"/>
  <c r="C82" i="3"/>
  <c r="B82" i="3"/>
  <c r="I81" i="3"/>
  <c r="G81" i="3"/>
  <c r="C81" i="3"/>
  <c r="B81" i="3"/>
  <c r="I80" i="3"/>
  <c r="G80" i="3"/>
  <c r="C80" i="3"/>
  <c r="B80" i="3"/>
  <c r="I79" i="3"/>
  <c r="G79" i="3"/>
  <c r="C79" i="3"/>
  <c r="B79" i="3"/>
  <c r="I78" i="3"/>
  <c r="G78" i="3"/>
  <c r="C78" i="3"/>
  <c r="B78" i="3"/>
  <c r="I77" i="3"/>
  <c r="G77" i="3"/>
  <c r="C77" i="3"/>
  <c r="B77" i="3"/>
  <c r="G76" i="3"/>
  <c r="I76" i="3" s="1"/>
  <c r="C76" i="3"/>
  <c r="B76" i="3"/>
  <c r="G75" i="3"/>
  <c r="I75" i="3" s="1"/>
  <c r="C75" i="3"/>
  <c r="B75" i="3"/>
  <c r="I74" i="3"/>
  <c r="G74" i="3"/>
  <c r="C74" i="3"/>
  <c r="B74" i="3"/>
  <c r="G73" i="3"/>
  <c r="I73" i="3" s="1"/>
  <c r="C73" i="3"/>
  <c r="B73" i="3"/>
  <c r="G72" i="3"/>
  <c r="I72" i="3" s="1"/>
  <c r="C72" i="3"/>
  <c r="B72" i="3"/>
  <c r="G71" i="3"/>
  <c r="I71" i="3" s="1"/>
  <c r="C71" i="3"/>
  <c r="B71" i="3"/>
  <c r="I70" i="3"/>
  <c r="G70" i="3"/>
  <c r="C70" i="3"/>
  <c r="B70" i="3"/>
  <c r="G69" i="3"/>
  <c r="I69" i="3" s="1"/>
  <c r="C69" i="3"/>
  <c r="B69" i="3"/>
  <c r="I68" i="3"/>
  <c r="G68" i="3"/>
  <c r="C68" i="3"/>
  <c r="B68" i="3"/>
  <c r="G67" i="3"/>
  <c r="I67" i="3" s="1"/>
  <c r="C67" i="3"/>
  <c r="B67" i="3"/>
  <c r="I66" i="3"/>
  <c r="G66" i="3"/>
  <c r="C66" i="3"/>
  <c r="B66" i="3"/>
  <c r="I65" i="3"/>
  <c r="G65" i="3"/>
  <c r="C65" i="3"/>
  <c r="B65" i="3"/>
  <c r="G64" i="3"/>
  <c r="I64" i="3" s="1"/>
  <c r="C64" i="3"/>
  <c r="B64" i="3"/>
  <c r="G63" i="3"/>
  <c r="I63" i="3" s="1"/>
  <c r="C63" i="3"/>
  <c r="B63" i="3"/>
  <c r="I62" i="3"/>
  <c r="G62" i="3"/>
  <c r="C62" i="3"/>
  <c r="B62" i="3"/>
  <c r="G61" i="3"/>
  <c r="I61" i="3" s="1"/>
  <c r="C61" i="3"/>
  <c r="B61" i="3"/>
  <c r="I60" i="3"/>
  <c r="G60" i="3"/>
  <c r="C60" i="3"/>
  <c r="B60" i="3"/>
  <c r="G59" i="3"/>
  <c r="I59" i="3" s="1"/>
  <c r="C59" i="3"/>
  <c r="B59" i="3"/>
  <c r="G58" i="3"/>
  <c r="I58" i="3" s="1"/>
  <c r="C58" i="3"/>
  <c r="B58" i="3"/>
  <c r="I57" i="3"/>
  <c r="G57" i="3"/>
  <c r="C57" i="3"/>
  <c r="B57" i="3"/>
  <c r="G56" i="3"/>
  <c r="I56" i="3" s="1"/>
  <c r="C56" i="3"/>
  <c r="B56" i="3"/>
  <c r="G55" i="3"/>
  <c r="I55" i="3" s="1"/>
  <c r="C55" i="3"/>
  <c r="B55" i="3"/>
  <c r="G54" i="3"/>
  <c r="I54" i="3" s="1"/>
  <c r="C54" i="3"/>
  <c r="B54" i="3"/>
  <c r="I53" i="3"/>
  <c r="G53" i="3"/>
  <c r="C53" i="3"/>
  <c r="B53" i="3"/>
  <c r="G52" i="3"/>
  <c r="I52" i="3" s="1"/>
  <c r="C52" i="3"/>
  <c r="B52" i="3"/>
  <c r="G51" i="3"/>
  <c r="I51" i="3" s="1"/>
  <c r="C51" i="3"/>
  <c r="B51" i="3"/>
  <c r="I50" i="3"/>
  <c r="G50" i="3"/>
  <c r="C50" i="3"/>
  <c r="B50" i="3"/>
  <c r="I49" i="3"/>
  <c r="G49" i="3"/>
  <c r="C49" i="3"/>
  <c r="B49" i="3"/>
  <c r="I48" i="3"/>
  <c r="G48" i="3"/>
  <c r="C48" i="3"/>
  <c r="B48" i="3"/>
  <c r="G47" i="3"/>
  <c r="I47" i="3" s="1"/>
  <c r="C47" i="3"/>
  <c r="B47" i="3"/>
  <c r="G46" i="3"/>
  <c r="I46" i="3" s="1"/>
  <c r="C46" i="3"/>
  <c r="B46" i="3"/>
  <c r="I45" i="3"/>
  <c r="G45" i="3"/>
  <c r="C45" i="3"/>
  <c r="B45" i="3"/>
  <c r="G44" i="3"/>
  <c r="I44" i="3" s="1"/>
  <c r="C44" i="3"/>
  <c r="B44" i="3"/>
  <c r="G43" i="3"/>
  <c r="I43" i="3" s="1"/>
  <c r="C43" i="3"/>
  <c r="B43" i="3"/>
  <c r="G42" i="3"/>
  <c r="I42" i="3" s="1"/>
  <c r="C42" i="3"/>
  <c r="B42" i="3"/>
  <c r="G41" i="3"/>
  <c r="I41" i="3" s="1"/>
  <c r="C41" i="3"/>
  <c r="B41" i="3"/>
  <c r="I40" i="3"/>
  <c r="G40" i="3"/>
  <c r="C40" i="3"/>
  <c r="B40" i="3"/>
  <c r="G39" i="3"/>
  <c r="I39" i="3" s="1"/>
  <c r="C39" i="3"/>
  <c r="B39" i="3"/>
  <c r="I38" i="3"/>
  <c r="G38" i="3"/>
  <c r="C38" i="3"/>
  <c r="B38" i="3"/>
  <c r="G37" i="3"/>
  <c r="I37" i="3" s="1"/>
  <c r="C37" i="3"/>
  <c r="B37" i="3"/>
  <c r="I36" i="3"/>
  <c r="G36" i="3"/>
  <c r="C36" i="3"/>
  <c r="B36" i="3"/>
  <c r="G35" i="3"/>
  <c r="I35" i="3" s="1"/>
  <c r="C35" i="3"/>
  <c r="B35" i="3"/>
  <c r="G34" i="3"/>
  <c r="I34" i="3" s="1"/>
  <c r="C34" i="3"/>
  <c r="B34" i="3"/>
  <c r="I33" i="3"/>
  <c r="G33" i="3"/>
  <c r="C33" i="3"/>
  <c r="B33" i="3"/>
  <c r="I32" i="3"/>
  <c r="G32" i="3"/>
  <c r="C32" i="3"/>
  <c r="B32" i="3"/>
  <c r="G31" i="3"/>
  <c r="I31" i="3" s="1"/>
  <c r="C31" i="3"/>
  <c r="B31" i="3"/>
  <c r="I30" i="3"/>
  <c r="G30" i="3"/>
  <c r="C30" i="3"/>
  <c r="B30" i="3"/>
  <c r="G29" i="3"/>
  <c r="I29" i="3" s="1"/>
  <c r="C29" i="3"/>
  <c r="B29" i="3"/>
  <c r="I28" i="3"/>
  <c r="G28" i="3"/>
  <c r="C28" i="3"/>
  <c r="B28" i="3"/>
  <c r="G27" i="3"/>
  <c r="I27" i="3" s="1"/>
  <c r="C27" i="3"/>
  <c r="B27" i="3"/>
  <c r="G26" i="3"/>
  <c r="I26" i="3" s="1"/>
  <c r="C26" i="3"/>
  <c r="B26" i="3"/>
  <c r="G25" i="3"/>
  <c r="I25" i="3" s="1"/>
  <c r="C25" i="3"/>
  <c r="B25" i="3"/>
  <c r="G24" i="3"/>
  <c r="I24" i="3" s="1"/>
  <c r="C24" i="3"/>
  <c r="B24" i="3"/>
  <c r="G23" i="3"/>
  <c r="I23" i="3" s="1"/>
  <c r="C23" i="3"/>
  <c r="B23" i="3"/>
  <c r="G22" i="3"/>
  <c r="I22" i="3" s="1"/>
  <c r="C22" i="3"/>
  <c r="B22" i="3"/>
  <c r="I21" i="3"/>
  <c r="G21" i="3"/>
  <c r="C21" i="3"/>
  <c r="B21" i="3"/>
  <c r="G20" i="3"/>
  <c r="I20" i="3" s="1"/>
  <c r="C20" i="3"/>
  <c r="B20" i="3"/>
  <c r="G19" i="3"/>
  <c r="I19" i="3" s="1"/>
  <c r="C19" i="3"/>
  <c r="B19" i="3"/>
  <c r="I18" i="3"/>
  <c r="G18" i="3"/>
  <c r="C18" i="3"/>
  <c r="B18" i="3"/>
  <c r="G17" i="3"/>
  <c r="I17" i="3" s="1"/>
  <c r="C17" i="3"/>
  <c r="B17" i="3"/>
  <c r="I16" i="3"/>
  <c r="G16" i="3"/>
  <c r="C16" i="3"/>
  <c r="B16" i="3"/>
  <c r="E20" i="5" s="1"/>
  <c r="G15" i="3"/>
  <c r="I15" i="3" s="1"/>
  <c r="C15" i="3"/>
  <c r="B15" i="3"/>
  <c r="G14" i="3"/>
  <c r="I14" i="3" s="1"/>
  <c r="C14" i="3"/>
  <c r="B14" i="3"/>
  <c r="I13" i="3"/>
  <c r="G13" i="3"/>
  <c r="C13" i="3"/>
  <c r="B13" i="3"/>
  <c r="G12" i="3"/>
  <c r="I12" i="3" s="1"/>
  <c r="C12" i="3"/>
  <c r="B12" i="3"/>
  <c r="G11" i="3"/>
  <c r="I11" i="3" s="1"/>
  <c r="C11" i="3"/>
  <c r="B11" i="3"/>
  <c r="I10" i="3"/>
  <c r="G10" i="3"/>
  <c r="C10" i="3"/>
  <c r="B10" i="3"/>
  <c r="G9" i="3"/>
  <c r="I9" i="3" s="1"/>
  <c r="C9" i="3"/>
  <c r="B9" i="3"/>
  <c r="G8" i="3"/>
  <c r="I8" i="3" s="1"/>
  <c r="C8" i="3"/>
  <c r="B8" i="3"/>
  <c r="G7" i="3"/>
  <c r="I7" i="3" s="1"/>
  <c r="C7" i="3"/>
  <c r="B7" i="3"/>
  <c r="I6" i="3"/>
  <c r="G6" i="3"/>
  <c r="C6" i="3"/>
  <c r="B6" i="3"/>
  <c r="G5" i="3"/>
  <c r="I5" i="3" s="1"/>
  <c r="C5" i="3"/>
  <c r="B5" i="3"/>
  <c r="G4" i="3"/>
  <c r="I4" i="3" s="1"/>
  <c r="C4" i="3"/>
  <c r="B4" i="3"/>
  <c r="M19" i="6" s="1"/>
  <c r="B13" i="2"/>
  <c r="B5" i="2"/>
  <c r="L20" i="5" l="1"/>
  <c r="E13" i="5"/>
  <c r="E18" i="5"/>
  <c r="L18" i="5" s="1"/>
  <c r="E27" i="5"/>
  <c r="L27" i="5" s="1"/>
  <c r="L7" i="5"/>
  <c r="E8" i="5"/>
  <c r="D8" i="5"/>
  <c r="G35" i="4"/>
  <c r="E14" i="5"/>
  <c r="E23" i="5"/>
  <c r="J5" i="8"/>
  <c r="K7" i="8" s="1"/>
  <c r="L17" i="5"/>
  <c r="J11" i="8"/>
  <c r="K13" i="8" s="1"/>
  <c r="J17" i="8"/>
  <c r="K18" i="8" s="1"/>
  <c r="G17" i="5"/>
  <c r="F17" i="5"/>
  <c r="E15" i="5"/>
  <c r="E5" i="5"/>
  <c r="E24" i="5"/>
  <c r="E10" i="5"/>
  <c r="L24" i="5"/>
  <c r="J18" i="8"/>
  <c r="K20" i="8" s="1"/>
  <c r="I14" i="5"/>
  <c r="L21" i="5"/>
  <c r="D6" i="5"/>
  <c r="E11" i="5"/>
  <c r="I13" i="5" s="1"/>
  <c r="D11" i="5"/>
  <c r="E25" i="5"/>
  <c r="I27" i="5" s="1"/>
  <c r="L12" i="5"/>
  <c r="G17" i="6"/>
  <c r="C11" i="6"/>
  <c r="F18" i="6"/>
  <c r="F19" i="6"/>
  <c r="I16" i="6"/>
  <c r="K7" i="6"/>
  <c r="L15" i="6"/>
  <c r="N14" i="6"/>
  <c r="D20" i="6"/>
  <c r="E10" i="6"/>
  <c r="M6" i="6"/>
  <c r="I8" i="6"/>
  <c r="G9" i="6"/>
  <c r="K15" i="8"/>
  <c r="K21" i="8"/>
  <c r="J25" i="8"/>
  <c r="K27" i="8" s="1"/>
  <c r="K22" i="8"/>
  <c r="E6" i="5"/>
  <c r="E9" i="5"/>
  <c r="J6" i="6"/>
  <c r="H7" i="6"/>
  <c r="G8" i="6"/>
  <c r="E9" i="6"/>
  <c r="C10" i="6"/>
  <c r="M11" i="6"/>
  <c r="N13" i="6"/>
  <c r="L14" i="6"/>
  <c r="J15" i="6"/>
  <c r="G16" i="6"/>
  <c r="E17" i="6"/>
  <c r="D18" i="6"/>
  <c r="C19" i="6"/>
  <c r="N26" i="6"/>
  <c r="N27" i="6"/>
  <c r="M42" i="6"/>
  <c r="D20" i="5"/>
  <c r="D23" i="5"/>
  <c r="D26" i="5"/>
  <c r="K6" i="6"/>
  <c r="J7" i="6"/>
  <c r="H8" i="6"/>
  <c r="F9" i="6"/>
  <c r="D10" i="6"/>
  <c r="M14" i="6"/>
  <c r="K15" i="6"/>
  <c r="H16" i="6"/>
  <c r="F17" i="6"/>
  <c r="E18" i="6"/>
  <c r="D19" i="6"/>
  <c r="C20" i="6"/>
  <c r="L22" i="6"/>
  <c r="N42" i="6"/>
  <c r="L23" i="6"/>
  <c r="I23" i="6"/>
  <c r="D14" i="5"/>
  <c r="N6" i="6"/>
  <c r="L7" i="6"/>
  <c r="J8" i="6"/>
  <c r="H9" i="6"/>
  <c r="F10" i="6"/>
  <c r="D11" i="6"/>
  <c r="M15" i="6"/>
  <c r="J16" i="6"/>
  <c r="H17" i="6"/>
  <c r="G18" i="6"/>
  <c r="G19" i="6"/>
  <c r="F20" i="6"/>
  <c r="D21" i="6"/>
  <c r="O21" i="6" s="1"/>
  <c r="S21" i="6" s="1"/>
  <c r="C22" i="6"/>
  <c r="I24" i="6"/>
  <c r="F24" i="6"/>
  <c r="C37" i="6"/>
  <c r="L39" i="6"/>
  <c r="I39" i="6"/>
  <c r="B5" i="9"/>
  <c r="M7" i="6"/>
  <c r="K8" i="6"/>
  <c r="I9" i="6"/>
  <c r="G10" i="6"/>
  <c r="E11" i="6"/>
  <c r="C12" i="6"/>
  <c r="G13" i="6"/>
  <c r="N15" i="6"/>
  <c r="K16" i="6"/>
  <c r="I17" i="6"/>
  <c r="I18" i="6"/>
  <c r="I19" i="6"/>
  <c r="G20" i="6"/>
  <c r="E21" i="6"/>
  <c r="D22" i="6"/>
  <c r="C23" i="6"/>
  <c r="F25" i="6"/>
  <c r="C25" i="6"/>
  <c r="F36" i="6"/>
  <c r="P36" i="6" s="1"/>
  <c r="R36" i="6" s="1"/>
  <c r="D37" i="6"/>
  <c r="C38" i="6"/>
  <c r="I40" i="6"/>
  <c r="F40" i="6"/>
  <c r="D19" i="5"/>
  <c r="L8" i="6"/>
  <c r="J9" i="6"/>
  <c r="H10" i="6"/>
  <c r="F11" i="6"/>
  <c r="L16" i="6"/>
  <c r="J17" i="6"/>
  <c r="J18" i="6"/>
  <c r="J19" i="6"/>
  <c r="H20" i="6"/>
  <c r="F21" i="6"/>
  <c r="E22" i="6"/>
  <c r="D23" i="6"/>
  <c r="M28" i="6"/>
  <c r="J28" i="6"/>
  <c r="D38" i="6"/>
  <c r="F41" i="6"/>
  <c r="C41" i="6"/>
  <c r="J12" i="6"/>
  <c r="F10" i="4"/>
  <c r="F35" i="4" s="1"/>
  <c r="B12" i="2" s="1"/>
  <c r="D5" i="5"/>
  <c r="E16" i="5"/>
  <c r="D22" i="5"/>
  <c r="D25" i="5"/>
  <c r="M8" i="6"/>
  <c r="K9" i="6"/>
  <c r="I10" i="6"/>
  <c r="G11" i="6"/>
  <c r="E12" i="6"/>
  <c r="C13" i="6"/>
  <c r="D14" i="6"/>
  <c r="M16" i="6"/>
  <c r="L17" i="6"/>
  <c r="L18" i="6"/>
  <c r="K19" i="6"/>
  <c r="I20" i="6"/>
  <c r="G21" i="6"/>
  <c r="F22" i="6"/>
  <c r="E23" i="6"/>
  <c r="D24" i="6"/>
  <c r="O24" i="6" s="1"/>
  <c r="D25" i="6"/>
  <c r="D26" i="6"/>
  <c r="C27" i="6"/>
  <c r="J29" i="6"/>
  <c r="G29" i="6"/>
  <c r="O31" i="6"/>
  <c r="H36" i="6"/>
  <c r="O36" i="6" s="1"/>
  <c r="F37" i="6"/>
  <c r="E38" i="6"/>
  <c r="D39" i="6"/>
  <c r="O39" i="6" s="1"/>
  <c r="C40" i="6"/>
  <c r="E19" i="5"/>
  <c r="I21" i="5" s="1"/>
  <c r="E22" i="5"/>
  <c r="L22" i="5" s="1"/>
  <c r="L6" i="6"/>
  <c r="N8" i="6"/>
  <c r="L9" i="6"/>
  <c r="J10" i="6"/>
  <c r="H11" i="6"/>
  <c r="F12" i="6"/>
  <c r="D13" i="6"/>
  <c r="M17" i="6"/>
  <c r="M18" i="6"/>
  <c r="L19" i="6"/>
  <c r="J20" i="6"/>
  <c r="H21" i="6"/>
  <c r="P21" i="6" s="1"/>
  <c r="R21" i="6" s="1"/>
  <c r="G22" i="6"/>
  <c r="F23" i="6"/>
  <c r="E24" i="6"/>
  <c r="E25" i="6"/>
  <c r="E26" i="6"/>
  <c r="D27" i="6"/>
  <c r="C28" i="6"/>
  <c r="G30" i="6"/>
  <c r="D30" i="6"/>
  <c r="L34" i="6"/>
  <c r="K35" i="6"/>
  <c r="I36" i="6"/>
  <c r="G37" i="6"/>
  <c r="F38" i="6"/>
  <c r="E39" i="6"/>
  <c r="D40" i="6"/>
  <c r="D41" i="6"/>
  <c r="D42" i="6"/>
  <c r="P42" i="6" s="1"/>
  <c r="R42" i="6" s="1"/>
  <c r="I21" i="6"/>
  <c r="H22" i="6"/>
  <c r="G23" i="6"/>
  <c r="G24" i="6"/>
  <c r="G25" i="6"/>
  <c r="F26" i="6"/>
  <c r="E27" i="6"/>
  <c r="D28" i="6"/>
  <c r="J36" i="6"/>
  <c r="H37" i="6"/>
  <c r="G38" i="6"/>
  <c r="F39" i="6"/>
  <c r="P39" i="6" s="1"/>
  <c r="R39" i="6" s="1"/>
  <c r="E40" i="6"/>
  <c r="E41" i="6"/>
  <c r="E42" i="6"/>
  <c r="D16" i="5"/>
  <c r="M9" i="6"/>
  <c r="K10" i="6"/>
  <c r="I11" i="6"/>
  <c r="G12" i="6"/>
  <c r="E13" i="6"/>
  <c r="C14" i="6"/>
  <c r="N18" i="6"/>
  <c r="F11" i="4"/>
  <c r="D13" i="5"/>
  <c r="C6" i="6"/>
  <c r="I7" i="6"/>
  <c r="L10" i="6"/>
  <c r="J11" i="6"/>
  <c r="H12" i="6"/>
  <c r="F13" i="6"/>
  <c r="E14" i="6"/>
  <c r="L20" i="6"/>
  <c r="J21" i="6"/>
  <c r="I22" i="6"/>
  <c r="H23" i="6"/>
  <c r="H24" i="6"/>
  <c r="H25" i="6"/>
  <c r="G26" i="6"/>
  <c r="F27" i="6"/>
  <c r="E28" i="6"/>
  <c r="D29" i="6"/>
  <c r="C30" i="6"/>
  <c r="K36" i="6"/>
  <c r="I37" i="6"/>
  <c r="H38" i="6"/>
  <c r="G39" i="6"/>
  <c r="G40" i="6"/>
  <c r="G41" i="6"/>
  <c r="F42" i="6"/>
  <c r="D15" i="6"/>
  <c r="D7" i="5"/>
  <c r="D10" i="5"/>
  <c r="D6" i="6"/>
  <c r="M10" i="6"/>
  <c r="K11" i="6"/>
  <c r="I12" i="6"/>
  <c r="H13" i="6"/>
  <c r="F14" i="6"/>
  <c r="C15" i="6"/>
  <c r="N16" i="6"/>
  <c r="M20" i="6"/>
  <c r="K21" i="6"/>
  <c r="J22" i="6"/>
  <c r="J23" i="6"/>
  <c r="J24" i="6"/>
  <c r="I25" i="6"/>
  <c r="H26" i="6"/>
  <c r="G27" i="6"/>
  <c r="F28" i="6"/>
  <c r="L36" i="6"/>
  <c r="J37" i="6"/>
  <c r="I38" i="6"/>
  <c r="H39" i="6"/>
  <c r="H40" i="6"/>
  <c r="H41" i="6"/>
  <c r="G42" i="6"/>
  <c r="J8" i="8"/>
  <c r="J15" i="8"/>
  <c r="K17" i="8" s="1"/>
  <c r="B7" i="2"/>
  <c r="F23" i="4"/>
  <c r="L11" i="5"/>
  <c r="D21" i="5"/>
  <c r="D24" i="5"/>
  <c r="D27" i="5"/>
  <c r="E6" i="6"/>
  <c r="C7" i="6"/>
  <c r="F8" i="6"/>
  <c r="L11" i="6"/>
  <c r="K12" i="6"/>
  <c r="I13" i="6"/>
  <c r="G14" i="6"/>
  <c r="E15" i="6"/>
  <c r="L21" i="6"/>
  <c r="K22" i="6"/>
  <c r="K23" i="6"/>
  <c r="K24" i="6"/>
  <c r="J25" i="6"/>
  <c r="I26" i="6"/>
  <c r="H27" i="6"/>
  <c r="G28" i="6"/>
  <c r="F29" i="6"/>
  <c r="M36" i="6"/>
  <c r="K37" i="6"/>
  <c r="J38" i="6"/>
  <c r="J39" i="6"/>
  <c r="J40" i="6"/>
  <c r="I41" i="6"/>
  <c r="H42" i="6"/>
  <c r="E4" i="5"/>
  <c r="L4" i="5" s="1"/>
  <c r="D18" i="5"/>
  <c r="F6" i="6"/>
  <c r="D7" i="6"/>
  <c r="N11" i="6"/>
  <c r="L12" i="6"/>
  <c r="J13" i="6"/>
  <c r="H14" i="6"/>
  <c r="F15" i="6"/>
  <c r="C16" i="6"/>
  <c r="N17" i="6"/>
  <c r="K17" i="6"/>
  <c r="M21" i="6"/>
  <c r="M22" i="6"/>
  <c r="M23" i="6"/>
  <c r="L24" i="6"/>
  <c r="K25" i="6"/>
  <c r="J26" i="6"/>
  <c r="I27" i="6"/>
  <c r="H28" i="6"/>
  <c r="N36" i="6"/>
  <c r="L37" i="6"/>
  <c r="K38" i="6"/>
  <c r="K39" i="6"/>
  <c r="K40" i="6"/>
  <c r="J41" i="6"/>
  <c r="I42" i="6"/>
  <c r="D15" i="5"/>
  <c r="G6" i="6"/>
  <c r="E7" i="6"/>
  <c r="C8" i="6"/>
  <c r="C9" i="6"/>
  <c r="M12" i="6"/>
  <c r="K13" i="6"/>
  <c r="I14" i="6"/>
  <c r="G15" i="6"/>
  <c r="D16" i="6"/>
  <c r="K18" i="6"/>
  <c r="H18" i="6"/>
  <c r="N22" i="6"/>
  <c r="N23" i="6"/>
  <c r="M24" i="6"/>
  <c r="L25" i="6"/>
  <c r="K26" i="6"/>
  <c r="J27" i="6"/>
  <c r="I28" i="6"/>
  <c r="I29" i="6"/>
  <c r="I30" i="6"/>
  <c r="N33" i="6"/>
  <c r="K33" i="6"/>
  <c r="O33" i="6" s="1"/>
  <c r="M37" i="6"/>
  <c r="M38" i="6"/>
  <c r="M39" i="6"/>
  <c r="L40" i="6"/>
  <c r="K41" i="6"/>
  <c r="J42" i="6"/>
  <c r="N7" i="6"/>
  <c r="F24" i="4"/>
  <c r="D4" i="5"/>
  <c r="D12" i="5"/>
  <c r="H6" i="6"/>
  <c r="F7" i="6"/>
  <c r="D8" i="6"/>
  <c r="N12" i="6"/>
  <c r="L13" i="6"/>
  <c r="J14" i="6"/>
  <c r="H15" i="6"/>
  <c r="E16" i="6"/>
  <c r="C17" i="6"/>
  <c r="H19" i="6"/>
  <c r="E19" i="6"/>
  <c r="N24" i="6"/>
  <c r="M25" i="6"/>
  <c r="L26" i="6"/>
  <c r="K27" i="6"/>
  <c r="K28" i="6"/>
  <c r="K29" i="6"/>
  <c r="J30" i="6"/>
  <c r="K34" i="6"/>
  <c r="H34" i="6"/>
  <c r="P34" i="6" s="1"/>
  <c r="R34" i="6" s="1"/>
  <c r="N38" i="6"/>
  <c r="N39" i="6"/>
  <c r="M40" i="6"/>
  <c r="L41" i="6"/>
  <c r="K42" i="6"/>
  <c r="B6" i="2"/>
  <c r="D9" i="5"/>
  <c r="I6" i="6"/>
  <c r="G7" i="6"/>
  <c r="E8" i="6"/>
  <c r="D9" i="6"/>
  <c r="M13" i="6"/>
  <c r="K14" i="6"/>
  <c r="I15" i="6"/>
  <c r="F16" i="6"/>
  <c r="D17" i="6"/>
  <c r="C18" i="6"/>
  <c r="E20" i="6"/>
  <c r="N25" i="6"/>
  <c r="M26" i="6"/>
  <c r="L27" i="6"/>
  <c r="L28" i="6"/>
  <c r="L29" i="6"/>
  <c r="K30" i="6"/>
  <c r="H35" i="6"/>
  <c r="E35" i="6"/>
  <c r="O35" i="6" s="1"/>
  <c r="N40" i="6"/>
  <c r="M41" i="6"/>
  <c r="L42" i="6"/>
  <c r="J9" i="8"/>
  <c r="K11" i="8" s="1"/>
  <c r="O22" i="6" l="1"/>
  <c r="S22" i="6" s="1"/>
  <c r="P22" i="6"/>
  <c r="R22" i="6" s="1"/>
  <c r="P9" i="6"/>
  <c r="R9" i="6" s="1"/>
  <c r="O9" i="6"/>
  <c r="S9" i="6" s="1"/>
  <c r="K10" i="8"/>
  <c r="G26" i="5"/>
  <c r="F26" i="5"/>
  <c r="F6" i="5"/>
  <c r="G6" i="5"/>
  <c r="I7" i="5"/>
  <c r="L5" i="5"/>
  <c r="P10" i="6"/>
  <c r="R10" i="6" s="1"/>
  <c r="O10" i="6"/>
  <c r="S10" i="6" s="1"/>
  <c r="H44" i="6"/>
  <c r="G19" i="5"/>
  <c r="F19" i="5"/>
  <c r="J21" i="5" s="1"/>
  <c r="G20" i="5"/>
  <c r="F20" i="5"/>
  <c r="G8" i="5"/>
  <c r="F8" i="5"/>
  <c r="I10" i="5"/>
  <c r="L8" i="5"/>
  <c r="P41" i="6"/>
  <c r="R41" i="6" s="1"/>
  <c r="O41" i="6"/>
  <c r="F4" i="5"/>
  <c r="D29" i="5"/>
  <c r="G4" i="5"/>
  <c r="I25" i="5"/>
  <c r="L23" i="5"/>
  <c r="F9" i="5"/>
  <c r="G9" i="5"/>
  <c r="O29" i="6"/>
  <c r="P29" i="6"/>
  <c r="R29" i="6" s="1"/>
  <c r="P6" i="6"/>
  <c r="R6" i="6" s="1"/>
  <c r="C44" i="6"/>
  <c r="O6" i="6"/>
  <c r="O38" i="6"/>
  <c r="P38" i="6"/>
  <c r="R38" i="6" s="1"/>
  <c r="O12" i="6"/>
  <c r="S12" i="6" s="1"/>
  <c r="P12" i="6"/>
  <c r="R12" i="6" s="1"/>
  <c r="J44" i="6"/>
  <c r="P35" i="6"/>
  <c r="R35" i="6" s="1"/>
  <c r="L15" i="5"/>
  <c r="I17" i="5"/>
  <c r="I9" i="5"/>
  <c r="P11" i="6"/>
  <c r="R11" i="6" s="1"/>
  <c r="O11" i="6"/>
  <c r="S11" i="6" s="1"/>
  <c r="F15" i="5"/>
  <c r="G15" i="5"/>
  <c r="O13" i="6"/>
  <c r="S13" i="6" s="1"/>
  <c r="P13" i="6"/>
  <c r="R13" i="6" s="1"/>
  <c r="P16" i="6"/>
  <c r="R16" i="6" s="1"/>
  <c r="O16" i="6"/>
  <c r="S16" i="6" s="1"/>
  <c r="F13" i="5"/>
  <c r="G13" i="5"/>
  <c r="I11" i="5"/>
  <c r="K9" i="8"/>
  <c r="L9" i="5"/>
  <c r="I16" i="5"/>
  <c r="L14" i="5"/>
  <c r="P33" i="6"/>
  <c r="R33" i="6" s="1"/>
  <c r="B9" i="2"/>
  <c r="B8" i="2"/>
  <c r="P7" i="6"/>
  <c r="R7" i="6" s="1"/>
  <c r="O7" i="6"/>
  <c r="P27" i="6"/>
  <c r="R27" i="6" s="1"/>
  <c r="O27" i="6"/>
  <c r="I8" i="5"/>
  <c r="L25" i="5"/>
  <c r="P8" i="6"/>
  <c r="R8" i="6" s="1"/>
  <c r="O8" i="6"/>
  <c r="P15" i="6"/>
  <c r="R15" i="6" s="1"/>
  <c r="O15" i="6"/>
  <c r="S15" i="6" s="1"/>
  <c r="I44" i="6"/>
  <c r="P30" i="6"/>
  <c r="R30" i="6" s="1"/>
  <c r="O30" i="6"/>
  <c r="P20" i="6"/>
  <c r="R20" i="6" s="1"/>
  <c r="O20" i="6"/>
  <c r="S20" i="6" s="1"/>
  <c r="E44" i="6"/>
  <c r="O34" i="6"/>
  <c r="O26" i="6"/>
  <c r="P26" i="6"/>
  <c r="R26" i="6" s="1"/>
  <c r="P24" i="6"/>
  <c r="R24" i="6" s="1"/>
  <c r="G44" i="6"/>
  <c r="P17" i="6"/>
  <c r="R17" i="6" s="1"/>
  <c r="O17" i="6"/>
  <c r="S17" i="6" s="1"/>
  <c r="G27" i="5"/>
  <c r="F27" i="5"/>
  <c r="D44" i="6"/>
  <c r="P14" i="6"/>
  <c r="R14" i="6" s="1"/>
  <c r="O14" i="6"/>
  <c r="S14" i="6" s="1"/>
  <c r="P25" i="6"/>
  <c r="R25" i="6" s="1"/>
  <c r="O25" i="6"/>
  <c r="P19" i="6"/>
  <c r="R19" i="6" s="1"/>
  <c r="O19" i="6"/>
  <c r="S19" i="6" s="1"/>
  <c r="K16" i="8"/>
  <c r="F11" i="5"/>
  <c r="L19" i="5"/>
  <c r="F10" i="5"/>
  <c r="J12" i="5" s="1"/>
  <c r="P28" i="6"/>
  <c r="R28" i="6" s="1"/>
  <c r="O28" i="6"/>
  <c r="G25" i="5"/>
  <c r="F25" i="5"/>
  <c r="J27" i="5" s="1"/>
  <c r="M44" i="6"/>
  <c r="I12" i="5"/>
  <c r="L10" i="5"/>
  <c r="K19" i="8"/>
  <c r="I20" i="5"/>
  <c r="G12" i="5"/>
  <c r="F12" i="5"/>
  <c r="G21" i="5"/>
  <c r="F21" i="5"/>
  <c r="G7" i="5"/>
  <c r="F7" i="5"/>
  <c r="G22" i="5"/>
  <c r="F22" i="5"/>
  <c r="J24" i="5" s="1"/>
  <c r="P23" i="6"/>
  <c r="R23" i="6" s="1"/>
  <c r="O23" i="6"/>
  <c r="B16" i="2"/>
  <c r="L13" i="5"/>
  <c r="I15" i="5"/>
  <c r="G23" i="5"/>
  <c r="F23" i="5"/>
  <c r="G24" i="5"/>
  <c r="F24" i="5"/>
  <c r="J26" i="5" s="1"/>
  <c r="L44" i="6"/>
  <c r="L16" i="5"/>
  <c r="I18" i="5"/>
  <c r="I19" i="5"/>
  <c r="L6" i="5"/>
  <c r="P18" i="6"/>
  <c r="R18" i="6" s="1"/>
  <c r="O18" i="6"/>
  <c r="S18" i="6" s="1"/>
  <c r="F44" i="6"/>
  <c r="I24" i="5"/>
  <c r="G5" i="5"/>
  <c r="F5" i="5"/>
  <c r="J7" i="5" s="1"/>
  <c r="K26" i="8"/>
  <c r="K25" i="8"/>
  <c r="I23" i="5"/>
  <c r="G18" i="5"/>
  <c r="F18" i="5"/>
  <c r="J20" i="5" s="1"/>
  <c r="O37" i="6"/>
  <c r="P37" i="6"/>
  <c r="R37" i="6" s="1"/>
  <c r="N44" i="6"/>
  <c r="K8" i="8"/>
  <c r="K12" i="8"/>
  <c r="B7" i="9"/>
  <c r="B8" i="9"/>
  <c r="E29" i="5"/>
  <c r="I6" i="5"/>
  <c r="B14" i="2"/>
  <c r="G16" i="5"/>
  <c r="F16" i="5"/>
  <c r="O42" i="6"/>
  <c r="P40" i="6"/>
  <c r="R40" i="6" s="1"/>
  <c r="O40" i="6"/>
  <c r="F14" i="5"/>
  <c r="J16" i="5" s="1"/>
  <c r="G14" i="5"/>
  <c r="K44" i="6"/>
  <c r="I26" i="5"/>
  <c r="I22" i="5"/>
  <c r="J17" i="5" l="1"/>
  <c r="J11" i="5"/>
  <c r="J6" i="5"/>
  <c r="F29" i="5"/>
  <c r="G29" i="5" s="1"/>
  <c r="B6" i="9"/>
  <c r="B13" i="9" s="1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B15" i="2"/>
  <c r="J25" i="5"/>
  <c r="J18" i="5"/>
  <c r="J8" i="5"/>
  <c r="D29" i="9"/>
  <c r="D28" i="9"/>
  <c r="D27" i="9"/>
  <c r="D26" i="9"/>
  <c r="D25" i="9"/>
  <c r="D19" i="9"/>
  <c r="D18" i="9"/>
  <c r="D24" i="9"/>
  <c r="D17" i="9"/>
  <c r="D23" i="9"/>
  <c r="D22" i="9"/>
  <c r="D21" i="9"/>
  <c r="D20" i="9"/>
  <c r="J15" i="5"/>
  <c r="J9" i="5"/>
  <c r="G10" i="5"/>
  <c r="J19" i="5"/>
  <c r="O44" i="6"/>
  <c r="J10" i="5"/>
  <c r="B21" i="2"/>
  <c r="B20" i="2"/>
  <c r="J23" i="5"/>
  <c r="J13" i="5"/>
  <c r="G11" i="5"/>
  <c r="J22" i="5"/>
  <c r="J14" i="5"/>
  <c r="C26" i="9" l="1"/>
  <c r="C20" i="9"/>
  <c r="C25" i="9"/>
  <c r="C19" i="9"/>
  <c r="C18" i="9"/>
  <c r="C17" i="9"/>
  <c r="C24" i="9"/>
  <c r="C29" i="9"/>
  <c r="B17" i="2" s="1"/>
  <c r="C23" i="9"/>
  <c r="C28" i="9"/>
  <c r="C22" i="9"/>
  <c r="C27" i="9"/>
  <c r="C2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Beispielwerte von Claude eingetragen, damit das Format klar ist. Einfach überschreiben.</t>
        </r>
      </text>
    </comment>
  </commentList>
</comments>
</file>

<file path=xl/sharedStrings.xml><?xml version="1.0" encoding="utf-8"?>
<sst xmlns="http://schemas.openxmlformats.org/spreadsheetml/2006/main" count="523" uniqueCount="328">
  <si>
    <t>Finanzplaner – Anleitung</t>
  </si>
  <si>
    <t>Erstellt für Sarah · Alle Beträge in Euro (€)</t>
  </si>
  <si>
    <t>So funktioniert die Datei</t>
  </si>
  <si>
    <t>1. Einstellungen</t>
  </si>
  <si>
    <t>Zuerst hier deine Kategorien anpassen und pro Ausgabenkategorie ein Monatsbudget eintragen. Auch Konten/Zahlungsarten stehen hier. Alles, was du hier änderst, wirkt sich automatisch auf alle anderen Blätter aus.</t>
  </si>
  <si>
    <t>2. Buchungen</t>
  </si>
  <si>
    <t>Das Herzstück: jede einzelne Einnahme und Ausgabe als eigene Zeile. Nur Datum, Kategorie, Beschreibung, Betrag und Konto eintragen – Jahr, Monat, Typ und Vorzeichen rechnet die Datei selbst. Beträge immer POSITIV eintragen, ob Einnahme oder Ausgabe.</t>
  </si>
  <si>
    <t>3. Fixkosten</t>
  </si>
  <si>
    <t>Deine wiederkehrenden Kosten (Miete, Versicherungen, Abos …) mit Rhythmus. Die Datei rechnet jährliche und vierteljährliche Posten auf einen Monatswert um, damit du deine echte monatliche Grundlast siehst.</t>
  </si>
  <si>
    <t>4. Monatsübersicht</t>
  </si>
  <si>
    <t>Automatische Auswertung pro Monat: Einnahmen, Ausgaben, Saldo, Sparquote, kumulierter Saldo und gleitende 3-Monats-Durchschnitte. Hier musst du nichts eintragen.</t>
  </si>
  <si>
    <t>5. Kategorien</t>
  </si>
  <si>
    <t>Kreuztabelle Kategorie × Monat für ein wählbares Jahr, inklusive Vergleich gegen dein Budget. Das Jahr oben (gelbe Zelle) einstellen.</t>
  </si>
  <si>
    <t>6. Sparziele</t>
  </si>
  <si>
    <t>Ziele mit Zielbetrag und monatlicher Rate. Fortschrittsbalken und voraussichtliches Zieldatum werden berechnet.</t>
  </si>
  <si>
    <t>7. Vermögen</t>
  </si>
  <si>
    <t>Einmal im Monat die Kontostände eintragen. Daraus entstehen Nettovermögen, Veränderung und Trend.</t>
  </si>
  <si>
    <t>8. Prognose</t>
  </si>
  <si>
    <t>Hochrechnung deines Vermögens für die nächsten 12 Monate auf Basis deiner tatsächlichen Sparrate, plus linearer Ausgabentrend. Braucht mindestens 3–6 Monate echte Daten, um sinnvoll zu sein.</t>
  </si>
  <si>
    <t>9. Dashboard</t>
  </si>
  <si>
    <t>Kennzahlen des laufenden Monats und die wichtigsten Grafiken auf einen Blick.</t>
  </si>
  <si>
    <t>Farblegende</t>
  </si>
  <si>
    <t>Blaue Schrift</t>
  </si>
  <si>
    <t>Fest eingetragene Werte – hier darfst du tippen.</t>
  </si>
  <si>
    <t>Gelb hinterlegt</t>
  </si>
  <si>
    <t>Zellen, die du ausfüllen bzw. anpassen solltest.</t>
  </si>
  <si>
    <t>Schwarze Schrift</t>
  </si>
  <si>
    <t>Berechnete Formeln – bitte nicht überschreiben.</t>
  </si>
  <si>
    <t>Grüne Schrift</t>
  </si>
  <si>
    <t>Verweis auf ein anderes Blatt – ebenfalls Formel.</t>
  </si>
  <si>
    <t>Wichtige Hinweise</t>
  </si>
  <si>
    <t>Beispielzeilen</t>
  </si>
  <si>
    <t>In Buchungen, Fixkosten und Sparziele steht je eine graue, kursive BEISPIEL-Zeile als Formatvorlage. Einfach überschreiben oder löschen (Zeileninhalt löschen, nicht die ganze Zeile entfernen – sonst gehen Formeln verloren).</t>
  </si>
  <si>
    <t>Zeitraum</t>
  </si>
  <si>
    <t>Monatsübersicht, Vermögen und Prognose sind auf Januar 2026 bis Dezember 2027 ausgelegt. Buchungen fasst 1.000 Zeilen.</t>
  </si>
  <si>
    <t>Sparen als Kategorie</t>
  </si>
  <si>
    <t>Überweisungen auf dein Tagesgeld sind KEINE Ausgabe – sonst wird die Sparquote doppelt gezählt. Sparen bildest du über die Blätter Sparziele und Vermögen ab.</t>
  </si>
  <si>
    <t>Erweitern</t>
  </si>
  <si>
    <t>Neue Kategorie? Einfach in Einstellungen in eine freie Zeile (bis Zeile 40) schreiben – Dropdowns und Auswertungen ziehen automatisch nach.</t>
  </si>
  <si>
    <t>Dashboard</t>
  </si>
  <si>
    <t>Kennzahlen des laufenden Monats · alles automatisch berechnet</t>
  </si>
  <si>
    <t>Laufender Monat</t>
  </si>
  <si>
    <t>Aktueller Monat</t>
  </si>
  <si>
    <t>Einnahmen</t>
  </si>
  <si>
    <t>Ausgaben</t>
  </si>
  <si>
    <t>Saldo</t>
  </si>
  <si>
    <t>Sparquote</t>
  </si>
  <si>
    <t>Struktur &amp; Durchschnitte</t>
  </si>
  <si>
    <t>Fixkosten pro Monat</t>
  </si>
  <si>
    <t>Budget gesamt pro Monat</t>
  </si>
  <si>
    <t>Ø Ausgaben (Monate mit Daten)</t>
  </si>
  <si>
    <t>Ø Sparrate (Monate mit Daten)</t>
  </si>
  <si>
    <t>Nettovermögen aktuell</t>
  </si>
  <si>
    <t>Prognose Vermögen in 12 Monaten</t>
  </si>
  <si>
    <t>Top-Ausgabenkategorie (Jahr laut Blatt Kategorien)</t>
  </si>
  <si>
    <t>Kategorie</t>
  </si>
  <si>
    <t>Betrag</t>
  </si>
  <si>
    <t>Alle Zahlen aktualisieren sich, sobald du im Blatt Buchungen neue Zeilen erfasst.</t>
  </si>
  <si>
    <t>Buchungen</t>
  </si>
  <si>
    <t>Jede Einnahme und Ausgabe als eigene Zeile · Beträge immer positiv eintragen</t>
  </si>
  <si>
    <t>Datum</t>
  </si>
  <si>
    <t>Jahr</t>
  </si>
  <si>
    <t>Monat</t>
  </si>
  <si>
    <t>Beschreibung</t>
  </si>
  <si>
    <t>Betrag (€)</t>
  </si>
  <si>
    <t>Typ</t>
  </si>
  <si>
    <t>Konto</t>
  </si>
  <si>
    <t>Wirkung (€)</t>
  </si>
  <si>
    <t>Import-ID</t>
  </si>
  <si>
    <t>Lebensmittel</t>
  </si>
  <si>
    <t>BEISPIEL – Zeile überschreiben oder Inhalt löschen</t>
  </si>
  <si>
    <t>Girokonto</t>
  </si>
  <si>
    <t>Sonstiges</t>
  </si>
  <si>
    <t>Entgeltabrechnung siehe Anlage Abrechnung 30.06.2026 Information zur Abrechnung Entgelte vom 26.06.2026 bis 30.06.2026 0,48- Grundpreis (Kontoführung) 0,48- Abrechnung 30.06.2026 0,48- Es handelt sich</t>
  </si>
  <si>
    <t>59b57f954c8fd10b</t>
  </si>
  <si>
    <t>Restaurant &amp; Lieferdienst</t>
  </si>
  <si>
    <t>Lieferando.de lieferse/Oosterdoksstraat 80/Amsterdam/NL/1 – 2026-07-11T13:52 Debitk.10 2030-12 Zahl.System DebitMastercard</t>
  </si>
  <si>
    <t>c758ba4c1bd191bd</t>
  </si>
  <si>
    <t>Lieferando.de/Oosterdoksstraat 80/Amsterdam/NL – 2026-07-13T21:25 Debitk.10 2030-12</t>
  </si>
  <si>
    <t>4b7ba1a15f3261de</t>
  </si>
  <si>
    <t>Sonstige Einnahmen</t>
  </si>
  <si>
    <t>Sarah-Luise Maxara</t>
  </si>
  <si>
    <t>5272ed3d5f242ea9</t>
  </si>
  <si>
    <t>Sarah-Luise Maxara – Konto 146387097 Ausgleich des Kontosaldos wegen Kontoauflösung</t>
  </si>
  <si>
    <t>8133c60b7c9b8cc5</t>
  </si>
  <si>
    <t>Strom &amp; Internet</t>
  </si>
  <si>
    <t>MARVIN LISKATIN UND SARAH M AXARA – DATUM 30.07.2026, 11.23 UHR</t>
  </si>
  <si>
    <t>e4d39054a67ebdca</t>
  </si>
  <si>
    <t>01044 MCDONALDS//DUESSELDORF/DE – 2026-07-29T23:06 Debitk.10 2030-12</t>
  </si>
  <si>
    <t>9477000bb0038ab8</t>
  </si>
  <si>
    <t>Barbara Maxara – Mtl Auto und Semesterbeitrag</t>
  </si>
  <si>
    <t>35b94d6e6ec7f9af</t>
  </si>
  <si>
    <t>Lieferando.de/Oosterdoksstraat 80/Amsterdam/NL – 2026-07-30T20:55 Debitk.10 2030-12</t>
  </si>
  <si>
    <t>b384d6a4f23a5ef9</t>
  </si>
  <si>
    <t>NETTO MARKEN-DISCOU/DORFSTR. 26/MEERBUSCH/DE – 2026-07-30T16:58 Debitk.0 2030-12</t>
  </si>
  <si>
    <t>66d68658b603bbe8</t>
  </si>
  <si>
    <t>Marvin Liskatin – Döner</t>
  </si>
  <si>
    <t>635443a001368929</t>
  </si>
  <si>
    <t>Gesundheit &amp; Drogerie</t>
  </si>
  <si>
    <t>MAURITIUS-APOTHEKE//MEERBUSCH/DE – 2026-07-31T10:35 Debitk.0 2030-12</t>
  </si>
  <si>
    <t>12fd6bb9bfa2f49a</t>
  </si>
  <si>
    <t>Entgeltabrechnung siehe Anlage Abrechnung 31.07.2026 Information zur Abrechnung Entgelte vom 01.07.2026 bis 31.07.2026 2,90- Grundpreis (Kontoführung) 2,90- Abrechnung 31.07.2026 2,90- Es handelt sich</t>
  </si>
  <si>
    <t>2ecb082e57dc8599</t>
  </si>
  <si>
    <t>PayPal Europe S.a.r.l. et Cie S.C.A – 1052111042219/ADD TO BALANCE</t>
  </si>
  <si>
    <t>c80871e39e7dec19</t>
  </si>
  <si>
    <t>PayPal Europe S.a.r.l. et Cie S.C.A – 1052102161441/. Uber, Ihr Einkauf bei Uber</t>
  </si>
  <si>
    <t>2e347f47106008f3</t>
  </si>
  <si>
    <t>PayPal Europe S.a.r.l. et Cie S.C.A – 1052076370269/PP.8864.PP/. TicketPAY Europe GmbH, Ihr Einkauf bei TicketPAY Europe GmbH</t>
  </si>
  <si>
    <t>0e335dec2de13a33</t>
  </si>
  <si>
    <t>EDEKA RATH//MEERBUSCH/DE – 2026-08-04T20:15 Debitk.10 2030-12</t>
  </si>
  <si>
    <t>8350657f3ef825f2</t>
  </si>
  <si>
    <t>NETTO MARKEN-DISCOU/DORFSTR. 26/MEERBUSCH/DE – 2026-08-04T20:09 Debitk.10 2030-12</t>
  </si>
  <si>
    <t>15bf2f56bffbbf9e</t>
  </si>
  <si>
    <t>ELAN Service Station//MEERBUSCH/DE – 2026-08-05T08:47 Debitk.10 2030-12</t>
  </si>
  <si>
    <t>555db4f91f8d3f59</t>
  </si>
  <si>
    <t>AMAZON PAYMENTS EUROPE S.C.A. – 302-5923538-5493165 AMZN Mktp DE 7JDBS6LO4HSVQ8WV</t>
  </si>
  <si>
    <t>5918d53fb2826b48</t>
  </si>
  <si>
    <t>AMAZON PAYMENTS EUROPE S.C.A. – 302-8406191-1204311 AMZN Mktp DE 1K8G0XEQL1NNFFQK</t>
  </si>
  <si>
    <t>0beb58d716dc60d6</t>
  </si>
  <si>
    <t>Versicherungen</t>
  </si>
  <si>
    <t>BARMER – R539331365 Sarah-Luise Maxara</t>
  </si>
  <si>
    <t>a1ee1eb474285d7a</t>
  </si>
  <si>
    <t>PayPal (Europe) S.a r.l. et Cie, S.C.A. – 1052151943749 PP.8864.PP . PayPal (Europe) S.a r.l. et Cie, SCA, Ihr Einkauf bei PayPal (Europe) S.a r.l. et Cie, SCA</t>
  </si>
  <si>
    <t>03de1496b893bede</t>
  </si>
  <si>
    <t>Lieferando.de/Oosterdoksstraat 80/Amsterdam/NL – 2026-08-06T15:53 Debitk.10 2030-12</t>
  </si>
  <si>
    <t>c386aa2ad13be636</t>
  </si>
  <si>
    <t>IS24/Andreasstr. 10/Berlin/DE/0 – 2026-08-08T04:02 Debitk.10 2030-12 Zahl.System DebitMastercard</t>
  </si>
  <si>
    <t>2a9f30f5ef160a4d</t>
  </si>
  <si>
    <t>eabca850aea00b59</t>
  </si>
  <si>
    <t>d1e8c93817b2cd0a</t>
  </si>
  <si>
    <t>PayPal Europe S.a.r.l. et Cie S.C.A – 1052267752841/PP.8864.PP/. Apple Services, Ihr Einkauf bei Apple Services</t>
  </si>
  <si>
    <t>db7f357878a16fc6</t>
  </si>
  <si>
    <t>AMAZON EU S.A R.L., NIEDERLASSUNG DEUTSCHLAND – D01-1915392-5131826 AMZNPrime DE 6MKZBXA67367QM4J</t>
  </si>
  <si>
    <t>5019a8cd07b8ce07</t>
  </si>
  <si>
    <t>AMAZON EU S.A R.L., NIEDERLASSUNG DEUTSCHLAND – 302-7341732-7320338 Amazon.de 3JPVTU5JHLQ24ZQ5</t>
  </si>
  <si>
    <t>11a61e70778cc5bb</t>
  </si>
  <si>
    <t>AMAZON PAYMENTS EUROPE S.C.A. – 302-9235263-5052329 AMZN Mktp DE T0OMEZX9TDTQIGKD</t>
  </si>
  <si>
    <t>f095be4fff3e266f</t>
  </si>
  <si>
    <t>AMAZON PAYMENTS EUROPE S.C.A. – 302-6854040-8659554 AMZN Mktp DE 3JRQTN8QK2O98ZW4</t>
  </si>
  <si>
    <t>aa2b9fbec68a85c4</t>
  </si>
  <si>
    <t>AMAZON EU S.A R.L., NIEDERLASSUNG DEUTSCHLAND – 302-2452863-0084359 Amazon.de 2U6OBDIHZNXC57U2</t>
  </si>
  <si>
    <t>2902dac2d3690d4c</t>
  </si>
  <si>
    <t>AMAZON PAYMENTS EUROPE S.C.A. – 302-9611631-0573953 AMZN Mktp DE 39CNURA9EVAQ32UQ</t>
  </si>
  <si>
    <t>937b2a4aa33cf902</t>
  </si>
  <si>
    <t>AMAZON PAYMENTS EUROPE S.C.A. – 302-3021219-5917909 AMZN Mktp DE 1S7SOFW0QKAIMKTC</t>
  </si>
  <si>
    <t>fc6cd2a1106f7860</t>
  </si>
  <si>
    <t>AMAZON PAYMENTS EUROPE S.C.A. – 302-2016145-8763544 AMZN Mktp DE 5WE2S4D6XM5MCMWK</t>
  </si>
  <si>
    <t>d9c97a54b9b6a337</t>
  </si>
  <si>
    <t>PayPal (Europe) S.a r.l. et Cie, S.C.A. – 1052283824358 PP.8864.PP . PayPal (Europe) S.a r.l. et Cie, SCA, Ihr Einkauf bei PayPal (Europe) S.a r.l. et Cie, SCA</t>
  </si>
  <si>
    <t>d19db57716379d26</t>
  </si>
  <si>
    <t>Rechnung Rückgabe Lastschrift über 9,43 EUR Einreicher: AMAZON PAYMENTS EUROPE S.C. Verwendungszweck: 302-3021219-5917909 AMZN Mk 20260812-RL002-00040012726</t>
  </si>
  <si>
    <t>6c1450076dfa7751</t>
  </si>
  <si>
    <t>5100fe01fe63e1ac</t>
  </si>
  <si>
    <t>Rechnung Rückgabe Lastschrift über 8,95 EUR Einreicher: AMAZON PAYMENTS EUROPE S.C. Verwendungszweck: 302-9611631-0573953 AMZN Mk 20260812-RL002-00040012725</t>
  </si>
  <si>
    <t>3b430f5f48925632</t>
  </si>
  <si>
    <t>fe05f47c06169477</t>
  </si>
  <si>
    <t>Rechnung Rückgabe Lastschrift über 28,80 EUR Einreicher: AMAZON EU S.A R.L., NIEDERL Verwendungszweck: 302-2452863-0084359 Amazon. 20260812-RL002-00040012724</t>
  </si>
  <si>
    <t>4a58020aef16567b</t>
  </si>
  <si>
    <t>67c8038966bbb872</t>
  </si>
  <si>
    <t>Rechnung Rückgabe Lastschrift über 13,99 EUR Einreicher: AMAZON PAYMENTS EUROPE S.C. Verwendungszweck: 302-6854040-8659554 AMZN Mk 20260812-RL002-00040012723</t>
  </si>
  <si>
    <t>5e62bbc25a1c105f</t>
  </si>
  <si>
    <t>918fb883e4a239b6</t>
  </si>
  <si>
    <t>Rechnung Rückgabe Lastschrift über 9,90 EUR Einreicher: AMAZON PAYMENTS EUROPE S.C. Verwendungszweck: 302-9235263-5052329 AMZN Mk 20260812-RL002-00040012722</t>
  </si>
  <si>
    <t>ad8257856bad10e3</t>
  </si>
  <si>
    <t>f625d2d7cbe23460</t>
  </si>
  <si>
    <t>Rechnung Rückgabe Lastschrift über 4,68 EUR Einreicher: AMAZON EU S.A R.L., NIEDERL Verwendungszweck: 302-7341732-7320338 Amazon. 20260812-RL002-00040012721</t>
  </si>
  <si>
    <t>149f83936e597490</t>
  </si>
  <si>
    <t>b1bfc287903a61cb</t>
  </si>
  <si>
    <t>Rechnung Rückgabe Lastschrift über 8,99 EUR Einreicher: AMAZON EU S.A R.L., NIEDERL Verwendungszweck: D01-1915392-5131826 AMZNPri 20260812-RL002-00040012720</t>
  </si>
  <si>
    <t>fb328f036c75df06</t>
  </si>
  <si>
    <t>30b3c747b3335f37</t>
  </si>
  <si>
    <t>Rechnung Rückgabe Lastschrift über 4,99 EUR Einreicher: PayPal Europe S.a.r.l. et C Verwendungszweck: 1052267752841/PP.8864.PP/. 20260812-RL002-00040012719</t>
  </si>
  <si>
    <t>465b42a63411daaf</t>
  </si>
  <si>
    <t>b4cd32242c168c31</t>
  </si>
  <si>
    <t>Sparkasse Neuss – KREDITKARTENABRECHNUNG 12.0 8.26 523253XXXXXX6059</t>
  </si>
  <si>
    <t>3c8acf1a6bd73d16</t>
  </si>
  <si>
    <t>Rechnung Rückgabe Lastschrift über 17,85 EUR Einreicher: PayPal (Europe) S.a r.l. et Verwendungszweck: 1052283824358 PP.8864.PP . 20260813-RL002-00040014448</t>
  </si>
  <si>
    <t>fc60b5e514bd406a</t>
  </si>
  <si>
    <t>7dc611a703dd16b7</t>
  </si>
  <si>
    <t>Rechnung Rückgabe Lastschrift über 6,59 EUR Einreicher: AMAZON PAYMENTS EUROPE S.C. Verwendungszweck: 302-2016145-8763544 AMZN Mk 20260813-RL002-00040014447</t>
  </si>
  <si>
    <t>c491fae1e4b670de</t>
  </si>
  <si>
    <t>7fa5b1426291d2c5</t>
  </si>
  <si>
    <t>PayPal Europe S.a.r.l. et Cie S.C.A – 1052357527878/ADD TO BALANCE</t>
  </si>
  <si>
    <t>5e6b96e9491c8a94</t>
  </si>
  <si>
    <t>Marvin Liskatin – Ausgleich</t>
  </si>
  <si>
    <t>9aff154f70e04ac6</t>
  </si>
  <si>
    <t>Rechnung Rückgabe Lastschrift über 3,49 EUR Einreicher: PayPal Europe S.a.r.l. et C Verwendungszweck: 1052357527878/ADD TO BALANC 20260818-RL002-00040024450</t>
  </si>
  <si>
    <t>60ad541b9b19e377</t>
  </si>
  <si>
    <t>f33119b08490f7ab</t>
  </si>
  <si>
    <t>Entgeltabrechnung siehe Anlage Abrechnung 30.06.2026 Information zur Abrechnung Entgelte vom 26.06.2026 bis 30.06.2026 1,82- Grundpreis (Kontoführung) 1,82- Abrechnung 30.06.2026 1,82- Es handelt sich</t>
  </si>
  <si>
    <t>Gemeinschaftskonto</t>
  </si>
  <si>
    <t>d799ec7cfb37eefa</t>
  </si>
  <si>
    <t>Sarah-Luise Maxara – Konto 146387089 Ausgleich des Kontosaldos wegen Kontoauflösung</t>
  </si>
  <si>
    <t>cdbbebb453991df3</t>
  </si>
  <si>
    <t>SARAH MAXARA</t>
  </si>
  <si>
    <t>f51604d58bf6846a</t>
  </si>
  <si>
    <t>Marvin Liskatin – Miete etc. für Juli</t>
  </si>
  <si>
    <t>b373be6e765af8ca</t>
  </si>
  <si>
    <t>A. N. M. Wohnkonzept GmbH – Liskatin/Maxara, Stellplatz, Dorfstraße9</t>
  </si>
  <si>
    <t>c1af0510f416d315</t>
  </si>
  <si>
    <t>Miete &amp; Nebenkosten</t>
  </si>
  <si>
    <t>A. N. M. Wohnkonzept GmbH – Miete Dorfstr. 9, Liskatin/Maxara</t>
  </si>
  <si>
    <t>b84fb7fb7a85d2c0</t>
  </si>
  <si>
    <t>Entgeltabrechnung siehe Anlage Abrechnung 31.07.2026 Information zur Abrechnung Entgelte vom 01.07.2026 bis 31.07.2026 10,90- Grundpreis (Kontoführung) 10,90- abzüglich 45% Nachlass auf 10,90- 4,91+ 4</t>
  </si>
  <si>
    <t>23b029468b950808</t>
  </si>
  <si>
    <t>Telekom Deutschland GmbH – Festnetz Vertragskonto 5632637220 RG 7320359872/22.07.2026</t>
  </si>
  <si>
    <t>0b78d3bef37be248</t>
  </si>
  <si>
    <t>Vodafone GmbH – 0000112973944 0021140675657 Vodafone Rechnung KdNr. 112973944 Vodafone sagt Danke</t>
  </si>
  <si>
    <t>a458f9c3d07a25ef</t>
  </si>
  <si>
    <t>VATTENFALL EUROPE SALES – S/836696401098/601314070494 Dorfstr. 9 Strom Abschlag</t>
  </si>
  <si>
    <t>0cf798f7be933732</t>
  </si>
  <si>
    <t>Marvin Liskatin</t>
  </si>
  <si>
    <t>858296a1a85b8bf1</t>
  </si>
  <si>
    <t>Fixkosten</t>
  </si>
  <si>
    <t>Wiederkehrende Kosten – automatisch auf Monats- und Jahreswerte umgerechnet</t>
  </si>
  <si>
    <t>Bezeichnung</t>
  </si>
  <si>
    <t>Rhythmus</t>
  </si>
  <si>
    <t>Zahlungen/Jahr</t>
  </si>
  <si>
    <t>Monatlich (€)</t>
  </si>
  <si>
    <t>Jährlich (€)</t>
  </si>
  <si>
    <t>Nächste Fälligkeit</t>
  </si>
  <si>
    <t>Notiz</t>
  </si>
  <si>
    <t>BEISPIEL – Miete WG-Zimmer</t>
  </si>
  <si>
    <t>monatlich</t>
  </si>
  <si>
    <t>Beispielzeile – bitte überschreiben</t>
  </si>
  <si>
    <t>Summe</t>
  </si>
  <si>
    <t>Hinweis: Fixkosten sind hier nur GEPLANT. Die tatsächliche Zahlung trägst du zusätzlich in Buchungen ein.</t>
  </si>
  <si>
    <t>Monatsübersicht</t>
  </si>
  <si>
    <t>Vollautomatisch aus dem Blatt Buchungen – hier nichts eintragen</t>
  </si>
  <si>
    <t>Nr.</t>
  </si>
  <si>
    <t>Einnahmen (€)</t>
  </si>
  <si>
    <t>Ausgaben (€)</t>
  </si>
  <si>
    <t>Saldo (€)</t>
  </si>
  <si>
    <t>Kumuliert (€)</t>
  </si>
  <si>
    <t>Ø Ausgaben 3M (€)</t>
  </si>
  <si>
    <t>Ø Saldo 3M (€)</t>
  </si>
  <si>
    <t>Budget Soll (€)</t>
  </si>
  <si>
    <t>Abweichung (€)</t>
  </si>
  <si>
    <t>Lfd. Nr.</t>
  </si>
  <si>
    <t>Gesamt</t>
  </si>
  <si>
    <t>Kategorien-Auswertung</t>
  </si>
  <si>
    <t>Kategorie × Monat für ein Jahr, inklusive Budgetvergleich</t>
  </si>
  <si>
    <t>Jahr auswählen:</t>
  </si>
  <si>
    <t>Hilfszeile → Monatsnummern</t>
  </si>
  <si>
    <t>Jan</t>
  </si>
  <si>
    <t>Feb</t>
  </si>
  <si>
    <t>Mär</t>
  </si>
  <si>
    <t>Apr</t>
  </si>
  <si>
    <t>Mai</t>
  </si>
  <si>
    <t>Jun</t>
  </si>
  <si>
    <t>Jul</t>
  </si>
  <si>
    <t>Aug</t>
  </si>
  <si>
    <t>Sep</t>
  </si>
  <si>
    <t>Okt</t>
  </si>
  <si>
    <t>Nov</t>
  </si>
  <si>
    <t>Dez</t>
  </si>
  <si>
    <t>Summe (€)</t>
  </si>
  <si>
    <t>Ø/Monat (€)</t>
  </si>
  <si>
    <t>Budget (€)</t>
  </si>
  <si>
    <t>Abw. Ø (€)</t>
  </si>
  <si>
    <t>Hilfsspalte</t>
  </si>
  <si>
    <t>Die Hilfsspalte S blendet Einnahmen aus, damit das Dashboard die größte Ausgabenkategorie findet.</t>
  </si>
  <si>
    <t>Sparziele</t>
  </si>
  <si>
    <t>Zielbetrag und monatliche Rate eintragen – Rest wird berechnet</t>
  </si>
  <si>
    <t>Ziel</t>
  </si>
  <si>
    <t>Zielbetrag (€)</t>
  </si>
  <si>
    <t>Bereits gespart (€)</t>
  </si>
  <si>
    <t>Monatliche Rate (€)</t>
  </si>
  <si>
    <t>Fortschritt</t>
  </si>
  <si>
    <t>Noch offen (€)</t>
  </si>
  <si>
    <t>Monate bis Ziel</t>
  </si>
  <si>
    <t>Vorauss. erreicht</t>
  </si>
  <si>
    <t>BEISPIEL – Notgroschen 3 Monatsausgaben</t>
  </si>
  <si>
    <t>Vermögensentwicklung</t>
  </si>
  <si>
    <t>Einmal pro Monat die Kontostände eintragen (blaue/gelbe Spalten)</t>
  </si>
  <si>
    <t>Girokonto (€)</t>
  </si>
  <si>
    <t>Tagesgeld/Spar (€)</t>
  </si>
  <si>
    <t>Depot (€)</t>
  </si>
  <si>
    <t>Bargeld (€)</t>
  </si>
  <si>
    <t>Sonstiges (€)</t>
  </si>
  <si>
    <t>Summe Aktiva (€)</t>
  </si>
  <si>
    <t>Schulden (€)</t>
  </si>
  <si>
    <t>Nettovermögen (€)</t>
  </si>
  <si>
    <t>Veränderung (€)</t>
  </si>
  <si>
    <t>Ø Veränderung 3M (€)</t>
  </si>
  <si>
    <t>Schulden bitte als positive Zahl eintragen (z. B. offener Kreditbetrag) – sie werden automatisch abgezogen.</t>
  </si>
  <si>
    <t>Prognose</t>
  </si>
  <si>
    <t>Hochrechnung der nächsten 12 Monate – aussagekräftig ab ca. 3–6 Monaten echter Daten</t>
  </si>
  <si>
    <t>Basiswerte (berechnet)</t>
  </si>
  <si>
    <t>Aktuelles Nettovermögen (€)</t>
  </si>
  <si>
    <t>Ø monatliche Sparrate (Monate mit Daten)</t>
  </si>
  <si>
    <t>Ø monatliche Ausgaben (Monate mit Daten)</t>
  </si>
  <si>
    <t>Ausgaben-Trend pro Monat (linear, €)</t>
  </si>
  <si>
    <t>Annahmen (anpassbar)</t>
  </si>
  <si>
    <t>Erwartete Rendite p. a.</t>
  </si>
  <si>
    <t>Annahme von Claude gesetzt: 2 % p. a. als neutraler Platzhalter – bitte durch deinen eigenen Erwartungswert ersetzen.</t>
  </si>
  <si>
    <t>Zusätzliche Sparrate pro Monat (€)</t>
  </si>
  <si>
    <t>Effektive Sparrate (€)</t>
  </si>
  <si>
    <t>Monat n</t>
  </si>
  <si>
    <t>Prognose Nettovermögen (€)</t>
  </si>
  <si>
    <t>Prognose Ausgaben (€)</t>
  </si>
  <si>
    <t>Formel Vermögen: Startwert verzinst plus monatliche Sparrate als nachschüssige Rente. Bei 0 % Rendite wird linear gerechnet. Der Ausgaben-Trend ist eine einfache lineare Regression über alle 24 Monatszeilen – solange leere Monate mit 0 € drinstehen, zieht er nach unten.</t>
  </si>
  <si>
    <t>Einstellungen</t>
  </si>
  <si>
    <t>Kategorien, Monatsbudgets, Konten und Zahlungsrhythmen</t>
  </si>
  <si>
    <t>Monatsbudget (€)</t>
  </si>
  <si>
    <t>Konten / Zahlungsarten</t>
  </si>
  <si>
    <t>Zahlungsrhythmus</t>
  </si>
  <si>
    <t>Gehalt Werkstudent</t>
  </si>
  <si>
    <t>Einnahme</t>
  </si>
  <si>
    <t>Stipendium</t>
  </si>
  <si>
    <t>Tagesgeld / Sparkonto</t>
  </si>
  <si>
    <t>vierteljährlich</t>
  </si>
  <si>
    <t>Kreditkarte</t>
  </si>
  <si>
    <t>halbjährlich</t>
  </si>
  <si>
    <t>Ausgabe</t>
  </si>
  <si>
    <t>Bargeld</t>
  </si>
  <si>
    <t>jährlich</t>
  </si>
  <si>
    <t>Depot</t>
  </si>
  <si>
    <t>PayPal</t>
  </si>
  <si>
    <t>Mobilität &amp; Auto</t>
  </si>
  <si>
    <t>Sport &amp; Freizeit</t>
  </si>
  <si>
    <t>Kleidung</t>
  </si>
  <si>
    <t>Abos &amp; Software</t>
  </si>
  <si>
    <t>Studium &amp; Bücher</t>
  </si>
  <si>
    <t>Urlaub &amp; Reisen</t>
  </si>
  <si>
    <t>Geschenke</t>
  </si>
  <si>
    <t>Summe Monatsbudget (nur Ausgaben)</t>
  </si>
  <si>
    <t>Typ muss exakt "Einnahme" oder "Ausgabe" heißen – davon hängen alle Auswertungen 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</si>
</sst>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\ yyyy"/>
    <numFmt numFmtId="165" formatCode="#,##0.00&quot; €&quot;;[Red]\-#,##0.00&quot; €&quot;"/>
    <numFmt numFmtId="166" formatCode="0.0%"/>
    <numFmt numFmtId="167" formatCode="dd\.mm\.yyyy"/>
    <numFmt numFmtId="168" formatCode="#,##0&quot; €&quot;;[Red]\-#,##0&quot; €&quot;"/>
  </numFmts>
  <fonts count="15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10"/>
      <color rgb="FF595959"/>
      <name val="Arial"/>
      <charset val="1"/>
    </font>
    <font>
      <b/>
      <sz val="11"/>
      <color rgb="FF1F386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008000"/>
      <name val="Arial"/>
      <charset val="1"/>
    </font>
    <font>
      <sz val="10"/>
      <color rgb="FF000000"/>
      <name val="Arial"/>
      <charset val="1"/>
    </font>
    <font>
      <sz val="10"/>
      <color rgb="FF008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00FF"/>
      <name val="Arial"/>
      <charset val="1"/>
    </font>
    <font>
      <sz val="8"/>
      <color rgb="FFA6A6A6"/>
      <name val="Arial"/>
      <charset val="1"/>
    </font>
    <font>
      <sz val="8"/>
      <color rgb="FFA6A6A6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5" fillId="0" borderId="0" xfId="0" applyFont="1"/>
    <xf numFmtId="164" fontId="8" fillId="0" borderId="1" xfId="0" applyNumberFormat="1" applyFont="1" applyBorder="1"/>
    <xf numFmtId="165" fontId="8" fillId="0" borderId="1" xfId="0" applyNumberFormat="1" applyFont="1" applyBorder="1"/>
    <xf numFmtId="166" fontId="8" fillId="0" borderId="1" xfId="0" applyNumberFormat="1" applyFont="1" applyBorder="1"/>
    <xf numFmtId="165" fontId="9" fillId="0" borderId="1" xfId="0" applyNumberFormat="1" applyFont="1" applyBorder="1"/>
    <xf numFmtId="0" fontId="9" fillId="0" borderId="1" xfId="0" applyFont="1" applyBorder="1"/>
    <xf numFmtId="0" fontId="10" fillId="3" borderId="1" xfId="0" applyFont="1" applyFill="1" applyBorder="1" applyAlignment="1">
      <alignment horizontal="center" vertical="center" wrapText="1"/>
    </xf>
    <xf numFmtId="167" fontId="11" fillId="0" borderId="1" xfId="0" applyNumberFormat="1" applyFont="1" applyBorder="1"/>
    <xf numFmtId="0" fontId="8" fillId="0" borderId="1" xfId="0" applyFont="1" applyBorder="1"/>
    <xf numFmtId="0" fontId="11" fillId="0" borderId="1" xfId="0" applyFont="1" applyBorder="1"/>
    <xf numFmtId="165" fontId="11" fillId="0" borderId="1" xfId="0" applyNumberFormat="1" applyFont="1" applyBorder="1"/>
    <xf numFmtId="167" fontId="12" fillId="4" borderId="1" xfId="0" applyNumberFormat="1" applyFont="1" applyFill="1" applyBorder="1"/>
    <xf numFmtId="0" fontId="8" fillId="4" borderId="1" xfId="0" applyFont="1" applyFill="1" applyBorder="1"/>
    <xf numFmtId="0" fontId="12" fillId="4" borderId="1" xfId="0" applyFont="1" applyFill="1" applyBorder="1"/>
    <xf numFmtId="165" fontId="12" fillId="4" borderId="1" xfId="0" applyNumberFormat="1" applyFont="1" applyFill="1" applyBorder="1"/>
    <xf numFmtId="0" fontId="9" fillId="4" borderId="1" xfId="0" applyFont="1" applyFill="1" applyBorder="1"/>
    <xf numFmtId="165" fontId="8" fillId="4" borderId="1" xfId="0" applyNumberFormat="1" applyFont="1" applyFill="1" applyBorder="1"/>
    <xf numFmtId="167" fontId="12" fillId="0" borderId="1" xfId="0" applyNumberFormat="1" applyFont="1" applyBorder="1"/>
    <xf numFmtId="0" fontId="12" fillId="0" borderId="1" xfId="0" applyFont="1" applyBorder="1"/>
    <xf numFmtId="165" fontId="12" fillId="0" borderId="1" xfId="0" applyNumberFormat="1" applyFont="1" applyBorder="1"/>
    <xf numFmtId="0" fontId="4" fillId="5" borderId="1" xfId="0" applyFont="1" applyFill="1" applyBorder="1"/>
    <xf numFmtId="0" fontId="0" fillId="5" borderId="1" xfId="0" applyFill="1" applyBorder="1"/>
    <xf numFmtId="165" fontId="4" fillId="5" borderId="1" xfId="0" applyNumberFormat="1" applyFont="1" applyFill="1" applyBorder="1"/>
    <xf numFmtId="164" fontId="12" fillId="0" borderId="1" xfId="0" applyNumberFormat="1" applyFont="1" applyBorder="1"/>
    <xf numFmtId="0" fontId="5" fillId="0" borderId="1" xfId="0" applyFont="1" applyBorder="1"/>
    <xf numFmtId="166" fontId="4" fillId="5" borderId="1" xfId="0" applyNumberFormat="1" applyFont="1" applyFill="1" applyBorder="1"/>
    <xf numFmtId="0" fontId="4" fillId="0" borderId="0" xfId="0" applyFont="1"/>
    <xf numFmtId="1" fontId="12" fillId="2" borderId="1" xfId="0" applyNumberFormat="1" applyFont="1" applyFill="1" applyBorder="1"/>
    <xf numFmtId="0" fontId="13" fillId="0" borderId="0" xfId="0" applyFont="1"/>
    <xf numFmtId="0" fontId="13" fillId="0" borderId="0" xfId="0" applyFont="1" applyAlignment="1">
      <alignment horizontal="center"/>
    </xf>
    <xf numFmtId="168" fontId="8" fillId="0" borderId="1" xfId="0" applyNumberFormat="1" applyFont="1" applyBorder="1"/>
    <xf numFmtId="168" fontId="4" fillId="5" borderId="1" xfId="0" applyNumberFormat="1" applyFont="1" applyFill="1" applyBorder="1"/>
    <xf numFmtId="167" fontId="8" fillId="0" borderId="1" xfId="0" applyNumberFormat="1" applyFont="1" applyBorder="1"/>
    <xf numFmtId="164" fontId="9" fillId="0" borderId="1" xfId="0" applyNumberFormat="1" applyFont="1" applyBorder="1"/>
    <xf numFmtId="165" fontId="12" fillId="2" borderId="1" xfId="0" applyNumberFormat="1" applyFont="1" applyFill="1" applyBorder="1"/>
    <xf numFmtId="166" fontId="12" fillId="2" borderId="1" xfId="0" applyNumberFormat="1" applyFont="1" applyFill="1" applyBorder="1"/>
    <xf numFmtId="0" fontId="2" fillId="0" borderId="0" xfId="0" applyFont="1" applyAlignment="1">
      <alignment vertical="top" wrapText="1"/>
    </xf>
    <xf numFmtId="0" fontId="12" fillId="2" borderId="1" xfId="0" applyFont="1" applyFill="1" applyBorder="1"/>
    <xf numFmtId="0" fontId="4" fillId="5" borderId="0" xfId="0" applyFont="1" applyFill="1"/>
    <xf numFmtId="0" fontId="0" fillId="5" borderId="0" xfId="0" applyFill="1"/>
    <xf numFmtId="165" fontId="4" fillId="5" borderId="0" xfId="0" applyNumberFormat="1" applyFont="1" applyFill="1"/>
    <xf numFmtId="0" fontId="14" fillId="0" borderId="0" xfId="0" applyFont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Standard" xfId="0" builtinId="0"/>
  </cellStyles>
  <dxfs count="1">
    <dxf>
      <font>
        <b/>
        <sz val="10"/>
        <color rgb="FFC00000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Einnahmen vs. Ausgaben pro Monat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Monatsübersicht!$D$3</c:f>
              <c:strCache>
                <c:ptCount val="1"/>
                <c:pt idx="0">
                  <c:v>Einnahmen (€)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Monatsübersicht!$A$4:$A$27</c:f>
              <c:numCache>
                <c:formatCode>mmm\ yyyy</c:formatCode>
                <c:ptCount val="2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</c:numCache>
            </c:numRef>
          </c:cat>
          <c:val>
            <c:numRef>
              <c:f>Monatsübersicht!$D$4:$D$27</c:f>
              <c:numCache>
                <c:formatCode>#,##0.00" €";[Red]\-#,##0.00" €"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2647.41</c:v>
                </c:pt>
                <c:pt idx="7">
                  <c:v>517.66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8-4C44-A488-5F2876C1FB4F}"/>
            </c:ext>
          </c:extLst>
        </c:ser>
        <c:ser>
          <c:idx val="1"/>
          <c:order val="1"/>
          <c:tx>
            <c:strRef>
              <c:f>Monatsübersicht!$E$3</c:f>
              <c:strCache>
                <c:ptCount val="1"/>
                <c:pt idx="0">
                  <c:v>Ausgaben (€)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Monatsübersicht!$A$4:$A$27</c:f>
              <c:numCache>
                <c:formatCode>mmm\ yyyy</c:formatCode>
                <c:ptCount val="2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</c:numCache>
            </c:numRef>
          </c:cat>
          <c:val>
            <c:numRef>
              <c:f>Monatsübersicht!$E$4:$E$27</c:f>
              <c:numCache>
                <c:formatCode>#,##0.00" €";[Red]\-#,##0.00" €"</c:formatCode>
                <c:ptCount val="24"/>
                <c:pt idx="0">
                  <c:v>42.5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471.49999999999994</c:v>
                </c:pt>
                <c:pt idx="7">
                  <c:v>2566.9799999999996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D8-4C44-A488-5F2876C1F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dateAx>
        <c:axId val="10"/>
        <c:scaling>
          <c:orientation val="minMax"/>
        </c:scaling>
        <c:delete val="1"/>
        <c:axPos val="b"/>
        <c:numFmt formatCode="mmm\ 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€</a:t>
                </a:r>
              </a:p>
            </c:rich>
          </c:tx>
          <c:overlay val="1"/>
        </c:title>
        <c:numFmt formatCode="#,##0.00&quot; €&quot;;[Red]\-#,##0.00&quot; 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2302986111111109"/>
          <c:y val="0.42494999999999999"/>
          <c:w val="0.13463680555555554"/>
          <c:h val="0.15010000000000001"/>
        </c:manualLayout>
      </c:layout>
      <c:overlay val="1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Kumulierter Saldo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Monatsübersicht!$H$3</c:f>
              <c:strCache>
                <c:ptCount val="1"/>
                <c:pt idx="0">
                  <c:v>Kumuliert (€)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Monatsübersicht!$A$4:$A$27</c:f>
              <c:numCache>
                <c:formatCode>mmm\ yyyy</c:formatCode>
                <c:ptCount val="2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</c:numCache>
            </c:numRef>
          </c:cat>
          <c:val>
            <c:numRef>
              <c:f>Monatsübersicht!$H$4:$H$27</c:f>
              <c:numCache>
                <c:formatCode>#,##0.00" €";[Red]\-#,##0.00" €"</c:formatCode>
                <c:ptCount val="24"/>
                <c:pt idx="0">
                  <c:v>-42.5</c:v>
                </c:pt>
                <c:pt idx="1">
                  <c:v>-42.5</c:v>
                </c:pt>
                <c:pt idx="2">
                  <c:v>-42.5</c:v>
                </c:pt>
                <c:pt idx="3">
                  <c:v>-42.5</c:v>
                </c:pt>
                <c:pt idx="4">
                  <c:v>-42.5</c:v>
                </c:pt>
                <c:pt idx="5">
                  <c:v>-42.5</c:v>
                </c:pt>
                <c:pt idx="6">
                  <c:v>2133.41</c:v>
                </c:pt>
                <c:pt idx="7">
                  <c:v>84.090000000000146</c:v>
                </c:pt>
                <c:pt idx="8">
                  <c:v>84.090000000000146</c:v>
                </c:pt>
                <c:pt idx="9">
                  <c:v>84.090000000000146</c:v>
                </c:pt>
                <c:pt idx="10">
                  <c:v>84.090000000000146</c:v>
                </c:pt>
                <c:pt idx="11">
                  <c:v>84.090000000000146</c:v>
                </c:pt>
                <c:pt idx="12">
                  <c:v>84.090000000000146</c:v>
                </c:pt>
                <c:pt idx="13">
                  <c:v>84.090000000000146</c:v>
                </c:pt>
                <c:pt idx="14">
                  <c:v>84.090000000000146</c:v>
                </c:pt>
                <c:pt idx="15">
                  <c:v>84.090000000000146</c:v>
                </c:pt>
                <c:pt idx="16">
                  <c:v>84.090000000000146</c:v>
                </c:pt>
                <c:pt idx="17">
                  <c:v>84.090000000000146</c:v>
                </c:pt>
                <c:pt idx="18">
                  <c:v>84.090000000000146</c:v>
                </c:pt>
                <c:pt idx="19">
                  <c:v>84.090000000000146</c:v>
                </c:pt>
                <c:pt idx="20">
                  <c:v>84.090000000000146</c:v>
                </c:pt>
                <c:pt idx="21">
                  <c:v>84.090000000000146</c:v>
                </c:pt>
                <c:pt idx="22">
                  <c:v>84.090000000000146</c:v>
                </c:pt>
                <c:pt idx="23">
                  <c:v>84.090000000000146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D51-437F-9042-E4237E68E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mm\ 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€</a:t>
                </a:r>
              </a:p>
            </c:rich>
          </c:tx>
          <c:overlay val="1"/>
        </c:title>
        <c:numFmt formatCode="#,##0.00&quot; €&quot;;[Red]\-#,##0.00&quot; 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de-DE"/>
        </a:p>
      </c:txPr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Nettovermögen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Vermögen!$I$3</c:f>
              <c:strCache>
                <c:ptCount val="1"/>
                <c:pt idx="0">
                  <c:v>Nettovermögen (€)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Vermögen!$A$4:$A$27</c:f>
              <c:numCache>
                <c:formatCode>mmm\ yyyy</c:formatCode>
                <c:ptCount val="2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</c:numCache>
            </c:numRef>
          </c:cat>
          <c:val>
            <c:numRef>
              <c:f>Vermögen!$I$4:$I$27</c:f>
              <c:numCache>
                <c:formatCode>#,##0.00" €";[Red]\-#,##0.00" €"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250-4173-A66E-D6CFB3D1E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mm\ 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€</a:t>
                </a:r>
              </a:p>
            </c:rich>
          </c:tx>
          <c:overlay val="1"/>
        </c:title>
        <c:numFmt formatCode="#,##0.00&quot; €&quot;;[Red]\-#,##0.00&quot; 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de-DE"/>
        </a:p>
      </c:txPr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Prognose Nettovermögen (12 Monate)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Prognose!$C$16</c:f>
              <c:strCache>
                <c:ptCount val="1"/>
                <c:pt idx="0">
                  <c:v>Prognose Nettovermögen (€)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Prognose!$B$17:$B$29</c:f>
              <c:numCache>
                <c:formatCode>mmm\ yyyy</c:formatCode>
                <c:ptCount val="13"/>
                <c:pt idx="0">
                  <c:v>46252</c:v>
                </c:pt>
                <c:pt idx="1">
                  <c:v>46283</c:v>
                </c:pt>
                <c:pt idx="2">
                  <c:v>46313</c:v>
                </c:pt>
                <c:pt idx="3">
                  <c:v>46344</c:v>
                </c:pt>
                <c:pt idx="4">
                  <c:v>46374</c:v>
                </c:pt>
                <c:pt idx="5">
                  <c:v>46405</c:v>
                </c:pt>
                <c:pt idx="6">
                  <c:v>46436</c:v>
                </c:pt>
                <c:pt idx="7">
                  <c:v>46464</c:v>
                </c:pt>
                <c:pt idx="8">
                  <c:v>46495</c:v>
                </c:pt>
                <c:pt idx="9">
                  <c:v>46525</c:v>
                </c:pt>
                <c:pt idx="10">
                  <c:v>46556</c:v>
                </c:pt>
                <c:pt idx="11">
                  <c:v>46586</c:v>
                </c:pt>
                <c:pt idx="12">
                  <c:v>46617</c:v>
                </c:pt>
              </c:numCache>
            </c:numRef>
          </c:cat>
          <c:val>
            <c:numRef>
              <c:f>Prognose!$C$17:$C$29</c:f>
              <c:numCache>
                <c:formatCode>#,##0.00" €";[Red]\-#,##0.00" €"</c:formatCode>
                <c:ptCount val="13"/>
                <c:pt idx="0">
                  <c:v>0</c:v>
                </c:pt>
                <c:pt idx="1">
                  <c:v>28.030000000000694</c:v>
                </c:pt>
                <c:pt idx="2">
                  <c:v>56.106716666668362</c:v>
                </c:pt>
                <c:pt idx="3">
                  <c:v>84.230227861113093</c:v>
                </c:pt>
                <c:pt idx="4">
                  <c:v>112.40061157421722</c:v>
                </c:pt>
                <c:pt idx="5">
                  <c:v>140.61794592684075</c:v>
                </c:pt>
                <c:pt idx="6">
                  <c:v>168.88230917005288</c:v>
                </c:pt>
                <c:pt idx="7">
                  <c:v>197.19377968533732</c:v>
                </c:pt>
                <c:pt idx="8">
                  <c:v>225.55243598481655</c:v>
                </c:pt>
                <c:pt idx="9">
                  <c:v>253.9583567114569</c:v>
                </c:pt>
                <c:pt idx="10">
                  <c:v>282.41162063931154</c:v>
                </c:pt>
                <c:pt idx="11">
                  <c:v>310.91230667371082</c:v>
                </c:pt>
                <c:pt idx="12">
                  <c:v>339.46049385150138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54-4A33-880F-EE6A34042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mm\ 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€</a:t>
                </a:r>
              </a:p>
            </c:rich>
          </c:tx>
          <c:overlay val="1"/>
        </c:title>
        <c:numFmt formatCode="#,##0.00&quot; €&quot;;[Red]\-#,##0.00&quot; 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de-DE"/>
        </a:p>
      </c:txPr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Ausgaben je Kategorie (gewähltes Jahr)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Kategorien!$S$5</c:f>
              <c:strCache>
                <c:ptCount val="1"/>
                <c:pt idx="0">
                  <c:v>Hilfsspalte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Kategorien!$A$6:$A$42</c:f>
              <c:strCache>
                <c:ptCount val="17"/>
                <c:pt idx="0">
                  <c:v>Gehalt Werkstudent</c:v>
                </c:pt>
                <c:pt idx="1">
                  <c:v>Stipendium</c:v>
                </c:pt>
                <c:pt idx="2">
                  <c:v>Sonstige Einnahmen</c:v>
                </c:pt>
                <c:pt idx="3">
                  <c:v>Miete &amp; Nebenkosten</c:v>
                </c:pt>
                <c:pt idx="4">
                  <c:v>Strom &amp; Internet</c:v>
                </c:pt>
                <c:pt idx="5">
                  <c:v>Versicherungen</c:v>
                </c:pt>
                <c:pt idx="6">
                  <c:v>Lebensmittel</c:v>
                </c:pt>
                <c:pt idx="7">
                  <c:v>Restaurant &amp; Lieferdienst</c:v>
                </c:pt>
                <c:pt idx="8">
                  <c:v>Mobilität &amp; Auto</c:v>
                </c:pt>
                <c:pt idx="9">
                  <c:v>Gesundheit &amp; Drogerie</c:v>
                </c:pt>
                <c:pt idx="10">
                  <c:v>Sport &amp; Freizeit</c:v>
                </c:pt>
                <c:pt idx="11">
                  <c:v>Kleidung</c:v>
                </c:pt>
                <c:pt idx="12">
                  <c:v>Abos &amp; Software</c:v>
                </c:pt>
                <c:pt idx="13">
                  <c:v>Studium &amp; Bücher</c:v>
                </c:pt>
                <c:pt idx="14">
                  <c:v>Urlaub &amp; Reisen</c:v>
                </c:pt>
                <c:pt idx="15">
                  <c:v>Geschenke</c:v>
                </c:pt>
                <c:pt idx="16">
                  <c:v>Sonstiges</c:v>
                </c:pt>
              </c:strCache>
            </c:strRef>
          </c:cat>
          <c:val>
            <c:numRef>
              <c:f>Kategorien!$S$6:$S$42</c:f>
              <c:numCache>
                <c:formatCode>#,##0.00" €";[Red]\-#,##0.00" €"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1540</c:v>
                </c:pt>
                <c:pt idx="4">
                  <c:v>537.27</c:v>
                </c:pt>
                <c:pt idx="5">
                  <c:v>228.88</c:v>
                </c:pt>
                <c:pt idx="6">
                  <c:v>91.95</c:v>
                </c:pt>
                <c:pt idx="7">
                  <c:v>170.65999999999997</c:v>
                </c:pt>
                <c:pt idx="8">
                  <c:v>0</c:v>
                </c:pt>
                <c:pt idx="9">
                  <c:v>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507.22000000000008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19-4F48-8DDC-BED60706E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&quot; €&quot;;[Red]\-#,##0.00&quot; 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72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21</xdr:row>
      <xdr:rowOff>0</xdr:rowOff>
    </xdr:from>
    <xdr:ext cx="720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15</xdr:col>
      <xdr:colOff>0</xdr:colOff>
      <xdr:row>3</xdr:row>
      <xdr:rowOff>0</xdr:rowOff>
    </xdr:from>
    <xdr:ext cx="720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21</xdr:row>
      <xdr:rowOff>0</xdr:rowOff>
    </xdr:from>
    <xdr:ext cx="720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3</xdr:col>
      <xdr:colOff>0</xdr:colOff>
      <xdr:row>39</xdr:row>
      <xdr:rowOff>0</xdr:rowOff>
    </xdr:from>
    <xdr:ext cx="720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showGridLines="0" zoomScaleNormal="100" workbookViewId="0"/>
  </sheetViews>
  <sheetFormatPr baseColWidth="10" defaultColWidth="8.7109375" defaultRowHeight="15" x14ac:dyDescent="0.25"/>
  <cols>
    <col min="1" max="1" width="30" customWidth="1"/>
    <col min="2" max="2" width="95" customWidth="1"/>
  </cols>
  <sheetData>
    <row r="1" spans="1:2" ht="21.75" customHeight="1" x14ac:dyDescent="0.25">
      <c r="A1" s="1" t="s">
        <v>0</v>
      </c>
    </row>
    <row r="2" spans="1:2" ht="15" customHeight="1" x14ac:dyDescent="0.25">
      <c r="A2" s="2" t="s">
        <v>1</v>
      </c>
    </row>
    <row r="5" spans="1:2" ht="15" customHeight="1" x14ac:dyDescent="0.25">
      <c r="A5" s="3" t="s">
        <v>2</v>
      </c>
    </row>
    <row r="6" spans="1:2" ht="30" customHeight="1" x14ac:dyDescent="0.25">
      <c r="A6" s="4" t="s">
        <v>3</v>
      </c>
      <c r="B6" s="5" t="s">
        <v>4</v>
      </c>
    </row>
    <row r="7" spans="1:2" ht="30" customHeight="1" x14ac:dyDescent="0.25">
      <c r="A7" s="4" t="s">
        <v>5</v>
      </c>
      <c r="B7" s="5" t="s">
        <v>6</v>
      </c>
    </row>
    <row r="8" spans="1:2" ht="30" customHeight="1" x14ac:dyDescent="0.25">
      <c r="A8" s="4" t="s">
        <v>7</v>
      </c>
      <c r="B8" s="5" t="s">
        <v>8</v>
      </c>
    </row>
    <row r="9" spans="1:2" ht="30" customHeight="1" x14ac:dyDescent="0.25">
      <c r="A9" s="4" t="s">
        <v>9</v>
      </c>
      <c r="B9" s="5" t="s">
        <v>10</v>
      </c>
    </row>
    <row r="10" spans="1:2" ht="30" customHeight="1" x14ac:dyDescent="0.25">
      <c r="A10" s="4" t="s">
        <v>11</v>
      </c>
      <c r="B10" s="5" t="s">
        <v>12</v>
      </c>
    </row>
    <row r="11" spans="1:2" ht="30" customHeight="1" x14ac:dyDescent="0.25">
      <c r="A11" s="4" t="s">
        <v>13</v>
      </c>
      <c r="B11" s="5" t="s">
        <v>14</v>
      </c>
    </row>
    <row r="12" spans="1:2" ht="30" customHeight="1" x14ac:dyDescent="0.25">
      <c r="A12" s="4" t="s">
        <v>15</v>
      </c>
      <c r="B12" s="5" t="s">
        <v>16</v>
      </c>
    </row>
    <row r="13" spans="1:2" ht="30" customHeight="1" x14ac:dyDescent="0.25">
      <c r="A13" s="4" t="s">
        <v>17</v>
      </c>
      <c r="B13" s="5" t="s">
        <v>18</v>
      </c>
    </row>
    <row r="14" spans="1:2" ht="30" customHeight="1" x14ac:dyDescent="0.25">
      <c r="A14" s="4" t="s">
        <v>19</v>
      </c>
      <c r="B14" s="5" t="s">
        <v>20</v>
      </c>
    </row>
    <row r="16" spans="1:2" ht="15" customHeight="1" x14ac:dyDescent="0.25">
      <c r="A16" s="3" t="s">
        <v>21</v>
      </c>
    </row>
    <row r="17" spans="1:2" ht="30" customHeight="1" x14ac:dyDescent="0.25">
      <c r="A17" s="6" t="s">
        <v>22</v>
      </c>
      <c r="B17" s="5" t="s">
        <v>23</v>
      </c>
    </row>
    <row r="18" spans="1:2" ht="30" customHeight="1" x14ac:dyDescent="0.25">
      <c r="A18" s="7" t="s">
        <v>24</v>
      </c>
      <c r="B18" s="5" t="s">
        <v>25</v>
      </c>
    </row>
    <row r="19" spans="1:2" ht="30" customHeight="1" x14ac:dyDescent="0.25">
      <c r="A19" s="4" t="s">
        <v>26</v>
      </c>
      <c r="B19" s="5" t="s">
        <v>27</v>
      </c>
    </row>
    <row r="20" spans="1:2" ht="30" customHeight="1" x14ac:dyDescent="0.25">
      <c r="A20" s="8" t="s">
        <v>28</v>
      </c>
      <c r="B20" s="5" t="s">
        <v>29</v>
      </c>
    </row>
    <row r="22" spans="1:2" ht="15" customHeight="1" x14ac:dyDescent="0.25">
      <c r="A22" s="3" t="s">
        <v>30</v>
      </c>
    </row>
    <row r="23" spans="1:2" ht="30" customHeight="1" x14ac:dyDescent="0.25">
      <c r="A23" s="4" t="s">
        <v>31</v>
      </c>
      <c r="B23" s="5" t="s">
        <v>32</v>
      </c>
    </row>
    <row r="24" spans="1:2" ht="30" customHeight="1" x14ac:dyDescent="0.25">
      <c r="A24" s="4" t="s">
        <v>33</v>
      </c>
      <c r="B24" s="5" t="s">
        <v>34</v>
      </c>
    </row>
    <row r="25" spans="1:2" ht="30" customHeight="1" x14ac:dyDescent="0.25">
      <c r="A25" s="4" t="s">
        <v>35</v>
      </c>
      <c r="B25" s="5" t="s">
        <v>36</v>
      </c>
    </row>
    <row r="26" spans="1:2" ht="30" customHeight="1" x14ac:dyDescent="0.25">
      <c r="A26" s="4" t="s">
        <v>37</v>
      </c>
      <c r="B26" s="5" t="s">
        <v>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showGridLines="0" tabSelected="1" zoomScale="85" zoomScaleNormal="85" workbookViewId="0"/>
  </sheetViews>
  <sheetFormatPr baseColWidth="10" defaultColWidth="8.7109375" defaultRowHeight="15" x14ac:dyDescent="0.25"/>
  <cols>
    <col min="1" max="1" width="34" customWidth="1"/>
    <col min="2" max="2" width="20" customWidth="1"/>
    <col min="3" max="3" width="4" customWidth="1"/>
  </cols>
  <sheetData>
    <row r="1" spans="1:2" ht="21.75" customHeight="1" x14ac:dyDescent="0.25">
      <c r="A1" s="1" t="s">
        <v>39</v>
      </c>
    </row>
    <row r="2" spans="1:2" ht="15" customHeight="1" x14ac:dyDescent="0.25">
      <c r="A2" s="2" t="s">
        <v>40</v>
      </c>
    </row>
    <row r="4" spans="1:2" ht="15" customHeight="1" x14ac:dyDescent="0.25">
      <c r="A4" s="3" t="s">
        <v>41</v>
      </c>
    </row>
    <row r="5" spans="1:2" ht="15" customHeight="1" x14ac:dyDescent="0.25">
      <c r="A5" s="9" t="s">
        <v>42</v>
      </c>
      <c r="B5" s="10">
        <f ca="1">TODAY()</f>
        <v>46252</v>
      </c>
    </row>
    <row r="6" spans="1:2" ht="15" customHeight="1" x14ac:dyDescent="0.25">
      <c r="A6" s="9" t="s">
        <v>43</v>
      </c>
      <c r="B6" s="11">
        <f ca="1">SUMIFS(Buchungen!$F$4:$F$1003,Buchungen!$B$4:$B$1003,YEAR(TODAY()),Buchungen!$C$4:$C$1003,MONTH(TODAY()),Buchungen!$G$4:$G$1003,"Einnahme")</f>
        <v>517.66</v>
      </c>
    </row>
    <row r="7" spans="1:2" ht="15" customHeight="1" x14ac:dyDescent="0.25">
      <c r="A7" s="9" t="s">
        <v>44</v>
      </c>
      <c r="B7" s="11">
        <f ca="1">SUMIFS(Buchungen!$F$4:$F$1003,Buchungen!$B$4:$B$1003,YEAR(TODAY()),Buchungen!$C$4:$C$1003,MONTH(TODAY()),Buchungen!$G$4:$G$1003,"Ausgabe")</f>
        <v>2566.9799999999996</v>
      </c>
    </row>
    <row r="8" spans="1:2" ht="15" customHeight="1" x14ac:dyDescent="0.25">
      <c r="A8" s="9" t="s">
        <v>45</v>
      </c>
      <c r="B8" s="11">
        <f ca="1">$B$6-$B$7</f>
        <v>-2049.3199999999997</v>
      </c>
    </row>
    <row r="9" spans="1:2" ht="15" customHeight="1" x14ac:dyDescent="0.25">
      <c r="A9" s="9" t="s">
        <v>46</v>
      </c>
      <c r="B9" s="12">
        <f ca="1">IF($B$6&lt;=0,0,$B$8/$B$6)</f>
        <v>-3.9588146659969863</v>
      </c>
    </row>
    <row r="11" spans="1:2" ht="15" customHeight="1" x14ac:dyDescent="0.25">
      <c r="A11" s="3" t="s">
        <v>47</v>
      </c>
    </row>
    <row r="12" spans="1:2" ht="15" customHeight="1" x14ac:dyDescent="0.25">
      <c r="A12" s="9" t="s">
        <v>48</v>
      </c>
      <c r="B12" s="13">
        <f>Fixkosten!$F$35</f>
        <v>520</v>
      </c>
    </row>
    <row r="13" spans="1:2" ht="15" customHeight="1" x14ac:dyDescent="0.25">
      <c r="A13" s="9" t="s">
        <v>49</v>
      </c>
      <c r="B13" s="13">
        <f>Einstellungen!$C$42</f>
        <v>0</v>
      </c>
    </row>
    <row r="14" spans="1:2" ht="15" customHeight="1" x14ac:dyDescent="0.25">
      <c r="A14" s="9" t="s">
        <v>50</v>
      </c>
      <c r="B14" s="13">
        <f>IFERROR(AVERAGEIF(Monatsübersicht!$E$4:$E$27,"&lt;&gt;0"),0)</f>
        <v>1026.9933333333331</v>
      </c>
    </row>
    <row r="15" spans="1:2" ht="15" customHeight="1" x14ac:dyDescent="0.25">
      <c r="A15" s="9" t="s">
        <v>51</v>
      </c>
      <c r="B15" s="13">
        <f>IFERROR(AVERAGEIF(Monatsübersicht!$F$4:$F$27,"&lt;&gt;0"),0)</f>
        <v>28.030000000000047</v>
      </c>
    </row>
    <row r="16" spans="1:2" ht="15" customHeight="1" x14ac:dyDescent="0.25">
      <c r="A16" s="9" t="s">
        <v>52</v>
      </c>
      <c r="B16" s="13">
        <f>Prognose!$B$5</f>
        <v>0</v>
      </c>
    </row>
    <row r="17" spans="1:2" ht="15" customHeight="1" x14ac:dyDescent="0.25">
      <c r="A17" s="9" t="s">
        <v>53</v>
      </c>
      <c r="B17" s="13">
        <f>Prognose!$C$29</f>
        <v>339.46049385150138</v>
      </c>
    </row>
    <row r="19" spans="1:2" ht="15" customHeight="1" x14ac:dyDescent="0.25">
      <c r="A19" s="3" t="s">
        <v>54</v>
      </c>
    </row>
    <row r="20" spans="1:2" ht="15" customHeight="1" x14ac:dyDescent="0.25">
      <c r="A20" s="9" t="s">
        <v>55</v>
      </c>
      <c r="B20" s="14" t="str">
        <f>IFERROR(INDEX(Kategorien!$A$6:$A$42,MATCH(MAX(Kategorien!$S$6:$S$42),Kategorien!$S$6:$S$42,0)),"–")</f>
        <v>Miete &amp; Nebenkosten</v>
      </c>
    </row>
    <row r="21" spans="1:2" ht="15" customHeight="1" x14ac:dyDescent="0.25">
      <c r="A21" s="9" t="s">
        <v>56</v>
      </c>
      <c r="B21" s="13">
        <f>MAX(Kategorien!$S$6:$S$42)</f>
        <v>1540</v>
      </c>
    </row>
    <row r="24" spans="1:2" ht="15" customHeight="1" x14ac:dyDescent="0.25">
      <c r="A24" s="2" t="s">
        <v>57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3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1" width="13" customWidth="1"/>
    <col min="2" max="3" width="8" customWidth="1"/>
    <col min="4" max="4" width="26" customWidth="1"/>
    <col min="5" max="5" width="38" customWidth="1"/>
    <col min="6" max="6" width="15" customWidth="1"/>
    <col min="7" max="7" width="12" customWidth="1"/>
    <col min="8" max="8" width="22" customWidth="1"/>
    <col min="9" max="9" width="15" customWidth="1"/>
  </cols>
  <sheetData>
    <row r="1" spans="1:10" ht="21.75" customHeight="1" x14ac:dyDescent="0.25">
      <c r="A1" s="1" t="s">
        <v>58</v>
      </c>
    </row>
    <row r="2" spans="1:10" ht="15" customHeight="1" x14ac:dyDescent="0.25">
      <c r="A2" s="2" t="s">
        <v>59</v>
      </c>
    </row>
    <row r="3" spans="1:10" ht="30" customHeight="1" x14ac:dyDescent="0.25">
      <c r="A3" s="15" t="s">
        <v>60</v>
      </c>
      <c r="B3" s="15" t="s">
        <v>61</v>
      </c>
      <c r="C3" s="15" t="s">
        <v>62</v>
      </c>
      <c r="D3" s="15" t="s">
        <v>55</v>
      </c>
      <c r="E3" s="15" t="s">
        <v>63</v>
      </c>
      <c r="F3" s="15" t="s">
        <v>64</v>
      </c>
      <c r="G3" s="15" t="s">
        <v>65</v>
      </c>
      <c r="H3" s="15" t="s">
        <v>66</v>
      </c>
      <c r="I3" s="15" t="s">
        <v>67</v>
      </c>
      <c r="J3" s="50" t="s">
        <v>68</v>
      </c>
    </row>
    <row r="4" spans="1:10" ht="15" customHeight="1" x14ac:dyDescent="0.25">
      <c r="A4" s="16">
        <v>46025</v>
      </c>
      <c r="B4" s="17">
        <f t="shared" ref="B4:B67" si="0">IF($A4="","",YEAR($A4))</f>
        <v>2026</v>
      </c>
      <c r="C4" s="17">
        <f t="shared" ref="C4:C67" si="1">IF($A4="","",MONTH($A4))</f>
        <v>1</v>
      </c>
      <c r="D4" s="18" t="s">
        <v>69</v>
      </c>
      <c r="E4" s="18" t="s">
        <v>70</v>
      </c>
      <c r="F4" s="19">
        <v>42.5</v>
      </c>
      <c r="G4" s="14" t="str">
        <f>IF($D4="","",IFERROR(INDEX(Einstellungen!$B$4:$B$40,MATCH($D4,Einstellungen!$A$4:$A$40,0)),"?"))</f>
        <v>Ausgabe</v>
      </c>
      <c r="H4" s="18" t="s">
        <v>71</v>
      </c>
      <c r="I4" s="11">
        <f t="shared" ref="I4:I67" si="2">IF($F4="","",IF($G4="Einnahme",$F4,-$F4))</f>
        <v>-42.5</v>
      </c>
    </row>
    <row r="5" spans="1:10" ht="15" customHeight="1" x14ac:dyDescent="0.25">
      <c r="A5" s="20">
        <v>46204</v>
      </c>
      <c r="B5" s="21">
        <f t="shared" si="0"/>
        <v>2026</v>
      </c>
      <c r="C5" s="21">
        <f t="shared" si="1"/>
        <v>7</v>
      </c>
      <c r="D5" s="22" t="s">
        <v>72</v>
      </c>
      <c r="E5" s="22" t="s">
        <v>73</v>
      </c>
      <c r="F5" s="23">
        <v>0.48</v>
      </c>
      <c r="G5" s="24" t="str">
        <f>IF($D5="","",IFERROR(INDEX(Einstellungen!$B$4:$B$40,MATCH($D5,Einstellungen!$A$4:$A$40,0)),"?"))</f>
        <v>Ausgabe</v>
      </c>
      <c r="H5" s="22" t="s">
        <v>71</v>
      </c>
      <c r="I5" s="25">
        <f t="shared" si="2"/>
        <v>-0.48</v>
      </c>
      <c r="J5" s="50" t="s">
        <v>74</v>
      </c>
    </row>
    <row r="6" spans="1:10" ht="15" customHeight="1" x14ac:dyDescent="0.25">
      <c r="A6" s="26">
        <v>46216</v>
      </c>
      <c r="B6" s="17">
        <f t="shared" si="0"/>
        <v>2026</v>
      </c>
      <c r="C6" s="17">
        <f t="shared" si="1"/>
        <v>7</v>
      </c>
      <c r="D6" s="27" t="s">
        <v>75</v>
      </c>
      <c r="E6" s="27" t="s">
        <v>76</v>
      </c>
      <c r="F6" s="28">
        <v>39.22</v>
      </c>
      <c r="G6" s="14" t="str">
        <f>IF($D6="","",IFERROR(INDEX(Einstellungen!$B$4:$B$40,MATCH($D6,Einstellungen!$A$4:$A$40,0)),"?"))</f>
        <v>Ausgabe</v>
      </c>
      <c r="H6" s="27" t="s">
        <v>71</v>
      </c>
      <c r="I6" s="11">
        <f t="shared" si="2"/>
        <v>-39.22</v>
      </c>
      <c r="J6" s="50" t="s">
        <v>77</v>
      </c>
    </row>
    <row r="7" spans="1:10" ht="15" customHeight="1" x14ac:dyDescent="0.25">
      <c r="A7" s="20">
        <v>46217</v>
      </c>
      <c r="B7" s="21">
        <f t="shared" si="0"/>
        <v>2026</v>
      </c>
      <c r="C7" s="21">
        <f t="shared" si="1"/>
        <v>7</v>
      </c>
      <c r="D7" s="22" t="s">
        <v>75</v>
      </c>
      <c r="E7" s="22" t="s">
        <v>78</v>
      </c>
      <c r="F7" s="23">
        <v>52.23</v>
      </c>
      <c r="G7" s="24" t="str">
        <f>IF($D7="","",IFERROR(INDEX(Einstellungen!$B$4:$B$40,MATCH($D7,Einstellungen!$A$4:$A$40,0)),"?"))</f>
        <v>Ausgabe</v>
      </c>
      <c r="H7" s="22" t="s">
        <v>71</v>
      </c>
      <c r="I7" s="25">
        <f t="shared" si="2"/>
        <v>-52.23</v>
      </c>
      <c r="J7" s="50" t="s">
        <v>79</v>
      </c>
    </row>
    <row r="8" spans="1:10" ht="15" customHeight="1" x14ac:dyDescent="0.25">
      <c r="A8" s="26">
        <v>46230</v>
      </c>
      <c r="B8" s="17">
        <f t="shared" si="0"/>
        <v>2026</v>
      </c>
      <c r="C8" s="17">
        <f t="shared" si="1"/>
        <v>7</v>
      </c>
      <c r="D8" s="27" t="s">
        <v>80</v>
      </c>
      <c r="E8" s="27" t="s">
        <v>81</v>
      </c>
      <c r="F8" s="28">
        <v>100</v>
      </c>
      <c r="G8" s="14" t="str">
        <f>IF($D8="","",IFERROR(INDEX(Einstellungen!$B$4:$B$40,MATCH($D8,Einstellungen!$A$4:$A$40,0)),"?"))</f>
        <v>Einnahme</v>
      </c>
      <c r="H8" s="27" t="s">
        <v>71</v>
      </c>
      <c r="I8" s="11">
        <f t="shared" si="2"/>
        <v>100</v>
      </c>
      <c r="J8" s="50" t="s">
        <v>82</v>
      </c>
    </row>
    <row r="9" spans="1:10" ht="15" customHeight="1" x14ac:dyDescent="0.25">
      <c r="A9" s="20">
        <v>46231</v>
      </c>
      <c r="B9" s="21">
        <f t="shared" si="0"/>
        <v>2026</v>
      </c>
      <c r="C9" s="21">
        <f t="shared" si="1"/>
        <v>7</v>
      </c>
      <c r="D9" s="22" t="s">
        <v>80</v>
      </c>
      <c r="E9" s="22" t="s">
        <v>83</v>
      </c>
      <c r="F9" s="23">
        <v>417.41</v>
      </c>
      <c r="G9" s="24" t="str">
        <f>IF($D9="","",IFERROR(INDEX(Einstellungen!$B$4:$B$40,MATCH($D9,Einstellungen!$A$4:$A$40,0)),"?"))</f>
        <v>Einnahme</v>
      </c>
      <c r="H9" s="22" t="s">
        <v>71</v>
      </c>
      <c r="I9" s="25">
        <f t="shared" si="2"/>
        <v>417.41</v>
      </c>
      <c r="J9" s="50" t="s">
        <v>84</v>
      </c>
    </row>
    <row r="10" spans="1:10" ht="15" customHeight="1" x14ac:dyDescent="0.25">
      <c r="A10" s="26">
        <v>46233</v>
      </c>
      <c r="B10" s="17">
        <f t="shared" si="0"/>
        <v>2026</v>
      </c>
      <c r="C10" s="17">
        <f t="shared" si="1"/>
        <v>7</v>
      </c>
      <c r="D10" s="27" t="s">
        <v>85</v>
      </c>
      <c r="E10" s="27" t="s">
        <v>86</v>
      </c>
      <c r="F10" s="28">
        <v>300</v>
      </c>
      <c r="G10" s="14" t="str">
        <f>IF($D10="","",IFERROR(INDEX(Einstellungen!$B$4:$B$40,MATCH($D10,Einstellungen!$A$4:$A$40,0)),"?"))</f>
        <v>Ausgabe</v>
      </c>
      <c r="H10" s="27" t="s">
        <v>71</v>
      </c>
      <c r="I10" s="11">
        <f t="shared" si="2"/>
        <v>-300</v>
      </c>
      <c r="J10" s="50" t="s">
        <v>87</v>
      </c>
    </row>
    <row r="11" spans="1:10" ht="15" customHeight="1" x14ac:dyDescent="0.25">
      <c r="A11" s="20">
        <v>46233</v>
      </c>
      <c r="B11" s="21">
        <f t="shared" si="0"/>
        <v>2026</v>
      </c>
      <c r="C11" s="21">
        <f t="shared" si="1"/>
        <v>7</v>
      </c>
      <c r="D11" s="22" t="s">
        <v>75</v>
      </c>
      <c r="E11" s="22" t="s">
        <v>88</v>
      </c>
      <c r="F11" s="23">
        <v>30.27</v>
      </c>
      <c r="G11" s="24" t="str">
        <f>IF($D11="","",IFERROR(INDEX(Einstellungen!$B$4:$B$40,MATCH($D11,Einstellungen!$A$4:$A$40,0)),"?"))</f>
        <v>Ausgabe</v>
      </c>
      <c r="H11" s="22" t="s">
        <v>71</v>
      </c>
      <c r="I11" s="25">
        <f t="shared" si="2"/>
        <v>-30.27</v>
      </c>
      <c r="J11" s="50" t="s">
        <v>89</v>
      </c>
    </row>
    <row r="12" spans="1:10" ht="15" customHeight="1" x14ac:dyDescent="0.25">
      <c r="A12" s="26">
        <v>46234</v>
      </c>
      <c r="B12" s="17">
        <f t="shared" si="0"/>
        <v>2026</v>
      </c>
      <c r="C12" s="17">
        <f t="shared" si="1"/>
        <v>7</v>
      </c>
      <c r="D12" s="27" t="s">
        <v>80</v>
      </c>
      <c r="E12" s="27" t="s">
        <v>90</v>
      </c>
      <c r="F12" s="28">
        <v>300</v>
      </c>
      <c r="G12" s="14" t="str">
        <f>IF($D12="","",IFERROR(INDEX(Einstellungen!$B$4:$B$40,MATCH($D12,Einstellungen!$A$4:$A$40,0)),"?"))</f>
        <v>Einnahme</v>
      </c>
      <c r="H12" s="27" t="s">
        <v>71</v>
      </c>
      <c r="I12" s="11">
        <f t="shared" si="2"/>
        <v>300</v>
      </c>
      <c r="J12" s="50" t="s">
        <v>91</v>
      </c>
    </row>
    <row r="13" spans="1:10" ht="15" customHeight="1" x14ac:dyDescent="0.25">
      <c r="A13" s="20">
        <v>46234</v>
      </c>
      <c r="B13" s="21">
        <f t="shared" si="0"/>
        <v>2026</v>
      </c>
      <c r="C13" s="21">
        <f t="shared" si="1"/>
        <v>7</v>
      </c>
      <c r="D13" s="22" t="s">
        <v>75</v>
      </c>
      <c r="E13" s="22" t="s">
        <v>92</v>
      </c>
      <c r="F13" s="23">
        <v>25.15</v>
      </c>
      <c r="G13" s="24" t="str">
        <f>IF($D13="","",IFERROR(INDEX(Einstellungen!$B$4:$B$40,MATCH($D13,Einstellungen!$A$4:$A$40,0)),"?"))</f>
        <v>Ausgabe</v>
      </c>
      <c r="H13" s="22" t="s">
        <v>71</v>
      </c>
      <c r="I13" s="25">
        <f t="shared" si="2"/>
        <v>-25.15</v>
      </c>
      <c r="J13" s="50" t="s">
        <v>93</v>
      </c>
    </row>
    <row r="14" spans="1:10" ht="15" customHeight="1" x14ac:dyDescent="0.25">
      <c r="A14" s="26">
        <v>46234</v>
      </c>
      <c r="B14" s="17">
        <f t="shared" si="0"/>
        <v>2026</v>
      </c>
      <c r="C14" s="17">
        <f t="shared" si="1"/>
        <v>7</v>
      </c>
      <c r="D14" s="27" t="s">
        <v>69</v>
      </c>
      <c r="E14" s="27" t="s">
        <v>94</v>
      </c>
      <c r="F14" s="28">
        <v>19.87</v>
      </c>
      <c r="G14" s="14" t="str">
        <f>IF($D14="","",IFERROR(INDEX(Einstellungen!$B$4:$B$40,MATCH($D14,Einstellungen!$A$4:$A$40,0)),"?"))</f>
        <v>Ausgabe</v>
      </c>
      <c r="H14" s="27" t="s">
        <v>71</v>
      </c>
      <c r="I14" s="11">
        <f t="shared" si="2"/>
        <v>-19.87</v>
      </c>
      <c r="J14" s="50" t="s">
        <v>95</v>
      </c>
    </row>
    <row r="15" spans="1:10" ht="15" customHeight="1" x14ac:dyDescent="0.25">
      <c r="A15" s="20">
        <v>46234</v>
      </c>
      <c r="B15" s="21">
        <f t="shared" si="0"/>
        <v>2026</v>
      </c>
      <c r="C15" s="21">
        <f t="shared" si="1"/>
        <v>7</v>
      </c>
      <c r="D15" s="22" t="s">
        <v>80</v>
      </c>
      <c r="E15" s="22" t="s">
        <v>96</v>
      </c>
      <c r="F15" s="23">
        <v>30</v>
      </c>
      <c r="G15" s="24" t="str">
        <f>IF($D15="","",IFERROR(INDEX(Einstellungen!$B$4:$B$40,MATCH($D15,Einstellungen!$A$4:$A$40,0)),"?"))</f>
        <v>Einnahme</v>
      </c>
      <c r="H15" s="22" t="s">
        <v>71</v>
      </c>
      <c r="I15" s="25">
        <f t="shared" si="2"/>
        <v>30</v>
      </c>
      <c r="J15" s="50" t="s">
        <v>97</v>
      </c>
    </row>
    <row r="16" spans="1:10" ht="15" customHeight="1" x14ac:dyDescent="0.25">
      <c r="A16" s="26">
        <v>46237</v>
      </c>
      <c r="B16" s="17">
        <f t="shared" si="0"/>
        <v>2026</v>
      </c>
      <c r="C16" s="17">
        <f t="shared" si="1"/>
        <v>8</v>
      </c>
      <c r="D16" s="27" t="s">
        <v>98</v>
      </c>
      <c r="E16" s="27" t="s">
        <v>99</v>
      </c>
      <c r="F16" s="28">
        <v>5</v>
      </c>
      <c r="G16" s="14" t="str">
        <f>IF($D16="","",IFERROR(INDEX(Einstellungen!$B$4:$B$40,MATCH($D16,Einstellungen!$A$4:$A$40,0)),"?"))</f>
        <v>Ausgabe</v>
      </c>
      <c r="H16" s="27" t="s">
        <v>71</v>
      </c>
      <c r="I16" s="11">
        <f t="shared" si="2"/>
        <v>-5</v>
      </c>
      <c r="J16" s="50" t="s">
        <v>100</v>
      </c>
    </row>
    <row r="17" spans="1:10" ht="15" customHeight="1" x14ac:dyDescent="0.25">
      <c r="A17" s="20">
        <v>46237</v>
      </c>
      <c r="B17" s="21">
        <f t="shared" si="0"/>
        <v>2026</v>
      </c>
      <c r="C17" s="21">
        <f t="shared" si="1"/>
        <v>8</v>
      </c>
      <c r="D17" s="22" t="s">
        <v>72</v>
      </c>
      <c r="E17" s="22" t="s">
        <v>101</v>
      </c>
      <c r="F17" s="23">
        <v>2.9</v>
      </c>
      <c r="G17" s="24" t="str">
        <f>IF($D17="","",IFERROR(INDEX(Einstellungen!$B$4:$B$40,MATCH($D17,Einstellungen!$A$4:$A$40,0)),"?"))</f>
        <v>Ausgabe</v>
      </c>
      <c r="H17" s="22" t="s">
        <v>71</v>
      </c>
      <c r="I17" s="25">
        <f t="shared" si="2"/>
        <v>-2.9</v>
      </c>
      <c r="J17" s="50" t="s">
        <v>102</v>
      </c>
    </row>
    <row r="18" spans="1:10" ht="15" customHeight="1" x14ac:dyDescent="0.25">
      <c r="A18" s="26">
        <v>46238</v>
      </c>
      <c r="B18" s="17">
        <f t="shared" si="0"/>
        <v>2026</v>
      </c>
      <c r="C18" s="17">
        <f t="shared" si="1"/>
        <v>8</v>
      </c>
      <c r="D18" s="27" t="s">
        <v>72</v>
      </c>
      <c r="E18" s="27" t="s">
        <v>103</v>
      </c>
      <c r="F18" s="28">
        <v>16.989999999999998</v>
      </c>
      <c r="G18" s="14" t="str">
        <f>IF($D18="","",IFERROR(INDEX(Einstellungen!$B$4:$B$40,MATCH($D18,Einstellungen!$A$4:$A$40,0)),"?"))</f>
        <v>Ausgabe</v>
      </c>
      <c r="H18" s="27" t="s">
        <v>71</v>
      </c>
      <c r="I18" s="11">
        <f t="shared" si="2"/>
        <v>-16.989999999999998</v>
      </c>
      <c r="J18" s="50" t="s">
        <v>104</v>
      </c>
    </row>
    <row r="19" spans="1:10" ht="15" customHeight="1" x14ac:dyDescent="0.25">
      <c r="A19" s="20">
        <v>46238</v>
      </c>
      <c r="B19" s="21">
        <f t="shared" si="0"/>
        <v>2026</v>
      </c>
      <c r="C19" s="21">
        <f t="shared" si="1"/>
        <v>8</v>
      </c>
      <c r="D19" s="22" t="s">
        <v>72</v>
      </c>
      <c r="E19" s="22" t="s">
        <v>105</v>
      </c>
      <c r="F19" s="23">
        <v>41.04</v>
      </c>
      <c r="G19" s="24" t="str">
        <f>IF($D19="","",IFERROR(INDEX(Einstellungen!$B$4:$B$40,MATCH($D19,Einstellungen!$A$4:$A$40,0)),"?"))</f>
        <v>Ausgabe</v>
      </c>
      <c r="H19" s="22" t="s">
        <v>71</v>
      </c>
      <c r="I19" s="25">
        <f t="shared" si="2"/>
        <v>-41.04</v>
      </c>
      <c r="J19" s="50" t="s">
        <v>106</v>
      </c>
    </row>
    <row r="20" spans="1:10" ht="15" customHeight="1" x14ac:dyDescent="0.25">
      <c r="A20" s="26">
        <v>46238</v>
      </c>
      <c r="B20" s="17">
        <f t="shared" si="0"/>
        <v>2026</v>
      </c>
      <c r="C20" s="17">
        <f t="shared" si="1"/>
        <v>8</v>
      </c>
      <c r="D20" s="27" t="s">
        <v>72</v>
      </c>
      <c r="E20" s="27" t="s">
        <v>107</v>
      </c>
      <c r="F20" s="28">
        <v>38</v>
      </c>
      <c r="G20" s="14" t="str">
        <f>IF($D20="","",IFERROR(INDEX(Einstellungen!$B$4:$B$40,MATCH($D20,Einstellungen!$A$4:$A$40,0)),"?"))</f>
        <v>Ausgabe</v>
      </c>
      <c r="H20" s="27" t="s">
        <v>71</v>
      </c>
      <c r="I20" s="11">
        <f t="shared" si="2"/>
        <v>-38</v>
      </c>
      <c r="J20" s="50" t="s">
        <v>108</v>
      </c>
    </row>
    <row r="21" spans="1:10" ht="15" customHeight="1" x14ac:dyDescent="0.25">
      <c r="A21" s="20">
        <v>46239</v>
      </c>
      <c r="B21" s="21">
        <f t="shared" si="0"/>
        <v>2026</v>
      </c>
      <c r="C21" s="21">
        <f t="shared" si="1"/>
        <v>8</v>
      </c>
      <c r="D21" s="22" t="s">
        <v>69</v>
      </c>
      <c r="E21" s="22" t="s">
        <v>109</v>
      </c>
      <c r="F21" s="23">
        <v>23.7</v>
      </c>
      <c r="G21" s="24" t="str">
        <f>IF($D21="","",IFERROR(INDEX(Einstellungen!$B$4:$B$40,MATCH($D21,Einstellungen!$A$4:$A$40,0)),"?"))</f>
        <v>Ausgabe</v>
      </c>
      <c r="H21" s="22" t="s">
        <v>71</v>
      </c>
      <c r="I21" s="25">
        <f t="shared" si="2"/>
        <v>-23.7</v>
      </c>
      <c r="J21" s="50" t="s">
        <v>110</v>
      </c>
    </row>
    <row r="22" spans="1:10" ht="15" customHeight="1" x14ac:dyDescent="0.25">
      <c r="A22" s="26">
        <v>46239</v>
      </c>
      <c r="B22" s="17">
        <f t="shared" si="0"/>
        <v>2026</v>
      </c>
      <c r="C22" s="17">
        <f t="shared" si="1"/>
        <v>8</v>
      </c>
      <c r="D22" s="27" t="s">
        <v>69</v>
      </c>
      <c r="E22" s="27" t="s">
        <v>111</v>
      </c>
      <c r="F22" s="28">
        <v>5.88</v>
      </c>
      <c r="G22" s="14" t="str">
        <f>IF($D22="","",IFERROR(INDEX(Einstellungen!$B$4:$B$40,MATCH($D22,Einstellungen!$A$4:$A$40,0)),"?"))</f>
        <v>Ausgabe</v>
      </c>
      <c r="H22" s="27" t="s">
        <v>71</v>
      </c>
      <c r="I22" s="11">
        <f t="shared" si="2"/>
        <v>-5.88</v>
      </c>
      <c r="J22" s="50" t="s">
        <v>112</v>
      </c>
    </row>
    <row r="23" spans="1:10" ht="15" customHeight="1" x14ac:dyDescent="0.25">
      <c r="A23" s="20">
        <v>46240</v>
      </c>
      <c r="B23" s="21">
        <f t="shared" si="0"/>
        <v>2026</v>
      </c>
      <c r="C23" s="21">
        <f t="shared" si="1"/>
        <v>8</v>
      </c>
      <c r="D23" s="22" t="s">
        <v>72</v>
      </c>
      <c r="E23" s="22" t="s">
        <v>113</v>
      </c>
      <c r="F23" s="23">
        <v>50.6</v>
      </c>
      <c r="G23" s="24" t="str">
        <f>IF($D23="","",IFERROR(INDEX(Einstellungen!$B$4:$B$40,MATCH($D23,Einstellungen!$A$4:$A$40,0)),"?"))</f>
        <v>Ausgabe</v>
      </c>
      <c r="H23" s="22" t="s">
        <v>71</v>
      </c>
      <c r="I23" s="25">
        <f t="shared" si="2"/>
        <v>-50.6</v>
      </c>
      <c r="J23" s="50" t="s">
        <v>114</v>
      </c>
    </row>
    <row r="24" spans="1:10" ht="15" customHeight="1" x14ac:dyDescent="0.25">
      <c r="A24" s="26">
        <v>46240</v>
      </c>
      <c r="B24" s="17">
        <f t="shared" si="0"/>
        <v>2026</v>
      </c>
      <c r="C24" s="17">
        <f t="shared" si="1"/>
        <v>8</v>
      </c>
      <c r="D24" s="27" t="s">
        <v>72</v>
      </c>
      <c r="E24" s="27" t="s">
        <v>115</v>
      </c>
      <c r="F24" s="28">
        <v>9.99</v>
      </c>
      <c r="G24" s="14" t="str">
        <f>IF($D24="","",IFERROR(INDEX(Einstellungen!$B$4:$B$40,MATCH($D24,Einstellungen!$A$4:$A$40,0)),"?"))</f>
        <v>Ausgabe</v>
      </c>
      <c r="H24" s="27" t="s">
        <v>71</v>
      </c>
      <c r="I24" s="11">
        <f t="shared" si="2"/>
        <v>-9.99</v>
      </c>
      <c r="J24" s="50" t="s">
        <v>116</v>
      </c>
    </row>
    <row r="25" spans="1:10" ht="15" customHeight="1" x14ac:dyDescent="0.25">
      <c r="A25" s="20">
        <v>46240</v>
      </c>
      <c r="B25" s="21">
        <f t="shared" si="0"/>
        <v>2026</v>
      </c>
      <c r="C25" s="21">
        <f t="shared" si="1"/>
        <v>8</v>
      </c>
      <c r="D25" s="22" t="s">
        <v>72</v>
      </c>
      <c r="E25" s="22" t="s">
        <v>117</v>
      </c>
      <c r="F25" s="23">
        <v>18.98</v>
      </c>
      <c r="G25" s="24" t="str">
        <f>IF($D25="","",IFERROR(INDEX(Einstellungen!$B$4:$B$40,MATCH($D25,Einstellungen!$A$4:$A$40,0)),"?"))</f>
        <v>Ausgabe</v>
      </c>
      <c r="H25" s="22" t="s">
        <v>71</v>
      </c>
      <c r="I25" s="25">
        <f t="shared" si="2"/>
        <v>-18.98</v>
      </c>
      <c r="J25" s="50" t="s">
        <v>118</v>
      </c>
    </row>
    <row r="26" spans="1:10" ht="15" customHeight="1" x14ac:dyDescent="0.25">
      <c r="A26" s="26">
        <v>46240</v>
      </c>
      <c r="B26" s="17">
        <f t="shared" si="0"/>
        <v>2026</v>
      </c>
      <c r="C26" s="17">
        <f t="shared" si="1"/>
        <v>8</v>
      </c>
      <c r="D26" s="27" t="s">
        <v>119</v>
      </c>
      <c r="E26" s="27" t="s">
        <v>120</v>
      </c>
      <c r="F26" s="28">
        <v>166.42</v>
      </c>
      <c r="G26" s="14" t="str">
        <f>IF($D26="","",IFERROR(INDEX(Einstellungen!$B$4:$B$40,MATCH($D26,Einstellungen!$A$4:$A$40,0)),"?"))</f>
        <v>Ausgabe</v>
      </c>
      <c r="H26" s="27" t="s">
        <v>71</v>
      </c>
      <c r="I26" s="11">
        <f t="shared" si="2"/>
        <v>-166.42</v>
      </c>
      <c r="J26" s="50" t="s">
        <v>121</v>
      </c>
    </row>
    <row r="27" spans="1:10" ht="15" customHeight="1" x14ac:dyDescent="0.25">
      <c r="A27" s="20">
        <v>46240</v>
      </c>
      <c r="B27" s="21">
        <f t="shared" si="0"/>
        <v>2026</v>
      </c>
      <c r="C27" s="21">
        <f t="shared" si="1"/>
        <v>8</v>
      </c>
      <c r="D27" s="22" t="s">
        <v>72</v>
      </c>
      <c r="E27" s="22" t="s">
        <v>122</v>
      </c>
      <c r="F27" s="23">
        <v>30.43</v>
      </c>
      <c r="G27" s="24" t="str">
        <f>IF($D27="","",IFERROR(INDEX(Einstellungen!$B$4:$B$40,MATCH($D27,Einstellungen!$A$4:$A$40,0)),"?"))</f>
        <v>Ausgabe</v>
      </c>
      <c r="H27" s="22" t="s">
        <v>71</v>
      </c>
      <c r="I27" s="25">
        <f t="shared" si="2"/>
        <v>-30.43</v>
      </c>
      <c r="J27" s="50" t="s">
        <v>123</v>
      </c>
    </row>
    <row r="28" spans="1:10" ht="15" customHeight="1" x14ac:dyDescent="0.25">
      <c r="A28" s="26">
        <v>46241</v>
      </c>
      <c r="B28" s="17">
        <f t="shared" si="0"/>
        <v>2026</v>
      </c>
      <c r="C28" s="17">
        <f t="shared" si="1"/>
        <v>8</v>
      </c>
      <c r="D28" s="27" t="s">
        <v>75</v>
      </c>
      <c r="E28" s="27" t="s">
        <v>124</v>
      </c>
      <c r="F28" s="28">
        <v>23.79</v>
      </c>
      <c r="G28" s="14" t="str">
        <f>IF($D28="","",IFERROR(INDEX(Einstellungen!$B$4:$B$40,MATCH($D28,Einstellungen!$A$4:$A$40,0)),"?"))</f>
        <v>Ausgabe</v>
      </c>
      <c r="H28" s="27" t="s">
        <v>71</v>
      </c>
      <c r="I28" s="11">
        <f t="shared" si="2"/>
        <v>-23.79</v>
      </c>
      <c r="J28" s="50" t="s">
        <v>125</v>
      </c>
    </row>
    <row r="29" spans="1:10" ht="15" customHeight="1" x14ac:dyDescent="0.25">
      <c r="A29" s="20">
        <v>46244</v>
      </c>
      <c r="B29" s="21">
        <f t="shared" si="0"/>
        <v>2026</v>
      </c>
      <c r="C29" s="21">
        <f t="shared" si="1"/>
        <v>8</v>
      </c>
      <c r="D29" s="22" t="s">
        <v>72</v>
      </c>
      <c r="E29" s="22" t="s">
        <v>126</v>
      </c>
      <c r="F29" s="23">
        <v>4.99</v>
      </c>
      <c r="G29" s="24" t="str">
        <f>IF($D29="","",IFERROR(INDEX(Einstellungen!$B$4:$B$40,MATCH($D29,Einstellungen!$A$4:$A$40,0)),"?"))</f>
        <v>Ausgabe</v>
      </c>
      <c r="H29" s="22" t="s">
        <v>71</v>
      </c>
      <c r="I29" s="25">
        <f t="shared" si="2"/>
        <v>-4.99</v>
      </c>
      <c r="J29" s="50" t="s">
        <v>127</v>
      </c>
    </row>
    <row r="30" spans="1:10" ht="15" customHeight="1" x14ac:dyDescent="0.25">
      <c r="A30" s="26">
        <v>46244</v>
      </c>
      <c r="B30" s="17">
        <f t="shared" si="0"/>
        <v>2026</v>
      </c>
      <c r="C30" s="17">
        <f t="shared" si="1"/>
        <v>8</v>
      </c>
      <c r="D30" s="27" t="s">
        <v>72</v>
      </c>
      <c r="E30" s="27" t="s">
        <v>126</v>
      </c>
      <c r="F30" s="28">
        <v>6.99</v>
      </c>
      <c r="G30" s="14" t="str">
        <f>IF($D30="","",IFERROR(INDEX(Einstellungen!$B$4:$B$40,MATCH($D30,Einstellungen!$A$4:$A$40,0)),"?"))</f>
        <v>Ausgabe</v>
      </c>
      <c r="H30" s="27" t="s">
        <v>71</v>
      </c>
      <c r="I30" s="11">
        <f t="shared" si="2"/>
        <v>-6.99</v>
      </c>
      <c r="J30" s="50" t="s">
        <v>128</v>
      </c>
    </row>
    <row r="31" spans="1:10" ht="15" customHeight="1" x14ac:dyDescent="0.25">
      <c r="A31" s="20">
        <v>46244</v>
      </c>
      <c r="B31" s="21">
        <f t="shared" si="0"/>
        <v>2026</v>
      </c>
      <c r="C31" s="21">
        <f t="shared" si="1"/>
        <v>8</v>
      </c>
      <c r="D31" s="22" t="s">
        <v>72</v>
      </c>
      <c r="E31" s="22" t="s">
        <v>126</v>
      </c>
      <c r="F31" s="23">
        <v>29.99</v>
      </c>
      <c r="G31" s="24" t="str">
        <f>IF($D31="","",IFERROR(INDEX(Einstellungen!$B$4:$B$40,MATCH($D31,Einstellungen!$A$4:$A$40,0)),"?"))</f>
        <v>Ausgabe</v>
      </c>
      <c r="H31" s="22" t="s">
        <v>71</v>
      </c>
      <c r="I31" s="25">
        <f t="shared" si="2"/>
        <v>-29.99</v>
      </c>
      <c r="J31" s="50" t="s">
        <v>129</v>
      </c>
    </row>
    <row r="32" spans="1:10" ht="15" customHeight="1" x14ac:dyDescent="0.25">
      <c r="A32" s="26">
        <v>46245</v>
      </c>
      <c r="B32" s="17">
        <f t="shared" si="0"/>
        <v>2026</v>
      </c>
      <c r="C32" s="17">
        <f t="shared" si="1"/>
        <v>8</v>
      </c>
      <c r="D32" s="27" t="s">
        <v>72</v>
      </c>
      <c r="E32" s="27" t="s">
        <v>130</v>
      </c>
      <c r="F32" s="28">
        <v>4.99</v>
      </c>
      <c r="G32" s="14" t="str">
        <f>IF($D32="","",IFERROR(INDEX(Einstellungen!$B$4:$B$40,MATCH($D32,Einstellungen!$A$4:$A$40,0)),"?"))</f>
        <v>Ausgabe</v>
      </c>
      <c r="H32" s="27" t="s">
        <v>71</v>
      </c>
      <c r="I32" s="11">
        <f t="shared" si="2"/>
        <v>-4.99</v>
      </c>
      <c r="J32" s="50" t="s">
        <v>131</v>
      </c>
    </row>
    <row r="33" spans="1:10" ht="15" customHeight="1" x14ac:dyDescent="0.25">
      <c r="A33" s="20">
        <v>46245</v>
      </c>
      <c r="B33" s="21">
        <f t="shared" si="0"/>
        <v>2026</v>
      </c>
      <c r="C33" s="21">
        <f t="shared" si="1"/>
        <v>8</v>
      </c>
      <c r="D33" s="22" t="s">
        <v>72</v>
      </c>
      <c r="E33" s="22" t="s">
        <v>132</v>
      </c>
      <c r="F33" s="23">
        <v>8.99</v>
      </c>
      <c r="G33" s="24" t="str">
        <f>IF($D33="","",IFERROR(INDEX(Einstellungen!$B$4:$B$40,MATCH($D33,Einstellungen!$A$4:$A$40,0)),"?"))</f>
        <v>Ausgabe</v>
      </c>
      <c r="H33" s="22" t="s">
        <v>71</v>
      </c>
      <c r="I33" s="25">
        <f t="shared" si="2"/>
        <v>-8.99</v>
      </c>
      <c r="J33" s="50" t="s">
        <v>133</v>
      </c>
    </row>
    <row r="34" spans="1:10" ht="15" customHeight="1" x14ac:dyDescent="0.25">
      <c r="A34" s="26">
        <v>46245</v>
      </c>
      <c r="B34" s="17">
        <f t="shared" si="0"/>
        <v>2026</v>
      </c>
      <c r="C34" s="17">
        <f t="shared" si="1"/>
        <v>8</v>
      </c>
      <c r="D34" s="27" t="s">
        <v>72</v>
      </c>
      <c r="E34" s="27" t="s">
        <v>134</v>
      </c>
      <c r="F34" s="28">
        <v>4.68</v>
      </c>
      <c r="G34" s="14" t="str">
        <f>IF($D34="","",IFERROR(INDEX(Einstellungen!$B$4:$B$40,MATCH($D34,Einstellungen!$A$4:$A$40,0)),"?"))</f>
        <v>Ausgabe</v>
      </c>
      <c r="H34" s="27" t="s">
        <v>71</v>
      </c>
      <c r="I34" s="11">
        <f t="shared" si="2"/>
        <v>-4.68</v>
      </c>
      <c r="J34" s="50" t="s">
        <v>135</v>
      </c>
    </row>
    <row r="35" spans="1:10" ht="15" customHeight="1" x14ac:dyDescent="0.25">
      <c r="A35" s="20">
        <v>46245</v>
      </c>
      <c r="B35" s="21">
        <f t="shared" si="0"/>
        <v>2026</v>
      </c>
      <c r="C35" s="21">
        <f t="shared" si="1"/>
        <v>8</v>
      </c>
      <c r="D35" s="22" t="s">
        <v>72</v>
      </c>
      <c r="E35" s="22" t="s">
        <v>136</v>
      </c>
      <c r="F35" s="23">
        <v>9.9</v>
      </c>
      <c r="G35" s="24" t="str">
        <f>IF($D35="","",IFERROR(INDEX(Einstellungen!$B$4:$B$40,MATCH($D35,Einstellungen!$A$4:$A$40,0)),"?"))</f>
        <v>Ausgabe</v>
      </c>
      <c r="H35" s="22" t="s">
        <v>71</v>
      </c>
      <c r="I35" s="25">
        <f t="shared" si="2"/>
        <v>-9.9</v>
      </c>
      <c r="J35" s="50" t="s">
        <v>137</v>
      </c>
    </row>
    <row r="36" spans="1:10" ht="15" customHeight="1" x14ac:dyDescent="0.25">
      <c r="A36" s="26">
        <v>46245</v>
      </c>
      <c r="B36" s="17">
        <f t="shared" si="0"/>
        <v>2026</v>
      </c>
      <c r="C36" s="17">
        <f t="shared" si="1"/>
        <v>8</v>
      </c>
      <c r="D36" s="27" t="s">
        <v>72</v>
      </c>
      <c r="E36" s="27" t="s">
        <v>138</v>
      </c>
      <c r="F36" s="28">
        <v>13.99</v>
      </c>
      <c r="G36" s="14" t="str">
        <f>IF($D36="","",IFERROR(INDEX(Einstellungen!$B$4:$B$40,MATCH($D36,Einstellungen!$A$4:$A$40,0)),"?"))</f>
        <v>Ausgabe</v>
      </c>
      <c r="H36" s="27" t="s">
        <v>71</v>
      </c>
      <c r="I36" s="11">
        <f t="shared" si="2"/>
        <v>-13.99</v>
      </c>
      <c r="J36" s="50" t="s">
        <v>139</v>
      </c>
    </row>
    <row r="37" spans="1:10" ht="15" customHeight="1" x14ac:dyDescent="0.25">
      <c r="A37" s="20">
        <v>46245</v>
      </c>
      <c r="B37" s="21">
        <f t="shared" si="0"/>
        <v>2026</v>
      </c>
      <c r="C37" s="21">
        <f t="shared" si="1"/>
        <v>8</v>
      </c>
      <c r="D37" s="22" t="s">
        <v>72</v>
      </c>
      <c r="E37" s="22" t="s">
        <v>140</v>
      </c>
      <c r="F37" s="23">
        <v>28.8</v>
      </c>
      <c r="G37" s="24" t="str">
        <f>IF($D37="","",IFERROR(INDEX(Einstellungen!$B$4:$B$40,MATCH($D37,Einstellungen!$A$4:$A$40,0)),"?"))</f>
        <v>Ausgabe</v>
      </c>
      <c r="H37" s="22" t="s">
        <v>71</v>
      </c>
      <c r="I37" s="25">
        <f t="shared" si="2"/>
        <v>-28.8</v>
      </c>
      <c r="J37" s="50" t="s">
        <v>141</v>
      </c>
    </row>
    <row r="38" spans="1:10" ht="15" customHeight="1" x14ac:dyDescent="0.25">
      <c r="A38" s="26">
        <v>46245</v>
      </c>
      <c r="B38" s="17">
        <f t="shared" si="0"/>
        <v>2026</v>
      </c>
      <c r="C38" s="17">
        <f t="shared" si="1"/>
        <v>8</v>
      </c>
      <c r="D38" s="27" t="s">
        <v>72</v>
      </c>
      <c r="E38" s="27" t="s">
        <v>142</v>
      </c>
      <c r="F38" s="28">
        <v>8.9499999999999993</v>
      </c>
      <c r="G38" s="14" t="str">
        <f>IF($D38="","",IFERROR(INDEX(Einstellungen!$B$4:$B$40,MATCH($D38,Einstellungen!$A$4:$A$40,0)),"?"))</f>
        <v>Ausgabe</v>
      </c>
      <c r="H38" s="27" t="s">
        <v>71</v>
      </c>
      <c r="I38" s="11">
        <f t="shared" si="2"/>
        <v>-8.9499999999999993</v>
      </c>
      <c r="J38" s="50" t="s">
        <v>143</v>
      </c>
    </row>
    <row r="39" spans="1:10" ht="15" customHeight="1" x14ac:dyDescent="0.25">
      <c r="A39" s="20">
        <v>46245</v>
      </c>
      <c r="B39" s="21">
        <f t="shared" si="0"/>
        <v>2026</v>
      </c>
      <c r="C39" s="21">
        <f t="shared" si="1"/>
        <v>8</v>
      </c>
      <c r="D39" s="22" t="s">
        <v>72</v>
      </c>
      <c r="E39" s="22" t="s">
        <v>144</v>
      </c>
      <c r="F39" s="23">
        <v>9.43</v>
      </c>
      <c r="G39" s="24" t="str">
        <f>IF($D39="","",IFERROR(INDEX(Einstellungen!$B$4:$B$40,MATCH($D39,Einstellungen!$A$4:$A$40,0)),"?"))</f>
        <v>Ausgabe</v>
      </c>
      <c r="H39" s="22" t="s">
        <v>71</v>
      </c>
      <c r="I39" s="25">
        <f t="shared" si="2"/>
        <v>-9.43</v>
      </c>
      <c r="J39" s="50" t="s">
        <v>145</v>
      </c>
    </row>
    <row r="40" spans="1:10" ht="15" customHeight="1" x14ac:dyDescent="0.25">
      <c r="A40" s="26">
        <v>46246</v>
      </c>
      <c r="B40" s="17">
        <f t="shared" si="0"/>
        <v>2026</v>
      </c>
      <c r="C40" s="17">
        <f t="shared" si="1"/>
        <v>8</v>
      </c>
      <c r="D40" s="27" t="s">
        <v>72</v>
      </c>
      <c r="E40" s="27" t="s">
        <v>146</v>
      </c>
      <c r="F40" s="28">
        <v>6.59</v>
      </c>
      <c r="G40" s="14" t="str">
        <f>IF($D40="","",IFERROR(INDEX(Einstellungen!$B$4:$B$40,MATCH($D40,Einstellungen!$A$4:$A$40,0)),"?"))</f>
        <v>Ausgabe</v>
      </c>
      <c r="H40" s="27" t="s">
        <v>71</v>
      </c>
      <c r="I40" s="11">
        <f t="shared" si="2"/>
        <v>-6.59</v>
      </c>
      <c r="J40" s="50" t="s">
        <v>147</v>
      </c>
    </row>
    <row r="41" spans="1:10" ht="15" customHeight="1" x14ac:dyDescent="0.25">
      <c r="A41" s="20">
        <v>46246</v>
      </c>
      <c r="B41" s="21">
        <f t="shared" si="0"/>
        <v>2026</v>
      </c>
      <c r="C41" s="21">
        <f t="shared" si="1"/>
        <v>8</v>
      </c>
      <c r="D41" s="22" t="s">
        <v>72</v>
      </c>
      <c r="E41" s="22" t="s">
        <v>148</v>
      </c>
      <c r="F41" s="23">
        <v>17.850000000000001</v>
      </c>
      <c r="G41" s="24" t="str">
        <f>IF($D41="","",IFERROR(INDEX(Einstellungen!$B$4:$B$40,MATCH($D41,Einstellungen!$A$4:$A$40,0)),"?"))</f>
        <v>Ausgabe</v>
      </c>
      <c r="H41" s="22" t="s">
        <v>71</v>
      </c>
      <c r="I41" s="25">
        <f t="shared" si="2"/>
        <v>-17.850000000000001</v>
      </c>
      <c r="J41" s="50" t="s">
        <v>149</v>
      </c>
    </row>
    <row r="42" spans="1:10" ht="15" customHeight="1" x14ac:dyDescent="0.25">
      <c r="A42" s="26">
        <v>46246</v>
      </c>
      <c r="B42" s="17">
        <f t="shared" si="0"/>
        <v>2026</v>
      </c>
      <c r="C42" s="17">
        <f t="shared" si="1"/>
        <v>8</v>
      </c>
      <c r="D42" s="27" t="s">
        <v>85</v>
      </c>
      <c r="E42" s="27" t="s">
        <v>150</v>
      </c>
      <c r="F42" s="28">
        <v>0.9</v>
      </c>
      <c r="G42" s="14" t="str">
        <f>IF($D42="","",IFERROR(INDEX(Einstellungen!$B$4:$B$40,MATCH($D42,Einstellungen!$A$4:$A$40,0)),"?"))</f>
        <v>Ausgabe</v>
      </c>
      <c r="H42" s="27" t="s">
        <v>71</v>
      </c>
      <c r="I42" s="11">
        <f t="shared" si="2"/>
        <v>-0.9</v>
      </c>
      <c r="J42" s="50" t="s">
        <v>151</v>
      </c>
    </row>
    <row r="43" spans="1:10" ht="15" customHeight="1" x14ac:dyDescent="0.25">
      <c r="A43" s="20">
        <v>46246</v>
      </c>
      <c r="B43" s="21">
        <f t="shared" si="0"/>
        <v>2026</v>
      </c>
      <c r="C43" s="21">
        <f t="shared" si="1"/>
        <v>8</v>
      </c>
      <c r="D43" s="22" t="s">
        <v>80</v>
      </c>
      <c r="E43" s="22" t="s">
        <v>144</v>
      </c>
      <c r="F43" s="23">
        <v>9.43</v>
      </c>
      <c r="G43" s="24" t="str">
        <f>IF($D43="","",IFERROR(INDEX(Einstellungen!$B$4:$B$40,MATCH($D43,Einstellungen!$A$4:$A$40,0)),"?"))</f>
        <v>Einnahme</v>
      </c>
      <c r="H43" s="22" t="s">
        <v>71</v>
      </c>
      <c r="I43" s="25">
        <f t="shared" si="2"/>
        <v>9.43</v>
      </c>
      <c r="J43" s="50" t="s">
        <v>152</v>
      </c>
    </row>
    <row r="44" spans="1:10" ht="15" customHeight="1" x14ac:dyDescent="0.25">
      <c r="A44" s="26">
        <v>46246</v>
      </c>
      <c r="B44" s="17">
        <f t="shared" si="0"/>
        <v>2026</v>
      </c>
      <c r="C44" s="17">
        <f t="shared" si="1"/>
        <v>8</v>
      </c>
      <c r="D44" s="27" t="s">
        <v>85</v>
      </c>
      <c r="E44" s="27" t="s">
        <v>153</v>
      </c>
      <c r="F44" s="28">
        <v>0.9</v>
      </c>
      <c r="G44" s="14" t="str">
        <f>IF($D44="","",IFERROR(INDEX(Einstellungen!$B$4:$B$40,MATCH($D44,Einstellungen!$A$4:$A$40,0)),"?"))</f>
        <v>Ausgabe</v>
      </c>
      <c r="H44" s="27" t="s">
        <v>71</v>
      </c>
      <c r="I44" s="11">
        <f t="shared" si="2"/>
        <v>-0.9</v>
      </c>
      <c r="J44" s="50" t="s">
        <v>154</v>
      </c>
    </row>
    <row r="45" spans="1:10" ht="15" customHeight="1" x14ac:dyDescent="0.25">
      <c r="A45" s="20">
        <v>46246</v>
      </c>
      <c r="B45" s="21">
        <f t="shared" si="0"/>
        <v>2026</v>
      </c>
      <c r="C45" s="21">
        <f t="shared" si="1"/>
        <v>8</v>
      </c>
      <c r="D45" s="22" t="s">
        <v>80</v>
      </c>
      <c r="E45" s="22" t="s">
        <v>142</v>
      </c>
      <c r="F45" s="23">
        <v>8.9499999999999993</v>
      </c>
      <c r="G45" s="24" t="str">
        <f>IF($D45="","",IFERROR(INDEX(Einstellungen!$B$4:$B$40,MATCH($D45,Einstellungen!$A$4:$A$40,0)),"?"))</f>
        <v>Einnahme</v>
      </c>
      <c r="H45" s="22" t="s">
        <v>71</v>
      </c>
      <c r="I45" s="25">
        <f t="shared" si="2"/>
        <v>8.9499999999999993</v>
      </c>
      <c r="J45" s="50" t="s">
        <v>155</v>
      </c>
    </row>
    <row r="46" spans="1:10" ht="15" customHeight="1" x14ac:dyDescent="0.25">
      <c r="A46" s="26">
        <v>46246</v>
      </c>
      <c r="B46" s="17">
        <f t="shared" si="0"/>
        <v>2026</v>
      </c>
      <c r="C46" s="17">
        <f t="shared" si="1"/>
        <v>8</v>
      </c>
      <c r="D46" s="27" t="s">
        <v>85</v>
      </c>
      <c r="E46" s="27" t="s">
        <v>156</v>
      </c>
      <c r="F46" s="28">
        <v>0.9</v>
      </c>
      <c r="G46" s="14" t="str">
        <f>IF($D46="","",IFERROR(INDEX(Einstellungen!$B$4:$B$40,MATCH($D46,Einstellungen!$A$4:$A$40,0)),"?"))</f>
        <v>Ausgabe</v>
      </c>
      <c r="H46" s="27" t="s">
        <v>71</v>
      </c>
      <c r="I46" s="11">
        <f t="shared" si="2"/>
        <v>-0.9</v>
      </c>
      <c r="J46" s="50" t="s">
        <v>157</v>
      </c>
    </row>
    <row r="47" spans="1:10" ht="15" customHeight="1" x14ac:dyDescent="0.25">
      <c r="A47" s="20">
        <v>46246</v>
      </c>
      <c r="B47" s="21">
        <f t="shared" si="0"/>
        <v>2026</v>
      </c>
      <c r="C47" s="21">
        <f t="shared" si="1"/>
        <v>8</v>
      </c>
      <c r="D47" s="22" t="s">
        <v>80</v>
      </c>
      <c r="E47" s="22" t="s">
        <v>140</v>
      </c>
      <c r="F47" s="23">
        <v>28.8</v>
      </c>
      <c r="G47" s="24" t="str">
        <f>IF($D47="","",IFERROR(INDEX(Einstellungen!$B$4:$B$40,MATCH($D47,Einstellungen!$A$4:$A$40,0)),"?"))</f>
        <v>Einnahme</v>
      </c>
      <c r="H47" s="22" t="s">
        <v>71</v>
      </c>
      <c r="I47" s="25">
        <f t="shared" si="2"/>
        <v>28.8</v>
      </c>
      <c r="J47" s="50" t="s">
        <v>158</v>
      </c>
    </row>
    <row r="48" spans="1:10" ht="15" customHeight="1" x14ac:dyDescent="0.25">
      <c r="A48" s="26">
        <v>46246</v>
      </c>
      <c r="B48" s="17">
        <f t="shared" si="0"/>
        <v>2026</v>
      </c>
      <c r="C48" s="17">
        <f t="shared" si="1"/>
        <v>8</v>
      </c>
      <c r="D48" s="27" t="s">
        <v>85</v>
      </c>
      <c r="E48" s="27" t="s">
        <v>159</v>
      </c>
      <c r="F48" s="28">
        <v>0.9</v>
      </c>
      <c r="G48" s="14" t="str">
        <f>IF($D48="","",IFERROR(INDEX(Einstellungen!$B$4:$B$40,MATCH($D48,Einstellungen!$A$4:$A$40,0)),"?"))</f>
        <v>Ausgabe</v>
      </c>
      <c r="H48" s="27" t="s">
        <v>71</v>
      </c>
      <c r="I48" s="11">
        <f t="shared" si="2"/>
        <v>-0.9</v>
      </c>
      <c r="J48" s="50" t="s">
        <v>160</v>
      </c>
    </row>
    <row r="49" spans="1:10" ht="15" customHeight="1" x14ac:dyDescent="0.25">
      <c r="A49" s="20">
        <v>46246</v>
      </c>
      <c r="B49" s="21">
        <f t="shared" si="0"/>
        <v>2026</v>
      </c>
      <c r="C49" s="21">
        <f t="shared" si="1"/>
        <v>8</v>
      </c>
      <c r="D49" s="22" t="s">
        <v>80</v>
      </c>
      <c r="E49" s="22" t="s">
        <v>138</v>
      </c>
      <c r="F49" s="23">
        <v>13.99</v>
      </c>
      <c r="G49" s="24" t="str">
        <f>IF($D49="","",IFERROR(INDEX(Einstellungen!$B$4:$B$40,MATCH($D49,Einstellungen!$A$4:$A$40,0)),"?"))</f>
        <v>Einnahme</v>
      </c>
      <c r="H49" s="22" t="s">
        <v>71</v>
      </c>
      <c r="I49" s="25">
        <f t="shared" si="2"/>
        <v>13.99</v>
      </c>
      <c r="J49" s="50" t="s">
        <v>161</v>
      </c>
    </row>
    <row r="50" spans="1:10" ht="15" customHeight="1" x14ac:dyDescent="0.25">
      <c r="A50" s="26">
        <v>46246</v>
      </c>
      <c r="B50" s="17">
        <f t="shared" si="0"/>
        <v>2026</v>
      </c>
      <c r="C50" s="17">
        <f t="shared" si="1"/>
        <v>8</v>
      </c>
      <c r="D50" s="27" t="s">
        <v>85</v>
      </c>
      <c r="E50" s="27" t="s">
        <v>162</v>
      </c>
      <c r="F50" s="28">
        <v>0.9</v>
      </c>
      <c r="G50" s="14" t="str">
        <f>IF($D50="","",IFERROR(INDEX(Einstellungen!$B$4:$B$40,MATCH($D50,Einstellungen!$A$4:$A$40,0)),"?"))</f>
        <v>Ausgabe</v>
      </c>
      <c r="H50" s="27" t="s">
        <v>71</v>
      </c>
      <c r="I50" s="11">
        <f t="shared" si="2"/>
        <v>-0.9</v>
      </c>
      <c r="J50" s="50" t="s">
        <v>163</v>
      </c>
    </row>
    <row r="51" spans="1:10" ht="15" customHeight="1" x14ac:dyDescent="0.25">
      <c r="A51" s="20">
        <v>46246</v>
      </c>
      <c r="B51" s="21">
        <f t="shared" si="0"/>
        <v>2026</v>
      </c>
      <c r="C51" s="21">
        <f t="shared" si="1"/>
        <v>8</v>
      </c>
      <c r="D51" s="22" t="s">
        <v>80</v>
      </c>
      <c r="E51" s="22" t="s">
        <v>136</v>
      </c>
      <c r="F51" s="23">
        <v>9.9</v>
      </c>
      <c r="G51" s="24" t="str">
        <f>IF($D51="","",IFERROR(INDEX(Einstellungen!$B$4:$B$40,MATCH($D51,Einstellungen!$A$4:$A$40,0)),"?"))</f>
        <v>Einnahme</v>
      </c>
      <c r="H51" s="22" t="s">
        <v>71</v>
      </c>
      <c r="I51" s="25">
        <f t="shared" si="2"/>
        <v>9.9</v>
      </c>
      <c r="J51" s="50" t="s">
        <v>164</v>
      </c>
    </row>
    <row r="52" spans="1:10" ht="15" customHeight="1" x14ac:dyDescent="0.25">
      <c r="A52" s="26">
        <v>46246</v>
      </c>
      <c r="B52" s="17">
        <f t="shared" si="0"/>
        <v>2026</v>
      </c>
      <c r="C52" s="17">
        <f t="shared" si="1"/>
        <v>8</v>
      </c>
      <c r="D52" s="27" t="s">
        <v>85</v>
      </c>
      <c r="E52" s="27" t="s">
        <v>165</v>
      </c>
      <c r="F52" s="28">
        <v>0.9</v>
      </c>
      <c r="G52" s="14" t="str">
        <f>IF($D52="","",IFERROR(INDEX(Einstellungen!$B$4:$B$40,MATCH($D52,Einstellungen!$A$4:$A$40,0)),"?"))</f>
        <v>Ausgabe</v>
      </c>
      <c r="H52" s="27" t="s">
        <v>71</v>
      </c>
      <c r="I52" s="11">
        <f t="shared" si="2"/>
        <v>-0.9</v>
      </c>
      <c r="J52" s="50" t="s">
        <v>166</v>
      </c>
    </row>
    <row r="53" spans="1:10" ht="15" customHeight="1" x14ac:dyDescent="0.25">
      <c r="A53" s="20">
        <v>46246</v>
      </c>
      <c r="B53" s="21">
        <f t="shared" si="0"/>
        <v>2026</v>
      </c>
      <c r="C53" s="21">
        <f t="shared" si="1"/>
        <v>8</v>
      </c>
      <c r="D53" s="22" t="s">
        <v>80</v>
      </c>
      <c r="E53" s="22" t="s">
        <v>134</v>
      </c>
      <c r="F53" s="23">
        <v>4.68</v>
      </c>
      <c r="G53" s="24" t="str">
        <f>IF($D53="","",IFERROR(INDEX(Einstellungen!$B$4:$B$40,MATCH($D53,Einstellungen!$A$4:$A$40,0)),"?"))</f>
        <v>Einnahme</v>
      </c>
      <c r="H53" s="22" t="s">
        <v>71</v>
      </c>
      <c r="I53" s="25">
        <f t="shared" si="2"/>
        <v>4.68</v>
      </c>
      <c r="J53" s="50" t="s">
        <v>167</v>
      </c>
    </row>
    <row r="54" spans="1:10" ht="15" customHeight="1" x14ac:dyDescent="0.25">
      <c r="A54" s="26">
        <v>46246</v>
      </c>
      <c r="B54" s="17">
        <f t="shared" si="0"/>
        <v>2026</v>
      </c>
      <c r="C54" s="17">
        <f t="shared" si="1"/>
        <v>8</v>
      </c>
      <c r="D54" s="27" t="s">
        <v>85</v>
      </c>
      <c r="E54" s="27" t="s">
        <v>168</v>
      </c>
      <c r="F54" s="28">
        <v>0.9</v>
      </c>
      <c r="G54" s="14" t="str">
        <f>IF($D54="","",IFERROR(INDEX(Einstellungen!$B$4:$B$40,MATCH($D54,Einstellungen!$A$4:$A$40,0)),"?"))</f>
        <v>Ausgabe</v>
      </c>
      <c r="H54" s="27" t="s">
        <v>71</v>
      </c>
      <c r="I54" s="11">
        <f t="shared" si="2"/>
        <v>-0.9</v>
      </c>
      <c r="J54" s="50" t="s">
        <v>169</v>
      </c>
    </row>
    <row r="55" spans="1:10" ht="15" customHeight="1" x14ac:dyDescent="0.25">
      <c r="A55" s="20">
        <v>46246</v>
      </c>
      <c r="B55" s="21">
        <f t="shared" si="0"/>
        <v>2026</v>
      </c>
      <c r="C55" s="21">
        <f t="shared" si="1"/>
        <v>8</v>
      </c>
      <c r="D55" s="22" t="s">
        <v>80</v>
      </c>
      <c r="E55" s="22" t="s">
        <v>132</v>
      </c>
      <c r="F55" s="23">
        <v>8.99</v>
      </c>
      <c r="G55" s="24" t="str">
        <f>IF($D55="","",IFERROR(INDEX(Einstellungen!$B$4:$B$40,MATCH($D55,Einstellungen!$A$4:$A$40,0)),"?"))</f>
        <v>Einnahme</v>
      </c>
      <c r="H55" s="22" t="s">
        <v>71</v>
      </c>
      <c r="I55" s="25">
        <f t="shared" si="2"/>
        <v>8.99</v>
      </c>
      <c r="J55" s="50" t="s">
        <v>170</v>
      </c>
    </row>
    <row r="56" spans="1:10" ht="15" customHeight="1" x14ac:dyDescent="0.25">
      <c r="A56" s="26">
        <v>46246</v>
      </c>
      <c r="B56" s="17">
        <f t="shared" si="0"/>
        <v>2026</v>
      </c>
      <c r="C56" s="17">
        <f t="shared" si="1"/>
        <v>8</v>
      </c>
      <c r="D56" s="27" t="s">
        <v>85</v>
      </c>
      <c r="E56" s="27" t="s">
        <v>171</v>
      </c>
      <c r="F56" s="28">
        <v>0.9</v>
      </c>
      <c r="G56" s="14" t="str">
        <f>IF($D56="","",IFERROR(INDEX(Einstellungen!$B$4:$B$40,MATCH($D56,Einstellungen!$A$4:$A$40,0)),"?"))</f>
        <v>Ausgabe</v>
      </c>
      <c r="H56" s="27" t="s">
        <v>71</v>
      </c>
      <c r="I56" s="11">
        <f t="shared" si="2"/>
        <v>-0.9</v>
      </c>
      <c r="J56" s="50" t="s">
        <v>172</v>
      </c>
    </row>
    <row r="57" spans="1:10" ht="15" customHeight="1" x14ac:dyDescent="0.25">
      <c r="A57" s="20">
        <v>46246</v>
      </c>
      <c r="B57" s="21">
        <f t="shared" si="0"/>
        <v>2026</v>
      </c>
      <c r="C57" s="21">
        <f t="shared" si="1"/>
        <v>8</v>
      </c>
      <c r="D57" s="22" t="s">
        <v>80</v>
      </c>
      <c r="E57" s="22" t="s">
        <v>130</v>
      </c>
      <c r="F57" s="23">
        <v>4.99</v>
      </c>
      <c r="G57" s="24" t="str">
        <f>IF($D57="","",IFERROR(INDEX(Einstellungen!$B$4:$B$40,MATCH($D57,Einstellungen!$A$4:$A$40,0)),"?"))</f>
        <v>Einnahme</v>
      </c>
      <c r="H57" s="22" t="s">
        <v>71</v>
      </c>
      <c r="I57" s="25">
        <f t="shared" si="2"/>
        <v>4.99</v>
      </c>
      <c r="J57" s="50" t="s">
        <v>173</v>
      </c>
    </row>
    <row r="58" spans="1:10" ht="15" customHeight="1" x14ac:dyDescent="0.25">
      <c r="A58" s="26">
        <v>46247</v>
      </c>
      <c r="B58" s="17">
        <f t="shared" si="0"/>
        <v>2026</v>
      </c>
      <c r="C58" s="17">
        <f t="shared" si="1"/>
        <v>8</v>
      </c>
      <c r="D58" s="27" t="s">
        <v>72</v>
      </c>
      <c r="E58" s="27" t="s">
        <v>174</v>
      </c>
      <c r="F58" s="28">
        <v>130.37</v>
      </c>
      <c r="G58" s="14" t="str">
        <f>IF($D58="","",IFERROR(INDEX(Einstellungen!$B$4:$B$40,MATCH($D58,Einstellungen!$A$4:$A$40,0)),"?"))</f>
        <v>Ausgabe</v>
      </c>
      <c r="H58" s="27" t="s">
        <v>71</v>
      </c>
      <c r="I58" s="11">
        <f t="shared" si="2"/>
        <v>-130.37</v>
      </c>
      <c r="J58" s="50" t="s">
        <v>175</v>
      </c>
    </row>
    <row r="59" spans="1:10" ht="15" customHeight="1" x14ac:dyDescent="0.25">
      <c r="A59" s="20">
        <v>46247</v>
      </c>
      <c r="B59" s="21">
        <f t="shared" si="0"/>
        <v>2026</v>
      </c>
      <c r="C59" s="21">
        <f t="shared" si="1"/>
        <v>8</v>
      </c>
      <c r="D59" s="22" t="s">
        <v>85</v>
      </c>
      <c r="E59" s="22" t="s">
        <v>176</v>
      </c>
      <c r="F59" s="23">
        <v>0.9</v>
      </c>
      <c r="G59" s="24" t="str">
        <f>IF($D59="","",IFERROR(INDEX(Einstellungen!$B$4:$B$40,MATCH($D59,Einstellungen!$A$4:$A$40,0)),"?"))</f>
        <v>Ausgabe</v>
      </c>
      <c r="H59" s="22" t="s">
        <v>71</v>
      </c>
      <c r="I59" s="25">
        <f t="shared" si="2"/>
        <v>-0.9</v>
      </c>
      <c r="J59" s="50" t="s">
        <v>177</v>
      </c>
    </row>
    <row r="60" spans="1:10" ht="15" customHeight="1" x14ac:dyDescent="0.25">
      <c r="A60" s="26">
        <v>46247</v>
      </c>
      <c r="B60" s="17">
        <f t="shared" si="0"/>
        <v>2026</v>
      </c>
      <c r="C60" s="17">
        <f t="shared" si="1"/>
        <v>8</v>
      </c>
      <c r="D60" s="27" t="s">
        <v>80</v>
      </c>
      <c r="E60" s="27" t="s">
        <v>148</v>
      </c>
      <c r="F60" s="28">
        <v>17.850000000000001</v>
      </c>
      <c r="G60" s="14" t="str">
        <f>IF($D60="","",IFERROR(INDEX(Einstellungen!$B$4:$B$40,MATCH($D60,Einstellungen!$A$4:$A$40,0)),"?"))</f>
        <v>Einnahme</v>
      </c>
      <c r="H60" s="27" t="s">
        <v>71</v>
      </c>
      <c r="I60" s="11">
        <f t="shared" si="2"/>
        <v>17.850000000000001</v>
      </c>
      <c r="J60" s="50" t="s">
        <v>178</v>
      </c>
    </row>
    <row r="61" spans="1:10" ht="15" customHeight="1" x14ac:dyDescent="0.25">
      <c r="A61" s="20">
        <v>46247</v>
      </c>
      <c r="B61" s="21">
        <f t="shared" si="0"/>
        <v>2026</v>
      </c>
      <c r="C61" s="21">
        <f t="shared" si="1"/>
        <v>8</v>
      </c>
      <c r="D61" s="22" t="s">
        <v>85</v>
      </c>
      <c r="E61" s="22" t="s">
        <v>179</v>
      </c>
      <c r="F61" s="23">
        <v>0.9</v>
      </c>
      <c r="G61" s="24" t="str">
        <f>IF($D61="","",IFERROR(INDEX(Einstellungen!$B$4:$B$40,MATCH($D61,Einstellungen!$A$4:$A$40,0)),"?"))</f>
        <v>Ausgabe</v>
      </c>
      <c r="H61" s="22" t="s">
        <v>71</v>
      </c>
      <c r="I61" s="25">
        <f t="shared" si="2"/>
        <v>-0.9</v>
      </c>
      <c r="J61" s="50" t="s">
        <v>180</v>
      </c>
    </row>
    <row r="62" spans="1:10" ht="15" customHeight="1" x14ac:dyDescent="0.25">
      <c r="A62" s="26">
        <v>46247</v>
      </c>
      <c r="B62" s="17">
        <f t="shared" si="0"/>
        <v>2026</v>
      </c>
      <c r="C62" s="17">
        <f t="shared" si="1"/>
        <v>8</v>
      </c>
      <c r="D62" s="27" t="s">
        <v>80</v>
      </c>
      <c r="E62" s="27" t="s">
        <v>146</v>
      </c>
      <c r="F62" s="28">
        <v>6.59</v>
      </c>
      <c r="G62" s="14" t="str">
        <f>IF($D62="","",IFERROR(INDEX(Einstellungen!$B$4:$B$40,MATCH($D62,Einstellungen!$A$4:$A$40,0)),"?"))</f>
        <v>Einnahme</v>
      </c>
      <c r="H62" s="27" t="s">
        <v>71</v>
      </c>
      <c r="I62" s="11">
        <f t="shared" si="2"/>
        <v>6.59</v>
      </c>
      <c r="J62" s="50" t="s">
        <v>181</v>
      </c>
    </row>
    <row r="63" spans="1:10" ht="15" customHeight="1" x14ac:dyDescent="0.25">
      <c r="A63" s="20">
        <v>46251</v>
      </c>
      <c r="B63" s="21">
        <f t="shared" si="0"/>
        <v>2026</v>
      </c>
      <c r="C63" s="21">
        <f t="shared" si="1"/>
        <v>8</v>
      </c>
      <c r="D63" s="22" t="s">
        <v>72</v>
      </c>
      <c r="E63" s="22" t="s">
        <v>182</v>
      </c>
      <c r="F63" s="23">
        <v>3.49</v>
      </c>
      <c r="G63" s="24" t="str">
        <f>IF($D63="","",IFERROR(INDEX(Einstellungen!$B$4:$B$40,MATCH($D63,Einstellungen!$A$4:$A$40,0)),"?"))</f>
        <v>Ausgabe</v>
      </c>
      <c r="H63" s="22" t="s">
        <v>71</v>
      </c>
      <c r="I63" s="25">
        <f t="shared" si="2"/>
        <v>-3.49</v>
      </c>
      <c r="J63" s="50" t="s">
        <v>183</v>
      </c>
    </row>
    <row r="64" spans="1:10" ht="15" customHeight="1" x14ac:dyDescent="0.25">
      <c r="A64" s="26">
        <v>46252</v>
      </c>
      <c r="B64" s="17">
        <f t="shared" si="0"/>
        <v>2026</v>
      </c>
      <c r="C64" s="17">
        <f t="shared" si="1"/>
        <v>8</v>
      </c>
      <c r="D64" s="27" t="s">
        <v>80</v>
      </c>
      <c r="E64" s="27" t="s">
        <v>184</v>
      </c>
      <c r="F64" s="28">
        <v>300</v>
      </c>
      <c r="G64" s="14" t="str">
        <f>IF($D64="","",IFERROR(INDEX(Einstellungen!$B$4:$B$40,MATCH($D64,Einstellungen!$A$4:$A$40,0)),"?"))</f>
        <v>Einnahme</v>
      </c>
      <c r="H64" s="27" t="s">
        <v>71</v>
      </c>
      <c r="I64" s="11">
        <f t="shared" si="2"/>
        <v>300</v>
      </c>
      <c r="J64" s="50" t="s">
        <v>185</v>
      </c>
    </row>
    <row r="65" spans="1:10" ht="15" customHeight="1" x14ac:dyDescent="0.25">
      <c r="A65" s="20">
        <v>46252</v>
      </c>
      <c r="B65" s="21">
        <f t="shared" si="0"/>
        <v>2026</v>
      </c>
      <c r="C65" s="21">
        <f t="shared" si="1"/>
        <v>8</v>
      </c>
      <c r="D65" s="22" t="s">
        <v>85</v>
      </c>
      <c r="E65" s="22" t="s">
        <v>186</v>
      </c>
      <c r="F65" s="23">
        <v>0.9</v>
      </c>
      <c r="G65" s="24" t="str">
        <f>IF($D65="","",IFERROR(INDEX(Einstellungen!$B$4:$B$40,MATCH($D65,Einstellungen!$A$4:$A$40,0)),"?"))</f>
        <v>Ausgabe</v>
      </c>
      <c r="H65" s="22" t="s">
        <v>71</v>
      </c>
      <c r="I65" s="25">
        <f t="shared" si="2"/>
        <v>-0.9</v>
      </c>
      <c r="J65" s="50" t="s">
        <v>187</v>
      </c>
    </row>
    <row r="66" spans="1:10" ht="15" customHeight="1" x14ac:dyDescent="0.25">
      <c r="A66" s="26">
        <v>46252</v>
      </c>
      <c r="B66" s="17">
        <f t="shared" si="0"/>
        <v>2026</v>
      </c>
      <c r="C66" s="17">
        <f t="shared" si="1"/>
        <v>8</v>
      </c>
      <c r="D66" s="27" t="s">
        <v>80</v>
      </c>
      <c r="E66" s="27" t="s">
        <v>182</v>
      </c>
      <c r="F66" s="28">
        <v>3.49</v>
      </c>
      <c r="G66" s="14" t="str">
        <f>IF($D66="","",IFERROR(INDEX(Einstellungen!$B$4:$B$40,MATCH($D66,Einstellungen!$A$4:$A$40,0)),"?"))</f>
        <v>Einnahme</v>
      </c>
      <c r="H66" s="27" t="s">
        <v>71</v>
      </c>
      <c r="I66" s="11">
        <f t="shared" si="2"/>
        <v>3.49</v>
      </c>
      <c r="J66" s="50" t="s">
        <v>188</v>
      </c>
    </row>
    <row r="67" spans="1:10" ht="15" customHeight="1" x14ac:dyDescent="0.25">
      <c r="A67" s="20">
        <v>46204</v>
      </c>
      <c r="B67" s="21">
        <f t="shared" si="0"/>
        <v>2026</v>
      </c>
      <c r="C67" s="21">
        <f t="shared" si="1"/>
        <v>7</v>
      </c>
      <c r="D67" s="22" t="s">
        <v>72</v>
      </c>
      <c r="E67" s="22" t="s">
        <v>189</v>
      </c>
      <c r="F67" s="23">
        <v>1.82</v>
      </c>
      <c r="G67" s="24" t="str">
        <f>IF($D67="","",IFERROR(INDEX(Einstellungen!$B$4:$B$40,MATCH($D67,Einstellungen!$A$4:$A$40,0)),"?"))</f>
        <v>Ausgabe</v>
      </c>
      <c r="H67" s="22" t="s">
        <v>190</v>
      </c>
      <c r="I67" s="25">
        <f t="shared" si="2"/>
        <v>-1.82</v>
      </c>
      <c r="J67" s="50" t="s">
        <v>191</v>
      </c>
    </row>
    <row r="68" spans="1:10" ht="15" customHeight="1" x14ac:dyDescent="0.25">
      <c r="A68" s="26">
        <v>46232</v>
      </c>
      <c r="B68" s="17">
        <f t="shared" ref="B68:B131" si="3">IF($A68="","",YEAR($A68))</f>
        <v>2026</v>
      </c>
      <c r="C68" s="17">
        <f t="shared" ref="C68:C131" si="4">IF($A68="","",MONTH($A68))</f>
        <v>7</v>
      </c>
      <c r="D68" s="27" t="s">
        <v>119</v>
      </c>
      <c r="E68" s="27" t="s">
        <v>192</v>
      </c>
      <c r="F68" s="28">
        <v>2.46</v>
      </c>
      <c r="G68" s="14" t="str">
        <f>IF($D68="","",IFERROR(INDEX(Einstellungen!$B$4:$B$40,MATCH($D68,Einstellungen!$A$4:$A$40,0)),"?"))</f>
        <v>Ausgabe</v>
      </c>
      <c r="H68" s="27" t="s">
        <v>190</v>
      </c>
      <c r="I68" s="11">
        <f t="shared" ref="I68:I131" si="5">IF($F68="","",IF($G68="Einnahme",$F68,-$F68))</f>
        <v>-2.46</v>
      </c>
      <c r="J68" s="50" t="s">
        <v>193</v>
      </c>
    </row>
    <row r="69" spans="1:10" ht="15" customHeight="1" x14ac:dyDescent="0.25">
      <c r="A69" s="20">
        <v>46233</v>
      </c>
      <c r="B69" s="21">
        <f t="shared" si="3"/>
        <v>2026</v>
      </c>
      <c r="C69" s="21">
        <f t="shared" si="4"/>
        <v>7</v>
      </c>
      <c r="D69" s="22" t="s">
        <v>80</v>
      </c>
      <c r="E69" s="22" t="s">
        <v>194</v>
      </c>
      <c r="F69" s="23">
        <v>300</v>
      </c>
      <c r="G69" s="24" t="str">
        <f>IF($D69="","",IFERROR(INDEX(Einstellungen!$B$4:$B$40,MATCH($D69,Einstellungen!$A$4:$A$40,0)),"?"))</f>
        <v>Einnahme</v>
      </c>
      <c r="H69" s="22" t="s">
        <v>190</v>
      </c>
      <c r="I69" s="25">
        <f t="shared" si="5"/>
        <v>300</v>
      </c>
      <c r="J69" s="50" t="s">
        <v>195</v>
      </c>
    </row>
    <row r="70" spans="1:10" ht="15" customHeight="1" x14ac:dyDescent="0.25">
      <c r="A70" s="26">
        <v>46234</v>
      </c>
      <c r="B70" s="17">
        <f t="shared" si="3"/>
        <v>2026</v>
      </c>
      <c r="C70" s="17">
        <f t="shared" si="4"/>
        <v>7</v>
      </c>
      <c r="D70" s="27" t="s">
        <v>80</v>
      </c>
      <c r="E70" s="27" t="s">
        <v>196</v>
      </c>
      <c r="F70" s="28">
        <v>1500</v>
      </c>
      <c r="G70" s="14" t="str">
        <f>IF($D70="","",IFERROR(INDEX(Einstellungen!$B$4:$B$40,MATCH($D70,Einstellungen!$A$4:$A$40,0)),"?"))</f>
        <v>Einnahme</v>
      </c>
      <c r="H70" s="27" t="s">
        <v>190</v>
      </c>
      <c r="I70" s="11">
        <f t="shared" si="5"/>
        <v>1500</v>
      </c>
      <c r="J70" s="50" t="s">
        <v>197</v>
      </c>
    </row>
    <row r="71" spans="1:10" ht="15" customHeight="1" x14ac:dyDescent="0.25">
      <c r="A71" s="20">
        <v>46237</v>
      </c>
      <c r="B71" s="21">
        <f t="shared" si="3"/>
        <v>2026</v>
      </c>
      <c r="C71" s="21">
        <f t="shared" si="4"/>
        <v>8</v>
      </c>
      <c r="D71" s="22" t="s">
        <v>119</v>
      </c>
      <c r="E71" s="22" t="s">
        <v>198</v>
      </c>
      <c r="F71" s="23">
        <v>60</v>
      </c>
      <c r="G71" s="24" t="str">
        <f>IF($D71="","",IFERROR(INDEX(Einstellungen!$B$4:$B$40,MATCH($D71,Einstellungen!$A$4:$A$40,0)),"?"))</f>
        <v>Ausgabe</v>
      </c>
      <c r="H71" s="22" t="s">
        <v>190</v>
      </c>
      <c r="I71" s="25">
        <f t="shared" si="5"/>
        <v>-60</v>
      </c>
      <c r="J71" s="50" t="s">
        <v>199</v>
      </c>
    </row>
    <row r="72" spans="1:10" ht="15" customHeight="1" x14ac:dyDescent="0.25">
      <c r="A72" s="26">
        <v>46237</v>
      </c>
      <c r="B72" s="17">
        <f t="shared" si="3"/>
        <v>2026</v>
      </c>
      <c r="C72" s="17">
        <f t="shared" si="4"/>
        <v>8</v>
      </c>
      <c r="D72" s="27" t="s">
        <v>200</v>
      </c>
      <c r="E72" s="27" t="s">
        <v>201</v>
      </c>
      <c r="F72" s="28">
        <v>1540</v>
      </c>
      <c r="G72" s="14" t="str">
        <f>IF($D72="","",IFERROR(INDEX(Einstellungen!$B$4:$B$40,MATCH($D72,Einstellungen!$A$4:$A$40,0)),"?"))</f>
        <v>Ausgabe</v>
      </c>
      <c r="H72" s="27" t="s">
        <v>190</v>
      </c>
      <c r="I72" s="11">
        <f t="shared" si="5"/>
        <v>-1540</v>
      </c>
      <c r="J72" s="50" t="s">
        <v>202</v>
      </c>
    </row>
    <row r="73" spans="1:10" ht="15" customHeight="1" x14ac:dyDescent="0.25">
      <c r="A73" s="20">
        <v>46237</v>
      </c>
      <c r="B73" s="21">
        <f t="shared" si="3"/>
        <v>2026</v>
      </c>
      <c r="C73" s="21">
        <f t="shared" si="4"/>
        <v>8</v>
      </c>
      <c r="D73" s="22" t="s">
        <v>72</v>
      </c>
      <c r="E73" s="22" t="s">
        <v>203</v>
      </c>
      <c r="F73" s="23">
        <v>5.99</v>
      </c>
      <c r="G73" s="24" t="str">
        <f>IF($D73="","",IFERROR(INDEX(Einstellungen!$B$4:$B$40,MATCH($D73,Einstellungen!$A$4:$A$40,0)),"?"))</f>
        <v>Ausgabe</v>
      </c>
      <c r="H73" s="22" t="s">
        <v>190</v>
      </c>
      <c r="I73" s="25">
        <f t="shared" si="5"/>
        <v>-5.99</v>
      </c>
      <c r="J73" s="50" t="s">
        <v>204</v>
      </c>
    </row>
    <row r="74" spans="1:10" ht="15" customHeight="1" x14ac:dyDescent="0.25">
      <c r="A74" s="26">
        <v>46241</v>
      </c>
      <c r="B74" s="17">
        <f t="shared" si="3"/>
        <v>2026</v>
      </c>
      <c r="C74" s="17">
        <f t="shared" si="4"/>
        <v>8</v>
      </c>
      <c r="D74" s="27" t="s">
        <v>85</v>
      </c>
      <c r="E74" s="27" t="s">
        <v>205</v>
      </c>
      <c r="F74" s="28">
        <v>71.89</v>
      </c>
      <c r="G74" s="14" t="str">
        <f>IF($D74="","",IFERROR(INDEX(Einstellungen!$B$4:$B$40,MATCH($D74,Einstellungen!$A$4:$A$40,0)),"?"))</f>
        <v>Ausgabe</v>
      </c>
      <c r="H74" s="27" t="s">
        <v>190</v>
      </c>
      <c r="I74" s="11">
        <f t="shared" si="5"/>
        <v>-71.89</v>
      </c>
      <c r="J74" s="50" t="s">
        <v>206</v>
      </c>
    </row>
    <row r="75" spans="1:10" ht="15" customHeight="1" x14ac:dyDescent="0.25">
      <c r="A75" s="20">
        <v>46245</v>
      </c>
      <c r="B75" s="21">
        <f t="shared" si="3"/>
        <v>2026</v>
      </c>
      <c r="C75" s="21">
        <f t="shared" si="4"/>
        <v>8</v>
      </c>
      <c r="D75" s="22" t="s">
        <v>85</v>
      </c>
      <c r="E75" s="22" t="s">
        <v>207</v>
      </c>
      <c r="F75" s="23">
        <v>42.48</v>
      </c>
      <c r="G75" s="24" t="str">
        <f>IF($D75="","",IFERROR(INDEX(Einstellungen!$B$4:$B$40,MATCH($D75,Einstellungen!$A$4:$A$40,0)),"?"))</f>
        <v>Ausgabe</v>
      </c>
      <c r="H75" s="22" t="s">
        <v>190</v>
      </c>
      <c r="I75" s="25">
        <f t="shared" si="5"/>
        <v>-42.48</v>
      </c>
      <c r="J75" s="50" t="s">
        <v>208</v>
      </c>
    </row>
    <row r="76" spans="1:10" ht="15" customHeight="1" x14ac:dyDescent="0.25">
      <c r="A76" s="26">
        <v>46246</v>
      </c>
      <c r="B76" s="17">
        <f t="shared" si="3"/>
        <v>2026</v>
      </c>
      <c r="C76" s="17">
        <f t="shared" si="4"/>
        <v>8</v>
      </c>
      <c r="D76" s="27" t="s">
        <v>85</v>
      </c>
      <c r="E76" s="27" t="s">
        <v>209</v>
      </c>
      <c r="F76" s="28">
        <v>113</v>
      </c>
      <c r="G76" s="14" t="str">
        <f>IF($D76="","",IFERROR(INDEX(Einstellungen!$B$4:$B$40,MATCH($D76,Einstellungen!$A$4:$A$40,0)),"?"))</f>
        <v>Ausgabe</v>
      </c>
      <c r="H76" s="27" t="s">
        <v>190</v>
      </c>
      <c r="I76" s="11">
        <f t="shared" si="5"/>
        <v>-113</v>
      </c>
      <c r="J76" s="50" t="s">
        <v>210</v>
      </c>
    </row>
    <row r="77" spans="1:10" ht="15" customHeight="1" x14ac:dyDescent="0.25">
      <c r="A77" s="20">
        <v>46247</v>
      </c>
      <c r="B77" s="21">
        <f t="shared" si="3"/>
        <v>2026</v>
      </c>
      <c r="C77" s="21">
        <f t="shared" si="4"/>
        <v>8</v>
      </c>
      <c r="D77" s="22" t="s">
        <v>80</v>
      </c>
      <c r="E77" s="22" t="s">
        <v>211</v>
      </c>
      <c r="F77" s="23">
        <v>100</v>
      </c>
      <c r="G77" s="24" t="str">
        <f>IF($D77="","",IFERROR(INDEX(Einstellungen!$B$4:$B$40,MATCH($D77,Einstellungen!$A$4:$A$40,0)),"?"))</f>
        <v>Einnahme</v>
      </c>
      <c r="H77" s="22" t="s">
        <v>190</v>
      </c>
      <c r="I77" s="25">
        <f t="shared" si="5"/>
        <v>100</v>
      </c>
      <c r="J77" s="50" t="s">
        <v>212</v>
      </c>
    </row>
    <row r="78" spans="1:10" ht="15" customHeight="1" x14ac:dyDescent="0.25">
      <c r="A78" s="26"/>
      <c r="B78" s="17" t="str">
        <f t="shared" si="3"/>
        <v/>
      </c>
      <c r="C78" s="17" t="str">
        <f t="shared" si="4"/>
        <v/>
      </c>
      <c r="D78" s="27"/>
      <c r="E78" s="27"/>
      <c r="F78" s="28"/>
      <c r="G78" s="14" t="str">
        <f>IF($D78="","",IFERROR(INDEX(Einstellungen!$B$4:$B$40,MATCH($D78,Einstellungen!$A$4:$A$40,0)),"?"))</f>
        <v/>
      </c>
      <c r="H78" s="27"/>
      <c r="I78" s="11" t="str">
        <f t="shared" si="5"/>
        <v/>
      </c>
    </row>
    <row r="79" spans="1:10" ht="15" customHeight="1" x14ac:dyDescent="0.25">
      <c r="A79" s="20"/>
      <c r="B79" s="21" t="str">
        <f t="shared" si="3"/>
        <v/>
      </c>
      <c r="C79" s="21" t="str">
        <f t="shared" si="4"/>
        <v/>
      </c>
      <c r="D79" s="22"/>
      <c r="E79" s="22"/>
      <c r="F79" s="23"/>
      <c r="G79" s="24" t="str">
        <f>IF($D79="","",IFERROR(INDEX(Einstellungen!$B$4:$B$40,MATCH($D79,Einstellungen!$A$4:$A$40,0)),"?"))</f>
        <v/>
      </c>
      <c r="H79" s="22"/>
      <c r="I79" s="25" t="str">
        <f t="shared" si="5"/>
        <v/>
      </c>
    </row>
    <row r="80" spans="1:10" ht="15" customHeight="1" x14ac:dyDescent="0.25">
      <c r="A80" s="26"/>
      <c r="B80" s="17" t="str">
        <f t="shared" si="3"/>
        <v/>
      </c>
      <c r="C80" s="17" t="str">
        <f t="shared" si="4"/>
        <v/>
      </c>
      <c r="D80" s="27"/>
      <c r="E80" s="27"/>
      <c r="F80" s="28"/>
      <c r="G80" s="14" t="str">
        <f>IF($D80="","",IFERROR(INDEX(Einstellungen!$B$4:$B$40,MATCH($D80,Einstellungen!$A$4:$A$40,0)),"?"))</f>
        <v/>
      </c>
      <c r="H80" s="27"/>
      <c r="I80" s="11" t="str">
        <f t="shared" si="5"/>
        <v/>
      </c>
    </row>
    <row r="81" spans="1:9" ht="15" customHeight="1" x14ac:dyDescent="0.25">
      <c r="A81" s="20"/>
      <c r="B81" s="21" t="str">
        <f t="shared" si="3"/>
        <v/>
      </c>
      <c r="C81" s="21" t="str">
        <f t="shared" si="4"/>
        <v/>
      </c>
      <c r="D81" s="22"/>
      <c r="E81" s="22"/>
      <c r="F81" s="23"/>
      <c r="G81" s="24" t="str">
        <f>IF($D81="","",IFERROR(INDEX(Einstellungen!$B$4:$B$40,MATCH($D81,Einstellungen!$A$4:$A$40,0)),"?"))</f>
        <v/>
      </c>
      <c r="H81" s="22"/>
      <c r="I81" s="25" t="str">
        <f t="shared" si="5"/>
        <v/>
      </c>
    </row>
    <row r="82" spans="1:9" ht="15" customHeight="1" x14ac:dyDescent="0.25">
      <c r="A82" s="26"/>
      <c r="B82" s="17" t="str">
        <f t="shared" si="3"/>
        <v/>
      </c>
      <c r="C82" s="17" t="str">
        <f t="shared" si="4"/>
        <v/>
      </c>
      <c r="D82" s="27"/>
      <c r="E82" s="27"/>
      <c r="F82" s="28"/>
      <c r="G82" s="14" t="str">
        <f>IF($D82="","",IFERROR(INDEX(Einstellungen!$B$4:$B$40,MATCH($D82,Einstellungen!$A$4:$A$40,0)),"?"))</f>
        <v/>
      </c>
      <c r="H82" s="27"/>
      <c r="I82" s="11" t="str">
        <f t="shared" si="5"/>
        <v/>
      </c>
    </row>
    <row r="83" spans="1:9" ht="15" customHeight="1" x14ac:dyDescent="0.25">
      <c r="A83" s="20"/>
      <c r="B83" s="21" t="str">
        <f t="shared" si="3"/>
        <v/>
      </c>
      <c r="C83" s="21" t="str">
        <f t="shared" si="4"/>
        <v/>
      </c>
      <c r="D83" s="22"/>
      <c r="E83" s="22"/>
      <c r="F83" s="23"/>
      <c r="G83" s="24" t="str">
        <f>IF($D83="","",IFERROR(INDEX(Einstellungen!$B$4:$B$40,MATCH($D83,Einstellungen!$A$4:$A$40,0)),"?"))</f>
        <v/>
      </c>
      <c r="H83" s="22"/>
      <c r="I83" s="25" t="str">
        <f t="shared" si="5"/>
        <v/>
      </c>
    </row>
    <row r="84" spans="1:9" ht="15" customHeight="1" x14ac:dyDescent="0.25">
      <c r="A84" s="26"/>
      <c r="B84" s="17" t="str">
        <f t="shared" si="3"/>
        <v/>
      </c>
      <c r="C84" s="17" t="str">
        <f t="shared" si="4"/>
        <v/>
      </c>
      <c r="D84" s="27"/>
      <c r="E84" s="27"/>
      <c r="F84" s="28"/>
      <c r="G84" s="14" t="str">
        <f>IF($D84="","",IFERROR(INDEX(Einstellungen!$B$4:$B$40,MATCH($D84,Einstellungen!$A$4:$A$40,0)),"?"))</f>
        <v/>
      </c>
      <c r="H84" s="27"/>
      <c r="I84" s="11" t="str">
        <f t="shared" si="5"/>
        <v/>
      </c>
    </row>
    <row r="85" spans="1:9" ht="15" customHeight="1" x14ac:dyDescent="0.25">
      <c r="A85" s="20"/>
      <c r="B85" s="21" t="str">
        <f t="shared" si="3"/>
        <v/>
      </c>
      <c r="C85" s="21" t="str">
        <f t="shared" si="4"/>
        <v/>
      </c>
      <c r="D85" s="22"/>
      <c r="E85" s="22"/>
      <c r="F85" s="23"/>
      <c r="G85" s="24" t="str">
        <f>IF($D85="","",IFERROR(INDEX(Einstellungen!$B$4:$B$40,MATCH($D85,Einstellungen!$A$4:$A$40,0)),"?"))</f>
        <v/>
      </c>
      <c r="H85" s="22"/>
      <c r="I85" s="25" t="str">
        <f t="shared" si="5"/>
        <v/>
      </c>
    </row>
    <row r="86" spans="1:9" ht="15" customHeight="1" x14ac:dyDescent="0.25">
      <c r="A86" s="26"/>
      <c r="B86" s="17" t="str">
        <f t="shared" si="3"/>
        <v/>
      </c>
      <c r="C86" s="17" t="str">
        <f t="shared" si="4"/>
        <v/>
      </c>
      <c r="D86" s="27"/>
      <c r="E86" s="27"/>
      <c r="F86" s="28"/>
      <c r="G86" s="14" t="str">
        <f>IF($D86="","",IFERROR(INDEX(Einstellungen!$B$4:$B$40,MATCH($D86,Einstellungen!$A$4:$A$40,0)),"?"))</f>
        <v/>
      </c>
      <c r="H86" s="27"/>
      <c r="I86" s="11" t="str">
        <f t="shared" si="5"/>
        <v/>
      </c>
    </row>
    <row r="87" spans="1:9" ht="15" customHeight="1" x14ac:dyDescent="0.25">
      <c r="A87" s="20"/>
      <c r="B87" s="21" t="str">
        <f t="shared" si="3"/>
        <v/>
      </c>
      <c r="C87" s="21" t="str">
        <f t="shared" si="4"/>
        <v/>
      </c>
      <c r="D87" s="22"/>
      <c r="E87" s="22"/>
      <c r="F87" s="23"/>
      <c r="G87" s="24" t="str">
        <f>IF($D87="","",IFERROR(INDEX(Einstellungen!$B$4:$B$40,MATCH($D87,Einstellungen!$A$4:$A$40,0)),"?"))</f>
        <v/>
      </c>
      <c r="H87" s="22"/>
      <c r="I87" s="25" t="str">
        <f t="shared" si="5"/>
        <v/>
      </c>
    </row>
    <row r="88" spans="1:9" ht="15" customHeight="1" x14ac:dyDescent="0.25">
      <c r="A88" s="26"/>
      <c r="B88" s="17" t="str">
        <f t="shared" si="3"/>
        <v/>
      </c>
      <c r="C88" s="17" t="str">
        <f t="shared" si="4"/>
        <v/>
      </c>
      <c r="D88" s="27"/>
      <c r="E88" s="27"/>
      <c r="F88" s="28"/>
      <c r="G88" s="14" t="str">
        <f>IF($D88="","",IFERROR(INDEX(Einstellungen!$B$4:$B$40,MATCH($D88,Einstellungen!$A$4:$A$40,0)),"?"))</f>
        <v/>
      </c>
      <c r="H88" s="27"/>
      <c r="I88" s="11" t="str">
        <f t="shared" si="5"/>
        <v/>
      </c>
    </row>
    <row r="89" spans="1:9" ht="15" customHeight="1" x14ac:dyDescent="0.25">
      <c r="A89" s="20"/>
      <c r="B89" s="21" t="str">
        <f t="shared" si="3"/>
        <v/>
      </c>
      <c r="C89" s="21" t="str">
        <f t="shared" si="4"/>
        <v/>
      </c>
      <c r="D89" s="22"/>
      <c r="E89" s="22"/>
      <c r="F89" s="23"/>
      <c r="G89" s="24" t="str">
        <f>IF($D89="","",IFERROR(INDEX(Einstellungen!$B$4:$B$40,MATCH($D89,Einstellungen!$A$4:$A$40,0)),"?"))</f>
        <v/>
      </c>
      <c r="H89" s="22"/>
      <c r="I89" s="25" t="str">
        <f t="shared" si="5"/>
        <v/>
      </c>
    </row>
    <row r="90" spans="1:9" ht="15" customHeight="1" x14ac:dyDescent="0.25">
      <c r="A90" s="26"/>
      <c r="B90" s="17" t="str">
        <f t="shared" si="3"/>
        <v/>
      </c>
      <c r="C90" s="17" t="str">
        <f t="shared" si="4"/>
        <v/>
      </c>
      <c r="D90" s="27"/>
      <c r="E90" s="27"/>
      <c r="F90" s="28"/>
      <c r="G90" s="14" t="str">
        <f>IF($D90="","",IFERROR(INDEX(Einstellungen!$B$4:$B$40,MATCH($D90,Einstellungen!$A$4:$A$40,0)),"?"))</f>
        <v/>
      </c>
      <c r="H90" s="27"/>
      <c r="I90" s="11" t="str">
        <f t="shared" si="5"/>
        <v/>
      </c>
    </row>
    <row r="91" spans="1:9" ht="15" customHeight="1" x14ac:dyDescent="0.25">
      <c r="A91" s="20"/>
      <c r="B91" s="21" t="str">
        <f t="shared" si="3"/>
        <v/>
      </c>
      <c r="C91" s="21" t="str">
        <f t="shared" si="4"/>
        <v/>
      </c>
      <c r="D91" s="22"/>
      <c r="E91" s="22"/>
      <c r="F91" s="23"/>
      <c r="G91" s="24" t="str">
        <f>IF($D91="","",IFERROR(INDEX(Einstellungen!$B$4:$B$40,MATCH($D91,Einstellungen!$A$4:$A$40,0)),"?"))</f>
        <v/>
      </c>
      <c r="H91" s="22"/>
      <c r="I91" s="25" t="str">
        <f t="shared" si="5"/>
        <v/>
      </c>
    </row>
    <row r="92" spans="1:9" ht="15" customHeight="1" x14ac:dyDescent="0.25">
      <c r="A92" s="26"/>
      <c r="B92" s="17" t="str">
        <f t="shared" si="3"/>
        <v/>
      </c>
      <c r="C92" s="17" t="str">
        <f t="shared" si="4"/>
        <v/>
      </c>
      <c r="D92" s="27"/>
      <c r="E92" s="27"/>
      <c r="F92" s="28"/>
      <c r="G92" s="14" t="str">
        <f>IF($D92="","",IFERROR(INDEX(Einstellungen!$B$4:$B$40,MATCH($D92,Einstellungen!$A$4:$A$40,0)),"?"))</f>
        <v/>
      </c>
      <c r="H92" s="27"/>
      <c r="I92" s="11" t="str">
        <f t="shared" si="5"/>
        <v/>
      </c>
    </row>
    <row r="93" spans="1:9" ht="15" customHeight="1" x14ac:dyDescent="0.25">
      <c r="A93" s="20"/>
      <c r="B93" s="21" t="str">
        <f t="shared" si="3"/>
        <v/>
      </c>
      <c r="C93" s="21" t="str">
        <f t="shared" si="4"/>
        <v/>
      </c>
      <c r="D93" s="22"/>
      <c r="E93" s="22"/>
      <c r="F93" s="23"/>
      <c r="G93" s="24" t="str">
        <f>IF($D93="","",IFERROR(INDEX(Einstellungen!$B$4:$B$40,MATCH($D93,Einstellungen!$A$4:$A$40,0)),"?"))</f>
        <v/>
      </c>
      <c r="H93" s="22"/>
      <c r="I93" s="25" t="str">
        <f t="shared" si="5"/>
        <v/>
      </c>
    </row>
    <row r="94" spans="1:9" ht="15" customHeight="1" x14ac:dyDescent="0.25">
      <c r="A94" s="26"/>
      <c r="B94" s="17" t="str">
        <f t="shared" si="3"/>
        <v/>
      </c>
      <c r="C94" s="17" t="str">
        <f t="shared" si="4"/>
        <v/>
      </c>
      <c r="D94" s="27"/>
      <c r="E94" s="27"/>
      <c r="F94" s="28"/>
      <c r="G94" s="14" t="str">
        <f>IF($D94="","",IFERROR(INDEX(Einstellungen!$B$4:$B$40,MATCH($D94,Einstellungen!$A$4:$A$40,0)),"?"))</f>
        <v/>
      </c>
      <c r="H94" s="27"/>
      <c r="I94" s="11" t="str">
        <f t="shared" si="5"/>
        <v/>
      </c>
    </row>
    <row r="95" spans="1:9" ht="15" customHeight="1" x14ac:dyDescent="0.25">
      <c r="A95" s="20"/>
      <c r="B95" s="21" t="str">
        <f t="shared" si="3"/>
        <v/>
      </c>
      <c r="C95" s="21" t="str">
        <f t="shared" si="4"/>
        <v/>
      </c>
      <c r="D95" s="22"/>
      <c r="E95" s="22"/>
      <c r="F95" s="23"/>
      <c r="G95" s="24" t="str">
        <f>IF($D95="","",IFERROR(INDEX(Einstellungen!$B$4:$B$40,MATCH($D95,Einstellungen!$A$4:$A$40,0)),"?"))</f>
        <v/>
      </c>
      <c r="H95" s="22"/>
      <c r="I95" s="25" t="str">
        <f t="shared" si="5"/>
        <v/>
      </c>
    </row>
    <row r="96" spans="1:9" ht="15" customHeight="1" x14ac:dyDescent="0.25">
      <c r="A96" s="26"/>
      <c r="B96" s="17" t="str">
        <f t="shared" si="3"/>
        <v/>
      </c>
      <c r="C96" s="17" t="str">
        <f t="shared" si="4"/>
        <v/>
      </c>
      <c r="D96" s="27"/>
      <c r="E96" s="27"/>
      <c r="F96" s="28"/>
      <c r="G96" s="14" t="str">
        <f>IF($D96="","",IFERROR(INDEX(Einstellungen!$B$4:$B$40,MATCH($D96,Einstellungen!$A$4:$A$40,0)),"?"))</f>
        <v/>
      </c>
      <c r="H96" s="27"/>
      <c r="I96" s="11" t="str">
        <f t="shared" si="5"/>
        <v/>
      </c>
    </row>
    <row r="97" spans="1:9" ht="15" customHeight="1" x14ac:dyDescent="0.25">
      <c r="A97" s="20"/>
      <c r="B97" s="21" t="str">
        <f t="shared" si="3"/>
        <v/>
      </c>
      <c r="C97" s="21" t="str">
        <f t="shared" si="4"/>
        <v/>
      </c>
      <c r="D97" s="22"/>
      <c r="E97" s="22"/>
      <c r="F97" s="23"/>
      <c r="G97" s="24" t="str">
        <f>IF($D97="","",IFERROR(INDEX(Einstellungen!$B$4:$B$40,MATCH($D97,Einstellungen!$A$4:$A$40,0)),"?"))</f>
        <v/>
      </c>
      <c r="H97" s="22"/>
      <c r="I97" s="25" t="str">
        <f t="shared" si="5"/>
        <v/>
      </c>
    </row>
    <row r="98" spans="1:9" ht="15" customHeight="1" x14ac:dyDescent="0.25">
      <c r="A98" s="26"/>
      <c r="B98" s="17" t="str">
        <f t="shared" si="3"/>
        <v/>
      </c>
      <c r="C98" s="17" t="str">
        <f t="shared" si="4"/>
        <v/>
      </c>
      <c r="D98" s="27"/>
      <c r="E98" s="27"/>
      <c r="F98" s="28"/>
      <c r="G98" s="14" t="str">
        <f>IF($D98="","",IFERROR(INDEX(Einstellungen!$B$4:$B$40,MATCH($D98,Einstellungen!$A$4:$A$40,0)),"?"))</f>
        <v/>
      </c>
      <c r="H98" s="27"/>
      <c r="I98" s="11" t="str">
        <f t="shared" si="5"/>
        <v/>
      </c>
    </row>
    <row r="99" spans="1:9" ht="15" customHeight="1" x14ac:dyDescent="0.25">
      <c r="A99" s="20"/>
      <c r="B99" s="21" t="str">
        <f t="shared" si="3"/>
        <v/>
      </c>
      <c r="C99" s="21" t="str">
        <f t="shared" si="4"/>
        <v/>
      </c>
      <c r="D99" s="22"/>
      <c r="E99" s="22"/>
      <c r="F99" s="23"/>
      <c r="G99" s="24" t="str">
        <f>IF($D99="","",IFERROR(INDEX(Einstellungen!$B$4:$B$40,MATCH($D99,Einstellungen!$A$4:$A$40,0)),"?"))</f>
        <v/>
      </c>
      <c r="H99" s="22"/>
      <c r="I99" s="25" t="str">
        <f t="shared" si="5"/>
        <v/>
      </c>
    </row>
    <row r="100" spans="1:9" ht="15" customHeight="1" x14ac:dyDescent="0.25">
      <c r="A100" s="26"/>
      <c r="B100" s="17" t="str">
        <f t="shared" si="3"/>
        <v/>
      </c>
      <c r="C100" s="17" t="str">
        <f t="shared" si="4"/>
        <v/>
      </c>
      <c r="D100" s="27"/>
      <c r="E100" s="27"/>
      <c r="F100" s="28"/>
      <c r="G100" s="14" t="str">
        <f>IF($D100="","",IFERROR(INDEX(Einstellungen!$B$4:$B$40,MATCH($D100,Einstellungen!$A$4:$A$40,0)),"?"))</f>
        <v/>
      </c>
      <c r="H100" s="27"/>
      <c r="I100" s="11" t="str">
        <f t="shared" si="5"/>
        <v/>
      </c>
    </row>
    <row r="101" spans="1:9" ht="15" customHeight="1" x14ac:dyDescent="0.25">
      <c r="A101" s="20"/>
      <c r="B101" s="21" t="str">
        <f t="shared" si="3"/>
        <v/>
      </c>
      <c r="C101" s="21" t="str">
        <f t="shared" si="4"/>
        <v/>
      </c>
      <c r="D101" s="22"/>
      <c r="E101" s="22"/>
      <c r="F101" s="23"/>
      <c r="G101" s="24" t="str">
        <f>IF($D101="","",IFERROR(INDEX(Einstellungen!$B$4:$B$40,MATCH($D101,Einstellungen!$A$4:$A$40,0)),"?"))</f>
        <v/>
      </c>
      <c r="H101" s="22"/>
      <c r="I101" s="25" t="str">
        <f t="shared" si="5"/>
        <v/>
      </c>
    </row>
    <row r="102" spans="1:9" ht="15" customHeight="1" x14ac:dyDescent="0.25">
      <c r="A102" s="26"/>
      <c r="B102" s="17" t="str">
        <f t="shared" si="3"/>
        <v/>
      </c>
      <c r="C102" s="17" t="str">
        <f t="shared" si="4"/>
        <v/>
      </c>
      <c r="D102" s="27"/>
      <c r="E102" s="27"/>
      <c r="F102" s="28"/>
      <c r="G102" s="14" t="str">
        <f>IF($D102="","",IFERROR(INDEX(Einstellungen!$B$4:$B$40,MATCH($D102,Einstellungen!$A$4:$A$40,0)),"?"))</f>
        <v/>
      </c>
      <c r="H102" s="27"/>
      <c r="I102" s="11" t="str">
        <f t="shared" si="5"/>
        <v/>
      </c>
    </row>
    <row r="103" spans="1:9" ht="15" customHeight="1" x14ac:dyDescent="0.25">
      <c r="A103" s="20"/>
      <c r="B103" s="21" t="str">
        <f t="shared" si="3"/>
        <v/>
      </c>
      <c r="C103" s="21" t="str">
        <f t="shared" si="4"/>
        <v/>
      </c>
      <c r="D103" s="22"/>
      <c r="E103" s="22"/>
      <c r="F103" s="23"/>
      <c r="G103" s="24" t="str">
        <f>IF($D103="","",IFERROR(INDEX(Einstellungen!$B$4:$B$40,MATCH($D103,Einstellungen!$A$4:$A$40,0)),"?"))</f>
        <v/>
      </c>
      <c r="H103" s="22"/>
      <c r="I103" s="25" t="str">
        <f t="shared" si="5"/>
        <v/>
      </c>
    </row>
    <row r="104" spans="1:9" ht="15" customHeight="1" x14ac:dyDescent="0.25">
      <c r="A104" s="26"/>
      <c r="B104" s="17" t="str">
        <f t="shared" si="3"/>
        <v/>
      </c>
      <c r="C104" s="17" t="str">
        <f t="shared" si="4"/>
        <v/>
      </c>
      <c r="D104" s="27"/>
      <c r="E104" s="27"/>
      <c r="F104" s="28"/>
      <c r="G104" s="14" t="str">
        <f>IF($D104="","",IFERROR(INDEX(Einstellungen!$B$4:$B$40,MATCH($D104,Einstellungen!$A$4:$A$40,0)),"?"))</f>
        <v/>
      </c>
      <c r="H104" s="27"/>
      <c r="I104" s="11" t="str">
        <f t="shared" si="5"/>
        <v/>
      </c>
    </row>
    <row r="105" spans="1:9" ht="15" customHeight="1" x14ac:dyDescent="0.25">
      <c r="A105" s="20"/>
      <c r="B105" s="21" t="str">
        <f t="shared" si="3"/>
        <v/>
      </c>
      <c r="C105" s="21" t="str">
        <f t="shared" si="4"/>
        <v/>
      </c>
      <c r="D105" s="22"/>
      <c r="E105" s="22"/>
      <c r="F105" s="23"/>
      <c r="G105" s="24" t="str">
        <f>IF($D105="","",IFERROR(INDEX(Einstellungen!$B$4:$B$40,MATCH($D105,Einstellungen!$A$4:$A$40,0)),"?"))</f>
        <v/>
      </c>
      <c r="H105" s="22"/>
      <c r="I105" s="25" t="str">
        <f t="shared" si="5"/>
        <v/>
      </c>
    </row>
    <row r="106" spans="1:9" ht="15" customHeight="1" x14ac:dyDescent="0.25">
      <c r="A106" s="26"/>
      <c r="B106" s="17" t="str">
        <f t="shared" si="3"/>
        <v/>
      </c>
      <c r="C106" s="17" t="str">
        <f t="shared" si="4"/>
        <v/>
      </c>
      <c r="D106" s="27"/>
      <c r="E106" s="27"/>
      <c r="F106" s="28"/>
      <c r="G106" s="14" t="str">
        <f>IF($D106="","",IFERROR(INDEX(Einstellungen!$B$4:$B$40,MATCH($D106,Einstellungen!$A$4:$A$40,0)),"?"))</f>
        <v/>
      </c>
      <c r="H106" s="27"/>
      <c r="I106" s="11" t="str">
        <f t="shared" si="5"/>
        <v/>
      </c>
    </row>
    <row r="107" spans="1:9" ht="15" customHeight="1" x14ac:dyDescent="0.25">
      <c r="A107" s="20"/>
      <c r="B107" s="21" t="str">
        <f t="shared" si="3"/>
        <v/>
      </c>
      <c r="C107" s="21" t="str">
        <f t="shared" si="4"/>
        <v/>
      </c>
      <c r="D107" s="22"/>
      <c r="E107" s="22"/>
      <c r="F107" s="23"/>
      <c r="G107" s="24" t="str">
        <f>IF($D107="","",IFERROR(INDEX(Einstellungen!$B$4:$B$40,MATCH($D107,Einstellungen!$A$4:$A$40,0)),"?"))</f>
        <v/>
      </c>
      <c r="H107" s="22"/>
      <c r="I107" s="25" t="str">
        <f t="shared" si="5"/>
        <v/>
      </c>
    </row>
    <row r="108" spans="1:9" ht="15" customHeight="1" x14ac:dyDescent="0.25">
      <c r="A108" s="26"/>
      <c r="B108" s="17" t="str">
        <f t="shared" si="3"/>
        <v/>
      </c>
      <c r="C108" s="17" t="str">
        <f t="shared" si="4"/>
        <v/>
      </c>
      <c r="D108" s="27"/>
      <c r="E108" s="27"/>
      <c r="F108" s="28"/>
      <c r="G108" s="14" t="str">
        <f>IF($D108="","",IFERROR(INDEX(Einstellungen!$B$4:$B$40,MATCH($D108,Einstellungen!$A$4:$A$40,0)),"?"))</f>
        <v/>
      </c>
      <c r="H108" s="27"/>
      <c r="I108" s="11" t="str">
        <f t="shared" si="5"/>
        <v/>
      </c>
    </row>
    <row r="109" spans="1:9" ht="15" customHeight="1" x14ac:dyDescent="0.25">
      <c r="A109" s="20"/>
      <c r="B109" s="21" t="str">
        <f t="shared" si="3"/>
        <v/>
      </c>
      <c r="C109" s="21" t="str">
        <f t="shared" si="4"/>
        <v/>
      </c>
      <c r="D109" s="22"/>
      <c r="E109" s="22"/>
      <c r="F109" s="23"/>
      <c r="G109" s="24" t="str">
        <f>IF($D109="","",IFERROR(INDEX(Einstellungen!$B$4:$B$40,MATCH($D109,Einstellungen!$A$4:$A$40,0)),"?"))</f>
        <v/>
      </c>
      <c r="H109" s="22"/>
      <c r="I109" s="25" t="str">
        <f t="shared" si="5"/>
        <v/>
      </c>
    </row>
    <row r="110" spans="1:9" ht="15" customHeight="1" x14ac:dyDescent="0.25">
      <c r="A110" s="26"/>
      <c r="B110" s="17" t="str">
        <f t="shared" si="3"/>
        <v/>
      </c>
      <c r="C110" s="17" t="str">
        <f t="shared" si="4"/>
        <v/>
      </c>
      <c r="D110" s="27"/>
      <c r="E110" s="27"/>
      <c r="F110" s="28"/>
      <c r="G110" s="14" t="str">
        <f>IF($D110="","",IFERROR(INDEX(Einstellungen!$B$4:$B$40,MATCH($D110,Einstellungen!$A$4:$A$40,0)),"?"))</f>
        <v/>
      </c>
      <c r="H110" s="27"/>
      <c r="I110" s="11" t="str">
        <f t="shared" si="5"/>
        <v/>
      </c>
    </row>
    <row r="111" spans="1:9" ht="15" customHeight="1" x14ac:dyDescent="0.25">
      <c r="A111" s="20"/>
      <c r="B111" s="21" t="str">
        <f t="shared" si="3"/>
        <v/>
      </c>
      <c r="C111" s="21" t="str">
        <f t="shared" si="4"/>
        <v/>
      </c>
      <c r="D111" s="22"/>
      <c r="E111" s="22"/>
      <c r="F111" s="23"/>
      <c r="G111" s="24" t="str">
        <f>IF($D111="","",IFERROR(INDEX(Einstellungen!$B$4:$B$40,MATCH($D111,Einstellungen!$A$4:$A$40,0)),"?"))</f>
        <v/>
      </c>
      <c r="H111" s="22"/>
      <c r="I111" s="25" t="str">
        <f t="shared" si="5"/>
        <v/>
      </c>
    </row>
    <row r="112" spans="1:9" ht="15" customHeight="1" x14ac:dyDescent="0.25">
      <c r="A112" s="26"/>
      <c r="B112" s="17" t="str">
        <f t="shared" si="3"/>
        <v/>
      </c>
      <c r="C112" s="17" t="str">
        <f t="shared" si="4"/>
        <v/>
      </c>
      <c r="D112" s="27"/>
      <c r="E112" s="27"/>
      <c r="F112" s="28"/>
      <c r="G112" s="14" t="str">
        <f>IF($D112="","",IFERROR(INDEX(Einstellungen!$B$4:$B$40,MATCH($D112,Einstellungen!$A$4:$A$40,0)),"?"))</f>
        <v/>
      </c>
      <c r="H112" s="27"/>
      <c r="I112" s="11" t="str">
        <f t="shared" si="5"/>
        <v/>
      </c>
    </row>
    <row r="113" spans="1:9" ht="15" customHeight="1" x14ac:dyDescent="0.25">
      <c r="A113" s="20"/>
      <c r="B113" s="21" t="str">
        <f t="shared" si="3"/>
        <v/>
      </c>
      <c r="C113" s="21" t="str">
        <f t="shared" si="4"/>
        <v/>
      </c>
      <c r="D113" s="22"/>
      <c r="E113" s="22"/>
      <c r="F113" s="23"/>
      <c r="G113" s="24" t="str">
        <f>IF($D113="","",IFERROR(INDEX(Einstellungen!$B$4:$B$40,MATCH($D113,Einstellungen!$A$4:$A$40,0)),"?"))</f>
        <v/>
      </c>
      <c r="H113" s="22"/>
      <c r="I113" s="25" t="str">
        <f t="shared" si="5"/>
        <v/>
      </c>
    </row>
    <row r="114" spans="1:9" ht="15" customHeight="1" x14ac:dyDescent="0.25">
      <c r="A114" s="26"/>
      <c r="B114" s="17" t="str">
        <f t="shared" si="3"/>
        <v/>
      </c>
      <c r="C114" s="17" t="str">
        <f t="shared" si="4"/>
        <v/>
      </c>
      <c r="D114" s="27"/>
      <c r="E114" s="27"/>
      <c r="F114" s="28"/>
      <c r="G114" s="14" t="str">
        <f>IF($D114="","",IFERROR(INDEX(Einstellungen!$B$4:$B$40,MATCH($D114,Einstellungen!$A$4:$A$40,0)),"?"))</f>
        <v/>
      </c>
      <c r="H114" s="27"/>
      <c r="I114" s="11" t="str">
        <f t="shared" si="5"/>
        <v/>
      </c>
    </row>
    <row r="115" spans="1:9" ht="15" customHeight="1" x14ac:dyDescent="0.25">
      <c r="A115" s="20"/>
      <c r="B115" s="21" t="str">
        <f t="shared" si="3"/>
        <v/>
      </c>
      <c r="C115" s="21" t="str">
        <f t="shared" si="4"/>
        <v/>
      </c>
      <c r="D115" s="22"/>
      <c r="E115" s="22"/>
      <c r="F115" s="23"/>
      <c r="G115" s="24" t="str">
        <f>IF($D115="","",IFERROR(INDEX(Einstellungen!$B$4:$B$40,MATCH($D115,Einstellungen!$A$4:$A$40,0)),"?"))</f>
        <v/>
      </c>
      <c r="H115" s="22"/>
      <c r="I115" s="25" t="str">
        <f t="shared" si="5"/>
        <v/>
      </c>
    </row>
    <row r="116" spans="1:9" ht="15" customHeight="1" x14ac:dyDescent="0.25">
      <c r="A116" s="26"/>
      <c r="B116" s="17" t="str">
        <f t="shared" si="3"/>
        <v/>
      </c>
      <c r="C116" s="17" t="str">
        <f t="shared" si="4"/>
        <v/>
      </c>
      <c r="D116" s="27"/>
      <c r="E116" s="27"/>
      <c r="F116" s="28"/>
      <c r="G116" s="14" t="str">
        <f>IF($D116="","",IFERROR(INDEX(Einstellungen!$B$4:$B$40,MATCH($D116,Einstellungen!$A$4:$A$40,0)),"?"))</f>
        <v/>
      </c>
      <c r="H116" s="27"/>
      <c r="I116" s="11" t="str">
        <f t="shared" si="5"/>
        <v/>
      </c>
    </row>
    <row r="117" spans="1:9" ht="15" customHeight="1" x14ac:dyDescent="0.25">
      <c r="A117" s="20"/>
      <c r="B117" s="21" t="str">
        <f t="shared" si="3"/>
        <v/>
      </c>
      <c r="C117" s="21" t="str">
        <f t="shared" si="4"/>
        <v/>
      </c>
      <c r="D117" s="22"/>
      <c r="E117" s="22"/>
      <c r="F117" s="23"/>
      <c r="G117" s="24" t="str">
        <f>IF($D117="","",IFERROR(INDEX(Einstellungen!$B$4:$B$40,MATCH($D117,Einstellungen!$A$4:$A$40,0)),"?"))</f>
        <v/>
      </c>
      <c r="H117" s="22"/>
      <c r="I117" s="25" t="str">
        <f t="shared" si="5"/>
        <v/>
      </c>
    </row>
    <row r="118" spans="1:9" ht="15" customHeight="1" x14ac:dyDescent="0.25">
      <c r="A118" s="26"/>
      <c r="B118" s="17" t="str">
        <f t="shared" si="3"/>
        <v/>
      </c>
      <c r="C118" s="17" t="str">
        <f t="shared" si="4"/>
        <v/>
      </c>
      <c r="D118" s="27"/>
      <c r="E118" s="27"/>
      <c r="F118" s="28"/>
      <c r="G118" s="14" t="str">
        <f>IF($D118="","",IFERROR(INDEX(Einstellungen!$B$4:$B$40,MATCH($D118,Einstellungen!$A$4:$A$40,0)),"?"))</f>
        <v/>
      </c>
      <c r="H118" s="27"/>
      <c r="I118" s="11" t="str">
        <f t="shared" si="5"/>
        <v/>
      </c>
    </row>
    <row r="119" spans="1:9" ht="15" customHeight="1" x14ac:dyDescent="0.25">
      <c r="A119" s="20"/>
      <c r="B119" s="21" t="str">
        <f t="shared" si="3"/>
        <v/>
      </c>
      <c r="C119" s="21" t="str">
        <f t="shared" si="4"/>
        <v/>
      </c>
      <c r="D119" s="22"/>
      <c r="E119" s="22"/>
      <c r="F119" s="23"/>
      <c r="G119" s="24" t="str">
        <f>IF($D119="","",IFERROR(INDEX(Einstellungen!$B$4:$B$40,MATCH($D119,Einstellungen!$A$4:$A$40,0)),"?"))</f>
        <v/>
      </c>
      <c r="H119" s="22"/>
      <c r="I119" s="25" t="str">
        <f t="shared" si="5"/>
        <v/>
      </c>
    </row>
    <row r="120" spans="1:9" ht="15" customHeight="1" x14ac:dyDescent="0.25">
      <c r="A120" s="26"/>
      <c r="B120" s="17" t="str">
        <f t="shared" si="3"/>
        <v/>
      </c>
      <c r="C120" s="17" t="str">
        <f t="shared" si="4"/>
        <v/>
      </c>
      <c r="D120" s="27"/>
      <c r="E120" s="27"/>
      <c r="F120" s="28"/>
      <c r="G120" s="14" t="str">
        <f>IF($D120="","",IFERROR(INDEX(Einstellungen!$B$4:$B$40,MATCH($D120,Einstellungen!$A$4:$A$40,0)),"?"))</f>
        <v/>
      </c>
      <c r="H120" s="27"/>
      <c r="I120" s="11" t="str">
        <f t="shared" si="5"/>
        <v/>
      </c>
    </row>
    <row r="121" spans="1:9" ht="15" customHeight="1" x14ac:dyDescent="0.25">
      <c r="A121" s="20"/>
      <c r="B121" s="21" t="str">
        <f t="shared" si="3"/>
        <v/>
      </c>
      <c r="C121" s="21" t="str">
        <f t="shared" si="4"/>
        <v/>
      </c>
      <c r="D121" s="22"/>
      <c r="E121" s="22"/>
      <c r="F121" s="23"/>
      <c r="G121" s="24" t="str">
        <f>IF($D121="","",IFERROR(INDEX(Einstellungen!$B$4:$B$40,MATCH($D121,Einstellungen!$A$4:$A$40,0)),"?"))</f>
        <v/>
      </c>
      <c r="H121" s="22"/>
      <c r="I121" s="25" t="str">
        <f t="shared" si="5"/>
        <v/>
      </c>
    </row>
    <row r="122" spans="1:9" ht="15" customHeight="1" x14ac:dyDescent="0.25">
      <c r="A122" s="26"/>
      <c r="B122" s="17" t="str">
        <f t="shared" si="3"/>
        <v/>
      </c>
      <c r="C122" s="17" t="str">
        <f t="shared" si="4"/>
        <v/>
      </c>
      <c r="D122" s="27"/>
      <c r="E122" s="27"/>
      <c r="F122" s="28"/>
      <c r="G122" s="14" t="str">
        <f>IF($D122="","",IFERROR(INDEX(Einstellungen!$B$4:$B$40,MATCH($D122,Einstellungen!$A$4:$A$40,0)),"?"))</f>
        <v/>
      </c>
      <c r="H122" s="27"/>
      <c r="I122" s="11" t="str">
        <f t="shared" si="5"/>
        <v/>
      </c>
    </row>
    <row r="123" spans="1:9" ht="15" customHeight="1" x14ac:dyDescent="0.25">
      <c r="A123" s="20"/>
      <c r="B123" s="21" t="str">
        <f t="shared" si="3"/>
        <v/>
      </c>
      <c r="C123" s="21" t="str">
        <f t="shared" si="4"/>
        <v/>
      </c>
      <c r="D123" s="22"/>
      <c r="E123" s="22"/>
      <c r="F123" s="23"/>
      <c r="G123" s="24" t="str">
        <f>IF($D123="","",IFERROR(INDEX(Einstellungen!$B$4:$B$40,MATCH($D123,Einstellungen!$A$4:$A$40,0)),"?"))</f>
        <v/>
      </c>
      <c r="H123" s="22"/>
      <c r="I123" s="25" t="str">
        <f t="shared" si="5"/>
        <v/>
      </c>
    </row>
    <row r="124" spans="1:9" ht="15" customHeight="1" x14ac:dyDescent="0.25">
      <c r="A124" s="26"/>
      <c r="B124" s="17" t="str">
        <f t="shared" si="3"/>
        <v/>
      </c>
      <c r="C124" s="17" t="str">
        <f t="shared" si="4"/>
        <v/>
      </c>
      <c r="D124" s="27"/>
      <c r="E124" s="27"/>
      <c r="F124" s="28"/>
      <c r="G124" s="14" t="str">
        <f>IF($D124="","",IFERROR(INDEX(Einstellungen!$B$4:$B$40,MATCH($D124,Einstellungen!$A$4:$A$40,0)),"?"))</f>
        <v/>
      </c>
      <c r="H124" s="27"/>
      <c r="I124" s="11" t="str">
        <f t="shared" si="5"/>
        <v/>
      </c>
    </row>
    <row r="125" spans="1:9" ht="15" customHeight="1" x14ac:dyDescent="0.25">
      <c r="A125" s="20"/>
      <c r="B125" s="21" t="str">
        <f t="shared" si="3"/>
        <v/>
      </c>
      <c r="C125" s="21" t="str">
        <f t="shared" si="4"/>
        <v/>
      </c>
      <c r="D125" s="22"/>
      <c r="E125" s="22"/>
      <c r="F125" s="23"/>
      <c r="G125" s="24" t="str">
        <f>IF($D125="","",IFERROR(INDEX(Einstellungen!$B$4:$B$40,MATCH($D125,Einstellungen!$A$4:$A$40,0)),"?"))</f>
        <v/>
      </c>
      <c r="H125" s="22"/>
      <c r="I125" s="25" t="str">
        <f t="shared" si="5"/>
        <v/>
      </c>
    </row>
    <row r="126" spans="1:9" ht="15" customHeight="1" x14ac:dyDescent="0.25">
      <c r="A126" s="26"/>
      <c r="B126" s="17" t="str">
        <f t="shared" si="3"/>
        <v/>
      </c>
      <c r="C126" s="17" t="str">
        <f t="shared" si="4"/>
        <v/>
      </c>
      <c r="D126" s="27"/>
      <c r="E126" s="27"/>
      <c r="F126" s="28"/>
      <c r="G126" s="14" t="str">
        <f>IF($D126="","",IFERROR(INDEX(Einstellungen!$B$4:$B$40,MATCH($D126,Einstellungen!$A$4:$A$40,0)),"?"))</f>
        <v/>
      </c>
      <c r="H126" s="27"/>
      <c r="I126" s="11" t="str">
        <f t="shared" si="5"/>
        <v/>
      </c>
    </row>
    <row r="127" spans="1:9" ht="15" customHeight="1" x14ac:dyDescent="0.25">
      <c r="A127" s="20"/>
      <c r="B127" s="21" t="str">
        <f t="shared" si="3"/>
        <v/>
      </c>
      <c r="C127" s="21" t="str">
        <f t="shared" si="4"/>
        <v/>
      </c>
      <c r="D127" s="22"/>
      <c r="E127" s="22"/>
      <c r="F127" s="23"/>
      <c r="G127" s="24" t="str">
        <f>IF($D127="","",IFERROR(INDEX(Einstellungen!$B$4:$B$40,MATCH($D127,Einstellungen!$A$4:$A$40,0)),"?"))</f>
        <v/>
      </c>
      <c r="H127" s="22"/>
      <c r="I127" s="25" t="str">
        <f t="shared" si="5"/>
        <v/>
      </c>
    </row>
    <row r="128" spans="1:9" ht="15" customHeight="1" x14ac:dyDescent="0.25">
      <c r="A128" s="26"/>
      <c r="B128" s="17" t="str">
        <f t="shared" si="3"/>
        <v/>
      </c>
      <c r="C128" s="17" t="str">
        <f t="shared" si="4"/>
        <v/>
      </c>
      <c r="D128" s="27"/>
      <c r="E128" s="27"/>
      <c r="F128" s="28"/>
      <c r="G128" s="14" t="str">
        <f>IF($D128="","",IFERROR(INDEX(Einstellungen!$B$4:$B$40,MATCH($D128,Einstellungen!$A$4:$A$40,0)),"?"))</f>
        <v/>
      </c>
      <c r="H128" s="27"/>
      <c r="I128" s="11" t="str">
        <f t="shared" si="5"/>
        <v/>
      </c>
    </row>
    <row r="129" spans="1:9" ht="15" customHeight="1" x14ac:dyDescent="0.25">
      <c r="A129" s="20"/>
      <c r="B129" s="21" t="str">
        <f t="shared" si="3"/>
        <v/>
      </c>
      <c r="C129" s="21" t="str">
        <f t="shared" si="4"/>
        <v/>
      </c>
      <c r="D129" s="22"/>
      <c r="E129" s="22"/>
      <c r="F129" s="23"/>
      <c r="G129" s="24" t="str">
        <f>IF($D129="","",IFERROR(INDEX(Einstellungen!$B$4:$B$40,MATCH($D129,Einstellungen!$A$4:$A$40,0)),"?"))</f>
        <v/>
      </c>
      <c r="H129" s="22"/>
      <c r="I129" s="25" t="str">
        <f t="shared" si="5"/>
        <v/>
      </c>
    </row>
    <row r="130" spans="1:9" ht="15" customHeight="1" x14ac:dyDescent="0.25">
      <c r="A130" s="26"/>
      <c r="B130" s="17" t="str">
        <f t="shared" si="3"/>
        <v/>
      </c>
      <c r="C130" s="17" t="str">
        <f t="shared" si="4"/>
        <v/>
      </c>
      <c r="D130" s="27"/>
      <c r="E130" s="27"/>
      <c r="F130" s="28"/>
      <c r="G130" s="14" t="str">
        <f>IF($D130="","",IFERROR(INDEX(Einstellungen!$B$4:$B$40,MATCH($D130,Einstellungen!$A$4:$A$40,0)),"?"))</f>
        <v/>
      </c>
      <c r="H130" s="27"/>
      <c r="I130" s="11" t="str">
        <f t="shared" si="5"/>
        <v/>
      </c>
    </row>
    <row r="131" spans="1:9" ht="15" customHeight="1" x14ac:dyDescent="0.25">
      <c r="A131" s="20"/>
      <c r="B131" s="21" t="str">
        <f t="shared" si="3"/>
        <v/>
      </c>
      <c r="C131" s="21" t="str">
        <f t="shared" si="4"/>
        <v/>
      </c>
      <c r="D131" s="22"/>
      <c r="E131" s="22"/>
      <c r="F131" s="23"/>
      <c r="G131" s="24" t="str">
        <f>IF($D131="","",IFERROR(INDEX(Einstellungen!$B$4:$B$40,MATCH($D131,Einstellungen!$A$4:$A$40,0)),"?"))</f>
        <v/>
      </c>
      <c r="H131" s="22"/>
      <c r="I131" s="25" t="str">
        <f t="shared" si="5"/>
        <v/>
      </c>
    </row>
    <row r="132" spans="1:9" ht="15" customHeight="1" x14ac:dyDescent="0.25">
      <c r="A132" s="26"/>
      <c r="B132" s="17" t="str">
        <f t="shared" ref="B132:B195" si="6">IF($A132="","",YEAR($A132))</f>
        <v/>
      </c>
      <c r="C132" s="17" t="str">
        <f t="shared" ref="C132:C195" si="7">IF($A132="","",MONTH($A132))</f>
        <v/>
      </c>
      <c r="D132" s="27"/>
      <c r="E132" s="27"/>
      <c r="F132" s="28"/>
      <c r="G132" s="14" t="str">
        <f>IF($D132="","",IFERROR(INDEX(Einstellungen!$B$4:$B$40,MATCH($D132,Einstellungen!$A$4:$A$40,0)),"?"))</f>
        <v/>
      </c>
      <c r="H132" s="27"/>
      <c r="I132" s="11" t="str">
        <f t="shared" ref="I132:I195" si="8">IF($F132="","",IF($G132="Einnahme",$F132,-$F132))</f>
        <v/>
      </c>
    </row>
    <row r="133" spans="1:9" ht="15" customHeight="1" x14ac:dyDescent="0.25">
      <c r="A133" s="20"/>
      <c r="B133" s="21" t="str">
        <f t="shared" si="6"/>
        <v/>
      </c>
      <c r="C133" s="21" t="str">
        <f t="shared" si="7"/>
        <v/>
      </c>
      <c r="D133" s="22"/>
      <c r="E133" s="22"/>
      <c r="F133" s="23"/>
      <c r="G133" s="24" t="str">
        <f>IF($D133="","",IFERROR(INDEX(Einstellungen!$B$4:$B$40,MATCH($D133,Einstellungen!$A$4:$A$40,0)),"?"))</f>
        <v/>
      </c>
      <c r="H133" s="22"/>
      <c r="I133" s="25" t="str">
        <f t="shared" si="8"/>
        <v/>
      </c>
    </row>
    <row r="134" spans="1:9" ht="15" customHeight="1" x14ac:dyDescent="0.25">
      <c r="A134" s="26"/>
      <c r="B134" s="17" t="str">
        <f t="shared" si="6"/>
        <v/>
      </c>
      <c r="C134" s="17" t="str">
        <f t="shared" si="7"/>
        <v/>
      </c>
      <c r="D134" s="27"/>
      <c r="E134" s="27"/>
      <c r="F134" s="28"/>
      <c r="G134" s="14" t="str">
        <f>IF($D134="","",IFERROR(INDEX(Einstellungen!$B$4:$B$40,MATCH($D134,Einstellungen!$A$4:$A$40,0)),"?"))</f>
        <v/>
      </c>
      <c r="H134" s="27"/>
      <c r="I134" s="11" t="str">
        <f t="shared" si="8"/>
        <v/>
      </c>
    </row>
    <row r="135" spans="1:9" ht="15" customHeight="1" x14ac:dyDescent="0.25">
      <c r="A135" s="20"/>
      <c r="B135" s="21" t="str">
        <f t="shared" si="6"/>
        <v/>
      </c>
      <c r="C135" s="21" t="str">
        <f t="shared" si="7"/>
        <v/>
      </c>
      <c r="D135" s="22"/>
      <c r="E135" s="22"/>
      <c r="F135" s="23"/>
      <c r="G135" s="24" t="str">
        <f>IF($D135="","",IFERROR(INDEX(Einstellungen!$B$4:$B$40,MATCH($D135,Einstellungen!$A$4:$A$40,0)),"?"))</f>
        <v/>
      </c>
      <c r="H135" s="22"/>
      <c r="I135" s="25" t="str">
        <f t="shared" si="8"/>
        <v/>
      </c>
    </row>
    <row r="136" spans="1:9" ht="15" customHeight="1" x14ac:dyDescent="0.25">
      <c r="A136" s="26"/>
      <c r="B136" s="17" t="str">
        <f t="shared" si="6"/>
        <v/>
      </c>
      <c r="C136" s="17" t="str">
        <f t="shared" si="7"/>
        <v/>
      </c>
      <c r="D136" s="27"/>
      <c r="E136" s="27"/>
      <c r="F136" s="28"/>
      <c r="G136" s="14" t="str">
        <f>IF($D136="","",IFERROR(INDEX(Einstellungen!$B$4:$B$40,MATCH($D136,Einstellungen!$A$4:$A$40,0)),"?"))</f>
        <v/>
      </c>
      <c r="H136" s="27"/>
      <c r="I136" s="11" t="str">
        <f t="shared" si="8"/>
        <v/>
      </c>
    </row>
    <row r="137" spans="1:9" ht="15" customHeight="1" x14ac:dyDescent="0.25">
      <c r="A137" s="20"/>
      <c r="B137" s="21" t="str">
        <f t="shared" si="6"/>
        <v/>
      </c>
      <c r="C137" s="21" t="str">
        <f t="shared" si="7"/>
        <v/>
      </c>
      <c r="D137" s="22"/>
      <c r="E137" s="22"/>
      <c r="F137" s="23"/>
      <c r="G137" s="24" t="str">
        <f>IF($D137="","",IFERROR(INDEX(Einstellungen!$B$4:$B$40,MATCH($D137,Einstellungen!$A$4:$A$40,0)),"?"))</f>
        <v/>
      </c>
      <c r="H137" s="22"/>
      <c r="I137" s="25" t="str">
        <f t="shared" si="8"/>
        <v/>
      </c>
    </row>
    <row r="138" spans="1:9" ht="15" customHeight="1" x14ac:dyDescent="0.25">
      <c r="A138" s="26"/>
      <c r="B138" s="17" t="str">
        <f t="shared" si="6"/>
        <v/>
      </c>
      <c r="C138" s="17" t="str">
        <f t="shared" si="7"/>
        <v/>
      </c>
      <c r="D138" s="27"/>
      <c r="E138" s="27"/>
      <c r="F138" s="28"/>
      <c r="G138" s="14" t="str">
        <f>IF($D138="","",IFERROR(INDEX(Einstellungen!$B$4:$B$40,MATCH($D138,Einstellungen!$A$4:$A$40,0)),"?"))</f>
        <v/>
      </c>
      <c r="H138" s="27"/>
      <c r="I138" s="11" t="str">
        <f t="shared" si="8"/>
        <v/>
      </c>
    </row>
    <row r="139" spans="1:9" ht="15" customHeight="1" x14ac:dyDescent="0.25">
      <c r="A139" s="20"/>
      <c r="B139" s="21" t="str">
        <f t="shared" si="6"/>
        <v/>
      </c>
      <c r="C139" s="21" t="str">
        <f t="shared" si="7"/>
        <v/>
      </c>
      <c r="D139" s="22"/>
      <c r="E139" s="22"/>
      <c r="F139" s="23"/>
      <c r="G139" s="24" t="str">
        <f>IF($D139="","",IFERROR(INDEX(Einstellungen!$B$4:$B$40,MATCH($D139,Einstellungen!$A$4:$A$40,0)),"?"))</f>
        <v/>
      </c>
      <c r="H139" s="22"/>
      <c r="I139" s="25" t="str">
        <f t="shared" si="8"/>
        <v/>
      </c>
    </row>
    <row r="140" spans="1:9" ht="15" customHeight="1" x14ac:dyDescent="0.25">
      <c r="A140" s="26"/>
      <c r="B140" s="17" t="str">
        <f t="shared" si="6"/>
        <v/>
      </c>
      <c r="C140" s="17" t="str">
        <f t="shared" si="7"/>
        <v/>
      </c>
      <c r="D140" s="27"/>
      <c r="E140" s="27"/>
      <c r="F140" s="28"/>
      <c r="G140" s="14" t="str">
        <f>IF($D140="","",IFERROR(INDEX(Einstellungen!$B$4:$B$40,MATCH($D140,Einstellungen!$A$4:$A$40,0)),"?"))</f>
        <v/>
      </c>
      <c r="H140" s="27"/>
      <c r="I140" s="11" t="str">
        <f t="shared" si="8"/>
        <v/>
      </c>
    </row>
    <row r="141" spans="1:9" ht="15" customHeight="1" x14ac:dyDescent="0.25">
      <c r="A141" s="20"/>
      <c r="B141" s="21" t="str">
        <f t="shared" si="6"/>
        <v/>
      </c>
      <c r="C141" s="21" t="str">
        <f t="shared" si="7"/>
        <v/>
      </c>
      <c r="D141" s="22"/>
      <c r="E141" s="22"/>
      <c r="F141" s="23"/>
      <c r="G141" s="24" t="str">
        <f>IF($D141="","",IFERROR(INDEX(Einstellungen!$B$4:$B$40,MATCH($D141,Einstellungen!$A$4:$A$40,0)),"?"))</f>
        <v/>
      </c>
      <c r="H141" s="22"/>
      <c r="I141" s="25" t="str">
        <f t="shared" si="8"/>
        <v/>
      </c>
    </row>
    <row r="142" spans="1:9" ht="15" customHeight="1" x14ac:dyDescent="0.25">
      <c r="A142" s="26"/>
      <c r="B142" s="17" t="str">
        <f t="shared" si="6"/>
        <v/>
      </c>
      <c r="C142" s="17" t="str">
        <f t="shared" si="7"/>
        <v/>
      </c>
      <c r="D142" s="27"/>
      <c r="E142" s="27"/>
      <c r="F142" s="28"/>
      <c r="G142" s="14" t="str">
        <f>IF($D142="","",IFERROR(INDEX(Einstellungen!$B$4:$B$40,MATCH($D142,Einstellungen!$A$4:$A$40,0)),"?"))</f>
        <v/>
      </c>
      <c r="H142" s="27"/>
      <c r="I142" s="11" t="str">
        <f t="shared" si="8"/>
        <v/>
      </c>
    </row>
    <row r="143" spans="1:9" ht="15" customHeight="1" x14ac:dyDescent="0.25">
      <c r="A143" s="20"/>
      <c r="B143" s="21" t="str">
        <f t="shared" si="6"/>
        <v/>
      </c>
      <c r="C143" s="21" t="str">
        <f t="shared" si="7"/>
        <v/>
      </c>
      <c r="D143" s="22"/>
      <c r="E143" s="22"/>
      <c r="F143" s="23"/>
      <c r="G143" s="24" t="str">
        <f>IF($D143="","",IFERROR(INDEX(Einstellungen!$B$4:$B$40,MATCH($D143,Einstellungen!$A$4:$A$40,0)),"?"))</f>
        <v/>
      </c>
      <c r="H143" s="22"/>
      <c r="I143" s="25" t="str">
        <f t="shared" si="8"/>
        <v/>
      </c>
    </row>
    <row r="144" spans="1:9" ht="15" customHeight="1" x14ac:dyDescent="0.25">
      <c r="A144" s="26"/>
      <c r="B144" s="17" t="str">
        <f t="shared" si="6"/>
        <v/>
      </c>
      <c r="C144" s="17" t="str">
        <f t="shared" si="7"/>
        <v/>
      </c>
      <c r="D144" s="27"/>
      <c r="E144" s="27"/>
      <c r="F144" s="28"/>
      <c r="G144" s="14" t="str">
        <f>IF($D144="","",IFERROR(INDEX(Einstellungen!$B$4:$B$40,MATCH($D144,Einstellungen!$A$4:$A$40,0)),"?"))</f>
        <v/>
      </c>
      <c r="H144" s="27"/>
      <c r="I144" s="11" t="str">
        <f t="shared" si="8"/>
        <v/>
      </c>
    </row>
    <row r="145" spans="1:9" ht="15" customHeight="1" x14ac:dyDescent="0.25">
      <c r="A145" s="20"/>
      <c r="B145" s="21" t="str">
        <f t="shared" si="6"/>
        <v/>
      </c>
      <c r="C145" s="21" t="str">
        <f t="shared" si="7"/>
        <v/>
      </c>
      <c r="D145" s="22"/>
      <c r="E145" s="22"/>
      <c r="F145" s="23"/>
      <c r="G145" s="24" t="str">
        <f>IF($D145="","",IFERROR(INDEX(Einstellungen!$B$4:$B$40,MATCH($D145,Einstellungen!$A$4:$A$40,0)),"?"))</f>
        <v/>
      </c>
      <c r="H145" s="22"/>
      <c r="I145" s="25" t="str">
        <f t="shared" si="8"/>
        <v/>
      </c>
    </row>
    <row r="146" spans="1:9" ht="15" customHeight="1" x14ac:dyDescent="0.25">
      <c r="A146" s="26"/>
      <c r="B146" s="17" t="str">
        <f t="shared" si="6"/>
        <v/>
      </c>
      <c r="C146" s="17" t="str">
        <f t="shared" si="7"/>
        <v/>
      </c>
      <c r="D146" s="27"/>
      <c r="E146" s="27"/>
      <c r="F146" s="28"/>
      <c r="G146" s="14" t="str">
        <f>IF($D146="","",IFERROR(INDEX(Einstellungen!$B$4:$B$40,MATCH($D146,Einstellungen!$A$4:$A$40,0)),"?"))</f>
        <v/>
      </c>
      <c r="H146" s="27"/>
      <c r="I146" s="11" t="str">
        <f t="shared" si="8"/>
        <v/>
      </c>
    </row>
    <row r="147" spans="1:9" ht="15" customHeight="1" x14ac:dyDescent="0.25">
      <c r="A147" s="20"/>
      <c r="B147" s="21" t="str">
        <f t="shared" si="6"/>
        <v/>
      </c>
      <c r="C147" s="21" t="str">
        <f t="shared" si="7"/>
        <v/>
      </c>
      <c r="D147" s="22"/>
      <c r="E147" s="22"/>
      <c r="F147" s="23"/>
      <c r="G147" s="24" t="str">
        <f>IF($D147="","",IFERROR(INDEX(Einstellungen!$B$4:$B$40,MATCH($D147,Einstellungen!$A$4:$A$40,0)),"?"))</f>
        <v/>
      </c>
      <c r="H147" s="22"/>
      <c r="I147" s="25" t="str">
        <f t="shared" si="8"/>
        <v/>
      </c>
    </row>
    <row r="148" spans="1:9" ht="15" customHeight="1" x14ac:dyDescent="0.25">
      <c r="A148" s="26"/>
      <c r="B148" s="17" t="str">
        <f t="shared" si="6"/>
        <v/>
      </c>
      <c r="C148" s="17" t="str">
        <f t="shared" si="7"/>
        <v/>
      </c>
      <c r="D148" s="27"/>
      <c r="E148" s="27"/>
      <c r="F148" s="28"/>
      <c r="G148" s="14" t="str">
        <f>IF($D148="","",IFERROR(INDEX(Einstellungen!$B$4:$B$40,MATCH($D148,Einstellungen!$A$4:$A$40,0)),"?"))</f>
        <v/>
      </c>
      <c r="H148" s="27"/>
      <c r="I148" s="11" t="str">
        <f t="shared" si="8"/>
        <v/>
      </c>
    </row>
    <row r="149" spans="1:9" ht="15" customHeight="1" x14ac:dyDescent="0.25">
      <c r="A149" s="20"/>
      <c r="B149" s="21" t="str">
        <f t="shared" si="6"/>
        <v/>
      </c>
      <c r="C149" s="21" t="str">
        <f t="shared" si="7"/>
        <v/>
      </c>
      <c r="D149" s="22"/>
      <c r="E149" s="22"/>
      <c r="F149" s="23"/>
      <c r="G149" s="24" t="str">
        <f>IF($D149="","",IFERROR(INDEX(Einstellungen!$B$4:$B$40,MATCH($D149,Einstellungen!$A$4:$A$40,0)),"?"))</f>
        <v/>
      </c>
      <c r="H149" s="22"/>
      <c r="I149" s="25" t="str">
        <f t="shared" si="8"/>
        <v/>
      </c>
    </row>
    <row r="150" spans="1:9" ht="15" customHeight="1" x14ac:dyDescent="0.25">
      <c r="A150" s="26"/>
      <c r="B150" s="17" t="str">
        <f t="shared" si="6"/>
        <v/>
      </c>
      <c r="C150" s="17" t="str">
        <f t="shared" si="7"/>
        <v/>
      </c>
      <c r="D150" s="27"/>
      <c r="E150" s="27"/>
      <c r="F150" s="28"/>
      <c r="G150" s="14" t="str">
        <f>IF($D150="","",IFERROR(INDEX(Einstellungen!$B$4:$B$40,MATCH($D150,Einstellungen!$A$4:$A$40,0)),"?"))</f>
        <v/>
      </c>
      <c r="H150" s="27"/>
      <c r="I150" s="11" t="str">
        <f t="shared" si="8"/>
        <v/>
      </c>
    </row>
    <row r="151" spans="1:9" ht="15" customHeight="1" x14ac:dyDescent="0.25">
      <c r="A151" s="20"/>
      <c r="B151" s="21" t="str">
        <f t="shared" si="6"/>
        <v/>
      </c>
      <c r="C151" s="21" t="str">
        <f t="shared" si="7"/>
        <v/>
      </c>
      <c r="D151" s="22"/>
      <c r="E151" s="22"/>
      <c r="F151" s="23"/>
      <c r="G151" s="24" t="str">
        <f>IF($D151="","",IFERROR(INDEX(Einstellungen!$B$4:$B$40,MATCH($D151,Einstellungen!$A$4:$A$40,0)),"?"))</f>
        <v/>
      </c>
      <c r="H151" s="22"/>
      <c r="I151" s="25" t="str">
        <f t="shared" si="8"/>
        <v/>
      </c>
    </row>
    <row r="152" spans="1:9" ht="15" customHeight="1" x14ac:dyDescent="0.25">
      <c r="A152" s="26"/>
      <c r="B152" s="17" t="str">
        <f t="shared" si="6"/>
        <v/>
      </c>
      <c r="C152" s="17" t="str">
        <f t="shared" si="7"/>
        <v/>
      </c>
      <c r="D152" s="27"/>
      <c r="E152" s="27"/>
      <c r="F152" s="28"/>
      <c r="G152" s="14" t="str">
        <f>IF($D152="","",IFERROR(INDEX(Einstellungen!$B$4:$B$40,MATCH($D152,Einstellungen!$A$4:$A$40,0)),"?"))</f>
        <v/>
      </c>
      <c r="H152" s="27"/>
      <c r="I152" s="11" t="str">
        <f t="shared" si="8"/>
        <v/>
      </c>
    </row>
    <row r="153" spans="1:9" ht="15" customHeight="1" x14ac:dyDescent="0.25">
      <c r="A153" s="20"/>
      <c r="B153" s="21" t="str">
        <f t="shared" si="6"/>
        <v/>
      </c>
      <c r="C153" s="21" t="str">
        <f t="shared" si="7"/>
        <v/>
      </c>
      <c r="D153" s="22"/>
      <c r="E153" s="22"/>
      <c r="F153" s="23"/>
      <c r="G153" s="24" t="str">
        <f>IF($D153="","",IFERROR(INDEX(Einstellungen!$B$4:$B$40,MATCH($D153,Einstellungen!$A$4:$A$40,0)),"?"))</f>
        <v/>
      </c>
      <c r="H153" s="22"/>
      <c r="I153" s="25" t="str">
        <f t="shared" si="8"/>
        <v/>
      </c>
    </row>
    <row r="154" spans="1:9" ht="15" customHeight="1" x14ac:dyDescent="0.25">
      <c r="A154" s="26"/>
      <c r="B154" s="17" t="str">
        <f t="shared" si="6"/>
        <v/>
      </c>
      <c r="C154" s="17" t="str">
        <f t="shared" si="7"/>
        <v/>
      </c>
      <c r="D154" s="27"/>
      <c r="E154" s="27"/>
      <c r="F154" s="28"/>
      <c r="G154" s="14" t="str">
        <f>IF($D154="","",IFERROR(INDEX(Einstellungen!$B$4:$B$40,MATCH($D154,Einstellungen!$A$4:$A$40,0)),"?"))</f>
        <v/>
      </c>
      <c r="H154" s="27"/>
      <c r="I154" s="11" t="str">
        <f t="shared" si="8"/>
        <v/>
      </c>
    </row>
    <row r="155" spans="1:9" ht="15" customHeight="1" x14ac:dyDescent="0.25">
      <c r="A155" s="20"/>
      <c r="B155" s="21" t="str">
        <f t="shared" si="6"/>
        <v/>
      </c>
      <c r="C155" s="21" t="str">
        <f t="shared" si="7"/>
        <v/>
      </c>
      <c r="D155" s="22"/>
      <c r="E155" s="22"/>
      <c r="F155" s="23"/>
      <c r="G155" s="24" t="str">
        <f>IF($D155="","",IFERROR(INDEX(Einstellungen!$B$4:$B$40,MATCH($D155,Einstellungen!$A$4:$A$40,0)),"?"))</f>
        <v/>
      </c>
      <c r="H155" s="22"/>
      <c r="I155" s="25" t="str">
        <f t="shared" si="8"/>
        <v/>
      </c>
    </row>
    <row r="156" spans="1:9" ht="15" customHeight="1" x14ac:dyDescent="0.25">
      <c r="A156" s="26"/>
      <c r="B156" s="17" t="str">
        <f t="shared" si="6"/>
        <v/>
      </c>
      <c r="C156" s="17" t="str">
        <f t="shared" si="7"/>
        <v/>
      </c>
      <c r="D156" s="27"/>
      <c r="E156" s="27"/>
      <c r="F156" s="28"/>
      <c r="G156" s="14" t="str">
        <f>IF($D156="","",IFERROR(INDEX(Einstellungen!$B$4:$B$40,MATCH($D156,Einstellungen!$A$4:$A$40,0)),"?"))</f>
        <v/>
      </c>
      <c r="H156" s="27"/>
      <c r="I156" s="11" t="str">
        <f t="shared" si="8"/>
        <v/>
      </c>
    </row>
    <row r="157" spans="1:9" ht="15" customHeight="1" x14ac:dyDescent="0.25">
      <c r="A157" s="20"/>
      <c r="B157" s="21" t="str">
        <f t="shared" si="6"/>
        <v/>
      </c>
      <c r="C157" s="21" t="str">
        <f t="shared" si="7"/>
        <v/>
      </c>
      <c r="D157" s="22"/>
      <c r="E157" s="22"/>
      <c r="F157" s="23"/>
      <c r="G157" s="24" t="str">
        <f>IF($D157="","",IFERROR(INDEX(Einstellungen!$B$4:$B$40,MATCH($D157,Einstellungen!$A$4:$A$40,0)),"?"))</f>
        <v/>
      </c>
      <c r="H157" s="22"/>
      <c r="I157" s="25" t="str">
        <f t="shared" si="8"/>
        <v/>
      </c>
    </row>
    <row r="158" spans="1:9" ht="15" customHeight="1" x14ac:dyDescent="0.25">
      <c r="A158" s="26"/>
      <c r="B158" s="17" t="str">
        <f t="shared" si="6"/>
        <v/>
      </c>
      <c r="C158" s="17" t="str">
        <f t="shared" si="7"/>
        <v/>
      </c>
      <c r="D158" s="27"/>
      <c r="E158" s="27"/>
      <c r="F158" s="28"/>
      <c r="G158" s="14" t="str">
        <f>IF($D158="","",IFERROR(INDEX(Einstellungen!$B$4:$B$40,MATCH($D158,Einstellungen!$A$4:$A$40,0)),"?"))</f>
        <v/>
      </c>
      <c r="H158" s="27"/>
      <c r="I158" s="11" t="str">
        <f t="shared" si="8"/>
        <v/>
      </c>
    </row>
    <row r="159" spans="1:9" ht="15" customHeight="1" x14ac:dyDescent="0.25">
      <c r="A159" s="20"/>
      <c r="B159" s="21" t="str">
        <f t="shared" si="6"/>
        <v/>
      </c>
      <c r="C159" s="21" t="str">
        <f t="shared" si="7"/>
        <v/>
      </c>
      <c r="D159" s="22"/>
      <c r="E159" s="22"/>
      <c r="F159" s="23"/>
      <c r="G159" s="24" t="str">
        <f>IF($D159="","",IFERROR(INDEX(Einstellungen!$B$4:$B$40,MATCH($D159,Einstellungen!$A$4:$A$40,0)),"?"))</f>
        <v/>
      </c>
      <c r="H159" s="22"/>
      <c r="I159" s="25" t="str">
        <f t="shared" si="8"/>
        <v/>
      </c>
    </row>
    <row r="160" spans="1:9" ht="15" customHeight="1" x14ac:dyDescent="0.25">
      <c r="A160" s="26"/>
      <c r="B160" s="17" t="str">
        <f t="shared" si="6"/>
        <v/>
      </c>
      <c r="C160" s="17" t="str">
        <f t="shared" si="7"/>
        <v/>
      </c>
      <c r="D160" s="27"/>
      <c r="E160" s="27"/>
      <c r="F160" s="28"/>
      <c r="G160" s="14" t="str">
        <f>IF($D160="","",IFERROR(INDEX(Einstellungen!$B$4:$B$40,MATCH($D160,Einstellungen!$A$4:$A$40,0)),"?"))</f>
        <v/>
      </c>
      <c r="H160" s="27"/>
      <c r="I160" s="11" t="str">
        <f t="shared" si="8"/>
        <v/>
      </c>
    </row>
    <row r="161" spans="1:9" ht="15" customHeight="1" x14ac:dyDescent="0.25">
      <c r="A161" s="20"/>
      <c r="B161" s="21" t="str">
        <f t="shared" si="6"/>
        <v/>
      </c>
      <c r="C161" s="21" t="str">
        <f t="shared" si="7"/>
        <v/>
      </c>
      <c r="D161" s="22"/>
      <c r="E161" s="22"/>
      <c r="F161" s="23"/>
      <c r="G161" s="24" t="str">
        <f>IF($D161="","",IFERROR(INDEX(Einstellungen!$B$4:$B$40,MATCH($D161,Einstellungen!$A$4:$A$40,0)),"?"))</f>
        <v/>
      </c>
      <c r="H161" s="22"/>
      <c r="I161" s="25" t="str">
        <f t="shared" si="8"/>
        <v/>
      </c>
    </row>
    <row r="162" spans="1:9" ht="15" customHeight="1" x14ac:dyDescent="0.25">
      <c r="A162" s="26"/>
      <c r="B162" s="17" t="str">
        <f t="shared" si="6"/>
        <v/>
      </c>
      <c r="C162" s="17" t="str">
        <f t="shared" si="7"/>
        <v/>
      </c>
      <c r="D162" s="27"/>
      <c r="E162" s="27"/>
      <c r="F162" s="28"/>
      <c r="G162" s="14" t="str">
        <f>IF($D162="","",IFERROR(INDEX(Einstellungen!$B$4:$B$40,MATCH($D162,Einstellungen!$A$4:$A$40,0)),"?"))</f>
        <v/>
      </c>
      <c r="H162" s="27"/>
      <c r="I162" s="11" t="str">
        <f t="shared" si="8"/>
        <v/>
      </c>
    </row>
    <row r="163" spans="1:9" ht="15" customHeight="1" x14ac:dyDescent="0.25">
      <c r="A163" s="20"/>
      <c r="B163" s="21" t="str">
        <f t="shared" si="6"/>
        <v/>
      </c>
      <c r="C163" s="21" t="str">
        <f t="shared" si="7"/>
        <v/>
      </c>
      <c r="D163" s="22"/>
      <c r="E163" s="22"/>
      <c r="F163" s="23"/>
      <c r="G163" s="24" t="str">
        <f>IF($D163="","",IFERROR(INDEX(Einstellungen!$B$4:$B$40,MATCH($D163,Einstellungen!$A$4:$A$40,0)),"?"))</f>
        <v/>
      </c>
      <c r="H163" s="22"/>
      <c r="I163" s="25" t="str">
        <f t="shared" si="8"/>
        <v/>
      </c>
    </row>
    <row r="164" spans="1:9" ht="15" customHeight="1" x14ac:dyDescent="0.25">
      <c r="A164" s="26"/>
      <c r="B164" s="17" t="str">
        <f t="shared" si="6"/>
        <v/>
      </c>
      <c r="C164" s="17" t="str">
        <f t="shared" si="7"/>
        <v/>
      </c>
      <c r="D164" s="27"/>
      <c r="E164" s="27"/>
      <c r="F164" s="28"/>
      <c r="G164" s="14" t="str">
        <f>IF($D164="","",IFERROR(INDEX(Einstellungen!$B$4:$B$40,MATCH($D164,Einstellungen!$A$4:$A$40,0)),"?"))</f>
        <v/>
      </c>
      <c r="H164" s="27"/>
      <c r="I164" s="11" t="str">
        <f t="shared" si="8"/>
        <v/>
      </c>
    </row>
    <row r="165" spans="1:9" ht="15" customHeight="1" x14ac:dyDescent="0.25">
      <c r="A165" s="20"/>
      <c r="B165" s="21" t="str">
        <f t="shared" si="6"/>
        <v/>
      </c>
      <c r="C165" s="21" t="str">
        <f t="shared" si="7"/>
        <v/>
      </c>
      <c r="D165" s="22"/>
      <c r="E165" s="22"/>
      <c r="F165" s="23"/>
      <c r="G165" s="24" t="str">
        <f>IF($D165="","",IFERROR(INDEX(Einstellungen!$B$4:$B$40,MATCH($D165,Einstellungen!$A$4:$A$40,0)),"?"))</f>
        <v/>
      </c>
      <c r="H165" s="22"/>
      <c r="I165" s="25" t="str">
        <f t="shared" si="8"/>
        <v/>
      </c>
    </row>
    <row r="166" spans="1:9" ht="15" customHeight="1" x14ac:dyDescent="0.25">
      <c r="A166" s="26"/>
      <c r="B166" s="17" t="str">
        <f t="shared" si="6"/>
        <v/>
      </c>
      <c r="C166" s="17" t="str">
        <f t="shared" si="7"/>
        <v/>
      </c>
      <c r="D166" s="27"/>
      <c r="E166" s="27"/>
      <c r="F166" s="28"/>
      <c r="G166" s="14" t="str">
        <f>IF($D166="","",IFERROR(INDEX(Einstellungen!$B$4:$B$40,MATCH($D166,Einstellungen!$A$4:$A$40,0)),"?"))</f>
        <v/>
      </c>
      <c r="H166" s="27"/>
      <c r="I166" s="11" t="str">
        <f t="shared" si="8"/>
        <v/>
      </c>
    </row>
    <row r="167" spans="1:9" ht="15" customHeight="1" x14ac:dyDescent="0.25">
      <c r="A167" s="20"/>
      <c r="B167" s="21" t="str">
        <f t="shared" si="6"/>
        <v/>
      </c>
      <c r="C167" s="21" t="str">
        <f t="shared" si="7"/>
        <v/>
      </c>
      <c r="D167" s="22"/>
      <c r="E167" s="22"/>
      <c r="F167" s="23"/>
      <c r="G167" s="24" t="str">
        <f>IF($D167="","",IFERROR(INDEX(Einstellungen!$B$4:$B$40,MATCH($D167,Einstellungen!$A$4:$A$40,0)),"?"))</f>
        <v/>
      </c>
      <c r="H167" s="22"/>
      <c r="I167" s="25" t="str">
        <f t="shared" si="8"/>
        <v/>
      </c>
    </row>
    <row r="168" spans="1:9" ht="15" customHeight="1" x14ac:dyDescent="0.25">
      <c r="A168" s="26"/>
      <c r="B168" s="17" t="str">
        <f t="shared" si="6"/>
        <v/>
      </c>
      <c r="C168" s="17" t="str">
        <f t="shared" si="7"/>
        <v/>
      </c>
      <c r="D168" s="27"/>
      <c r="E168" s="27"/>
      <c r="F168" s="28"/>
      <c r="G168" s="14" t="str">
        <f>IF($D168="","",IFERROR(INDEX(Einstellungen!$B$4:$B$40,MATCH($D168,Einstellungen!$A$4:$A$40,0)),"?"))</f>
        <v/>
      </c>
      <c r="H168" s="27"/>
      <c r="I168" s="11" t="str">
        <f t="shared" si="8"/>
        <v/>
      </c>
    </row>
    <row r="169" spans="1:9" ht="15" customHeight="1" x14ac:dyDescent="0.25">
      <c r="A169" s="20"/>
      <c r="B169" s="21" t="str">
        <f t="shared" si="6"/>
        <v/>
      </c>
      <c r="C169" s="21" t="str">
        <f t="shared" si="7"/>
        <v/>
      </c>
      <c r="D169" s="22"/>
      <c r="E169" s="22"/>
      <c r="F169" s="23"/>
      <c r="G169" s="24" t="str">
        <f>IF($D169="","",IFERROR(INDEX(Einstellungen!$B$4:$B$40,MATCH($D169,Einstellungen!$A$4:$A$40,0)),"?"))</f>
        <v/>
      </c>
      <c r="H169" s="22"/>
      <c r="I169" s="25" t="str">
        <f t="shared" si="8"/>
        <v/>
      </c>
    </row>
    <row r="170" spans="1:9" ht="15" customHeight="1" x14ac:dyDescent="0.25">
      <c r="A170" s="26"/>
      <c r="B170" s="17" t="str">
        <f t="shared" si="6"/>
        <v/>
      </c>
      <c r="C170" s="17" t="str">
        <f t="shared" si="7"/>
        <v/>
      </c>
      <c r="D170" s="27"/>
      <c r="E170" s="27"/>
      <c r="F170" s="28"/>
      <c r="G170" s="14" t="str">
        <f>IF($D170="","",IFERROR(INDEX(Einstellungen!$B$4:$B$40,MATCH($D170,Einstellungen!$A$4:$A$40,0)),"?"))</f>
        <v/>
      </c>
      <c r="H170" s="27"/>
      <c r="I170" s="11" t="str">
        <f t="shared" si="8"/>
        <v/>
      </c>
    </row>
    <row r="171" spans="1:9" ht="15" customHeight="1" x14ac:dyDescent="0.25">
      <c r="A171" s="20"/>
      <c r="B171" s="21" t="str">
        <f t="shared" si="6"/>
        <v/>
      </c>
      <c r="C171" s="21" t="str">
        <f t="shared" si="7"/>
        <v/>
      </c>
      <c r="D171" s="22"/>
      <c r="E171" s="22"/>
      <c r="F171" s="23"/>
      <c r="G171" s="24" t="str">
        <f>IF($D171="","",IFERROR(INDEX(Einstellungen!$B$4:$B$40,MATCH($D171,Einstellungen!$A$4:$A$40,0)),"?"))</f>
        <v/>
      </c>
      <c r="H171" s="22"/>
      <c r="I171" s="25" t="str">
        <f t="shared" si="8"/>
        <v/>
      </c>
    </row>
    <row r="172" spans="1:9" ht="15" customHeight="1" x14ac:dyDescent="0.25">
      <c r="A172" s="26"/>
      <c r="B172" s="17" t="str">
        <f t="shared" si="6"/>
        <v/>
      </c>
      <c r="C172" s="17" t="str">
        <f t="shared" si="7"/>
        <v/>
      </c>
      <c r="D172" s="27"/>
      <c r="E172" s="27"/>
      <c r="F172" s="28"/>
      <c r="G172" s="14" t="str">
        <f>IF($D172="","",IFERROR(INDEX(Einstellungen!$B$4:$B$40,MATCH($D172,Einstellungen!$A$4:$A$40,0)),"?"))</f>
        <v/>
      </c>
      <c r="H172" s="27"/>
      <c r="I172" s="11" t="str">
        <f t="shared" si="8"/>
        <v/>
      </c>
    </row>
    <row r="173" spans="1:9" ht="15" customHeight="1" x14ac:dyDescent="0.25">
      <c r="A173" s="20"/>
      <c r="B173" s="21" t="str">
        <f t="shared" si="6"/>
        <v/>
      </c>
      <c r="C173" s="21" t="str">
        <f t="shared" si="7"/>
        <v/>
      </c>
      <c r="D173" s="22"/>
      <c r="E173" s="22"/>
      <c r="F173" s="23"/>
      <c r="G173" s="24" t="str">
        <f>IF($D173="","",IFERROR(INDEX(Einstellungen!$B$4:$B$40,MATCH($D173,Einstellungen!$A$4:$A$40,0)),"?"))</f>
        <v/>
      </c>
      <c r="H173" s="22"/>
      <c r="I173" s="25" t="str">
        <f t="shared" si="8"/>
        <v/>
      </c>
    </row>
    <row r="174" spans="1:9" ht="15" customHeight="1" x14ac:dyDescent="0.25">
      <c r="A174" s="26"/>
      <c r="B174" s="17" t="str">
        <f t="shared" si="6"/>
        <v/>
      </c>
      <c r="C174" s="17" t="str">
        <f t="shared" si="7"/>
        <v/>
      </c>
      <c r="D174" s="27"/>
      <c r="E174" s="27"/>
      <c r="F174" s="28"/>
      <c r="G174" s="14" t="str">
        <f>IF($D174="","",IFERROR(INDEX(Einstellungen!$B$4:$B$40,MATCH($D174,Einstellungen!$A$4:$A$40,0)),"?"))</f>
        <v/>
      </c>
      <c r="H174" s="27"/>
      <c r="I174" s="11" t="str">
        <f t="shared" si="8"/>
        <v/>
      </c>
    </row>
    <row r="175" spans="1:9" ht="15" customHeight="1" x14ac:dyDescent="0.25">
      <c r="A175" s="20"/>
      <c r="B175" s="21" t="str">
        <f t="shared" si="6"/>
        <v/>
      </c>
      <c r="C175" s="21" t="str">
        <f t="shared" si="7"/>
        <v/>
      </c>
      <c r="D175" s="22"/>
      <c r="E175" s="22"/>
      <c r="F175" s="23"/>
      <c r="G175" s="24" t="str">
        <f>IF($D175="","",IFERROR(INDEX(Einstellungen!$B$4:$B$40,MATCH($D175,Einstellungen!$A$4:$A$40,0)),"?"))</f>
        <v/>
      </c>
      <c r="H175" s="22"/>
      <c r="I175" s="25" t="str">
        <f t="shared" si="8"/>
        <v/>
      </c>
    </row>
    <row r="176" spans="1:9" ht="15" customHeight="1" x14ac:dyDescent="0.25">
      <c r="A176" s="26"/>
      <c r="B176" s="17" t="str">
        <f t="shared" si="6"/>
        <v/>
      </c>
      <c r="C176" s="17" t="str">
        <f t="shared" si="7"/>
        <v/>
      </c>
      <c r="D176" s="27"/>
      <c r="E176" s="27"/>
      <c r="F176" s="28"/>
      <c r="G176" s="14" t="str">
        <f>IF($D176="","",IFERROR(INDEX(Einstellungen!$B$4:$B$40,MATCH($D176,Einstellungen!$A$4:$A$40,0)),"?"))</f>
        <v/>
      </c>
      <c r="H176" s="27"/>
      <c r="I176" s="11" t="str">
        <f t="shared" si="8"/>
        <v/>
      </c>
    </row>
    <row r="177" spans="1:9" ht="15" customHeight="1" x14ac:dyDescent="0.25">
      <c r="A177" s="20"/>
      <c r="B177" s="21" t="str">
        <f t="shared" si="6"/>
        <v/>
      </c>
      <c r="C177" s="21" t="str">
        <f t="shared" si="7"/>
        <v/>
      </c>
      <c r="D177" s="22"/>
      <c r="E177" s="22"/>
      <c r="F177" s="23"/>
      <c r="G177" s="24" t="str">
        <f>IF($D177="","",IFERROR(INDEX(Einstellungen!$B$4:$B$40,MATCH($D177,Einstellungen!$A$4:$A$40,0)),"?"))</f>
        <v/>
      </c>
      <c r="H177" s="22"/>
      <c r="I177" s="25" t="str">
        <f t="shared" si="8"/>
        <v/>
      </c>
    </row>
    <row r="178" spans="1:9" ht="15" customHeight="1" x14ac:dyDescent="0.25">
      <c r="A178" s="26"/>
      <c r="B178" s="17" t="str">
        <f t="shared" si="6"/>
        <v/>
      </c>
      <c r="C178" s="17" t="str">
        <f t="shared" si="7"/>
        <v/>
      </c>
      <c r="D178" s="27"/>
      <c r="E178" s="27"/>
      <c r="F178" s="28"/>
      <c r="G178" s="14" t="str">
        <f>IF($D178="","",IFERROR(INDEX(Einstellungen!$B$4:$B$40,MATCH($D178,Einstellungen!$A$4:$A$40,0)),"?"))</f>
        <v/>
      </c>
      <c r="H178" s="27"/>
      <c r="I178" s="11" t="str">
        <f t="shared" si="8"/>
        <v/>
      </c>
    </row>
    <row r="179" spans="1:9" ht="15" customHeight="1" x14ac:dyDescent="0.25">
      <c r="A179" s="20"/>
      <c r="B179" s="21" t="str">
        <f t="shared" si="6"/>
        <v/>
      </c>
      <c r="C179" s="21" t="str">
        <f t="shared" si="7"/>
        <v/>
      </c>
      <c r="D179" s="22"/>
      <c r="E179" s="22"/>
      <c r="F179" s="23"/>
      <c r="G179" s="24" t="str">
        <f>IF($D179="","",IFERROR(INDEX(Einstellungen!$B$4:$B$40,MATCH($D179,Einstellungen!$A$4:$A$40,0)),"?"))</f>
        <v/>
      </c>
      <c r="H179" s="22"/>
      <c r="I179" s="25" t="str">
        <f t="shared" si="8"/>
        <v/>
      </c>
    </row>
    <row r="180" spans="1:9" ht="15" customHeight="1" x14ac:dyDescent="0.25">
      <c r="A180" s="26"/>
      <c r="B180" s="17" t="str">
        <f t="shared" si="6"/>
        <v/>
      </c>
      <c r="C180" s="17" t="str">
        <f t="shared" si="7"/>
        <v/>
      </c>
      <c r="D180" s="27"/>
      <c r="E180" s="27"/>
      <c r="F180" s="28"/>
      <c r="G180" s="14" t="str">
        <f>IF($D180="","",IFERROR(INDEX(Einstellungen!$B$4:$B$40,MATCH($D180,Einstellungen!$A$4:$A$40,0)),"?"))</f>
        <v/>
      </c>
      <c r="H180" s="27"/>
      <c r="I180" s="11" t="str">
        <f t="shared" si="8"/>
        <v/>
      </c>
    </row>
    <row r="181" spans="1:9" ht="15" customHeight="1" x14ac:dyDescent="0.25">
      <c r="A181" s="20"/>
      <c r="B181" s="21" t="str">
        <f t="shared" si="6"/>
        <v/>
      </c>
      <c r="C181" s="21" t="str">
        <f t="shared" si="7"/>
        <v/>
      </c>
      <c r="D181" s="22"/>
      <c r="E181" s="22"/>
      <c r="F181" s="23"/>
      <c r="G181" s="24" t="str">
        <f>IF($D181="","",IFERROR(INDEX(Einstellungen!$B$4:$B$40,MATCH($D181,Einstellungen!$A$4:$A$40,0)),"?"))</f>
        <v/>
      </c>
      <c r="H181" s="22"/>
      <c r="I181" s="25" t="str">
        <f t="shared" si="8"/>
        <v/>
      </c>
    </row>
    <row r="182" spans="1:9" ht="15" customHeight="1" x14ac:dyDescent="0.25">
      <c r="A182" s="26"/>
      <c r="B182" s="17" t="str">
        <f t="shared" si="6"/>
        <v/>
      </c>
      <c r="C182" s="17" t="str">
        <f t="shared" si="7"/>
        <v/>
      </c>
      <c r="D182" s="27"/>
      <c r="E182" s="27"/>
      <c r="F182" s="28"/>
      <c r="G182" s="14" t="str">
        <f>IF($D182="","",IFERROR(INDEX(Einstellungen!$B$4:$B$40,MATCH($D182,Einstellungen!$A$4:$A$40,0)),"?"))</f>
        <v/>
      </c>
      <c r="H182" s="27"/>
      <c r="I182" s="11" t="str">
        <f t="shared" si="8"/>
        <v/>
      </c>
    </row>
    <row r="183" spans="1:9" ht="15" customHeight="1" x14ac:dyDescent="0.25">
      <c r="A183" s="20"/>
      <c r="B183" s="21" t="str">
        <f t="shared" si="6"/>
        <v/>
      </c>
      <c r="C183" s="21" t="str">
        <f t="shared" si="7"/>
        <v/>
      </c>
      <c r="D183" s="22"/>
      <c r="E183" s="22"/>
      <c r="F183" s="23"/>
      <c r="G183" s="24" t="str">
        <f>IF($D183="","",IFERROR(INDEX(Einstellungen!$B$4:$B$40,MATCH($D183,Einstellungen!$A$4:$A$40,0)),"?"))</f>
        <v/>
      </c>
      <c r="H183" s="22"/>
      <c r="I183" s="25" t="str">
        <f t="shared" si="8"/>
        <v/>
      </c>
    </row>
    <row r="184" spans="1:9" ht="15" customHeight="1" x14ac:dyDescent="0.25">
      <c r="A184" s="26"/>
      <c r="B184" s="17" t="str">
        <f t="shared" si="6"/>
        <v/>
      </c>
      <c r="C184" s="17" t="str">
        <f t="shared" si="7"/>
        <v/>
      </c>
      <c r="D184" s="27"/>
      <c r="E184" s="27"/>
      <c r="F184" s="28"/>
      <c r="G184" s="14" t="str">
        <f>IF($D184="","",IFERROR(INDEX(Einstellungen!$B$4:$B$40,MATCH($D184,Einstellungen!$A$4:$A$40,0)),"?"))</f>
        <v/>
      </c>
      <c r="H184" s="27"/>
      <c r="I184" s="11" t="str">
        <f t="shared" si="8"/>
        <v/>
      </c>
    </row>
    <row r="185" spans="1:9" ht="15" customHeight="1" x14ac:dyDescent="0.25">
      <c r="A185" s="20"/>
      <c r="B185" s="21" t="str">
        <f t="shared" si="6"/>
        <v/>
      </c>
      <c r="C185" s="21" t="str">
        <f t="shared" si="7"/>
        <v/>
      </c>
      <c r="D185" s="22"/>
      <c r="E185" s="22"/>
      <c r="F185" s="23"/>
      <c r="G185" s="24" t="str">
        <f>IF($D185="","",IFERROR(INDEX(Einstellungen!$B$4:$B$40,MATCH($D185,Einstellungen!$A$4:$A$40,0)),"?"))</f>
        <v/>
      </c>
      <c r="H185" s="22"/>
      <c r="I185" s="25" t="str">
        <f t="shared" si="8"/>
        <v/>
      </c>
    </row>
    <row r="186" spans="1:9" ht="15" customHeight="1" x14ac:dyDescent="0.25">
      <c r="A186" s="26"/>
      <c r="B186" s="17" t="str">
        <f t="shared" si="6"/>
        <v/>
      </c>
      <c r="C186" s="17" t="str">
        <f t="shared" si="7"/>
        <v/>
      </c>
      <c r="D186" s="27"/>
      <c r="E186" s="27"/>
      <c r="F186" s="28"/>
      <c r="G186" s="14" t="str">
        <f>IF($D186="","",IFERROR(INDEX(Einstellungen!$B$4:$B$40,MATCH($D186,Einstellungen!$A$4:$A$40,0)),"?"))</f>
        <v/>
      </c>
      <c r="H186" s="27"/>
      <c r="I186" s="11" t="str">
        <f t="shared" si="8"/>
        <v/>
      </c>
    </row>
    <row r="187" spans="1:9" ht="15" customHeight="1" x14ac:dyDescent="0.25">
      <c r="A187" s="20"/>
      <c r="B187" s="21" t="str">
        <f t="shared" si="6"/>
        <v/>
      </c>
      <c r="C187" s="21" t="str">
        <f t="shared" si="7"/>
        <v/>
      </c>
      <c r="D187" s="22"/>
      <c r="E187" s="22"/>
      <c r="F187" s="23"/>
      <c r="G187" s="24" t="str">
        <f>IF($D187="","",IFERROR(INDEX(Einstellungen!$B$4:$B$40,MATCH($D187,Einstellungen!$A$4:$A$40,0)),"?"))</f>
        <v/>
      </c>
      <c r="H187" s="22"/>
      <c r="I187" s="25" t="str">
        <f t="shared" si="8"/>
        <v/>
      </c>
    </row>
    <row r="188" spans="1:9" ht="15" customHeight="1" x14ac:dyDescent="0.25">
      <c r="A188" s="26"/>
      <c r="B188" s="17" t="str">
        <f t="shared" si="6"/>
        <v/>
      </c>
      <c r="C188" s="17" t="str">
        <f t="shared" si="7"/>
        <v/>
      </c>
      <c r="D188" s="27"/>
      <c r="E188" s="27"/>
      <c r="F188" s="28"/>
      <c r="G188" s="14" t="str">
        <f>IF($D188="","",IFERROR(INDEX(Einstellungen!$B$4:$B$40,MATCH($D188,Einstellungen!$A$4:$A$40,0)),"?"))</f>
        <v/>
      </c>
      <c r="H188" s="27"/>
      <c r="I188" s="11" t="str">
        <f t="shared" si="8"/>
        <v/>
      </c>
    </row>
    <row r="189" spans="1:9" ht="15" customHeight="1" x14ac:dyDescent="0.25">
      <c r="A189" s="20"/>
      <c r="B189" s="21" t="str">
        <f t="shared" si="6"/>
        <v/>
      </c>
      <c r="C189" s="21" t="str">
        <f t="shared" si="7"/>
        <v/>
      </c>
      <c r="D189" s="22"/>
      <c r="E189" s="22"/>
      <c r="F189" s="23"/>
      <c r="G189" s="24" t="str">
        <f>IF($D189="","",IFERROR(INDEX(Einstellungen!$B$4:$B$40,MATCH($D189,Einstellungen!$A$4:$A$40,0)),"?"))</f>
        <v/>
      </c>
      <c r="H189" s="22"/>
      <c r="I189" s="25" t="str">
        <f t="shared" si="8"/>
        <v/>
      </c>
    </row>
    <row r="190" spans="1:9" ht="15" customHeight="1" x14ac:dyDescent="0.25">
      <c r="A190" s="26"/>
      <c r="B190" s="17" t="str">
        <f t="shared" si="6"/>
        <v/>
      </c>
      <c r="C190" s="17" t="str">
        <f t="shared" si="7"/>
        <v/>
      </c>
      <c r="D190" s="27"/>
      <c r="E190" s="27"/>
      <c r="F190" s="28"/>
      <c r="G190" s="14" t="str">
        <f>IF($D190="","",IFERROR(INDEX(Einstellungen!$B$4:$B$40,MATCH($D190,Einstellungen!$A$4:$A$40,0)),"?"))</f>
        <v/>
      </c>
      <c r="H190" s="27"/>
      <c r="I190" s="11" t="str">
        <f t="shared" si="8"/>
        <v/>
      </c>
    </row>
    <row r="191" spans="1:9" ht="15" customHeight="1" x14ac:dyDescent="0.25">
      <c r="A191" s="20"/>
      <c r="B191" s="21" t="str">
        <f t="shared" si="6"/>
        <v/>
      </c>
      <c r="C191" s="21" t="str">
        <f t="shared" si="7"/>
        <v/>
      </c>
      <c r="D191" s="22"/>
      <c r="E191" s="22"/>
      <c r="F191" s="23"/>
      <c r="G191" s="24" t="str">
        <f>IF($D191="","",IFERROR(INDEX(Einstellungen!$B$4:$B$40,MATCH($D191,Einstellungen!$A$4:$A$40,0)),"?"))</f>
        <v/>
      </c>
      <c r="H191" s="22"/>
      <c r="I191" s="25" t="str">
        <f t="shared" si="8"/>
        <v/>
      </c>
    </row>
    <row r="192" spans="1:9" ht="15" customHeight="1" x14ac:dyDescent="0.25">
      <c r="A192" s="26"/>
      <c r="B192" s="17" t="str">
        <f t="shared" si="6"/>
        <v/>
      </c>
      <c r="C192" s="17" t="str">
        <f t="shared" si="7"/>
        <v/>
      </c>
      <c r="D192" s="27"/>
      <c r="E192" s="27"/>
      <c r="F192" s="28"/>
      <c r="G192" s="14" t="str">
        <f>IF($D192="","",IFERROR(INDEX(Einstellungen!$B$4:$B$40,MATCH($D192,Einstellungen!$A$4:$A$40,0)),"?"))</f>
        <v/>
      </c>
      <c r="H192" s="27"/>
      <c r="I192" s="11" t="str">
        <f t="shared" si="8"/>
        <v/>
      </c>
    </row>
    <row r="193" spans="1:9" ht="15" customHeight="1" x14ac:dyDescent="0.25">
      <c r="A193" s="20"/>
      <c r="B193" s="21" t="str">
        <f t="shared" si="6"/>
        <v/>
      </c>
      <c r="C193" s="21" t="str">
        <f t="shared" si="7"/>
        <v/>
      </c>
      <c r="D193" s="22"/>
      <c r="E193" s="22"/>
      <c r="F193" s="23"/>
      <c r="G193" s="24" t="str">
        <f>IF($D193="","",IFERROR(INDEX(Einstellungen!$B$4:$B$40,MATCH($D193,Einstellungen!$A$4:$A$40,0)),"?"))</f>
        <v/>
      </c>
      <c r="H193" s="22"/>
      <c r="I193" s="25" t="str">
        <f t="shared" si="8"/>
        <v/>
      </c>
    </row>
    <row r="194" spans="1:9" ht="15" customHeight="1" x14ac:dyDescent="0.25">
      <c r="A194" s="26"/>
      <c r="B194" s="17" t="str">
        <f t="shared" si="6"/>
        <v/>
      </c>
      <c r="C194" s="17" t="str">
        <f t="shared" si="7"/>
        <v/>
      </c>
      <c r="D194" s="27"/>
      <c r="E194" s="27"/>
      <c r="F194" s="28"/>
      <c r="G194" s="14" t="str">
        <f>IF($D194="","",IFERROR(INDEX(Einstellungen!$B$4:$B$40,MATCH($D194,Einstellungen!$A$4:$A$40,0)),"?"))</f>
        <v/>
      </c>
      <c r="H194" s="27"/>
      <c r="I194" s="11" t="str">
        <f t="shared" si="8"/>
        <v/>
      </c>
    </row>
    <row r="195" spans="1:9" ht="15" customHeight="1" x14ac:dyDescent="0.25">
      <c r="A195" s="20"/>
      <c r="B195" s="21" t="str">
        <f t="shared" si="6"/>
        <v/>
      </c>
      <c r="C195" s="21" t="str">
        <f t="shared" si="7"/>
        <v/>
      </c>
      <c r="D195" s="22"/>
      <c r="E195" s="22"/>
      <c r="F195" s="23"/>
      <c r="G195" s="24" t="str">
        <f>IF($D195="","",IFERROR(INDEX(Einstellungen!$B$4:$B$40,MATCH($D195,Einstellungen!$A$4:$A$40,0)),"?"))</f>
        <v/>
      </c>
      <c r="H195" s="22"/>
      <c r="I195" s="25" t="str">
        <f t="shared" si="8"/>
        <v/>
      </c>
    </row>
    <row r="196" spans="1:9" ht="15" customHeight="1" x14ac:dyDescent="0.25">
      <c r="A196" s="26"/>
      <c r="B196" s="17" t="str">
        <f t="shared" ref="B196:B259" si="9">IF($A196="","",YEAR($A196))</f>
        <v/>
      </c>
      <c r="C196" s="17" t="str">
        <f t="shared" ref="C196:C259" si="10">IF($A196="","",MONTH($A196))</f>
        <v/>
      </c>
      <c r="D196" s="27"/>
      <c r="E196" s="27"/>
      <c r="F196" s="28"/>
      <c r="G196" s="14" t="str">
        <f>IF($D196="","",IFERROR(INDEX(Einstellungen!$B$4:$B$40,MATCH($D196,Einstellungen!$A$4:$A$40,0)),"?"))</f>
        <v/>
      </c>
      <c r="H196" s="27"/>
      <c r="I196" s="11" t="str">
        <f t="shared" ref="I196:I259" si="11">IF($F196="","",IF($G196="Einnahme",$F196,-$F196))</f>
        <v/>
      </c>
    </row>
    <row r="197" spans="1:9" ht="15" customHeight="1" x14ac:dyDescent="0.25">
      <c r="A197" s="20"/>
      <c r="B197" s="21" t="str">
        <f t="shared" si="9"/>
        <v/>
      </c>
      <c r="C197" s="21" t="str">
        <f t="shared" si="10"/>
        <v/>
      </c>
      <c r="D197" s="22"/>
      <c r="E197" s="22"/>
      <c r="F197" s="23"/>
      <c r="G197" s="24" t="str">
        <f>IF($D197="","",IFERROR(INDEX(Einstellungen!$B$4:$B$40,MATCH($D197,Einstellungen!$A$4:$A$40,0)),"?"))</f>
        <v/>
      </c>
      <c r="H197" s="22"/>
      <c r="I197" s="25" t="str">
        <f t="shared" si="11"/>
        <v/>
      </c>
    </row>
    <row r="198" spans="1:9" ht="15" customHeight="1" x14ac:dyDescent="0.25">
      <c r="A198" s="26"/>
      <c r="B198" s="17" t="str">
        <f t="shared" si="9"/>
        <v/>
      </c>
      <c r="C198" s="17" t="str">
        <f t="shared" si="10"/>
        <v/>
      </c>
      <c r="D198" s="27"/>
      <c r="E198" s="27"/>
      <c r="F198" s="28"/>
      <c r="G198" s="14" t="str">
        <f>IF($D198="","",IFERROR(INDEX(Einstellungen!$B$4:$B$40,MATCH($D198,Einstellungen!$A$4:$A$40,0)),"?"))</f>
        <v/>
      </c>
      <c r="H198" s="27"/>
      <c r="I198" s="11" t="str">
        <f t="shared" si="11"/>
        <v/>
      </c>
    </row>
    <row r="199" spans="1:9" ht="15" customHeight="1" x14ac:dyDescent="0.25">
      <c r="A199" s="20"/>
      <c r="B199" s="21" t="str">
        <f t="shared" si="9"/>
        <v/>
      </c>
      <c r="C199" s="21" t="str">
        <f t="shared" si="10"/>
        <v/>
      </c>
      <c r="D199" s="22"/>
      <c r="E199" s="22"/>
      <c r="F199" s="23"/>
      <c r="G199" s="24" t="str">
        <f>IF($D199="","",IFERROR(INDEX(Einstellungen!$B$4:$B$40,MATCH($D199,Einstellungen!$A$4:$A$40,0)),"?"))</f>
        <v/>
      </c>
      <c r="H199" s="22"/>
      <c r="I199" s="25" t="str">
        <f t="shared" si="11"/>
        <v/>
      </c>
    </row>
    <row r="200" spans="1:9" ht="15" customHeight="1" x14ac:dyDescent="0.25">
      <c r="A200" s="26"/>
      <c r="B200" s="17" t="str">
        <f t="shared" si="9"/>
        <v/>
      </c>
      <c r="C200" s="17" t="str">
        <f t="shared" si="10"/>
        <v/>
      </c>
      <c r="D200" s="27"/>
      <c r="E200" s="27"/>
      <c r="F200" s="28"/>
      <c r="G200" s="14" t="str">
        <f>IF($D200="","",IFERROR(INDEX(Einstellungen!$B$4:$B$40,MATCH($D200,Einstellungen!$A$4:$A$40,0)),"?"))</f>
        <v/>
      </c>
      <c r="H200" s="27"/>
      <c r="I200" s="11" t="str">
        <f t="shared" si="11"/>
        <v/>
      </c>
    </row>
    <row r="201" spans="1:9" ht="15" customHeight="1" x14ac:dyDescent="0.25">
      <c r="A201" s="20"/>
      <c r="B201" s="21" t="str">
        <f t="shared" si="9"/>
        <v/>
      </c>
      <c r="C201" s="21" t="str">
        <f t="shared" si="10"/>
        <v/>
      </c>
      <c r="D201" s="22"/>
      <c r="E201" s="22"/>
      <c r="F201" s="23"/>
      <c r="G201" s="24" t="str">
        <f>IF($D201="","",IFERROR(INDEX(Einstellungen!$B$4:$B$40,MATCH($D201,Einstellungen!$A$4:$A$40,0)),"?"))</f>
        <v/>
      </c>
      <c r="H201" s="22"/>
      <c r="I201" s="25" t="str">
        <f t="shared" si="11"/>
        <v/>
      </c>
    </row>
    <row r="202" spans="1:9" ht="15" customHeight="1" x14ac:dyDescent="0.25">
      <c r="A202" s="26"/>
      <c r="B202" s="17" t="str">
        <f t="shared" si="9"/>
        <v/>
      </c>
      <c r="C202" s="17" t="str">
        <f t="shared" si="10"/>
        <v/>
      </c>
      <c r="D202" s="27"/>
      <c r="E202" s="27"/>
      <c r="F202" s="28"/>
      <c r="G202" s="14" t="str">
        <f>IF($D202="","",IFERROR(INDEX(Einstellungen!$B$4:$B$40,MATCH($D202,Einstellungen!$A$4:$A$40,0)),"?"))</f>
        <v/>
      </c>
      <c r="H202" s="27"/>
      <c r="I202" s="11" t="str">
        <f t="shared" si="11"/>
        <v/>
      </c>
    </row>
    <row r="203" spans="1:9" ht="15" customHeight="1" x14ac:dyDescent="0.25">
      <c r="A203" s="20"/>
      <c r="B203" s="21" t="str">
        <f t="shared" si="9"/>
        <v/>
      </c>
      <c r="C203" s="21" t="str">
        <f t="shared" si="10"/>
        <v/>
      </c>
      <c r="D203" s="22"/>
      <c r="E203" s="22"/>
      <c r="F203" s="23"/>
      <c r="G203" s="24" t="str">
        <f>IF($D203="","",IFERROR(INDEX(Einstellungen!$B$4:$B$40,MATCH($D203,Einstellungen!$A$4:$A$40,0)),"?"))</f>
        <v/>
      </c>
      <c r="H203" s="22"/>
      <c r="I203" s="25" t="str">
        <f t="shared" si="11"/>
        <v/>
      </c>
    </row>
    <row r="204" spans="1:9" ht="15" customHeight="1" x14ac:dyDescent="0.25">
      <c r="A204" s="26"/>
      <c r="B204" s="17" t="str">
        <f t="shared" si="9"/>
        <v/>
      </c>
      <c r="C204" s="17" t="str">
        <f t="shared" si="10"/>
        <v/>
      </c>
      <c r="D204" s="27"/>
      <c r="E204" s="27"/>
      <c r="F204" s="28"/>
      <c r="G204" s="14" t="str">
        <f>IF($D204="","",IFERROR(INDEX(Einstellungen!$B$4:$B$40,MATCH($D204,Einstellungen!$A$4:$A$40,0)),"?"))</f>
        <v/>
      </c>
      <c r="H204" s="27"/>
      <c r="I204" s="11" t="str">
        <f t="shared" si="11"/>
        <v/>
      </c>
    </row>
    <row r="205" spans="1:9" ht="15" customHeight="1" x14ac:dyDescent="0.25">
      <c r="A205" s="20"/>
      <c r="B205" s="21" t="str">
        <f t="shared" si="9"/>
        <v/>
      </c>
      <c r="C205" s="21" t="str">
        <f t="shared" si="10"/>
        <v/>
      </c>
      <c r="D205" s="22"/>
      <c r="E205" s="22"/>
      <c r="F205" s="23"/>
      <c r="G205" s="24" t="str">
        <f>IF($D205="","",IFERROR(INDEX(Einstellungen!$B$4:$B$40,MATCH($D205,Einstellungen!$A$4:$A$40,0)),"?"))</f>
        <v/>
      </c>
      <c r="H205" s="22"/>
      <c r="I205" s="25" t="str">
        <f t="shared" si="11"/>
        <v/>
      </c>
    </row>
    <row r="206" spans="1:9" ht="15" customHeight="1" x14ac:dyDescent="0.25">
      <c r="A206" s="26"/>
      <c r="B206" s="17" t="str">
        <f t="shared" si="9"/>
        <v/>
      </c>
      <c r="C206" s="17" t="str">
        <f t="shared" si="10"/>
        <v/>
      </c>
      <c r="D206" s="27"/>
      <c r="E206" s="27"/>
      <c r="F206" s="28"/>
      <c r="G206" s="14" t="str">
        <f>IF($D206="","",IFERROR(INDEX(Einstellungen!$B$4:$B$40,MATCH($D206,Einstellungen!$A$4:$A$40,0)),"?"))</f>
        <v/>
      </c>
      <c r="H206" s="27"/>
      <c r="I206" s="11" t="str">
        <f t="shared" si="11"/>
        <v/>
      </c>
    </row>
    <row r="207" spans="1:9" ht="15" customHeight="1" x14ac:dyDescent="0.25">
      <c r="A207" s="20"/>
      <c r="B207" s="21" t="str">
        <f t="shared" si="9"/>
        <v/>
      </c>
      <c r="C207" s="21" t="str">
        <f t="shared" si="10"/>
        <v/>
      </c>
      <c r="D207" s="22"/>
      <c r="E207" s="22"/>
      <c r="F207" s="23"/>
      <c r="G207" s="24" t="str">
        <f>IF($D207="","",IFERROR(INDEX(Einstellungen!$B$4:$B$40,MATCH($D207,Einstellungen!$A$4:$A$40,0)),"?"))</f>
        <v/>
      </c>
      <c r="H207" s="22"/>
      <c r="I207" s="25" t="str">
        <f t="shared" si="11"/>
        <v/>
      </c>
    </row>
    <row r="208" spans="1:9" ht="15" customHeight="1" x14ac:dyDescent="0.25">
      <c r="A208" s="26"/>
      <c r="B208" s="17" t="str">
        <f t="shared" si="9"/>
        <v/>
      </c>
      <c r="C208" s="17" t="str">
        <f t="shared" si="10"/>
        <v/>
      </c>
      <c r="D208" s="27"/>
      <c r="E208" s="27"/>
      <c r="F208" s="28"/>
      <c r="G208" s="14" t="str">
        <f>IF($D208="","",IFERROR(INDEX(Einstellungen!$B$4:$B$40,MATCH($D208,Einstellungen!$A$4:$A$40,0)),"?"))</f>
        <v/>
      </c>
      <c r="H208" s="27"/>
      <c r="I208" s="11" t="str">
        <f t="shared" si="11"/>
        <v/>
      </c>
    </row>
    <row r="209" spans="1:9" ht="15" customHeight="1" x14ac:dyDescent="0.25">
      <c r="A209" s="20"/>
      <c r="B209" s="21" t="str">
        <f t="shared" si="9"/>
        <v/>
      </c>
      <c r="C209" s="21" t="str">
        <f t="shared" si="10"/>
        <v/>
      </c>
      <c r="D209" s="22"/>
      <c r="E209" s="22"/>
      <c r="F209" s="23"/>
      <c r="G209" s="24" t="str">
        <f>IF($D209="","",IFERROR(INDEX(Einstellungen!$B$4:$B$40,MATCH($D209,Einstellungen!$A$4:$A$40,0)),"?"))</f>
        <v/>
      </c>
      <c r="H209" s="22"/>
      <c r="I209" s="25" t="str">
        <f t="shared" si="11"/>
        <v/>
      </c>
    </row>
    <row r="210" spans="1:9" ht="15" customHeight="1" x14ac:dyDescent="0.25">
      <c r="A210" s="26"/>
      <c r="B210" s="17" t="str">
        <f t="shared" si="9"/>
        <v/>
      </c>
      <c r="C210" s="17" t="str">
        <f t="shared" si="10"/>
        <v/>
      </c>
      <c r="D210" s="27"/>
      <c r="E210" s="27"/>
      <c r="F210" s="28"/>
      <c r="G210" s="14" t="str">
        <f>IF($D210="","",IFERROR(INDEX(Einstellungen!$B$4:$B$40,MATCH($D210,Einstellungen!$A$4:$A$40,0)),"?"))</f>
        <v/>
      </c>
      <c r="H210" s="27"/>
      <c r="I210" s="11" t="str">
        <f t="shared" si="11"/>
        <v/>
      </c>
    </row>
    <row r="211" spans="1:9" ht="15" customHeight="1" x14ac:dyDescent="0.25">
      <c r="A211" s="20"/>
      <c r="B211" s="21" t="str">
        <f t="shared" si="9"/>
        <v/>
      </c>
      <c r="C211" s="21" t="str">
        <f t="shared" si="10"/>
        <v/>
      </c>
      <c r="D211" s="22"/>
      <c r="E211" s="22"/>
      <c r="F211" s="23"/>
      <c r="G211" s="24" t="str">
        <f>IF($D211="","",IFERROR(INDEX(Einstellungen!$B$4:$B$40,MATCH($D211,Einstellungen!$A$4:$A$40,0)),"?"))</f>
        <v/>
      </c>
      <c r="H211" s="22"/>
      <c r="I211" s="25" t="str">
        <f t="shared" si="11"/>
        <v/>
      </c>
    </row>
    <row r="212" spans="1:9" ht="15" customHeight="1" x14ac:dyDescent="0.25">
      <c r="A212" s="26"/>
      <c r="B212" s="17" t="str">
        <f t="shared" si="9"/>
        <v/>
      </c>
      <c r="C212" s="17" t="str">
        <f t="shared" si="10"/>
        <v/>
      </c>
      <c r="D212" s="27"/>
      <c r="E212" s="27"/>
      <c r="F212" s="28"/>
      <c r="G212" s="14" t="str">
        <f>IF($D212="","",IFERROR(INDEX(Einstellungen!$B$4:$B$40,MATCH($D212,Einstellungen!$A$4:$A$40,0)),"?"))</f>
        <v/>
      </c>
      <c r="H212" s="27"/>
      <c r="I212" s="11" t="str">
        <f t="shared" si="11"/>
        <v/>
      </c>
    </row>
    <row r="213" spans="1:9" ht="15" customHeight="1" x14ac:dyDescent="0.25">
      <c r="A213" s="20"/>
      <c r="B213" s="21" t="str">
        <f t="shared" si="9"/>
        <v/>
      </c>
      <c r="C213" s="21" t="str">
        <f t="shared" si="10"/>
        <v/>
      </c>
      <c r="D213" s="22"/>
      <c r="E213" s="22"/>
      <c r="F213" s="23"/>
      <c r="G213" s="24" t="str">
        <f>IF($D213="","",IFERROR(INDEX(Einstellungen!$B$4:$B$40,MATCH($D213,Einstellungen!$A$4:$A$40,0)),"?"))</f>
        <v/>
      </c>
      <c r="H213" s="22"/>
      <c r="I213" s="25" t="str">
        <f t="shared" si="11"/>
        <v/>
      </c>
    </row>
    <row r="214" spans="1:9" ht="15" customHeight="1" x14ac:dyDescent="0.25">
      <c r="A214" s="26"/>
      <c r="B214" s="17" t="str">
        <f t="shared" si="9"/>
        <v/>
      </c>
      <c r="C214" s="17" t="str">
        <f t="shared" si="10"/>
        <v/>
      </c>
      <c r="D214" s="27"/>
      <c r="E214" s="27"/>
      <c r="F214" s="28"/>
      <c r="G214" s="14" t="str">
        <f>IF($D214="","",IFERROR(INDEX(Einstellungen!$B$4:$B$40,MATCH($D214,Einstellungen!$A$4:$A$40,0)),"?"))</f>
        <v/>
      </c>
      <c r="H214" s="27"/>
      <c r="I214" s="11" t="str">
        <f t="shared" si="11"/>
        <v/>
      </c>
    </row>
    <row r="215" spans="1:9" ht="15" customHeight="1" x14ac:dyDescent="0.25">
      <c r="A215" s="20"/>
      <c r="B215" s="21" t="str">
        <f t="shared" si="9"/>
        <v/>
      </c>
      <c r="C215" s="21" t="str">
        <f t="shared" si="10"/>
        <v/>
      </c>
      <c r="D215" s="22"/>
      <c r="E215" s="22"/>
      <c r="F215" s="23"/>
      <c r="G215" s="24" t="str">
        <f>IF($D215="","",IFERROR(INDEX(Einstellungen!$B$4:$B$40,MATCH($D215,Einstellungen!$A$4:$A$40,0)),"?"))</f>
        <v/>
      </c>
      <c r="H215" s="22"/>
      <c r="I215" s="25" t="str">
        <f t="shared" si="11"/>
        <v/>
      </c>
    </row>
    <row r="216" spans="1:9" ht="15" customHeight="1" x14ac:dyDescent="0.25">
      <c r="A216" s="26"/>
      <c r="B216" s="17" t="str">
        <f t="shared" si="9"/>
        <v/>
      </c>
      <c r="C216" s="17" t="str">
        <f t="shared" si="10"/>
        <v/>
      </c>
      <c r="D216" s="27"/>
      <c r="E216" s="27"/>
      <c r="F216" s="28"/>
      <c r="G216" s="14" t="str">
        <f>IF($D216="","",IFERROR(INDEX(Einstellungen!$B$4:$B$40,MATCH($D216,Einstellungen!$A$4:$A$40,0)),"?"))</f>
        <v/>
      </c>
      <c r="H216" s="27"/>
      <c r="I216" s="11" t="str">
        <f t="shared" si="11"/>
        <v/>
      </c>
    </row>
    <row r="217" spans="1:9" ht="15" customHeight="1" x14ac:dyDescent="0.25">
      <c r="A217" s="20"/>
      <c r="B217" s="21" t="str">
        <f t="shared" si="9"/>
        <v/>
      </c>
      <c r="C217" s="21" t="str">
        <f t="shared" si="10"/>
        <v/>
      </c>
      <c r="D217" s="22"/>
      <c r="E217" s="22"/>
      <c r="F217" s="23"/>
      <c r="G217" s="24" t="str">
        <f>IF($D217="","",IFERROR(INDEX(Einstellungen!$B$4:$B$40,MATCH($D217,Einstellungen!$A$4:$A$40,0)),"?"))</f>
        <v/>
      </c>
      <c r="H217" s="22"/>
      <c r="I217" s="25" t="str">
        <f t="shared" si="11"/>
        <v/>
      </c>
    </row>
    <row r="218" spans="1:9" ht="15" customHeight="1" x14ac:dyDescent="0.25">
      <c r="A218" s="26"/>
      <c r="B218" s="17" t="str">
        <f t="shared" si="9"/>
        <v/>
      </c>
      <c r="C218" s="17" t="str">
        <f t="shared" si="10"/>
        <v/>
      </c>
      <c r="D218" s="27"/>
      <c r="E218" s="27"/>
      <c r="F218" s="28"/>
      <c r="G218" s="14" t="str">
        <f>IF($D218="","",IFERROR(INDEX(Einstellungen!$B$4:$B$40,MATCH($D218,Einstellungen!$A$4:$A$40,0)),"?"))</f>
        <v/>
      </c>
      <c r="H218" s="27"/>
      <c r="I218" s="11" t="str">
        <f t="shared" si="11"/>
        <v/>
      </c>
    </row>
    <row r="219" spans="1:9" ht="15" customHeight="1" x14ac:dyDescent="0.25">
      <c r="A219" s="20"/>
      <c r="B219" s="21" t="str">
        <f t="shared" si="9"/>
        <v/>
      </c>
      <c r="C219" s="21" t="str">
        <f t="shared" si="10"/>
        <v/>
      </c>
      <c r="D219" s="22"/>
      <c r="E219" s="22"/>
      <c r="F219" s="23"/>
      <c r="G219" s="24" t="str">
        <f>IF($D219="","",IFERROR(INDEX(Einstellungen!$B$4:$B$40,MATCH($D219,Einstellungen!$A$4:$A$40,0)),"?"))</f>
        <v/>
      </c>
      <c r="H219" s="22"/>
      <c r="I219" s="25" t="str">
        <f t="shared" si="11"/>
        <v/>
      </c>
    </row>
    <row r="220" spans="1:9" ht="15" customHeight="1" x14ac:dyDescent="0.25">
      <c r="A220" s="26"/>
      <c r="B220" s="17" t="str">
        <f t="shared" si="9"/>
        <v/>
      </c>
      <c r="C220" s="17" t="str">
        <f t="shared" si="10"/>
        <v/>
      </c>
      <c r="D220" s="27"/>
      <c r="E220" s="27"/>
      <c r="F220" s="28"/>
      <c r="G220" s="14" t="str">
        <f>IF($D220="","",IFERROR(INDEX(Einstellungen!$B$4:$B$40,MATCH($D220,Einstellungen!$A$4:$A$40,0)),"?"))</f>
        <v/>
      </c>
      <c r="H220" s="27"/>
      <c r="I220" s="11" t="str">
        <f t="shared" si="11"/>
        <v/>
      </c>
    </row>
    <row r="221" spans="1:9" ht="15" customHeight="1" x14ac:dyDescent="0.25">
      <c r="A221" s="20"/>
      <c r="B221" s="21" t="str">
        <f t="shared" si="9"/>
        <v/>
      </c>
      <c r="C221" s="21" t="str">
        <f t="shared" si="10"/>
        <v/>
      </c>
      <c r="D221" s="22"/>
      <c r="E221" s="22"/>
      <c r="F221" s="23"/>
      <c r="G221" s="24" t="str">
        <f>IF($D221="","",IFERROR(INDEX(Einstellungen!$B$4:$B$40,MATCH($D221,Einstellungen!$A$4:$A$40,0)),"?"))</f>
        <v/>
      </c>
      <c r="H221" s="22"/>
      <c r="I221" s="25" t="str">
        <f t="shared" si="11"/>
        <v/>
      </c>
    </row>
    <row r="222" spans="1:9" ht="15" customHeight="1" x14ac:dyDescent="0.25">
      <c r="A222" s="26"/>
      <c r="B222" s="17" t="str">
        <f t="shared" si="9"/>
        <v/>
      </c>
      <c r="C222" s="17" t="str">
        <f t="shared" si="10"/>
        <v/>
      </c>
      <c r="D222" s="27"/>
      <c r="E222" s="27"/>
      <c r="F222" s="28"/>
      <c r="G222" s="14" t="str">
        <f>IF($D222="","",IFERROR(INDEX(Einstellungen!$B$4:$B$40,MATCH($D222,Einstellungen!$A$4:$A$40,0)),"?"))</f>
        <v/>
      </c>
      <c r="H222" s="27"/>
      <c r="I222" s="11" t="str">
        <f t="shared" si="11"/>
        <v/>
      </c>
    </row>
    <row r="223" spans="1:9" ht="15" customHeight="1" x14ac:dyDescent="0.25">
      <c r="A223" s="20"/>
      <c r="B223" s="21" t="str">
        <f t="shared" si="9"/>
        <v/>
      </c>
      <c r="C223" s="21" t="str">
        <f t="shared" si="10"/>
        <v/>
      </c>
      <c r="D223" s="22"/>
      <c r="E223" s="22"/>
      <c r="F223" s="23"/>
      <c r="G223" s="24" t="str">
        <f>IF($D223="","",IFERROR(INDEX(Einstellungen!$B$4:$B$40,MATCH($D223,Einstellungen!$A$4:$A$40,0)),"?"))</f>
        <v/>
      </c>
      <c r="H223" s="22"/>
      <c r="I223" s="25" t="str">
        <f t="shared" si="11"/>
        <v/>
      </c>
    </row>
    <row r="224" spans="1:9" ht="15" customHeight="1" x14ac:dyDescent="0.25">
      <c r="A224" s="26"/>
      <c r="B224" s="17" t="str">
        <f t="shared" si="9"/>
        <v/>
      </c>
      <c r="C224" s="17" t="str">
        <f t="shared" si="10"/>
        <v/>
      </c>
      <c r="D224" s="27"/>
      <c r="E224" s="27"/>
      <c r="F224" s="28"/>
      <c r="G224" s="14" t="str">
        <f>IF($D224="","",IFERROR(INDEX(Einstellungen!$B$4:$B$40,MATCH($D224,Einstellungen!$A$4:$A$40,0)),"?"))</f>
        <v/>
      </c>
      <c r="H224" s="27"/>
      <c r="I224" s="11" t="str">
        <f t="shared" si="11"/>
        <v/>
      </c>
    </row>
    <row r="225" spans="1:9" ht="15" customHeight="1" x14ac:dyDescent="0.25">
      <c r="A225" s="20"/>
      <c r="B225" s="21" t="str">
        <f t="shared" si="9"/>
        <v/>
      </c>
      <c r="C225" s="21" t="str">
        <f t="shared" si="10"/>
        <v/>
      </c>
      <c r="D225" s="22"/>
      <c r="E225" s="22"/>
      <c r="F225" s="23"/>
      <c r="G225" s="24" t="str">
        <f>IF($D225="","",IFERROR(INDEX(Einstellungen!$B$4:$B$40,MATCH($D225,Einstellungen!$A$4:$A$40,0)),"?"))</f>
        <v/>
      </c>
      <c r="H225" s="22"/>
      <c r="I225" s="25" t="str">
        <f t="shared" si="11"/>
        <v/>
      </c>
    </row>
    <row r="226" spans="1:9" ht="15" customHeight="1" x14ac:dyDescent="0.25">
      <c r="A226" s="26"/>
      <c r="B226" s="17" t="str">
        <f t="shared" si="9"/>
        <v/>
      </c>
      <c r="C226" s="17" t="str">
        <f t="shared" si="10"/>
        <v/>
      </c>
      <c r="D226" s="27"/>
      <c r="E226" s="27"/>
      <c r="F226" s="28"/>
      <c r="G226" s="14" t="str">
        <f>IF($D226="","",IFERROR(INDEX(Einstellungen!$B$4:$B$40,MATCH($D226,Einstellungen!$A$4:$A$40,0)),"?"))</f>
        <v/>
      </c>
      <c r="H226" s="27"/>
      <c r="I226" s="11" t="str">
        <f t="shared" si="11"/>
        <v/>
      </c>
    </row>
    <row r="227" spans="1:9" ht="15" customHeight="1" x14ac:dyDescent="0.25">
      <c r="A227" s="20"/>
      <c r="B227" s="21" t="str">
        <f t="shared" si="9"/>
        <v/>
      </c>
      <c r="C227" s="21" t="str">
        <f t="shared" si="10"/>
        <v/>
      </c>
      <c r="D227" s="22"/>
      <c r="E227" s="22"/>
      <c r="F227" s="23"/>
      <c r="G227" s="24" t="str">
        <f>IF($D227="","",IFERROR(INDEX(Einstellungen!$B$4:$B$40,MATCH($D227,Einstellungen!$A$4:$A$40,0)),"?"))</f>
        <v/>
      </c>
      <c r="H227" s="22"/>
      <c r="I227" s="25" t="str">
        <f t="shared" si="11"/>
        <v/>
      </c>
    </row>
    <row r="228" spans="1:9" ht="15" customHeight="1" x14ac:dyDescent="0.25">
      <c r="A228" s="26"/>
      <c r="B228" s="17" t="str">
        <f t="shared" si="9"/>
        <v/>
      </c>
      <c r="C228" s="17" t="str">
        <f t="shared" si="10"/>
        <v/>
      </c>
      <c r="D228" s="27"/>
      <c r="E228" s="27"/>
      <c r="F228" s="28"/>
      <c r="G228" s="14" t="str">
        <f>IF($D228="","",IFERROR(INDEX(Einstellungen!$B$4:$B$40,MATCH($D228,Einstellungen!$A$4:$A$40,0)),"?"))</f>
        <v/>
      </c>
      <c r="H228" s="27"/>
      <c r="I228" s="11" t="str">
        <f t="shared" si="11"/>
        <v/>
      </c>
    </row>
    <row r="229" spans="1:9" ht="15" customHeight="1" x14ac:dyDescent="0.25">
      <c r="A229" s="20"/>
      <c r="B229" s="21" t="str">
        <f t="shared" si="9"/>
        <v/>
      </c>
      <c r="C229" s="21" t="str">
        <f t="shared" si="10"/>
        <v/>
      </c>
      <c r="D229" s="22"/>
      <c r="E229" s="22"/>
      <c r="F229" s="23"/>
      <c r="G229" s="24" t="str">
        <f>IF($D229="","",IFERROR(INDEX(Einstellungen!$B$4:$B$40,MATCH($D229,Einstellungen!$A$4:$A$40,0)),"?"))</f>
        <v/>
      </c>
      <c r="H229" s="22"/>
      <c r="I229" s="25" t="str">
        <f t="shared" si="11"/>
        <v/>
      </c>
    </row>
    <row r="230" spans="1:9" ht="15" customHeight="1" x14ac:dyDescent="0.25">
      <c r="A230" s="26"/>
      <c r="B230" s="17" t="str">
        <f t="shared" si="9"/>
        <v/>
      </c>
      <c r="C230" s="17" t="str">
        <f t="shared" si="10"/>
        <v/>
      </c>
      <c r="D230" s="27"/>
      <c r="E230" s="27"/>
      <c r="F230" s="28"/>
      <c r="G230" s="14" t="str">
        <f>IF($D230="","",IFERROR(INDEX(Einstellungen!$B$4:$B$40,MATCH($D230,Einstellungen!$A$4:$A$40,0)),"?"))</f>
        <v/>
      </c>
      <c r="H230" s="27"/>
      <c r="I230" s="11" t="str">
        <f t="shared" si="11"/>
        <v/>
      </c>
    </row>
    <row r="231" spans="1:9" ht="15" customHeight="1" x14ac:dyDescent="0.25">
      <c r="A231" s="20"/>
      <c r="B231" s="21" t="str">
        <f t="shared" si="9"/>
        <v/>
      </c>
      <c r="C231" s="21" t="str">
        <f t="shared" si="10"/>
        <v/>
      </c>
      <c r="D231" s="22"/>
      <c r="E231" s="22"/>
      <c r="F231" s="23"/>
      <c r="G231" s="24" t="str">
        <f>IF($D231="","",IFERROR(INDEX(Einstellungen!$B$4:$B$40,MATCH($D231,Einstellungen!$A$4:$A$40,0)),"?"))</f>
        <v/>
      </c>
      <c r="H231" s="22"/>
      <c r="I231" s="25" t="str">
        <f t="shared" si="11"/>
        <v/>
      </c>
    </row>
    <row r="232" spans="1:9" ht="15" customHeight="1" x14ac:dyDescent="0.25">
      <c r="A232" s="26"/>
      <c r="B232" s="17" t="str">
        <f t="shared" si="9"/>
        <v/>
      </c>
      <c r="C232" s="17" t="str">
        <f t="shared" si="10"/>
        <v/>
      </c>
      <c r="D232" s="27"/>
      <c r="E232" s="27"/>
      <c r="F232" s="28"/>
      <c r="G232" s="14" t="str">
        <f>IF($D232="","",IFERROR(INDEX(Einstellungen!$B$4:$B$40,MATCH($D232,Einstellungen!$A$4:$A$40,0)),"?"))</f>
        <v/>
      </c>
      <c r="H232" s="27"/>
      <c r="I232" s="11" t="str">
        <f t="shared" si="11"/>
        <v/>
      </c>
    </row>
    <row r="233" spans="1:9" ht="15" customHeight="1" x14ac:dyDescent="0.25">
      <c r="A233" s="20"/>
      <c r="B233" s="21" t="str">
        <f t="shared" si="9"/>
        <v/>
      </c>
      <c r="C233" s="21" t="str">
        <f t="shared" si="10"/>
        <v/>
      </c>
      <c r="D233" s="22"/>
      <c r="E233" s="22"/>
      <c r="F233" s="23"/>
      <c r="G233" s="24" t="str">
        <f>IF($D233="","",IFERROR(INDEX(Einstellungen!$B$4:$B$40,MATCH($D233,Einstellungen!$A$4:$A$40,0)),"?"))</f>
        <v/>
      </c>
      <c r="H233" s="22"/>
      <c r="I233" s="25" t="str">
        <f t="shared" si="11"/>
        <v/>
      </c>
    </row>
    <row r="234" spans="1:9" ht="15" customHeight="1" x14ac:dyDescent="0.25">
      <c r="A234" s="26"/>
      <c r="B234" s="17" t="str">
        <f t="shared" si="9"/>
        <v/>
      </c>
      <c r="C234" s="17" t="str">
        <f t="shared" si="10"/>
        <v/>
      </c>
      <c r="D234" s="27"/>
      <c r="E234" s="27"/>
      <c r="F234" s="28"/>
      <c r="G234" s="14" t="str">
        <f>IF($D234="","",IFERROR(INDEX(Einstellungen!$B$4:$B$40,MATCH($D234,Einstellungen!$A$4:$A$40,0)),"?"))</f>
        <v/>
      </c>
      <c r="H234" s="27"/>
      <c r="I234" s="11" t="str">
        <f t="shared" si="11"/>
        <v/>
      </c>
    </row>
    <row r="235" spans="1:9" ht="15" customHeight="1" x14ac:dyDescent="0.25">
      <c r="A235" s="20"/>
      <c r="B235" s="21" t="str">
        <f t="shared" si="9"/>
        <v/>
      </c>
      <c r="C235" s="21" t="str">
        <f t="shared" si="10"/>
        <v/>
      </c>
      <c r="D235" s="22"/>
      <c r="E235" s="22"/>
      <c r="F235" s="23"/>
      <c r="G235" s="24" t="str">
        <f>IF($D235="","",IFERROR(INDEX(Einstellungen!$B$4:$B$40,MATCH($D235,Einstellungen!$A$4:$A$40,0)),"?"))</f>
        <v/>
      </c>
      <c r="H235" s="22"/>
      <c r="I235" s="25" t="str">
        <f t="shared" si="11"/>
        <v/>
      </c>
    </row>
    <row r="236" spans="1:9" ht="15" customHeight="1" x14ac:dyDescent="0.25">
      <c r="A236" s="26"/>
      <c r="B236" s="17" t="str">
        <f t="shared" si="9"/>
        <v/>
      </c>
      <c r="C236" s="17" t="str">
        <f t="shared" si="10"/>
        <v/>
      </c>
      <c r="D236" s="27"/>
      <c r="E236" s="27"/>
      <c r="F236" s="28"/>
      <c r="G236" s="14" t="str">
        <f>IF($D236="","",IFERROR(INDEX(Einstellungen!$B$4:$B$40,MATCH($D236,Einstellungen!$A$4:$A$40,0)),"?"))</f>
        <v/>
      </c>
      <c r="H236" s="27"/>
      <c r="I236" s="11" t="str">
        <f t="shared" si="11"/>
        <v/>
      </c>
    </row>
    <row r="237" spans="1:9" ht="15" customHeight="1" x14ac:dyDescent="0.25">
      <c r="A237" s="20"/>
      <c r="B237" s="21" t="str">
        <f t="shared" si="9"/>
        <v/>
      </c>
      <c r="C237" s="21" t="str">
        <f t="shared" si="10"/>
        <v/>
      </c>
      <c r="D237" s="22"/>
      <c r="E237" s="22"/>
      <c r="F237" s="23"/>
      <c r="G237" s="24" t="str">
        <f>IF($D237="","",IFERROR(INDEX(Einstellungen!$B$4:$B$40,MATCH($D237,Einstellungen!$A$4:$A$40,0)),"?"))</f>
        <v/>
      </c>
      <c r="H237" s="22"/>
      <c r="I237" s="25" t="str">
        <f t="shared" si="11"/>
        <v/>
      </c>
    </row>
    <row r="238" spans="1:9" ht="15" customHeight="1" x14ac:dyDescent="0.25">
      <c r="A238" s="26"/>
      <c r="B238" s="17" t="str">
        <f t="shared" si="9"/>
        <v/>
      </c>
      <c r="C238" s="17" t="str">
        <f t="shared" si="10"/>
        <v/>
      </c>
      <c r="D238" s="27"/>
      <c r="E238" s="27"/>
      <c r="F238" s="28"/>
      <c r="G238" s="14" t="str">
        <f>IF($D238="","",IFERROR(INDEX(Einstellungen!$B$4:$B$40,MATCH($D238,Einstellungen!$A$4:$A$40,0)),"?"))</f>
        <v/>
      </c>
      <c r="H238" s="27"/>
      <c r="I238" s="11" t="str">
        <f t="shared" si="11"/>
        <v/>
      </c>
    </row>
    <row r="239" spans="1:9" ht="15" customHeight="1" x14ac:dyDescent="0.25">
      <c r="A239" s="20"/>
      <c r="B239" s="21" t="str">
        <f t="shared" si="9"/>
        <v/>
      </c>
      <c r="C239" s="21" t="str">
        <f t="shared" si="10"/>
        <v/>
      </c>
      <c r="D239" s="22"/>
      <c r="E239" s="22"/>
      <c r="F239" s="23"/>
      <c r="G239" s="24" t="str">
        <f>IF($D239="","",IFERROR(INDEX(Einstellungen!$B$4:$B$40,MATCH($D239,Einstellungen!$A$4:$A$40,0)),"?"))</f>
        <v/>
      </c>
      <c r="H239" s="22"/>
      <c r="I239" s="25" t="str">
        <f t="shared" si="11"/>
        <v/>
      </c>
    </row>
    <row r="240" spans="1:9" ht="15" customHeight="1" x14ac:dyDescent="0.25">
      <c r="A240" s="26"/>
      <c r="B240" s="17" t="str">
        <f t="shared" si="9"/>
        <v/>
      </c>
      <c r="C240" s="17" t="str">
        <f t="shared" si="10"/>
        <v/>
      </c>
      <c r="D240" s="27"/>
      <c r="E240" s="27"/>
      <c r="F240" s="28"/>
      <c r="G240" s="14" t="str">
        <f>IF($D240="","",IFERROR(INDEX(Einstellungen!$B$4:$B$40,MATCH($D240,Einstellungen!$A$4:$A$40,0)),"?"))</f>
        <v/>
      </c>
      <c r="H240" s="27"/>
      <c r="I240" s="11" t="str">
        <f t="shared" si="11"/>
        <v/>
      </c>
    </row>
    <row r="241" spans="1:9" ht="15" customHeight="1" x14ac:dyDescent="0.25">
      <c r="A241" s="20"/>
      <c r="B241" s="21" t="str">
        <f t="shared" si="9"/>
        <v/>
      </c>
      <c r="C241" s="21" t="str">
        <f t="shared" si="10"/>
        <v/>
      </c>
      <c r="D241" s="22"/>
      <c r="E241" s="22"/>
      <c r="F241" s="23"/>
      <c r="G241" s="24" t="str">
        <f>IF($D241="","",IFERROR(INDEX(Einstellungen!$B$4:$B$40,MATCH($D241,Einstellungen!$A$4:$A$40,0)),"?"))</f>
        <v/>
      </c>
      <c r="H241" s="22"/>
      <c r="I241" s="25" t="str">
        <f t="shared" si="11"/>
        <v/>
      </c>
    </row>
    <row r="242" spans="1:9" ht="15" customHeight="1" x14ac:dyDescent="0.25">
      <c r="A242" s="26"/>
      <c r="B242" s="17" t="str">
        <f t="shared" si="9"/>
        <v/>
      </c>
      <c r="C242" s="17" t="str">
        <f t="shared" si="10"/>
        <v/>
      </c>
      <c r="D242" s="27"/>
      <c r="E242" s="27"/>
      <c r="F242" s="28"/>
      <c r="G242" s="14" t="str">
        <f>IF($D242="","",IFERROR(INDEX(Einstellungen!$B$4:$B$40,MATCH($D242,Einstellungen!$A$4:$A$40,0)),"?"))</f>
        <v/>
      </c>
      <c r="H242" s="27"/>
      <c r="I242" s="11" t="str">
        <f t="shared" si="11"/>
        <v/>
      </c>
    </row>
    <row r="243" spans="1:9" ht="15" customHeight="1" x14ac:dyDescent="0.25">
      <c r="A243" s="20"/>
      <c r="B243" s="21" t="str">
        <f t="shared" si="9"/>
        <v/>
      </c>
      <c r="C243" s="21" t="str">
        <f t="shared" si="10"/>
        <v/>
      </c>
      <c r="D243" s="22"/>
      <c r="E243" s="22"/>
      <c r="F243" s="23"/>
      <c r="G243" s="24" t="str">
        <f>IF($D243="","",IFERROR(INDEX(Einstellungen!$B$4:$B$40,MATCH($D243,Einstellungen!$A$4:$A$40,0)),"?"))</f>
        <v/>
      </c>
      <c r="H243" s="22"/>
      <c r="I243" s="25" t="str">
        <f t="shared" si="11"/>
        <v/>
      </c>
    </row>
    <row r="244" spans="1:9" ht="15" customHeight="1" x14ac:dyDescent="0.25">
      <c r="A244" s="26"/>
      <c r="B244" s="17" t="str">
        <f t="shared" si="9"/>
        <v/>
      </c>
      <c r="C244" s="17" t="str">
        <f t="shared" si="10"/>
        <v/>
      </c>
      <c r="D244" s="27"/>
      <c r="E244" s="27"/>
      <c r="F244" s="28"/>
      <c r="G244" s="14" t="str">
        <f>IF($D244="","",IFERROR(INDEX(Einstellungen!$B$4:$B$40,MATCH($D244,Einstellungen!$A$4:$A$40,0)),"?"))</f>
        <v/>
      </c>
      <c r="H244" s="27"/>
      <c r="I244" s="11" t="str">
        <f t="shared" si="11"/>
        <v/>
      </c>
    </row>
    <row r="245" spans="1:9" ht="15" customHeight="1" x14ac:dyDescent="0.25">
      <c r="A245" s="20"/>
      <c r="B245" s="21" t="str">
        <f t="shared" si="9"/>
        <v/>
      </c>
      <c r="C245" s="21" t="str">
        <f t="shared" si="10"/>
        <v/>
      </c>
      <c r="D245" s="22"/>
      <c r="E245" s="22"/>
      <c r="F245" s="23"/>
      <c r="G245" s="24" t="str">
        <f>IF($D245="","",IFERROR(INDEX(Einstellungen!$B$4:$B$40,MATCH($D245,Einstellungen!$A$4:$A$40,0)),"?"))</f>
        <v/>
      </c>
      <c r="H245" s="22"/>
      <c r="I245" s="25" t="str">
        <f t="shared" si="11"/>
        <v/>
      </c>
    </row>
    <row r="246" spans="1:9" ht="15" customHeight="1" x14ac:dyDescent="0.25">
      <c r="A246" s="26"/>
      <c r="B246" s="17" t="str">
        <f t="shared" si="9"/>
        <v/>
      </c>
      <c r="C246" s="17" t="str">
        <f t="shared" si="10"/>
        <v/>
      </c>
      <c r="D246" s="27"/>
      <c r="E246" s="27"/>
      <c r="F246" s="28"/>
      <c r="G246" s="14" t="str">
        <f>IF($D246="","",IFERROR(INDEX(Einstellungen!$B$4:$B$40,MATCH($D246,Einstellungen!$A$4:$A$40,0)),"?"))</f>
        <v/>
      </c>
      <c r="H246" s="27"/>
      <c r="I246" s="11" t="str">
        <f t="shared" si="11"/>
        <v/>
      </c>
    </row>
    <row r="247" spans="1:9" ht="15" customHeight="1" x14ac:dyDescent="0.25">
      <c r="A247" s="20"/>
      <c r="B247" s="21" t="str">
        <f t="shared" si="9"/>
        <v/>
      </c>
      <c r="C247" s="21" t="str">
        <f t="shared" si="10"/>
        <v/>
      </c>
      <c r="D247" s="22"/>
      <c r="E247" s="22"/>
      <c r="F247" s="23"/>
      <c r="G247" s="24" t="str">
        <f>IF($D247="","",IFERROR(INDEX(Einstellungen!$B$4:$B$40,MATCH($D247,Einstellungen!$A$4:$A$40,0)),"?"))</f>
        <v/>
      </c>
      <c r="H247" s="22"/>
      <c r="I247" s="25" t="str">
        <f t="shared" si="11"/>
        <v/>
      </c>
    </row>
    <row r="248" spans="1:9" ht="15" customHeight="1" x14ac:dyDescent="0.25">
      <c r="A248" s="26"/>
      <c r="B248" s="17" t="str">
        <f t="shared" si="9"/>
        <v/>
      </c>
      <c r="C248" s="17" t="str">
        <f t="shared" si="10"/>
        <v/>
      </c>
      <c r="D248" s="27"/>
      <c r="E248" s="27"/>
      <c r="F248" s="28"/>
      <c r="G248" s="14" t="str">
        <f>IF($D248="","",IFERROR(INDEX(Einstellungen!$B$4:$B$40,MATCH($D248,Einstellungen!$A$4:$A$40,0)),"?"))</f>
        <v/>
      </c>
      <c r="H248" s="27"/>
      <c r="I248" s="11" t="str">
        <f t="shared" si="11"/>
        <v/>
      </c>
    </row>
    <row r="249" spans="1:9" ht="15" customHeight="1" x14ac:dyDescent="0.25">
      <c r="A249" s="20"/>
      <c r="B249" s="21" t="str">
        <f t="shared" si="9"/>
        <v/>
      </c>
      <c r="C249" s="21" t="str">
        <f t="shared" si="10"/>
        <v/>
      </c>
      <c r="D249" s="22"/>
      <c r="E249" s="22"/>
      <c r="F249" s="23"/>
      <c r="G249" s="24" t="str">
        <f>IF($D249="","",IFERROR(INDEX(Einstellungen!$B$4:$B$40,MATCH($D249,Einstellungen!$A$4:$A$40,0)),"?"))</f>
        <v/>
      </c>
      <c r="H249" s="22"/>
      <c r="I249" s="25" t="str">
        <f t="shared" si="11"/>
        <v/>
      </c>
    </row>
    <row r="250" spans="1:9" ht="15" customHeight="1" x14ac:dyDescent="0.25">
      <c r="A250" s="26"/>
      <c r="B250" s="17" t="str">
        <f t="shared" si="9"/>
        <v/>
      </c>
      <c r="C250" s="17" t="str">
        <f t="shared" si="10"/>
        <v/>
      </c>
      <c r="D250" s="27"/>
      <c r="E250" s="27"/>
      <c r="F250" s="28"/>
      <c r="G250" s="14" t="str">
        <f>IF($D250="","",IFERROR(INDEX(Einstellungen!$B$4:$B$40,MATCH($D250,Einstellungen!$A$4:$A$40,0)),"?"))</f>
        <v/>
      </c>
      <c r="H250" s="27"/>
      <c r="I250" s="11" t="str">
        <f t="shared" si="11"/>
        <v/>
      </c>
    </row>
    <row r="251" spans="1:9" ht="15" customHeight="1" x14ac:dyDescent="0.25">
      <c r="A251" s="20"/>
      <c r="B251" s="21" t="str">
        <f t="shared" si="9"/>
        <v/>
      </c>
      <c r="C251" s="21" t="str">
        <f t="shared" si="10"/>
        <v/>
      </c>
      <c r="D251" s="22"/>
      <c r="E251" s="22"/>
      <c r="F251" s="23"/>
      <c r="G251" s="24" t="str">
        <f>IF($D251="","",IFERROR(INDEX(Einstellungen!$B$4:$B$40,MATCH($D251,Einstellungen!$A$4:$A$40,0)),"?"))</f>
        <v/>
      </c>
      <c r="H251" s="22"/>
      <c r="I251" s="25" t="str">
        <f t="shared" si="11"/>
        <v/>
      </c>
    </row>
    <row r="252" spans="1:9" ht="15" customHeight="1" x14ac:dyDescent="0.25">
      <c r="A252" s="26"/>
      <c r="B252" s="17" t="str">
        <f t="shared" si="9"/>
        <v/>
      </c>
      <c r="C252" s="17" t="str">
        <f t="shared" si="10"/>
        <v/>
      </c>
      <c r="D252" s="27"/>
      <c r="E252" s="27"/>
      <c r="F252" s="28"/>
      <c r="G252" s="14" t="str">
        <f>IF($D252="","",IFERROR(INDEX(Einstellungen!$B$4:$B$40,MATCH($D252,Einstellungen!$A$4:$A$40,0)),"?"))</f>
        <v/>
      </c>
      <c r="H252" s="27"/>
      <c r="I252" s="11" t="str">
        <f t="shared" si="11"/>
        <v/>
      </c>
    </row>
    <row r="253" spans="1:9" ht="15" customHeight="1" x14ac:dyDescent="0.25">
      <c r="A253" s="20"/>
      <c r="B253" s="21" t="str">
        <f t="shared" si="9"/>
        <v/>
      </c>
      <c r="C253" s="21" t="str">
        <f t="shared" si="10"/>
        <v/>
      </c>
      <c r="D253" s="22"/>
      <c r="E253" s="22"/>
      <c r="F253" s="23"/>
      <c r="G253" s="24" t="str">
        <f>IF($D253="","",IFERROR(INDEX(Einstellungen!$B$4:$B$40,MATCH($D253,Einstellungen!$A$4:$A$40,0)),"?"))</f>
        <v/>
      </c>
      <c r="H253" s="22"/>
      <c r="I253" s="25" t="str">
        <f t="shared" si="11"/>
        <v/>
      </c>
    </row>
    <row r="254" spans="1:9" ht="15" customHeight="1" x14ac:dyDescent="0.25">
      <c r="A254" s="26"/>
      <c r="B254" s="17" t="str">
        <f t="shared" si="9"/>
        <v/>
      </c>
      <c r="C254" s="17" t="str">
        <f t="shared" si="10"/>
        <v/>
      </c>
      <c r="D254" s="27"/>
      <c r="E254" s="27"/>
      <c r="F254" s="28"/>
      <c r="G254" s="14" t="str">
        <f>IF($D254="","",IFERROR(INDEX(Einstellungen!$B$4:$B$40,MATCH($D254,Einstellungen!$A$4:$A$40,0)),"?"))</f>
        <v/>
      </c>
      <c r="H254" s="27"/>
      <c r="I254" s="11" t="str">
        <f t="shared" si="11"/>
        <v/>
      </c>
    </row>
    <row r="255" spans="1:9" ht="15" customHeight="1" x14ac:dyDescent="0.25">
      <c r="A255" s="20"/>
      <c r="B255" s="21" t="str">
        <f t="shared" si="9"/>
        <v/>
      </c>
      <c r="C255" s="21" t="str">
        <f t="shared" si="10"/>
        <v/>
      </c>
      <c r="D255" s="22"/>
      <c r="E255" s="22"/>
      <c r="F255" s="23"/>
      <c r="G255" s="24" t="str">
        <f>IF($D255="","",IFERROR(INDEX(Einstellungen!$B$4:$B$40,MATCH($D255,Einstellungen!$A$4:$A$40,0)),"?"))</f>
        <v/>
      </c>
      <c r="H255" s="22"/>
      <c r="I255" s="25" t="str">
        <f t="shared" si="11"/>
        <v/>
      </c>
    </row>
    <row r="256" spans="1:9" ht="15" customHeight="1" x14ac:dyDescent="0.25">
      <c r="A256" s="26"/>
      <c r="B256" s="17" t="str">
        <f t="shared" si="9"/>
        <v/>
      </c>
      <c r="C256" s="17" t="str">
        <f t="shared" si="10"/>
        <v/>
      </c>
      <c r="D256" s="27"/>
      <c r="E256" s="27"/>
      <c r="F256" s="28"/>
      <c r="G256" s="14" t="str">
        <f>IF($D256="","",IFERROR(INDEX(Einstellungen!$B$4:$B$40,MATCH($D256,Einstellungen!$A$4:$A$40,0)),"?"))</f>
        <v/>
      </c>
      <c r="H256" s="27"/>
      <c r="I256" s="11" t="str">
        <f t="shared" si="11"/>
        <v/>
      </c>
    </row>
    <row r="257" spans="1:9" ht="15" customHeight="1" x14ac:dyDescent="0.25">
      <c r="A257" s="20"/>
      <c r="B257" s="21" t="str">
        <f t="shared" si="9"/>
        <v/>
      </c>
      <c r="C257" s="21" t="str">
        <f t="shared" si="10"/>
        <v/>
      </c>
      <c r="D257" s="22"/>
      <c r="E257" s="22"/>
      <c r="F257" s="23"/>
      <c r="G257" s="24" t="str">
        <f>IF($D257="","",IFERROR(INDEX(Einstellungen!$B$4:$B$40,MATCH($D257,Einstellungen!$A$4:$A$40,0)),"?"))</f>
        <v/>
      </c>
      <c r="H257" s="22"/>
      <c r="I257" s="25" t="str">
        <f t="shared" si="11"/>
        <v/>
      </c>
    </row>
    <row r="258" spans="1:9" ht="15" customHeight="1" x14ac:dyDescent="0.25">
      <c r="A258" s="26"/>
      <c r="B258" s="17" t="str">
        <f t="shared" si="9"/>
        <v/>
      </c>
      <c r="C258" s="17" t="str">
        <f t="shared" si="10"/>
        <v/>
      </c>
      <c r="D258" s="27"/>
      <c r="E258" s="27"/>
      <c r="F258" s="28"/>
      <c r="G258" s="14" t="str">
        <f>IF($D258="","",IFERROR(INDEX(Einstellungen!$B$4:$B$40,MATCH($D258,Einstellungen!$A$4:$A$40,0)),"?"))</f>
        <v/>
      </c>
      <c r="H258" s="27"/>
      <c r="I258" s="11" t="str">
        <f t="shared" si="11"/>
        <v/>
      </c>
    </row>
    <row r="259" spans="1:9" ht="15" customHeight="1" x14ac:dyDescent="0.25">
      <c r="A259" s="20"/>
      <c r="B259" s="21" t="str">
        <f t="shared" si="9"/>
        <v/>
      </c>
      <c r="C259" s="21" t="str">
        <f t="shared" si="10"/>
        <v/>
      </c>
      <c r="D259" s="22"/>
      <c r="E259" s="22"/>
      <c r="F259" s="23"/>
      <c r="G259" s="24" t="str">
        <f>IF($D259="","",IFERROR(INDEX(Einstellungen!$B$4:$B$40,MATCH($D259,Einstellungen!$A$4:$A$40,0)),"?"))</f>
        <v/>
      </c>
      <c r="H259" s="22"/>
      <c r="I259" s="25" t="str">
        <f t="shared" si="11"/>
        <v/>
      </c>
    </row>
    <row r="260" spans="1:9" ht="15" customHeight="1" x14ac:dyDescent="0.25">
      <c r="A260" s="26"/>
      <c r="B260" s="17" t="str">
        <f t="shared" ref="B260:B323" si="12">IF($A260="","",YEAR($A260))</f>
        <v/>
      </c>
      <c r="C260" s="17" t="str">
        <f t="shared" ref="C260:C323" si="13">IF($A260="","",MONTH($A260))</f>
        <v/>
      </c>
      <c r="D260" s="27"/>
      <c r="E260" s="27"/>
      <c r="F260" s="28"/>
      <c r="G260" s="14" t="str">
        <f>IF($D260="","",IFERROR(INDEX(Einstellungen!$B$4:$B$40,MATCH($D260,Einstellungen!$A$4:$A$40,0)),"?"))</f>
        <v/>
      </c>
      <c r="H260" s="27"/>
      <c r="I260" s="11" t="str">
        <f t="shared" ref="I260:I323" si="14">IF($F260="","",IF($G260="Einnahme",$F260,-$F260))</f>
        <v/>
      </c>
    </row>
    <row r="261" spans="1:9" ht="15" customHeight="1" x14ac:dyDescent="0.25">
      <c r="A261" s="20"/>
      <c r="B261" s="21" t="str">
        <f t="shared" si="12"/>
        <v/>
      </c>
      <c r="C261" s="21" t="str">
        <f t="shared" si="13"/>
        <v/>
      </c>
      <c r="D261" s="22"/>
      <c r="E261" s="22"/>
      <c r="F261" s="23"/>
      <c r="G261" s="24" t="str">
        <f>IF($D261="","",IFERROR(INDEX(Einstellungen!$B$4:$B$40,MATCH($D261,Einstellungen!$A$4:$A$40,0)),"?"))</f>
        <v/>
      </c>
      <c r="H261" s="22"/>
      <c r="I261" s="25" t="str">
        <f t="shared" si="14"/>
        <v/>
      </c>
    </row>
    <row r="262" spans="1:9" ht="15" customHeight="1" x14ac:dyDescent="0.25">
      <c r="A262" s="26"/>
      <c r="B262" s="17" t="str">
        <f t="shared" si="12"/>
        <v/>
      </c>
      <c r="C262" s="17" t="str">
        <f t="shared" si="13"/>
        <v/>
      </c>
      <c r="D262" s="27"/>
      <c r="E262" s="27"/>
      <c r="F262" s="28"/>
      <c r="G262" s="14" t="str">
        <f>IF($D262="","",IFERROR(INDEX(Einstellungen!$B$4:$B$40,MATCH($D262,Einstellungen!$A$4:$A$40,0)),"?"))</f>
        <v/>
      </c>
      <c r="H262" s="27"/>
      <c r="I262" s="11" t="str">
        <f t="shared" si="14"/>
        <v/>
      </c>
    </row>
    <row r="263" spans="1:9" ht="15" customHeight="1" x14ac:dyDescent="0.25">
      <c r="A263" s="20"/>
      <c r="B263" s="21" t="str">
        <f t="shared" si="12"/>
        <v/>
      </c>
      <c r="C263" s="21" t="str">
        <f t="shared" si="13"/>
        <v/>
      </c>
      <c r="D263" s="22"/>
      <c r="E263" s="22"/>
      <c r="F263" s="23"/>
      <c r="G263" s="24" t="str">
        <f>IF($D263="","",IFERROR(INDEX(Einstellungen!$B$4:$B$40,MATCH($D263,Einstellungen!$A$4:$A$40,0)),"?"))</f>
        <v/>
      </c>
      <c r="H263" s="22"/>
      <c r="I263" s="25" t="str">
        <f t="shared" si="14"/>
        <v/>
      </c>
    </row>
    <row r="264" spans="1:9" ht="15" customHeight="1" x14ac:dyDescent="0.25">
      <c r="A264" s="26"/>
      <c r="B264" s="17" t="str">
        <f t="shared" si="12"/>
        <v/>
      </c>
      <c r="C264" s="17" t="str">
        <f t="shared" si="13"/>
        <v/>
      </c>
      <c r="D264" s="27"/>
      <c r="E264" s="27"/>
      <c r="F264" s="28"/>
      <c r="G264" s="14" t="str">
        <f>IF($D264="","",IFERROR(INDEX(Einstellungen!$B$4:$B$40,MATCH($D264,Einstellungen!$A$4:$A$40,0)),"?"))</f>
        <v/>
      </c>
      <c r="H264" s="27"/>
      <c r="I264" s="11" t="str">
        <f t="shared" si="14"/>
        <v/>
      </c>
    </row>
    <row r="265" spans="1:9" ht="15" customHeight="1" x14ac:dyDescent="0.25">
      <c r="A265" s="20"/>
      <c r="B265" s="21" t="str">
        <f t="shared" si="12"/>
        <v/>
      </c>
      <c r="C265" s="21" t="str">
        <f t="shared" si="13"/>
        <v/>
      </c>
      <c r="D265" s="22"/>
      <c r="E265" s="22"/>
      <c r="F265" s="23"/>
      <c r="G265" s="24" t="str">
        <f>IF($D265="","",IFERROR(INDEX(Einstellungen!$B$4:$B$40,MATCH($D265,Einstellungen!$A$4:$A$40,0)),"?"))</f>
        <v/>
      </c>
      <c r="H265" s="22"/>
      <c r="I265" s="25" t="str">
        <f t="shared" si="14"/>
        <v/>
      </c>
    </row>
    <row r="266" spans="1:9" ht="15" customHeight="1" x14ac:dyDescent="0.25">
      <c r="A266" s="26"/>
      <c r="B266" s="17" t="str">
        <f t="shared" si="12"/>
        <v/>
      </c>
      <c r="C266" s="17" t="str">
        <f t="shared" si="13"/>
        <v/>
      </c>
      <c r="D266" s="27"/>
      <c r="E266" s="27"/>
      <c r="F266" s="28"/>
      <c r="G266" s="14" t="str">
        <f>IF($D266="","",IFERROR(INDEX(Einstellungen!$B$4:$B$40,MATCH($D266,Einstellungen!$A$4:$A$40,0)),"?"))</f>
        <v/>
      </c>
      <c r="H266" s="27"/>
      <c r="I266" s="11" t="str">
        <f t="shared" si="14"/>
        <v/>
      </c>
    </row>
    <row r="267" spans="1:9" ht="15" customHeight="1" x14ac:dyDescent="0.25">
      <c r="A267" s="20"/>
      <c r="B267" s="21" t="str">
        <f t="shared" si="12"/>
        <v/>
      </c>
      <c r="C267" s="21" t="str">
        <f t="shared" si="13"/>
        <v/>
      </c>
      <c r="D267" s="22"/>
      <c r="E267" s="22"/>
      <c r="F267" s="23"/>
      <c r="G267" s="24" t="str">
        <f>IF($D267="","",IFERROR(INDEX(Einstellungen!$B$4:$B$40,MATCH($D267,Einstellungen!$A$4:$A$40,0)),"?"))</f>
        <v/>
      </c>
      <c r="H267" s="22"/>
      <c r="I267" s="25" t="str">
        <f t="shared" si="14"/>
        <v/>
      </c>
    </row>
    <row r="268" spans="1:9" ht="15" customHeight="1" x14ac:dyDescent="0.25">
      <c r="A268" s="26"/>
      <c r="B268" s="17" t="str">
        <f t="shared" si="12"/>
        <v/>
      </c>
      <c r="C268" s="17" t="str">
        <f t="shared" si="13"/>
        <v/>
      </c>
      <c r="D268" s="27"/>
      <c r="E268" s="27"/>
      <c r="F268" s="28"/>
      <c r="G268" s="14" t="str">
        <f>IF($D268="","",IFERROR(INDEX(Einstellungen!$B$4:$B$40,MATCH($D268,Einstellungen!$A$4:$A$40,0)),"?"))</f>
        <v/>
      </c>
      <c r="H268" s="27"/>
      <c r="I268" s="11" t="str">
        <f t="shared" si="14"/>
        <v/>
      </c>
    </row>
    <row r="269" spans="1:9" ht="15" customHeight="1" x14ac:dyDescent="0.25">
      <c r="A269" s="20"/>
      <c r="B269" s="21" t="str">
        <f t="shared" si="12"/>
        <v/>
      </c>
      <c r="C269" s="21" t="str">
        <f t="shared" si="13"/>
        <v/>
      </c>
      <c r="D269" s="22"/>
      <c r="E269" s="22"/>
      <c r="F269" s="23"/>
      <c r="G269" s="24" t="str">
        <f>IF($D269="","",IFERROR(INDEX(Einstellungen!$B$4:$B$40,MATCH($D269,Einstellungen!$A$4:$A$40,0)),"?"))</f>
        <v/>
      </c>
      <c r="H269" s="22"/>
      <c r="I269" s="25" t="str">
        <f t="shared" si="14"/>
        <v/>
      </c>
    </row>
    <row r="270" spans="1:9" ht="15" customHeight="1" x14ac:dyDescent="0.25">
      <c r="A270" s="26"/>
      <c r="B270" s="17" t="str">
        <f t="shared" si="12"/>
        <v/>
      </c>
      <c r="C270" s="17" t="str">
        <f t="shared" si="13"/>
        <v/>
      </c>
      <c r="D270" s="27"/>
      <c r="E270" s="27"/>
      <c r="F270" s="28"/>
      <c r="G270" s="14" t="str">
        <f>IF($D270="","",IFERROR(INDEX(Einstellungen!$B$4:$B$40,MATCH($D270,Einstellungen!$A$4:$A$40,0)),"?"))</f>
        <v/>
      </c>
      <c r="H270" s="27"/>
      <c r="I270" s="11" t="str">
        <f t="shared" si="14"/>
        <v/>
      </c>
    </row>
    <row r="271" spans="1:9" ht="15" customHeight="1" x14ac:dyDescent="0.25">
      <c r="A271" s="20"/>
      <c r="B271" s="21" t="str">
        <f t="shared" si="12"/>
        <v/>
      </c>
      <c r="C271" s="21" t="str">
        <f t="shared" si="13"/>
        <v/>
      </c>
      <c r="D271" s="22"/>
      <c r="E271" s="22"/>
      <c r="F271" s="23"/>
      <c r="G271" s="24" t="str">
        <f>IF($D271="","",IFERROR(INDEX(Einstellungen!$B$4:$B$40,MATCH($D271,Einstellungen!$A$4:$A$40,0)),"?"))</f>
        <v/>
      </c>
      <c r="H271" s="22"/>
      <c r="I271" s="25" t="str">
        <f t="shared" si="14"/>
        <v/>
      </c>
    </row>
    <row r="272" spans="1:9" ht="15" customHeight="1" x14ac:dyDescent="0.25">
      <c r="A272" s="26"/>
      <c r="B272" s="17" t="str">
        <f t="shared" si="12"/>
        <v/>
      </c>
      <c r="C272" s="17" t="str">
        <f t="shared" si="13"/>
        <v/>
      </c>
      <c r="D272" s="27"/>
      <c r="E272" s="27"/>
      <c r="F272" s="28"/>
      <c r="G272" s="14" t="str">
        <f>IF($D272="","",IFERROR(INDEX(Einstellungen!$B$4:$B$40,MATCH($D272,Einstellungen!$A$4:$A$40,0)),"?"))</f>
        <v/>
      </c>
      <c r="H272" s="27"/>
      <c r="I272" s="11" t="str">
        <f t="shared" si="14"/>
        <v/>
      </c>
    </row>
    <row r="273" spans="1:9" ht="15" customHeight="1" x14ac:dyDescent="0.25">
      <c r="A273" s="20"/>
      <c r="B273" s="21" t="str">
        <f t="shared" si="12"/>
        <v/>
      </c>
      <c r="C273" s="21" t="str">
        <f t="shared" si="13"/>
        <v/>
      </c>
      <c r="D273" s="22"/>
      <c r="E273" s="22"/>
      <c r="F273" s="23"/>
      <c r="G273" s="24" t="str">
        <f>IF($D273="","",IFERROR(INDEX(Einstellungen!$B$4:$B$40,MATCH($D273,Einstellungen!$A$4:$A$40,0)),"?"))</f>
        <v/>
      </c>
      <c r="H273" s="22"/>
      <c r="I273" s="25" t="str">
        <f t="shared" si="14"/>
        <v/>
      </c>
    </row>
    <row r="274" spans="1:9" ht="15" customHeight="1" x14ac:dyDescent="0.25">
      <c r="A274" s="26"/>
      <c r="B274" s="17" t="str">
        <f t="shared" si="12"/>
        <v/>
      </c>
      <c r="C274" s="17" t="str">
        <f t="shared" si="13"/>
        <v/>
      </c>
      <c r="D274" s="27"/>
      <c r="E274" s="27"/>
      <c r="F274" s="28"/>
      <c r="G274" s="14" t="str">
        <f>IF($D274="","",IFERROR(INDEX(Einstellungen!$B$4:$B$40,MATCH($D274,Einstellungen!$A$4:$A$40,0)),"?"))</f>
        <v/>
      </c>
      <c r="H274" s="27"/>
      <c r="I274" s="11" t="str">
        <f t="shared" si="14"/>
        <v/>
      </c>
    </row>
    <row r="275" spans="1:9" ht="15" customHeight="1" x14ac:dyDescent="0.25">
      <c r="A275" s="20"/>
      <c r="B275" s="21" t="str">
        <f t="shared" si="12"/>
        <v/>
      </c>
      <c r="C275" s="21" t="str">
        <f t="shared" si="13"/>
        <v/>
      </c>
      <c r="D275" s="22"/>
      <c r="E275" s="22"/>
      <c r="F275" s="23"/>
      <c r="G275" s="24" t="str">
        <f>IF($D275="","",IFERROR(INDEX(Einstellungen!$B$4:$B$40,MATCH($D275,Einstellungen!$A$4:$A$40,0)),"?"))</f>
        <v/>
      </c>
      <c r="H275" s="22"/>
      <c r="I275" s="25" t="str">
        <f t="shared" si="14"/>
        <v/>
      </c>
    </row>
    <row r="276" spans="1:9" ht="15" customHeight="1" x14ac:dyDescent="0.25">
      <c r="A276" s="26"/>
      <c r="B276" s="17" t="str">
        <f t="shared" si="12"/>
        <v/>
      </c>
      <c r="C276" s="17" t="str">
        <f t="shared" si="13"/>
        <v/>
      </c>
      <c r="D276" s="27"/>
      <c r="E276" s="27"/>
      <c r="F276" s="28"/>
      <c r="G276" s="14" t="str">
        <f>IF($D276="","",IFERROR(INDEX(Einstellungen!$B$4:$B$40,MATCH($D276,Einstellungen!$A$4:$A$40,0)),"?"))</f>
        <v/>
      </c>
      <c r="H276" s="27"/>
      <c r="I276" s="11" t="str">
        <f t="shared" si="14"/>
        <v/>
      </c>
    </row>
    <row r="277" spans="1:9" ht="15" customHeight="1" x14ac:dyDescent="0.25">
      <c r="A277" s="20"/>
      <c r="B277" s="21" t="str">
        <f t="shared" si="12"/>
        <v/>
      </c>
      <c r="C277" s="21" t="str">
        <f t="shared" si="13"/>
        <v/>
      </c>
      <c r="D277" s="22"/>
      <c r="E277" s="22"/>
      <c r="F277" s="23"/>
      <c r="G277" s="24" t="str">
        <f>IF($D277="","",IFERROR(INDEX(Einstellungen!$B$4:$B$40,MATCH($D277,Einstellungen!$A$4:$A$40,0)),"?"))</f>
        <v/>
      </c>
      <c r="H277" s="22"/>
      <c r="I277" s="25" t="str">
        <f t="shared" si="14"/>
        <v/>
      </c>
    </row>
    <row r="278" spans="1:9" ht="15" customHeight="1" x14ac:dyDescent="0.25">
      <c r="A278" s="26"/>
      <c r="B278" s="17" t="str">
        <f t="shared" si="12"/>
        <v/>
      </c>
      <c r="C278" s="17" t="str">
        <f t="shared" si="13"/>
        <v/>
      </c>
      <c r="D278" s="27"/>
      <c r="E278" s="27"/>
      <c r="F278" s="28"/>
      <c r="G278" s="14" t="str">
        <f>IF($D278="","",IFERROR(INDEX(Einstellungen!$B$4:$B$40,MATCH($D278,Einstellungen!$A$4:$A$40,0)),"?"))</f>
        <v/>
      </c>
      <c r="H278" s="27"/>
      <c r="I278" s="11" t="str">
        <f t="shared" si="14"/>
        <v/>
      </c>
    </row>
    <row r="279" spans="1:9" ht="15" customHeight="1" x14ac:dyDescent="0.25">
      <c r="A279" s="20"/>
      <c r="B279" s="21" t="str">
        <f t="shared" si="12"/>
        <v/>
      </c>
      <c r="C279" s="21" t="str">
        <f t="shared" si="13"/>
        <v/>
      </c>
      <c r="D279" s="22"/>
      <c r="E279" s="22"/>
      <c r="F279" s="23"/>
      <c r="G279" s="24" t="str">
        <f>IF($D279="","",IFERROR(INDEX(Einstellungen!$B$4:$B$40,MATCH($D279,Einstellungen!$A$4:$A$40,0)),"?"))</f>
        <v/>
      </c>
      <c r="H279" s="22"/>
      <c r="I279" s="25" t="str">
        <f t="shared" si="14"/>
        <v/>
      </c>
    </row>
    <row r="280" spans="1:9" ht="15" customHeight="1" x14ac:dyDescent="0.25">
      <c r="A280" s="26"/>
      <c r="B280" s="17" t="str">
        <f t="shared" si="12"/>
        <v/>
      </c>
      <c r="C280" s="17" t="str">
        <f t="shared" si="13"/>
        <v/>
      </c>
      <c r="D280" s="27"/>
      <c r="E280" s="27"/>
      <c r="F280" s="28"/>
      <c r="G280" s="14" t="str">
        <f>IF($D280="","",IFERROR(INDEX(Einstellungen!$B$4:$B$40,MATCH($D280,Einstellungen!$A$4:$A$40,0)),"?"))</f>
        <v/>
      </c>
      <c r="H280" s="27"/>
      <c r="I280" s="11" t="str">
        <f t="shared" si="14"/>
        <v/>
      </c>
    </row>
    <row r="281" spans="1:9" ht="15" customHeight="1" x14ac:dyDescent="0.25">
      <c r="A281" s="20"/>
      <c r="B281" s="21" t="str">
        <f t="shared" si="12"/>
        <v/>
      </c>
      <c r="C281" s="21" t="str">
        <f t="shared" si="13"/>
        <v/>
      </c>
      <c r="D281" s="22"/>
      <c r="E281" s="22"/>
      <c r="F281" s="23"/>
      <c r="G281" s="24" t="str">
        <f>IF($D281="","",IFERROR(INDEX(Einstellungen!$B$4:$B$40,MATCH($D281,Einstellungen!$A$4:$A$40,0)),"?"))</f>
        <v/>
      </c>
      <c r="H281" s="22"/>
      <c r="I281" s="25" t="str">
        <f t="shared" si="14"/>
        <v/>
      </c>
    </row>
    <row r="282" spans="1:9" ht="15" customHeight="1" x14ac:dyDescent="0.25">
      <c r="A282" s="26"/>
      <c r="B282" s="17" t="str">
        <f t="shared" si="12"/>
        <v/>
      </c>
      <c r="C282" s="17" t="str">
        <f t="shared" si="13"/>
        <v/>
      </c>
      <c r="D282" s="27"/>
      <c r="E282" s="27"/>
      <c r="F282" s="28"/>
      <c r="G282" s="14" t="str">
        <f>IF($D282="","",IFERROR(INDEX(Einstellungen!$B$4:$B$40,MATCH($D282,Einstellungen!$A$4:$A$40,0)),"?"))</f>
        <v/>
      </c>
      <c r="H282" s="27"/>
      <c r="I282" s="11" t="str">
        <f t="shared" si="14"/>
        <v/>
      </c>
    </row>
    <row r="283" spans="1:9" ht="15" customHeight="1" x14ac:dyDescent="0.25">
      <c r="A283" s="20"/>
      <c r="B283" s="21" t="str">
        <f t="shared" si="12"/>
        <v/>
      </c>
      <c r="C283" s="21" t="str">
        <f t="shared" si="13"/>
        <v/>
      </c>
      <c r="D283" s="22"/>
      <c r="E283" s="22"/>
      <c r="F283" s="23"/>
      <c r="G283" s="24" t="str">
        <f>IF($D283="","",IFERROR(INDEX(Einstellungen!$B$4:$B$40,MATCH($D283,Einstellungen!$A$4:$A$40,0)),"?"))</f>
        <v/>
      </c>
      <c r="H283" s="22"/>
      <c r="I283" s="25" t="str">
        <f t="shared" si="14"/>
        <v/>
      </c>
    </row>
    <row r="284" spans="1:9" ht="15" customHeight="1" x14ac:dyDescent="0.25">
      <c r="A284" s="26"/>
      <c r="B284" s="17" t="str">
        <f t="shared" si="12"/>
        <v/>
      </c>
      <c r="C284" s="17" t="str">
        <f t="shared" si="13"/>
        <v/>
      </c>
      <c r="D284" s="27"/>
      <c r="E284" s="27"/>
      <c r="F284" s="28"/>
      <c r="G284" s="14" t="str">
        <f>IF($D284="","",IFERROR(INDEX(Einstellungen!$B$4:$B$40,MATCH($D284,Einstellungen!$A$4:$A$40,0)),"?"))</f>
        <v/>
      </c>
      <c r="H284" s="27"/>
      <c r="I284" s="11" t="str">
        <f t="shared" si="14"/>
        <v/>
      </c>
    </row>
    <row r="285" spans="1:9" ht="15" customHeight="1" x14ac:dyDescent="0.25">
      <c r="A285" s="20"/>
      <c r="B285" s="21" t="str">
        <f t="shared" si="12"/>
        <v/>
      </c>
      <c r="C285" s="21" t="str">
        <f t="shared" si="13"/>
        <v/>
      </c>
      <c r="D285" s="22"/>
      <c r="E285" s="22"/>
      <c r="F285" s="23"/>
      <c r="G285" s="24" t="str">
        <f>IF($D285="","",IFERROR(INDEX(Einstellungen!$B$4:$B$40,MATCH($D285,Einstellungen!$A$4:$A$40,0)),"?"))</f>
        <v/>
      </c>
      <c r="H285" s="22"/>
      <c r="I285" s="25" t="str">
        <f t="shared" si="14"/>
        <v/>
      </c>
    </row>
    <row r="286" spans="1:9" ht="15" customHeight="1" x14ac:dyDescent="0.25">
      <c r="A286" s="26"/>
      <c r="B286" s="17" t="str">
        <f t="shared" si="12"/>
        <v/>
      </c>
      <c r="C286" s="17" t="str">
        <f t="shared" si="13"/>
        <v/>
      </c>
      <c r="D286" s="27"/>
      <c r="E286" s="27"/>
      <c r="F286" s="28"/>
      <c r="G286" s="14" t="str">
        <f>IF($D286="","",IFERROR(INDEX(Einstellungen!$B$4:$B$40,MATCH($D286,Einstellungen!$A$4:$A$40,0)),"?"))</f>
        <v/>
      </c>
      <c r="H286" s="27"/>
      <c r="I286" s="11" t="str">
        <f t="shared" si="14"/>
        <v/>
      </c>
    </row>
    <row r="287" spans="1:9" ht="15" customHeight="1" x14ac:dyDescent="0.25">
      <c r="A287" s="20"/>
      <c r="B287" s="21" t="str">
        <f t="shared" si="12"/>
        <v/>
      </c>
      <c r="C287" s="21" t="str">
        <f t="shared" si="13"/>
        <v/>
      </c>
      <c r="D287" s="22"/>
      <c r="E287" s="22"/>
      <c r="F287" s="23"/>
      <c r="G287" s="24" t="str">
        <f>IF($D287="","",IFERROR(INDEX(Einstellungen!$B$4:$B$40,MATCH($D287,Einstellungen!$A$4:$A$40,0)),"?"))</f>
        <v/>
      </c>
      <c r="H287" s="22"/>
      <c r="I287" s="25" t="str">
        <f t="shared" si="14"/>
        <v/>
      </c>
    </row>
    <row r="288" spans="1:9" ht="15" customHeight="1" x14ac:dyDescent="0.25">
      <c r="A288" s="26"/>
      <c r="B288" s="17" t="str">
        <f t="shared" si="12"/>
        <v/>
      </c>
      <c r="C288" s="17" t="str">
        <f t="shared" si="13"/>
        <v/>
      </c>
      <c r="D288" s="27"/>
      <c r="E288" s="27"/>
      <c r="F288" s="28"/>
      <c r="G288" s="14" t="str">
        <f>IF($D288="","",IFERROR(INDEX(Einstellungen!$B$4:$B$40,MATCH($D288,Einstellungen!$A$4:$A$40,0)),"?"))</f>
        <v/>
      </c>
      <c r="H288" s="27"/>
      <c r="I288" s="11" t="str">
        <f t="shared" si="14"/>
        <v/>
      </c>
    </row>
    <row r="289" spans="1:9" ht="15" customHeight="1" x14ac:dyDescent="0.25">
      <c r="A289" s="20"/>
      <c r="B289" s="21" t="str">
        <f t="shared" si="12"/>
        <v/>
      </c>
      <c r="C289" s="21" t="str">
        <f t="shared" si="13"/>
        <v/>
      </c>
      <c r="D289" s="22"/>
      <c r="E289" s="22"/>
      <c r="F289" s="23"/>
      <c r="G289" s="24" t="str">
        <f>IF($D289="","",IFERROR(INDEX(Einstellungen!$B$4:$B$40,MATCH($D289,Einstellungen!$A$4:$A$40,0)),"?"))</f>
        <v/>
      </c>
      <c r="H289" s="22"/>
      <c r="I289" s="25" t="str">
        <f t="shared" si="14"/>
        <v/>
      </c>
    </row>
    <row r="290" spans="1:9" ht="15" customHeight="1" x14ac:dyDescent="0.25">
      <c r="A290" s="26"/>
      <c r="B290" s="17" t="str">
        <f t="shared" si="12"/>
        <v/>
      </c>
      <c r="C290" s="17" t="str">
        <f t="shared" si="13"/>
        <v/>
      </c>
      <c r="D290" s="27"/>
      <c r="E290" s="27"/>
      <c r="F290" s="28"/>
      <c r="G290" s="14" t="str">
        <f>IF($D290="","",IFERROR(INDEX(Einstellungen!$B$4:$B$40,MATCH($D290,Einstellungen!$A$4:$A$40,0)),"?"))</f>
        <v/>
      </c>
      <c r="H290" s="27"/>
      <c r="I290" s="11" t="str">
        <f t="shared" si="14"/>
        <v/>
      </c>
    </row>
    <row r="291" spans="1:9" ht="15" customHeight="1" x14ac:dyDescent="0.25">
      <c r="A291" s="20"/>
      <c r="B291" s="21" t="str">
        <f t="shared" si="12"/>
        <v/>
      </c>
      <c r="C291" s="21" t="str">
        <f t="shared" si="13"/>
        <v/>
      </c>
      <c r="D291" s="22"/>
      <c r="E291" s="22"/>
      <c r="F291" s="23"/>
      <c r="G291" s="24" t="str">
        <f>IF($D291="","",IFERROR(INDEX(Einstellungen!$B$4:$B$40,MATCH($D291,Einstellungen!$A$4:$A$40,0)),"?"))</f>
        <v/>
      </c>
      <c r="H291" s="22"/>
      <c r="I291" s="25" t="str">
        <f t="shared" si="14"/>
        <v/>
      </c>
    </row>
    <row r="292" spans="1:9" ht="15" customHeight="1" x14ac:dyDescent="0.25">
      <c r="A292" s="26"/>
      <c r="B292" s="17" t="str">
        <f t="shared" si="12"/>
        <v/>
      </c>
      <c r="C292" s="17" t="str">
        <f t="shared" si="13"/>
        <v/>
      </c>
      <c r="D292" s="27"/>
      <c r="E292" s="27"/>
      <c r="F292" s="28"/>
      <c r="G292" s="14" t="str">
        <f>IF($D292="","",IFERROR(INDEX(Einstellungen!$B$4:$B$40,MATCH($D292,Einstellungen!$A$4:$A$40,0)),"?"))</f>
        <v/>
      </c>
      <c r="H292" s="27"/>
      <c r="I292" s="11" t="str">
        <f t="shared" si="14"/>
        <v/>
      </c>
    </row>
    <row r="293" spans="1:9" ht="15" customHeight="1" x14ac:dyDescent="0.25">
      <c r="A293" s="20"/>
      <c r="B293" s="21" t="str">
        <f t="shared" si="12"/>
        <v/>
      </c>
      <c r="C293" s="21" t="str">
        <f t="shared" si="13"/>
        <v/>
      </c>
      <c r="D293" s="22"/>
      <c r="E293" s="22"/>
      <c r="F293" s="23"/>
      <c r="G293" s="24" t="str">
        <f>IF($D293="","",IFERROR(INDEX(Einstellungen!$B$4:$B$40,MATCH($D293,Einstellungen!$A$4:$A$40,0)),"?"))</f>
        <v/>
      </c>
      <c r="H293" s="22"/>
      <c r="I293" s="25" t="str">
        <f t="shared" si="14"/>
        <v/>
      </c>
    </row>
    <row r="294" spans="1:9" ht="15" customHeight="1" x14ac:dyDescent="0.25">
      <c r="A294" s="26"/>
      <c r="B294" s="17" t="str">
        <f t="shared" si="12"/>
        <v/>
      </c>
      <c r="C294" s="17" t="str">
        <f t="shared" si="13"/>
        <v/>
      </c>
      <c r="D294" s="27"/>
      <c r="E294" s="27"/>
      <c r="F294" s="28"/>
      <c r="G294" s="14" t="str">
        <f>IF($D294="","",IFERROR(INDEX(Einstellungen!$B$4:$B$40,MATCH($D294,Einstellungen!$A$4:$A$40,0)),"?"))</f>
        <v/>
      </c>
      <c r="H294" s="27"/>
      <c r="I294" s="11" t="str">
        <f t="shared" si="14"/>
        <v/>
      </c>
    </row>
    <row r="295" spans="1:9" ht="15" customHeight="1" x14ac:dyDescent="0.25">
      <c r="A295" s="20"/>
      <c r="B295" s="21" t="str">
        <f t="shared" si="12"/>
        <v/>
      </c>
      <c r="C295" s="21" t="str">
        <f t="shared" si="13"/>
        <v/>
      </c>
      <c r="D295" s="22"/>
      <c r="E295" s="22"/>
      <c r="F295" s="23"/>
      <c r="G295" s="24" t="str">
        <f>IF($D295="","",IFERROR(INDEX(Einstellungen!$B$4:$B$40,MATCH($D295,Einstellungen!$A$4:$A$40,0)),"?"))</f>
        <v/>
      </c>
      <c r="H295" s="22"/>
      <c r="I295" s="25" t="str">
        <f t="shared" si="14"/>
        <v/>
      </c>
    </row>
    <row r="296" spans="1:9" ht="15" customHeight="1" x14ac:dyDescent="0.25">
      <c r="A296" s="26"/>
      <c r="B296" s="17" t="str">
        <f t="shared" si="12"/>
        <v/>
      </c>
      <c r="C296" s="17" t="str">
        <f t="shared" si="13"/>
        <v/>
      </c>
      <c r="D296" s="27"/>
      <c r="E296" s="27"/>
      <c r="F296" s="28"/>
      <c r="G296" s="14" t="str">
        <f>IF($D296="","",IFERROR(INDEX(Einstellungen!$B$4:$B$40,MATCH($D296,Einstellungen!$A$4:$A$40,0)),"?"))</f>
        <v/>
      </c>
      <c r="H296" s="27"/>
      <c r="I296" s="11" t="str">
        <f t="shared" si="14"/>
        <v/>
      </c>
    </row>
    <row r="297" spans="1:9" ht="15" customHeight="1" x14ac:dyDescent="0.25">
      <c r="A297" s="20"/>
      <c r="B297" s="21" t="str">
        <f t="shared" si="12"/>
        <v/>
      </c>
      <c r="C297" s="21" t="str">
        <f t="shared" si="13"/>
        <v/>
      </c>
      <c r="D297" s="22"/>
      <c r="E297" s="22"/>
      <c r="F297" s="23"/>
      <c r="G297" s="24" t="str">
        <f>IF($D297="","",IFERROR(INDEX(Einstellungen!$B$4:$B$40,MATCH($D297,Einstellungen!$A$4:$A$40,0)),"?"))</f>
        <v/>
      </c>
      <c r="H297" s="22"/>
      <c r="I297" s="25" t="str">
        <f t="shared" si="14"/>
        <v/>
      </c>
    </row>
    <row r="298" spans="1:9" ht="15" customHeight="1" x14ac:dyDescent="0.25">
      <c r="A298" s="26"/>
      <c r="B298" s="17" t="str">
        <f t="shared" si="12"/>
        <v/>
      </c>
      <c r="C298" s="17" t="str">
        <f t="shared" si="13"/>
        <v/>
      </c>
      <c r="D298" s="27"/>
      <c r="E298" s="27"/>
      <c r="F298" s="28"/>
      <c r="G298" s="14" t="str">
        <f>IF($D298="","",IFERROR(INDEX(Einstellungen!$B$4:$B$40,MATCH($D298,Einstellungen!$A$4:$A$40,0)),"?"))</f>
        <v/>
      </c>
      <c r="H298" s="27"/>
      <c r="I298" s="11" t="str">
        <f t="shared" si="14"/>
        <v/>
      </c>
    </row>
    <row r="299" spans="1:9" ht="15" customHeight="1" x14ac:dyDescent="0.25">
      <c r="A299" s="20"/>
      <c r="B299" s="21" t="str">
        <f t="shared" si="12"/>
        <v/>
      </c>
      <c r="C299" s="21" t="str">
        <f t="shared" si="13"/>
        <v/>
      </c>
      <c r="D299" s="22"/>
      <c r="E299" s="22"/>
      <c r="F299" s="23"/>
      <c r="G299" s="24" t="str">
        <f>IF($D299="","",IFERROR(INDEX(Einstellungen!$B$4:$B$40,MATCH($D299,Einstellungen!$A$4:$A$40,0)),"?"))</f>
        <v/>
      </c>
      <c r="H299" s="22"/>
      <c r="I299" s="25" t="str">
        <f t="shared" si="14"/>
        <v/>
      </c>
    </row>
    <row r="300" spans="1:9" ht="15" customHeight="1" x14ac:dyDescent="0.25">
      <c r="A300" s="26"/>
      <c r="B300" s="17" t="str">
        <f t="shared" si="12"/>
        <v/>
      </c>
      <c r="C300" s="17" t="str">
        <f t="shared" si="13"/>
        <v/>
      </c>
      <c r="D300" s="27"/>
      <c r="E300" s="27"/>
      <c r="F300" s="28"/>
      <c r="G300" s="14" t="str">
        <f>IF($D300="","",IFERROR(INDEX(Einstellungen!$B$4:$B$40,MATCH($D300,Einstellungen!$A$4:$A$40,0)),"?"))</f>
        <v/>
      </c>
      <c r="H300" s="27"/>
      <c r="I300" s="11" t="str">
        <f t="shared" si="14"/>
        <v/>
      </c>
    </row>
    <row r="301" spans="1:9" ht="15" customHeight="1" x14ac:dyDescent="0.25">
      <c r="A301" s="20"/>
      <c r="B301" s="21" t="str">
        <f t="shared" si="12"/>
        <v/>
      </c>
      <c r="C301" s="21" t="str">
        <f t="shared" si="13"/>
        <v/>
      </c>
      <c r="D301" s="22"/>
      <c r="E301" s="22"/>
      <c r="F301" s="23"/>
      <c r="G301" s="24" t="str">
        <f>IF($D301="","",IFERROR(INDEX(Einstellungen!$B$4:$B$40,MATCH($D301,Einstellungen!$A$4:$A$40,0)),"?"))</f>
        <v/>
      </c>
      <c r="H301" s="22"/>
      <c r="I301" s="25" t="str">
        <f t="shared" si="14"/>
        <v/>
      </c>
    </row>
    <row r="302" spans="1:9" ht="15" customHeight="1" x14ac:dyDescent="0.25">
      <c r="A302" s="26"/>
      <c r="B302" s="17" t="str">
        <f t="shared" si="12"/>
        <v/>
      </c>
      <c r="C302" s="17" t="str">
        <f t="shared" si="13"/>
        <v/>
      </c>
      <c r="D302" s="27"/>
      <c r="E302" s="27"/>
      <c r="F302" s="28"/>
      <c r="G302" s="14" t="str">
        <f>IF($D302="","",IFERROR(INDEX(Einstellungen!$B$4:$B$40,MATCH($D302,Einstellungen!$A$4:$A$40,0)),"?"))</f>
        <v/>
      </c>
      <c r="H302" s="27"/>
      <c r="I302" s="11" t="str">
        <f t="shared" si="14"/>
        <v/>
      </c>
    </row>
    <row r="303" spans="1:9" ht="15" customHeight="1" x14ac:dyDescent="0.25">
      <c r="A303" s="20"/>
      <c r="B303" s="21" t="str">
        <f t="shared" si="12"/>
        <v/>
      </c>
      <c r="C303" s="21" t="str">
        <f t="shared" si="13"/>
        <v/>
      </c>
      <c r="D303" s="22"/>
      <c r="E303" s="22"/>
      <c r="F303" s="23"/>
      <c r="G303" s="24" t="str">
        <f>IF($D303="","",IFERROR(INDEX(Einstellungen!$B$4:$B$40,MATCH($D303,Einstellungen!$A$4:$A$40,0)),"?"))</f>
        <v/>
      </c>
      <c r="H303" s="22"/>
      <c r="I303" s="25" t="str">
        <f t="shared" si="14"/>
        <v/>
      </c>
    </row>
    <row r="304" spans="1:9" ht="15" customHeight="1" x14ac:dyDescent="0.25">
      <c r="A304" s="26"/>
      <c r="B304" s="17" t="str">
        <f t="shared" si="12"/>
        <v/>
      </c>
      <c r="C304" s="17" t="str">
        <f t="shared" si="13"/>
        <v/>
      </c>
      <c r="D304" s="27"/>
      <c r="E304" s="27"/>
      <c r="F304" s="28"/>
      <c r="G304" s="14" t="str">
        <f>IF($D304="","",IFERROR(INDEX(Einstellungen!$B$4:$B$40,MATCH($D304,Einstellungen!$A$4:$A$40,0)),"?"))</f>
        <v/>
      </c>
      <c r="H304" s="27"/>
      <c r="I304" s="11" t="str">
        <f t="shared" si="14"/>
        <v/>
      </c>
    </row>
    <row r="305" spans="1:9" ht="15" customHeight="1" x14ac:dyDescent="0.25">
      <c r="A305" s="20"/>
      <c r="B305" s="21" t="str">
        <f t="shared" si="12"/>
        <v/>
      </c>
      <c r="C305" s="21" t="str">
        <f t="shared" si="13"/>
        <v/>
      </c>
      <c r="D305" s="22"/>
      <c r="E305" s="22"/>
      <c r="F305" s="23"/>
      <c r="G305" s="24" t="str">
        <f>IF($D305="","",IFERROR(INDEX(Einstellungen!$B$4:$B$40,MATCH($D305,Einstellungen!$A$4:$A$40,0)),"?"))</f>
        <v/>
      </c>
      <c r="H305" s="22"/>
      <c r="I305" s="25" t="str">
        <f t="shared" si="14"/>
        <v/>
      </c>
    </row>
    <row r="306" spans="1:9" ht="15" customHeight="1" x14ac:dyDescent="0.25">
      <c r="A306" s="26"/>
      <c r="B306" s="17" t="str">
        <f t="shared" si="12"/>
        <v/>
      </c>
      <c r="C306" s="17" t="str">
        <f t="shared" si="13"/>
        <v/>
      </c>
      <c r="D306" s="27"/>
      <c r="E306" s="27"/>
      <c r="F306" s="28"/>
      <c r="G306" s="14" t="str">
        <f>IF($D306="","",IFERROR(INDEX(Einstellungen!$B$4:$B$40,MATCH($D306,Einstellungen!$A$4:$A$40,0)),"?"))</f>
        <v/>
      </c>
      <c r="H306" s="27"/>
      <c r="I306" s="11" t="str">
        <f t="shared" si="14"/>
        <v/>
      </c>
    </row>
    <row r="307" spans="1:9" ht="15" customHeight="1" x14ac:dyDescent="0.25">
      <c r="A307" s="20"/>
      <c r="B307" s="21" t="str">
        <f t="shared" si="12"/>
        <v/>
      </c>
      <c r="C307" s="21" t="str">
        <f t="shared" si="13"/>
        <v/>
      </c>
      <c r="D307" s="22"/>
      <c r="E307" s="22"/>
      <c r="F307" s="23"/>
      <c r="G307" s="24" t="str">
        <f>IF($D307="","",IFERROR(INDEX(Einstellungen!$B$4:$B$40,MATCH($D307,Einstellungen!$A$4:$A$40,0)),"?"))</f>
        <v/>
      </c>
      <c r="H307" s="22"/>
      <c r="I307" s="25" t="str">
        <f t="shared" si="14"/>
        <v/>
      </c>
    </row>
    <row r="308" spans="1:9" ht="15" customHeight="1" x14ac:dyDescent="0.25">
      <c r="A308" s="26"/>
      <c r="B308" s="17" t="str">
        <f t="shared" si="12"/>
        <v/>
      </c>
      <c r="C308" s="17" t="str">
        <f t="shared" si="13"/>
        <v/>
      </c>
      <c r="D308" s="27"/>
      <c r="E308" s="27"/>
      <c r="F308" s="28"/>
      <c r="G308" s="14" t="str">
        <f>IF($D308="","",IFERROR(INDEX(Einstellungen!$B$4:$B$40,MATCH($D308,Einstellungen!$A$4:$A$40,0)),"?"))</f>
        <v/>
      </c>
      <c r="H308" s="27"/>
      <c r="I308" s="11" t="str">
        <f t="shared" si="14"/>
        <v/>
      </c>
    </row>
    <row r="309" spans="1:9" ht="15" customHeight="1" x14ac:dyDescent="0.25">
      <c r="A309" s="20"/>
      <c r="B309" s="21" t="str">
        <f t="shared" si="12"/>
        <v/>
      </c>
      <c r="C309" s="21" t="str">
        <f t="shared" si="13"/>
        <v/>
      </c>
      <c r="D309" s="22"/>
      <c r="E309" s="22"/>
      <c r="F309" s="23"/>
      <c r="G309" s="24" t="str">
        <f>IF($D309="","",IFERROR(INDEX(Einstellungen!$B$4:$B$40,MATCH($D309,Einstellungen!$A$4:$A$40,0)),"?"))</f>
        <v/>
      </c>
      <c r="H309" s="22"/>
      <c r="I309" s="25" t="str">
        <f t="shared" si="14"/>
        <v/>
      </c>
    </row>
    <row r="310" spans="1:9" ht="15" customHeight="1" x14ac:dyDescent="0.25">
      <c r="A310" s="26"/>
      <c r="B310" s="17" t="str">
        <f t="shared" si="12"/>
        <v/>
      </c>
      <c r="C310" s="17" t="str">
        <f t="shared" si="13"/>
        <v/>
      </c>
      <c r="D310" s="27"/>
      <c r="E310" s="27"/>
      <c r="F310" s="28"/>
      <c r="G310" s="14" t="str">
        <f>IF($D310="","",IFERROR(INDEX(Einstellungen!$B$4:$B$40,MATCH($D310,Einstellungen!$A$4:$A$40,0)),"?"))</f>
        <v/>
      </c>
      <c r="H310" s="27"/>
      <c r="I310" s="11" t="str">
        <f t="shared" si="14"/>
        <v/>
      </c>
    </row>
    <row r="311" spans="1:9" ht="15" customHeight="1" x14ac:dyDescent="0.25">
      <c r="A311" s="20"/>
      <c r="B311" s="21" t="str">
        <f t="shared" si="12"/>
        <v/>
      </c>
      <c r="C311" s="21" t="str">
        <f t="shared" si="13"/>
        <v/>
      </c>
      <c r="D311" s="22"/>
      <c r="E311" s="22"/>
      <c r="F311" s="23"/>
      <c r="G311" s="24" t="str">
        <f>IF($D311="","",IFERROR(INDEX(Einstellungen!$B$4:$B$40,MATCH($D311,Einstellungen!$A$4:$A$40,0)),"?"))</f>
        <v/>
      </c>
      <c r="H311" s="22"/>
      <c r="I311" s="25" t="str">
        <f t="shared" si="14"/>
        <v/>
      </c>
    </row>
    <row r="312" spans="1:9" ht="15" customHeight="1" x14ac:dyDescent="0.25">
      <c r="A312" s="26"/>
      <c r="B312" s="17" t="str">
        <f t="shared" si="12"/>
        <v/>
      </c>
      <c r="C312" s="17" t="str">
        <f t="shared" si="13"/>
        <v/>
      </c>
      <c r="D312" s="27"/>
      <c r="E312" s="27"/>
      <c r="F312" s="28"/>
      <c r="G312" s="14" t="str">
        <f>IF($D312="","",IFERROR(INDEX(Einstellungen!$B$4:$B$40,MATCH($D312,Einstellungen!$A$4:$A$40,0)),"?"))</f>
        <v/>
      </c>
      <c r="H312" s="27"/>
      <c r="I312" s="11" t="str">
        <f t="shared" si="14"/>
        <v/>
      </c>
    </row>
    <row r="313" spans="1:9" ht="15" customHeight="1" x14ac:dyDescent="0.25">
      <c r="A313" s="20"/>
      <c r="B313" s="21" t="str">
        <f t="shared" si="12"/>
        <v/>
      </c>
      <c r="C313" s="21" t="str">
        <f t="shared" si="13"/>
        <v/>
      </c>
      <c r="D313" s="22"/>
      <c r="E313" s="22"/>
      <c r="F313" s="23"/>
      <c r="G313" s="24" t="str">
        <f>IF($D313="","",IFERROR(INDEX(Einstellungen!$B$4:$B$40,MATCH($D313,Einstellungen!$A$4:$A$40,0)),"?"))</f>
        <v/>
      </c>
      <c r="H313" s="22"/>
      <c r="I313" s="25" t="str">
        <f t="shared" si="14"/>
        <v/>
      </c>
    </row>
    <row r="314" spans="1:9" ht="15" customHeight="1" x14ac:dyDescent="0.25">
      <c r="A314" s="26"/>
      <c r="B314" s="17" t="str">
        <f t="shared" si="12"/>
        <v/>
      </c>
      <c r="C314" s="17" t="str">
        <f t="shared" si="13"/>
        <v/>
      </c>
      <c r="D314" s="27"/>
      <c r="E314" s="27"/>
      <c r="F314" s="28"/>
      <c r="G314" s="14" t="str">
        <f>IF($D314="","",IFERROR(INDEX(Einstellungen!$B$4:$B$40,MATCH($D314,Einstellungen!$A$4:$A$40,0)),"?"))</f>
        <v/>
      </c>
      <c r="H314" s="27"/>
      <c r="I314" s="11" t="str">
        <f t="shared" si="14"/>
        <v/>
      </c>
    </row>
    <row r="315" spans="1:9" ht="15" customHeight="1" x14ac:dyDescent="0.25">
      <c r="A315" s="20"/>
      <c r="B315" s="21" t="str">
        <f t="shared" si="12"/>
        <v/>
      </c>
      <c r="C315" s="21" t="str">
        <f t="shared" si="13"/>
        <v/>
      </c>
      <c r="D315" s="22"/>
      <c r="E315" s="22"/>
      <c r="F315" s="23"/>
      <c r="G315" s="24" t="str">
        <f>IF($D315="","",IFERROR(INDEX(Einstellungen!$B$4:$B$40,MATCH($D315,Einstellungen!$A$4:$A$40,0)),"?"))</f>
        <v/>
      </c>
      <c r="H315" s="22"/>
      <c r="I315" s="25" t="str">
        <f t="shared" si="14"/>
        <v/>
      </c>
    </row>
    <row r="316" spans="1:9" ht="15" customHeight="1" x14ac:dyDescent="0.25">
      <c r="A316" s="26"/>
      <c r="B316" s="17" t="str">
        <f t="shared" si="12"/>
        <v/>
      </c>
      <c r="C316" s="17" t="str">
        <f t="shared" si="13"/>
        <v/>
      </c>
      <c r="D316" s="27"/>
      <c r="E316" s="27"/>
      <c r="F316" s="28"/>
      <c r="G316" s="14" t="str">
        <f>IF($D316="","",IFERROR(INDEX(Einstellungen!$B$4:$B$40,MATCH($D316,Einstellungen!$A$4:$A$40,0)),"?"))</f>
        <v/>
      </c>
      <c r="H316" s="27"/>
      <c r="I316" s="11" t="str">
        <f t="shared" si="14"/>
        <v/>
      </c>
    </row>
    <row r="317" spans="1:9" ht="15" customHeight="1" x14ac:dyDescent="0.25">
      <c r="A317" s="20"/>
      <c r="B317" s="21" t="str">
        <f t="shared" si="12"/>
        <v/>
      </c>
      <c r="C317" s="21" t="str">
        <f t="shared" si="13"/>
        <v/>
      </c>
      <c r="D317" s="22"/>
      <c r="E317" s="22"/>
      <c r="F317" s="23"/>
      <c r="G317" s="24" t="str">
        <f>IF($D317="","",IFERROR(INDEX(Einstellungen!$B$4:$B$40,MATCH($D317,Einstellungen!$A$4:$A$40,0)),"?"))</f>
        <v/>
      </c>
      <c r="H317" s="22"/>
      <c r="I317" s="25" t="str">
        <f t="shared" si="14"/>
        <v/>
      </c>
    </row>
    <row r="318" spans="1:9" ht="15" customHeight="1" x14ac:dyDescent="0.25">
      <c r="A318" s="26"/>
      <c r="B318" s="17" t="str">
        <f t="shared" si="12"/>
        <v/>
      </c>
      <c r="C318" s="17" t="str">
        <f t="shared" si="13"/>
        <v/>
      </c>
      <c r="D318" s="27"/>
      <c r="E318" s="27"/>
      <c r="F318" s="28"/>
      <c r="G318" s="14" t="str">
        <f>IF($D318="","",IFERROR(INDEX(Einstellungen!$B$4:$B$40,MATCH($D318,Einstellungen!$A$4:$A$40,0)),"?"))</f>
        <v/>
      </c>
      <c r="H318" s="27"/>
      <c r="I318" s="11" t="str">
        <f t="shared" si="14"/>
        <v/>
      </c>
    </row>
    <row r="319" spans="1:9" ht="15" customHeight="1" x14ac:dyDescent="0.25">
      <c r="A319" s="20"/>
      <c r="B319" s="21" t="str">
        <f t="shared" si="12"/>
        <v/>
      </c>
      <c r="C319" s="21" t="str">
        <f t="shared" si="13"/>
        <v/>
      </c>
      <c r="D319" s="22"/>
      <c r="E319" s="22"/>
      <c r="F319" s="23"/>
      <c r="G319" s="24" t="str">
        <f>IF($D319="","",IFERROR(INDEX(Einstellungen!$B$4:$B$40,MATCH($D319,Einstellungen!$A$4:$A$40,0)),"?"))</f>
        <v/>
      </c>
      <c r="H319" s="22"/>
      <c r="I319" s="25" t="str">
        <f t="shared" si="14"/>
        <v/>
      </c>
    </row>
    <row r="320" spans="1:9" ht="15" customHeight="1" x14ac:dyDescent="0.25">
      <c r="A320" s="26"/>
      <c r="B320" s="17" t="str">
        <f t="shared" si="12"/>
        <v/>
      </c>
      <c r="C320" s="17" t="str">
        <f t="shared" si="13"/>
        <v/>
      </c>
      <c r="D320" s="27"/>
      <c r="E320" s="27"/>
      <c r="F320" s="28"/>
      <c r="G320" s="14" t="str">
        <f>IF($D320="","",IFERROR(INDEX(Einstellungen!$B$4:$B$40,MATCH($D320,Einstellungen!$A$4:$A$40,0)),"?"))</f>
        <v/>
      </c>
      <c r="H320" s="27"/>
      <c r="I320" s="11" t="str">
        <f t="shared" si="14"/>
        <v/>
      </c>
    </row>
    <row r="321" spans="1:9" ht="15" customHeight="1" x14ac:dyDescent="0.25">
      <c r="A321" s="20"/>
      <c r="B321" s="21" t="str">
        <f t="shared" si="12"/>
        <v/>
      </c>
      <c r="C321" s="21" t="str">
        <f t="shared" si="13"/>
        <v/>
      </c>
      <c r="D321" s="22"/>
      <c r="E321" s="22"/>
      <c r="F321" s="23"/>
      <c r="G321" s="24" t="str">
        <f>IF($D321="","",IFERROR(INDEX(Einstellungen!$B$4:$B$40,MATCH($D321,Einstellungen!$A$4:$A$40,0)),"?"))</f>
        <v/>
      </c>
      <c r="H321" s="22"/>
      <c r="I321" s="25" t="str">
        <f t="shared" si="14"/>
        <v/>
      </c>
    </row>
    <row r="322" spans="1:9" ht="15" customHeight="1" x14ac:dyDescent="0.25">
      <c r="A322" s="26"/>
      <c r="B322" s="17" t="str">
        <f t="shared" si="12"/>
        <v/>
      </c>
      <c r="C322" s="17" t="str">
        <f t="shared" si="13"/>
        <v/>
      </c>
      <c r="D322" s="27"/>
      <c r="E322" s="27"/>
      <c r="F322" s="28"/>
      <c r="G322" s="14" t="str">
        <f>IF($D322="","",IFERROR(INDEX(Einstellungen!$B$4:$B$40,MATCH($D322,Einstellungen!$A$4:$A$40,0)),"?"))</f>
        <v/>
      </c>
      <c r="H322" s="27"/>
      <c r="I322" s="11" t="str">
        <f t="shared" si="14"/>
        <v/>
      </c>
    </row>
    <row r="323" spans="1:9" ht="15" customHeight="1" x14ac:dyDescent="0.25">
      <c r="A323" s="20"/>
      <c r="B323" s="21" t="str">
        <f t="shared" si="12"/>
        <v/>
      </c>
      <c r="C323" s="21" t="str">
        <f t="shared" si="13"/>
        <v/>
      </c>
      <c r="D323" s="22"/>
      <c r="E323" s="22"/>
      <c r="F323" s="23"/>
      <c r="G323" s="24" t="str">
        <f>IF($D323="","",IFERROR(INDEX(Einstellungen!$B$4:$B$40,MATCH($D323,Einstellungen!$A$4:$A$40,0)),"?"))</f>
        <v/>
      </c>
      <c r="H323" s="22"/>
      <c r="I323" s="25" t="str">
        <f t="shared" si="14"/>
        <v/>
      </c>
    </row>
    <row r="324" spans="1:9" ht="15" customHeight="1" x14ac:dyDescent="0.25">
      <c r="A324" s="26"/>
      <c r="B324" s="17" t="str">
        <f t="shared" ref="B324:B387" si="15">IF($A324="","",YEAR($A324))</f>
        <v/>
      </c>
      <c r="C324" s="17" t="str">
        <f t="shared" ref="C324:C387" si="16">IF($A324="","",MONTH($A324))</f>
        <v/>
      </c>
      <c r="D324" s="27"/>
      <c r="E324" s="27"/>
      <c r="F324" s="28"/>
      <c r="G324" s="14" t="str">
        <f>IF($D324="","",IFERROR(INDEX(Einstellungen!$B$4:$B$40,MATCH($D324,Einstellungen!$A$4:$A$40,0)),"?"))</f>
        <v/>
      </c>
      <c r="H324" s="27"/>
      <c r="I324" s="11" t="str">
        <f t="shared" ref="I324:I387" si="17">IF($F324="","",IF($G324="Einnahme",$F324,-$F324))</f>
        <v/>
      </c>
    </row>
    <row r="325" spans="1:9" ht="15" customHeight="1" x14ac:dyDescent="0.25">
      <c r="A325" s="20"/>
      <c r="B325" s="21" t="str">
        <f t="shared" si="15"/>
        <v/>
      </c>
      <c r="C325" s="21" t="str">
        <f t="shared" si="16"/>
        <v/>
      </c>
      <c r="D325" s="22"/>
      <c r="E325" s="22"/>
      <c r="F325" s="23"/>
      <c r="G325" s="24" t="str">
        <f>IF($D325="","",IFERROR(INDEX(Einstellungen!$B$4:$B$40,MATCH($D325,Einstellungen!$A$4:$A$40,0)),"?"))</f>
        <v/>
      </c>
      <c r="H325" s="22"/>
      <c r="I325" s="25" t="str">
        <f t="shared" si="17"/>
        <v/>
      </c>
    </row>
    <row r="326" spans="1:9" ht="15" customHeight="1" x14ac:dyDescent="0.25">
      <c r="A326" s="26"/>
      <c r="B326" s="17" t="str">
        <f t="shared" si="15"/>
        <v/>
      </c>
      <c r="C326" s="17" t="str">
        <f t="shared" si="16"/>
        <v/>
      </c>
      <c r="D326" s="27"/>
      <c r="E326" s="27"/>
      <c r="F326" s="28"/>
      <c r="G326" s="14" t="str">
        <f>IF($D326="","",IFERROR(INDEX(Einstellungen!$B$4:$B$40,MATCH($D326,Einstellungen!$A$4:$A$40,0)),"?"))</f>
        <v/>
      </c>
      <c r="H326" s="27"/>
      <c r="I326" s="11" t="str">
        <f t="shared" si="17"/>
        <v/>
      </c>
    </row>
    <row r="327" spans="1:9" ht="15" customHeight="1" x14ac:dyDescent="0.25">
      <c r="A327" s="20"/>
      <c r="B327" s="21" t="str">
        <f t="shared" si="15"/>
        <v/>
      </c>
      <c r="C327" s="21" t="str">
        <f t="shared" si="16"/>
        <v/>
      </c>
      <c r="D327" s="22"/>
      <c r="E327" s="22"/>
      <c r="F327" s="23"/>
      <c r="G327" s="24" t="str">
        <f>IF($D327="","",IFERROR(INDEX(Einstellungen!$B$4:$B$40,MATCH($D327,Einstellungen!$A$4:$A$40,0)),"?"))</f>
        <v/>
      </c>
      <c r="H327" s="22"/>
      <c r="I327" s="25" t="str">
        <f t="shared" si="17"/>
        <v/>
      </c>
    </row>
    <row r="328" spans="1:9" ht="15" customHeight="1" x14ac:dyDescent="0.25">
      <c r="A328" s="26"/>
      <c r="B328" s="17" t="str">
        <f t="shared" si="15"/>
        <v/>
      </c>
      <c r="C328" s="17" t="str">
        <f t="shared" si="16"/>
        <v/>
      </c>
      <c r="D328" s="27"/>
      <c r="E328" s="27"/>
      <c r="F328" s="28"/>
      <c r="G328" s="14" t="str">
        <f>IF($D328="","",IFERROR(INDEX(Einstellungen!$B$4:$B$40,MATCH($D328,Einstellungen!$A$4:$A$40,0)),"?"))</f>
        <v/>
      </c>
      <c r="H328" s="27"/>
      <c r="I328" s="11" t="str">
        <f t="shared" si="17"/>
        <v/>
      </c>
    </row>
    <row r="329" spans="1:9" ht="15" customHeight="1" x14ac:dyDescent="0.25">
      <c r="A329" s="20"/>
      <c r="B329" s="21" t="str">
        <f t="shared" si="15"/>
        <v/>
      </c>
      <c r="C329" s="21" t="str">
        <f t="shared" si="16"/>
        <v/>
      </c>
      <c r="D329" s="22"/>
      <c r="E329" s="22"/>
      <c r="F329" s="23"/>
      <c r="G329" s="24" t="str">
        <f>IF($D329="","",IFERROR(INDEX(Einstellungen!$B$4:$B$40,MATCH($D329,Einstellungen!$A$4:$A$40,0)),"?"))</f>
        <v/>
      </c>
      <c r="H329" s="22"/>
      <c r="I329" s="25" t="str">
        <f t="shared" si="17"/>
        <v/>
      </c>
    </row>
    <row r="330" spans="1:9" ht="15" customHeight="1" x14ac:dyDescent="0.25">
      <c r="A330" s="26"/>
      <c r="B330" s="17" t="str">
        <f t="shared" si="15"/>
        <v/>
      </c>
      <c r="C330" s="17" t="str">
        <f t="shared" si="16"/>
        <v/>
      </c>
      <c r="D330" s="27"/>
      <c r="E330" s="27"/>
      <c r="F330" s="28"/>
      <c r="G330" s="14" t="str">
        <f>IF($D330="","",IFERROR(INDEX(Einstellungen!$B$4:$B$40,MATCH($D330,Einstellungen!$A$4:$A$40,0)),"?"))</f>
        <v/>
      </c>
      <c r="H330" s="27"/>
      <c r="I330" s="11" t="str">
        <f t="shared" si="17"/>
        <v/>
      </c>
    </row>
    <row r="331" spans="1:9" ht="15" customHeight="1" x14ac:dyDescent="0.25">
      <c r="A331" s="20"/>
      <c r="B331" s="21" t="str">
        <f t="shared" si="15"/>
        <v/>
      </c>
      <c r="C331" s="21" t="str">
        <f t="shared" si="16"/>
        <v/>
      </c>
      <c r="D331" s="22"/>
      <c r="E331" s="22"/>
      <c r="F331" s="23"/>
      <c r="G331" s="24" t="str">
        <f>IF($D331="","",IFERROR(INDEX(Einstellungen!$B$4:$B$40,MATCH($D331,Einstellungen!$A$4:$A$40,0)),"?"))</f>
        <v/>
      </c>
      <c r="H331" s="22"/>
      <c r="I331" s="25" t="str">
        <f t="shared" si="17"/>
        <v/>
      </c>
    </row>
    <row r="332" spans="1:9" ht="15" customHeight="1" x14ac:dyDescent="0.25">
      <c r="A332" s="26"/>
      <c r="B332" s="17" t="str">
        <f t="shared" si="15"/>
        <v/>
      </c>
      <c r="C332" s="17" t="str">
        <f t="shared" si="16"/>
        <v/>
      </c>
      <c r="D332" s="27"/>
      <c r="E332" s="27"/>
      <c r="F332" s="28"/>
      <c r="G332" s="14" t="str">
        <f>IF($D332="","",IFERROR(INDEX(Einstellungen!$B$4:$B$40,MATCH($D332,Einstellungen!$A$4:$A$40,0)),"?"))</f>
        <v/>
      </c>
      <c r="H332" s="27"/>
      <c r="I332" s="11" t="str">
        <f t="shared" si="17"/>
        <v/>
      </c>
    </row>
    <row r="333" spans="1:9" ht="15" customHeight="1" x14ac:dyDescent="0.25">
      <c r="A333" s="20"/>
      <c r="B333" s="21" t="str">
        <f t="shared" si="15"/>
        <v/>
      </c>
      <c r="C333" s="21" t="str">
        <f t="shared" si="16"/>
        <v/>
      </c>
      <c r="D333" s="22"/>
      <c r="E333" s="22"/>
      <c r="F333" s="23"/>
      <c r="G333" s="24" t="str">
        <f>IF($D333="","",IFERROR(INDEX(Einstellungen!$B$4:$B$40,MATCH($D333,Einstellungen!$A$4:$A$40,0)),"?"))</f>
        <v/>
      </c>
      <c r="H333" s="22"/>
      <c r="I333" s="25" t="str">
        <f t="shared" si="17"/>
        <v/>
      </c>
    </row>
    <row r="334" spans="1:9" ht="15" customHeight="1" x14ac:dyDescent="0.25">
      <c r="A334" s="26"/>
      <c r="B334" s="17" t="str">
        <f t="shared" si="15"/>
        <v/>
      </c>
      <c r="C334" s="17" t="str">
        <f t="shared" si="16"/>
        <v/>
      </c>
      <c r="D334" s="27"/>
      <c r="E334" s="27"/>
      <c r="F334" s="28"/>
      <c r="G334" s="14" t="str">
        <f>IF($D334="","",IFERROR(INDEX(Einstellungen!$B$4:$B$40,MATCH($D334,Einstellungen!$A$4:$A$40,0)),"?"))</f>
        <v/>
      </c>
      <c r="H334" s="27"/>
      <c r="I334" s="11" t="str">
        <f t="shared" si="17"/>
        <v/>
      </c>
    </row>
    <row r="335" spans="1:9" ht="15" customHeight="1" x14ac:dyDescent="0.25">
      <c r="A335" s="20"/>
      <c r="B335" s="21" t="str">
        <f t="shared" si="15"/>
        <v/>
      </c>
      <c r="C335" s="21" t="str">
        <f t="shared" si="16"/>
        <v/>
      </c>
      <c r="D335" s="22"/>
      <c r="E335" s="22"/>
      <c r="F335" s="23"/>
      <c r="G335" s="24" t="str">
        <f>IF($D335="","",IFERROR(INDEX(Einstellungen!$B$4:$B$40,MATCH($D335,Einstellungen!$A$4:$A$40,0)),"?"))</f>
        <v/>
      </c>
      <c r="H335" s="22"/>
      <c r="I335" s="25" t="str">
        <f t="shared" si="17"/>
        <v/>
      </c>
    </row>
    <row r="336" spans="1:9" ht="15" customHeight="1" x14ac:dyDescent="0.25">
      <c r="A336" s="26"/>
      <c r="B336" s="17" t="str">
        <f t="shared" si="15"/>
        <v/>
      </c>
      <c r="C336" s="17" t="str">
        <f t="shared" si="16"/>
        <v/>
      </c>
      <c r="D336" s="27"/>
      <c r="E336" s="27"/>
      <c r="F336" s="28"/>
      <c r="G336" s="14" t="str">
        <f>IF($D336="","",IFERROR(INDEX(Einstellungen!$B$4:$B$40,MATCH($D336,Einstellungen!$A$4:$A$40,0)),"?"))</f>
        <v/>
      </c>
      <c r="H336" s="27"/>
      <c r="I336" s="11" t="str">
        <f t="shared" si="17"/>
        <v/>
      </c>
    </row>
    <row r="337" spans="1:9" ht="15" customHeight="1" x14ac:dyDescent="0.25">
      <c r="A337" s="20"/>
      <c r="B337" s="21" t="str">
        <f t="shared" si="15"/>
        <v/>
      </c>
      <c r="C337" s="21" t="str">
        <f t="shared" si="16"/>
        <v/>
      </c>
      <c r="D337" s="22"/>
      <c r="E337" s="22"/>
      <c r="F337" s="23"/>
      <c r="G337" s="24" t="str">
        <f>IF($D337="","",IFERROR(INDEX(Einstellungen!$B$4:$B$40,MATCH($D337,Einstellungen!$A$4:$A$40,0)),"?"))</f>
        <v/>
      </c>
      <c r="H337" s="22"/>
      <c r="I337" s="25" t="str">
        <f t="shared" si="17"/>
        <v/>
      </c>
    </row>
    <row r="338" spans="1:9" ht="15" customHeight="1" x14ac:dyDescent="0.25">
      <c r="A338" s="26"/>
      <c r="B338" s="17" t="str">
        <f t="shared" si="15"/>
        <v/>
      </c>
      <c r="C338" s="17" t="str">
        <f t="shared" si="16"/>
        <v/>
      </c>
      <c r="D338" s="27"/>
      <c r="E338" s="27"/>
      <c r="F338" s="28"/>
      <c r="G338" s="14" t="str">
        <f>IF($D338="","",IFERROR(INDEX(Einstellungen!$B$4:$B$40,MATCH($D338,Einstellungen!$A$4:$A$40,0)),"?"))</f>
        <v/>
      </c>
      <c r="H338" s="27"/>
      <c r="I338" s="11" t="str">
        <f t="shared" si="17"/>
        <v/>
      </c>
    </row>
    <row r="339" spans="1:9" ht="15" customHeight="1" x14ac:dyDescent="0.25">
      <c r="A339" s="20"/>
      <c r="B339" s="21" t="str">
        <f t="shared" si="15"/>
        <v/>
      </c>
      <c r="C339" s="21" t="str">
        <f t="shared" si="16"/>
        <v/>
      </c>
      <c r="D339" s="22"/>
      <c r="E339" s="22"/>
      <c r="F339" s="23"/>
      <c r="G339" s="24" t="str">
        <f>IF($D339="","",IFERROR(INDEX(Einstellungen!$B$4:$B$40,MATCH($D339,Einstellungen!$A$4:$A$40,0)),"?"))</f>
        <v/>
      </c>
      <c r="H339" s="22"/>
      <c r="I339" s="25" t="str">
        <f t="shared" si="17"/>
        <v/>
      </c>
    </row>
    <row r="340" spans="1:9" ht="15" customHeight="1" x14ac:dyDescent="0.25">
      <c r="A340" s="26"/>
      <c r="B340" s="17" t="str">
        <f t="shared" si="15"/>
        <v/>
      </c>
      <c r="C340" s="17" t="str">
        <f t="shared" si="16"/>
        <v/>
      </c>
      <c r="D340" s="27"/>
      <c r="E340" s="27"/>
      <c r="F340" s="28"/>
      <c r="G340" s="14" t="str">
        <f>IF($D340="","",IFERROR(INDEX(Einstellungen!$B$4:$B$40,MATCH($D340,Einstellungen!$A$4:$A$40,0)),"?"))</f>
        <v/>
      </c>
      <c r="H340" s="27"/>
      <c r="I340" s="11" t="str">
        <f t="shared" si="17"/>
        <v/>
      </c>
    </row>
    <row r="341" spans="1:9" ht="15" customHeight="1" x14ac:dyDescent="0.25">
      <c r="A341" s="20"/>
      <c r="B341" s="21" t="str">
        <f t="shared" si="15"/>
        <v/>
      </c>
      <c r="C341" s="21" t="str">
        <f t="shared" si="16"/>
        <v/>
      </c>
      <c r="D341" s="22"/>
      <c r="E341" s="22"/>
      <c r="F341" s="23"/>
      <c r="G341" s="24" t="str">
        <f>IF($D341="","",IFERROR(INDEX(Einstellungen!$B$4:$B$40,MATCH($D341,Einstellungen!$A$4:$A$40,0)),"?"))</f>
        <v/>
      </c>
      <c r="H341" s="22"/>
      <c r="I341" s="25" t="str">
        <f t="shared" si="17"/>
        <v/>
      </c>
    </row>
    <row r="342" spans="1:9" ht="15" customHeight="1" x14ac:dyDescent="0.25">
      <c r="A342" s="26"/>
      <c r="B342" s="17" t="str">
        <f t="shared" si="15"/>
        <v/>
      </c>
      <c r="C342" s="17" t="str">
        <f t="shared" si="16"/>
        <v/>
      </c>
      <c r="D342" s="27"/>
      <c r="E342" s="27"/>
      <c r="F342" s="28"/>
      <c r="G342" s="14" t="str">
        <f>IF($D342="","",IFERROR(INDEX(Einstellungen!$B$4:$B$40,MATCH($D342,Einstellungen!$A$4:$A$40,0)),"?"))</f>
        <v/>
      </c>
      <c r="H342" s="27"/>
      <c r="I342" s="11" t="str">
        <f t="shared" si="17"/>
        <v/>
      </c>
    </row>
    <row r="343" spans="1:9" ht="15" customHeight="1" x14ac:dyDescent="0.25">
      <c r="A343" s="20"/>
      <c r="B343" s="21" t="str">
        <f t="shared" si="15"/>
        <v/>
      </c>
      <c r="C343" s="21" t="str">
        <f t="shared" si="16"/>
        <v/>
      </c>
      <c r="D343" s="22"/>
      <c r="E343" s="22"/>
      <c r="F343" s="23"/>
      <c r="G343" s="24" t="str">
        <f>IF($D343="","",IFERROR(INDEX(Einstellungen!$B$4:$B$40,MATCH($D343,Einstellungen!$A$4:$A$40,0)),"?"))</f>
        <v/>
      </c>
      <c r="H343" s="22"/>
      <c r="I343" s="25" t="str">
        <f t="shared" si="17"/>
        <v/>
      </c>
    </row>
    <row r="344" spans="1:9" ht="15" customHeight="1" x14ac:dyDescent="0.25">
      <c r="A344" s="26"/>
      <c r="B344" s="17" t="str">
        <f t="shared" si="15"/>
        <v/>
      </c>
      <c r="C344" s="17" t="str">
        <f t="shared" si="16"/>
        <v/>
      </c>
      <c r="D344" s="27"/>
      <c r="E344" s="27"/>
      <c r="F344" s="28"/>
      <c r="G344" s="14" t="str">
        <f>IF($D344="","",IFERROR(INDEX(Einstellungen!$B$4:$B$40,MATCH($D344,Einstellungen!$A$4:$A$40,0)),"?"))</f>
        <v/>
      </c>
      <c r="H344" s="27"/>
      <c r="I344" s="11" t="str">
        <f t="shared" si="17"/>
        <v/>
      </c>
    </row>
    <row r="345" spans="1:9" ht="15" customHeight="1" x14ac:dyDescent="0.25">
      <c r="A345" s="20"/>
      <c r="B345" s="21" t="str">
        <f t="shared" si="15"/>
        <v/>
      </c>
      <c r="C345" s="21" t="str">
        <f t="shared" si="16"/>
        <v/>
      </c>
      <c r="D345" s="22"/>
      <c r="E345" s="22"/>
      <c r="F345" s="23"/>
      <c r="G345" s="24" t="str">
        <f>IF($D345="","",IFERROR(INDEX(Einstellungen!$B$4:$B$40,MATCH($D345,Einstellungen!$A$4:$A$40,0)),"?"))</f>
        <v/>
      </c>
      <c r="H345" s="22"/>
      <c r="I345" s="25" t="str">
        <f t="shared" si="17"/>
        <v/>
      </c>
    </row>
    <row r="346" spans="1:9" ht="15" customHeight="1" x14ac:dyDescent="0.25">
      <c r="A346" s="26"/>
      <c r="B346" s="17" t="str">
        <f t="shared" si="15"/>
        <v/>
      </c>
      <c r="C346" s="17" t="str">
        <f t="shared" si="16"/>
        <v/>
      </c>
      <c r="D346" s="27"/>
      <c r="E346" s="27"/>
      <c r="F346" s="28"/>
      <c r="G346" s="14" t="str">
        <f>IF($D346="","",IFERROR(INDEX(Einstellungen!$B$4:$B$40,MATCH($D346,Einstellungen!$A$4:$A$40,0)),"?"))</f>
        <v/>
      </c>
      <c r="H346" s="27"/>
      <c r="I346" s="11" t="str">
        <f t="shared" si="17"/>
        <v/>
      </c>
    </row>
    <row r="347" spans="1:9" ht="15" customHeight="1" x14ac:dyDescent="0.25">
      <c r="A347" s="20"/>
      <c r="B347" s="21" t="str">
        <f t="shared" si="15"/>
        <v/>
      </c>
      <c r="C347" s="21" t="str">
        <f t="shared" si="16"/>
        <v/>
      </c>
      <c r="D347" s="22"/>
      <c r="E347" s="22"/>
      <c r="F347" s="23"/>
      <c r="G347" s="24" t="str">
        <f>IF($D347="","",IFERROR(INDEX(Einstellungen!$B$4:$B$40,MATCH($D347,Einstellungen!$A$4:$A$40,0)),"?"))</f>
        <v/>
      </c>
      <c r="H347" s="22"/>
      <c r="I347" s="25" t="str">
        <f t="shared" si="17"/>
        <v/>
      </c>
    </row>
    <row r="348" spans="1:9" ht="15" customHeight="1" x14ac:dyDescent="0.25">
      <c r="A348" s="26"/>
      <c r="B348" s="17" t="str">
        <f t="shared" si="15"/>
        <v/>
      </c>
      <c r="C348" s="17" t="str">
        <f t="shared" si="16"/>
        <v/>
      </c>
      <c r="D348" s="27"/>
      <c r="E348" s="27"/>
      <c r="F348" s="28"/>
      <c r="G348" s="14" t="str">
        <f>IF($D348="","",IFERROR(INDEX(Einstellungen!$B$4:$B$40,MATCH($D348,Einstellungen!$A$4:$A$40,0)),"?"))</f>
        <v/>
      </c>
      <c r="H348" s="27"/>
      <c r="I348" s="11" t="str">
        <f t="shared" si="17"/>
        <v/>
      </c>
    </row>
    <row r="349" spans="1:9" ht="15" customHeight="1" x14ac:dyDescent="0.25">
      <c r="A349" s="20"/>
      <c r="B349" s="21" t="str">
        <f t="shared" si="15"/>
        <v/>
      </c>
      <c r="C349" s="21" t="str">
        <f t="shared" si="16"/>
        <v/>
      </c>
      <c r="D349" s="22"/>
      <c r="E349" s="22"/>
      <c r="F349" s="23"/>
      <c r="G349" s="24" t="str">
        <f>IF($D349="","",IFERROR(INDEX(Einstellungen!$B$4:$B$40,MATCH($D349,Einstellungen!$A$4:$A$40,0)),"?"))</f>
        <v/>
      </c>
      <c r="H349" s="22"/>
      <c r="I349" s="25" t="str">
        <f t="shared" si="17"/>
        <v/>
      </c>
    </row>
    <row r="350" spans="1:9" ht="15" customHeight="1" x14ac:dyDescent="0.25">
      <c r="A350" s="26"/>
      <c r="B350" s="17" t="str">
        <f t="shared" si="15"/>
        <v/>
      </c>
      <c r="C350" s="17" t="str">
        <f t="shared" si="16"/>
        <v/>
      </c>
      <c r="D350" s="27"/>
      <c r="E350" s="27"/>
      <c r="F350" s="28"/>
      <c r="G350" s="14" t="str">
        <f>IF($D350="","",IFERROR(INDEX(Einstellungen!$B$4:$B$40,MATCH($D350,Einstellungen!$A$4:$A$40,0)),"?"))</f>
        <v/>
      </c>
      <c r="H350" s="27"/>
      <c r="I350" s="11" t="str">
        <f t="shared" si="17"/>
        <v/>
      </c>
    </row>
    <row r="351" spans="1:9" ht="15" customHeight="1" x14ac:dyDescent="0.25">
      <c r="A351" s="20"/>
      <c r="B351" s="21" t="str">
        <f t="shared" si="15"/>
        <v/>
      </c>
      <c r="C351" s="21" t="str">
        <f t="shared" si="16"/>
        <v/>
      </c>
      <c r="D351" s="22"/>
      <c r="E351" s="22"/>
      <c r="F351" s="23"/>
      <c r="G351" s="24" t="str">
        <f>IF($D351="","",IFERROR(INDEX(Einstellungen!$B$4:$B$40,MATCH($D351,Einstellungen!$A$4:$A$40,0)),"?"))</f>
        <v/>
      </c>
      <c r="H351" s="22"/>
      <c r="I351" s="25" t="str">
        <f t="shared" si="17"/>
        <v/>
      </c>
    </row>
    <row r="352" spans="1:9" ht="15" customHeight="1" x14ac:dyDescent="0.25">
      <c r="A352" s="26"/>
      <c r="B352" s="17" t="str">
        <f t="shared" si="15"/>
        <v/>
      </c>
      <c r="C352" s="17" t="str">
        <f t="shared" si="16"/>
        <v/>
      </c>
      <c r="D352" s="27"/>
      <c r="E352" s="27"/>
      <c r="F352" s="28"/>
      <c r="G352" s="14" t="str">
        <f>IF($D352="","",IFERROR(INDEX(Einstellungen!$B$4:$B$40,MATCH($D352,Einstellungen!$A$4:$A$40,0)),"?"))</f>
        <v/>
      </c>
      <c r="H352" s="27"/>
      <c r="I352" s="11" t="str">
        <f t="shared" si="17"/>
        <v/>
      </c>
    </row>
    <row r="353" spans="1:9" ht="15" customHeight="1" x14ac:dyDescent="0.25">
      <c r="A353" s="20"/>
      <c r="B353" s="21" t="str">
        <f t="shared" si="15"/>
        <v/>
      </c>
      <c r="C353" s="21" t="str">
        <f t="shared" si="16"/>
        <v/>
      </c>
      <c r="D353" s="22"/>
      <c r="E353" s="22"/>
      <c r="F353" s="23"/>
      <c r="G353" s="24" t="str">
        <f>IF($D353="","",IFERROR(INDEX(Einstellungen!$B$4:$B$40,MATCH($D353,Einstellungen!$A$4:$A$40,0)),"?"))</f>
        <v/>
      </c>
      <c r="H353" s="22"/>
      <c r="I353" s="25" t="str">
        <f t="shared" si="17"/>
        <v/>
      </c>
    </row>
    <row r="354" spans="1:9" ht="15" customHeight="1" x14ac:dyDescent="0.25">
      <c r="A354" s="26"/>
      <c r="B354" s="17" t="str">
        <f t="shared" si="15"/>
        <v/>
      </c>
      <c r="C354" s="17" t="str">
        <f t="shared" si="16"/>
        <v/>
      </c>
      <c r="D354" s="27"/>
      <c r="E354" s="27"/>
      <c r="F354" s="28"/>
      <c r="G354" s="14" t="str">
        <f>IF($D354="","",IFERROR(INDEX(Einstellungen!$B$4:$B$40,MATCH($D354,Einstellungen!$A$4:$A$40,0)),"?"))</f>
        <v/>
      </c>
      <c r="H354" s="27"/>
      <c r="I354" s="11" t="str">
        <f t="shared" si="17"/>
        <v/>
      </c>
    </row>
    <row r="355" spans="1:9" ht="15" customHeight="1" x14ac:dyDescent="0.25">
      <c r="A355" s="20"/>
      <c r="B355" s="21" t="str">
        <f t="shared" si="15"/>
        <v/>
      </c>
      <c r="C355" s="21" t="str">
        <f t="shared" si="16"/>
        <v/>
      </c>
      <c r="D355" s="22"/>
      <c r="E355" s="22"/>
      <c r="F355" s="23"/>
      <c r="G355" s="24" t="str">
        <f>IF($D355="","",IFERROR(INDEX(Einstellungen!$B$4:$B$40,MATCH($D355,Einstellungen!$A$4:$A$40,0)),"?"))</f>
        <v/>
      </c>
      <c r="H355" s="22"/>
      <c r="I355" s="25" t="str">
        <f t="shared" si="17"/>
        <v/>
      </c>
    </row>
    <row r="356" spans="1:9" ht="15" customHeight="1" x14ac:dyDescent="0.25">
      <c r="A356" s="26"/>
      <c r="B356" s="17" t="str">
        <f t="shared" si="15"/>
        <v/>
      </c>
      <c r="C356" s="17" t="str">
        <f t="shared" si="16"/>
        <v/>
      </c>
      <c r="D356" s="27"/>
      <c r="E356" s="27"/>
      <c r="F356" s="28"/>
      <c r="G356" s="14" t="str">
        <f>IF($D356="","",IFERROR(INDEX(Einstellungen!$B$4:$B$40,MATCH($D356,Einstellungen!$A$4:$A$40,0)),"?"))</f>
        <v/>
      </c>
      <c r="H356" s="27"/>
      <c r="I356" s="11" t="str">
        <f t="shared" si="17"/>
        <v/>
      </c>
    </row>
    <row r="357" spans="1:9" ht="15" customHeight="1" x14ac:dyDescent="0.25">
      <c r="A357" s="20"/>
      <c r="B357" s="21" t="str">
        <f t="shared" si="15"/>
        <v/>
      </c>
      <c r="C357" s="21" t="str">
        <f t="shared" si="16"/>
        <v/>
      </c>
      <c r="D357" s="22"/>
      <c r="E357" s="22"/>
      <c r="F357" s="23"/>
      <c r="G357" s="24" t="str">
        <f>IF($D357="","",IFERROR(INDEX(Einstellungen!$B$4:$B$40,MATCH($D357,Einstellungen!$A$4:$A$40,0)),"?"))</f>
        <v/>
      </c>
      <c r="H357" s="22"/>
      <c r="I357" s="25" t="str">
        <f t="shared" si="17"/>
        <v/>
      </c>
    </row>
    <row r="358" spans="1:9" ht="15" customHeight="1" x14ac:dyDescent="0.25">
      <c r="A358" s="26"/>
      <c r="B358" s="17" t="str">
        <f t="shared" si="15"/>
        <v/>
      </c>
      <c r="C358" s="17" t="str">
        <f t="shared" si="16"/>
        <v/>
      </c>
      <c r="D358" s="27"/>
      <c r="E358" s="27"/>
      <c r="F358" s="28"/>
      <c r="G358" s="14" t="str">
        <f>IF($D358="","",IFERROR(INDEX(Einstellungen!$B$4:$B$40,MATCH($D358,Einstellungen!$A$4:$A$40,0)),"?"))</f>
        <v/>
      </c>
      <c r="H358" s="27"/>
      <c r="I358" s="11" t="str">
        <f t="shared" si="17"/>
        <v/>
      </c>
    </row>
    <row r="359" spans="1:9" ht="15" customHeight="1" x14ac:dyDescent="0.25">
      <c r="A359" s="20"/>
      <c r="B359" s="21" t="str">
        <f t="shared" si="15"/>
        <v/>
      </c>
      <c r="C359" s="21" t="str">
        <f t="shared" si="16"/>
        <v/>
      </c>
      <c r="D359" s="22"/>
      <c r="E359" s="22"/>
      <c r="F359" s="23"/>
      <c r="G359" s="24" t="str">
        <f>IF($D359="","",IFERROR(INDEX(Einstellungen!$B$4:$B$40,MATCH($D359,Einstellungen!$A$4:$A$40,0)),"?"))</f>
        <v/>
      </c>
      <c r="H359" s="22"/>
      <c r="I359" s="25" t="str">
        <f t="shared" si="17"/>
        <v/>
      </c>
    </row>
    <row r="360" spans="1:9" ht="15" customHeight="1" x14ac:dyDescent="0.25">
      <c r="A360" s="26"/>
      <c r="B360" s="17" t="str">
        <f t="shared" si="15"/>
        <v/>
      </c>
      <c r="C360" s="17" t="str">
        <f t="shared" si="16"/>
        <v/>
      </c>
      <c r="D360" s="27"/>
      <c r="E360" s="27"/>
      <c r="F360" s="28"/>
      <c r="G360" s="14" t="str">
        <f>IF($D360="","",IFERROR(INDEX(Einstellungen!$B$4:$B$40,MATCH($D360,Einstellungen!$A$4:$A$40,0)),"?"))</f>
        <v/>
      </c>
      <c r="H360" s="27"/>
      <c r="I360" s="11" t="str">
        <f t="shared" si="17"/>
        <v/>
      </c>
    </row>
    <row r="361" spans="1:9" ht="15" customHeight="1" x14ac:dyDescent="0.25">
      <c r="A361" s="20"/>
      <c r="B361" s="21" t="str">
        <f t="shared" si="15"/>
        <v/>
      </c>
      <c r="C361" s="21" t="str">
        <f t="shared" si="16"/>
        <v/>
      </c>
      <c r="D361" s="22"/>
      <c r="E361" s="22"/>
      <c r="F361" s="23"/>
      <c r="G361" s="24" t="str">
        <f>IF($D361="","",IFERROR(INDEX(Einstellungen!$B$4:$B$40,MATCH($D361,Einstellungen!$A$4:$A$40,0)),"?"))</f>
        <v/>
      </c>
      <c r="H361" s="22"/>
      <c r="I361" s="25" t="str">
        <f t="shared" si="17"/>
        <v/>
      </c>
    </row>
    <row r="362" spans="1:9" ht="15" customHeight="1" x14ac:dyDescent="0.25">
      <c r="A362" s="26"/>
      <c r="B362" s="17" t="str">
        <f t="shared" si="15"/>
        <v/>
      </c>
      <c r="C362" s="17" t="str">
        <f t="shared" si="16"/>
        <v/>
      </c>
      <c r="D362" s="27"/>
      <c r="E362" s="27"/>
      <c r="F362" s="28"/>
      <c r="G362" s="14" t="str">
        <f>IF($D362="","",IFERROR(INDEX(Einstellungen!$B$4:$B$40,MATCH($D362,Einstellungen!$A$4:$A$40,0)),"?"))</f>
        <v/>
      </c>
      <c r="H362" s="27"/>
      <c r="I362" s="11" t="str">
        <f t="shared" si="17"/>
        <v/>
      </c>
    </row>
    <row r="363" spans="1:9" ht="15" customHeight="1" x14ac:dyDescent="0.25">
      <c r="A363" s="20"/>
      <c r="B363" s="21" t="str">
        <f t="shared" si="15"/>
        <v/>
      </c>
      <c r="C363" s="21" t="str">
        <f t="shared" si="16"/>
        <v/>
      </c>
      <c r="D363" s="22"/>
      <c r="E363" s="22"/>
      <c r="F363" s="23"/>
      <c r="G363" s="24" t="str">
        <f>IF($D363="","",IFERROR(INDEX(Einstellungen!$B$4:$B$40,MATCH($D363,Einstellungen!$A$4:$A$40,0)),"?"))</f>
        <v/>
      </c>
      <c r="H363" s="22"/>
      <c r="I363" s="25" t="str">
        <f t="shared" si="17"/>
        <v/>
      </c>
    </row>
    <row r="364" spans="1:9" ht="15" customHeight="1" x14ac:dyDescent="0.25">
      <c r="A364" s="26"/>
      <c r="B364" s="17" t="str">
        <f t="shared" si="15"/>
        <v/>
      </c>
      <c r="C364" s="17" t="str">
        <f t="shared" si="16"/>
        <v/>
      </c>
      <c r="D364" s="27"/>
      <c r="E364" s="27"/>
      <c r="F364" s="28"/>
      <c r="G364" s="14" t="str">
        <f>IF($D364="","",IFERROR(INDEX(Einstellungen!$B$4:$B$40,MATCH($D364,Einstellungen!$A$4:$A$40,0)),"?"))</f>
        <v/>
      </c>
      <c r="H364" s="27"/>
      <c r="I364" s="11" t="str">
        <f t="shared" si="17"/>
        <v/>
      </c>
    </row>
    <row r="365" spans="1:9" ht="15" customHeight="1" x14ac:dyDescent="0.25">
      <c r="A365" s="20"/>
      <c r="B365" s="21" t="str">
        <f t="shared" si="15"/>
        <v/>
      </c>
      <c r="C365" s="21" t="str">
        <f t="shared" si="16"/>
        <v/>
      </c>
      <c r="D365" s="22"/>
      <c r="E365" s="22"/>
      <c r="F365" s="23"/>
      <c r="G365" s="24" t="str">
        <f>IF($D365="","",IFERROR(INDEX(Einstellungen!$B$4:$B$40,MATCH($D365,Einstellungen!$A$4:$A$40,0)),"?"))</f>
        <v/>
      </c>
      <c r="H365" s="22"/>
      <c r="I365" s="25" t="str">
        <f t="shared" si="17"/>
        <v/>
      </c>
    </row>
    <row r="366" spans="1:9" ht="15" customHeight="1" x14ac:dyDescent="0.25">
      <c r="A366" s="26"/>
      <c r="B366" s="17" t="str">
        <f t="shared" si="15"/>
        <v/>
      </c>
      <c r="C366" s="17" t="str">
        <f t="shared" si="16"/>
        <v/>
      </c>
      <c r="D366" s="27"/>
      <c r="E366" s="27"/>
      <c r="F366" s="28"/>
      <c r="G366" s="14" t="str">
        <f>IF($D366="","",IFERROR(INDEX(Einstellungen!$B$4:$B$40,MATCH($D366,Einstellungen!$A$4:$A$40,0)),"?"))</f>
        <v/>
      </c>
      <c r="H366" s="27"/>
      <c r="I366" s="11" t="str">
        <f t="shared" si="17"/>
        <v/>
      </c>
    </row>
    <row r="367" spans="1:9" ht="15" customHeight="1" x14ac:dyDescent="0.25">
      <c r="A367" s="20"/>
      <c r="B367" s="21" t="str">
        <f t="shared" si="15"/>
        <v/>
      </c>
      <c r="C367" s="21" t="str">
        <f t="shared" si="16"/>
        <v/>
      </c>
      <c r="D367" s="22"/>
      <c r="E367" s="22"/>
      <c r="F367" s="23"/>
      <c r="G367" s="24" t="str">
        <f>IF($D367="","",IFERROR(INDEX(Einstellungen!$B$4:$B$40,MATCH($D367,Einstellungen!$A$4:$A$40,0)),"?"))</f>
        <v/>
      </c>
      <c r="H367" s="22"/>
      <c r="I367" s="25" t="str">
        <f t="shared" si="17"/>
        <v/>
      </c>
    </row>
    <row r="368" spans="1:9" ht="15" customHeight="1" x14ac:dyDescent="0.25">
      <c r="A368" s="26"/>
      <c r="B368" s="17" t="str">
        <f t="shared" si="15"/>
        <v/>
      </c>
      <c r="C368" s="17" t="str">
        <f t="shared" si="16"/>
        <v/>
      </c>
      <c r="D368" s="27"/>
      <c r="E368" s="27"/>
      <c r="F368" s="28"/>
      <c r="G368" s="14" t="str">
        <f>IF($D368="","",IFERROR(INDEX(Einstellungen!$B$4:$B$40,MATCH($D368,Einstellungen!$A$4:$A$40,0)),"?"))</f>
        <v/>
      </c>
      <c r="H368" s="27"/>
      <c r="I368" s="11" t="str">
        <f t="shared" si="17"/>
        <v/>
      </c>
    </row>
    <row r="369" spans="1:9" ht="15" customHeight="1" x14ac:dyDescent="0.25">
      <c r="A369" s="20"/>
      <c r="B369" s="21" t="str">
        <f t="shared" si="15"/>
        <v/>
      </c>
      <c r="C369" s="21" t="str">
        <f t="shared" si="16"/>
        <v/>
      </c>
      <c r="D369" s="22"/>
      <c r="E369" s="22"/>
      <c r="F369" s="23"/>
      <c r="G369" s="24" t="str">
        <f>IF($D369="","",IFERROR(INDEX(Einstellungen!$B$4:$B$40,MATCH($D369,Einstellungen!$A$4:$A$40,0)),"?"))</f>
        <v/>
      </c>
      <c r="H369" s="22"/>
      <c r="I369" s="25" t="str">
        <f t="shared" si="17"/>
        <v/>
      </c>
    </row>
    <row r="370" spans="1:9" ht="15" customHeight="1" x14ac:dyDescent="0.25">
      <c r="A370" s="26"/>
      <c r="B370" s="17" t="str">
        <f t="shared" si="15"/>
        <v/>
      </c>
      <c r="C370" s="17" t="str">
        <f t="shared" si="16"/>
        <v/>
      </c>
      <c r="D370" s="27"/>
      <c r="E370" s="27"/>
      <c r="F370" s="28"/>
      <c r="G370" s="14" t="str">
        <f>IF($D370="","",IFERROR(INDEX(Einstellungen!$B$4:$B$40,MATCH($D370,Einstellungen!$A$4:$A$40,0)),"?"))</f>
        <v/>
      </c>
      <c r="H370" s="27"/>
      <c r="I370" s="11" t="str">
        <f t="shared" si="17"/>
        <v/>
      </c>
    </row>
    <row r="371" spans="1:9" ht="15" customHeight="1" x14ac:dyDescent="0.25">
      <c r="A371" s="20"/>
      <c r="B371" s="21" t="str">
        <f t="shared" si="15"/>
        <v/>
      </c>
      <c r="C371" s="21" t="str">
        <f t="shared" si="16"/>
        <v/>
      </c>
      <c r="D371" s="22"/>
      <c r="E371" s="22"/>
      <c r="F371" s="23"/>
      <c r="G371" s="24" t="str">
        <f>IF($D371="","",IFERROR(INDEX(Einstellungen!$B$4:$B$40,MATCH($D371,Einstellungen!$A$4:$A$40,0)),"?"))</f>
        <v/>
      </c>
      <c r="H371" s="22"/>
      <c r="I371" s="25" t="str">
        <f t="shared" si="17"/>
        <v/>
      </c>
    </row>
    <row r="372" spans="1:9" ht="15" customHeight="1" x14ac:dyDescent="0.25">
      <c r="A372" s="26"/>
      <c r="B372" s="17" t="str">
        <f t="shared" si="15"/>
        <v/>
      </c>
      <c r="C372" s="17" t="str">
        <f t="shared" si="16"/>
        <v/>
      </c>
      <c r="D372" s="27"/>
      <c r="E372" s="27"/>
      <c r="F372" s="28"/>
      <c r="G372" s="14" t="str">
        <f>IF($D372="","",IFERROR(INDEX(Einstellungen!$B$4:$B$40,MATCH($D372,Einstellungen!$A$4:$A$40,0)),"?"))</f>
        <v/>
      </c>
      <c r="H372" s="27"/>
      <c r="I372" s="11" t="str">
        <f t="shared" si="17"/>
        <v/>
      </c>
    </row>
    <row r="373" spans="1:9" ht="15" customHeight="1" x14ac:dyDescent="0.25">
      <c r="A373" s="20"/>
      <c r="B373" s="21" t="str">
        <f t="shared" si="15"/>
        <v/>
      </c>
      <c r="C373" s="21" t="str">
        <f t="shared" si="16"/>
        <v/>
      </c>
      <c r="D373" s="22"/>
      <c r="E373" s="22"/>
      <c r="F373" s="23"/>
      <c r="G373" s="24" t="str">
        <f>IF($D373="","",IFERROR(INDEX(Einstellungen!$B$4:$B$40,MATCH($D373,Einstellungen!$A$4:$A$40,0)),"?"))</f>
        <v/>
      </c>
      <c r="H373" s="22"/>
      <c r="I373" s="25" t="str">
        <f t="shared" si="17"/>
        <v/>
      </c>
    </row>
    <row r="374" spans="1:9" ht="15" customHeight="1" x14ac:dyDescent="0.25">
      <c r="A374" s="26"/>
      <c r="B374" s="17" t="str">
        <f t="shared" si="15"/>
        <v/>
      </c>
      <c r="C374" s="17" t="str">
        <f t="shared" si="16"/>
        <v/>
      </c>
      <c r="D374" s="27"/>
      <c r="E374" s="27"/>
      <c r="F374" s="28"/>
      <c r="G374" s="14" t="str">
        <f>IF($D374="","",IFERROR(INDEX(Einstellungen!$B$4:$B$40,MATCH($D374,Einstellungen!$A$4:$A$40,0)),"?"))</f>
        <v/>
      </c>
      <c r="H374" s="27"/>
      <c r="I374" s="11" t="str">
        <f t="shared" si="17"/>
        <v/>
      </c>
    </row>
    <row r="375" spans="1:9" ht="15" customHeight="1" x14ac:dyDescent="0.25">
      <c r="A375" s="20"/>
      <c r="B375" s="21" t="str">
        <f t="shared" si="15"/>
        <v/>
      </c>
      <c r="C375" s="21" t="str">
        <f t="shared" si="16"/>
        <v/>
      </c>
      <c r="D375" s="22"/>
      <c r="E375" s="22"/>
      <c r="F375" s="23"/>
      <c r="G375" s="24" t="str">
        <f>IF($D375="","",IFERROR(INDEX(Einstellungen!$B$4:$B$40,MATCH($D375,Einstellungen!$A$4:$A$40,0)),"?"))</f>
        <v/>
      </c>
      <c r="H375" s="22"/>
      <c r="I375" s="25" t="str">
        <f t="shared" si="17"/>
        <v/>
      </c>
    </row>
    <row r="376" spans="1:9" ht="15" customHeight="1" x14ac:dyDescent="0.25">
      <c r="A376" s="26"/>
      <c r="B376" s="17" t="str">
        <f t="shared" si="15"/>
        <v/>
      </c>
      <c r="C376" s="17" t="str">
        <f t="shared" si="16"/>
        <v/>
      </c>
      <c r="D376" s="27"/>
      <c r="E376" s="27"/>
      <c r="F376" s="28"/>
      <c r="G376" s="14" t="str">
        <f>IF($D376="","",IFERROR(INDEX(Einstellungen!$B$4:$B$40,MATCH($D376,Einstellungen!$A$4:$A$40,0)),"?"))</f>
        <v/>
      </c>
      <c r="H376" s="27"/>
      <c r="I376" s="11" t="str">
        <f t="shared" si="17"/>
        <v/>
      </c>
    </row>
    <row r="377" spans="1:9" ht="15" customHeight="1" x14ac:dyDescent="0.25">
      <c r="A377" s="20"/>
      <c r="B377" s="21" t="str">
        <f t="shared" si="15"/>
        <v/>
      </c>
      <c r="C377" s="21" t="str">
        <f t="shared" si="16"/>
        <v/>
      </c>
      <c r="D377" s="22"/>
      <c r="E377" s="22"/>
      <c r="F377" s="23"/>
      <c r="G377" s="24" t="str">
        <f>IF($D377="","",IFERROR(INDEX(Einstellungen!$B$4:$B$40,MATCH($D377,Einstellungen!$A$4:$A$40,0)),"?"))</f>
        <v/>
      </c>
      <c r="H377" s="22"/>
      <c r="I377" s="25" t="str">
        <f t="shared" si="17"/>
        <v/>
      </c>
    </row>
    <row r="378" spans="1:9" ht="15" customHeight="1" x14ac:dyDescent="0.25">
      <c r="A378" s="26"/>
      <c r="B378" s="17" t="str">
        <f t="shared" si="15"/>
        <v/>
      </c>
      <c r="C378" s="17" t="str">
        <f t="shared" si="16"/>
        <v/>
      </c>
      <c r="D378" s="27"/>
      <c r="E378" s="27"/>
      <c r="F378" s="28"/>
      <c r="G378" s="14" t="str">
        <f>IF($D378="","",IFERROR(INDEX(Einstellungen!$B$4:$B$40,MATCH($D378,Einstellungen!$A$4:$A$40,0)),"?"))</f>
        <v/>
      </c>
      <c r="H378" s="27"/>
      <c r="I378" s="11" t="str">
        <f t="shared" si="17"/>
        <v/>
      </c>
    </row>
    <row r="379" spans="1:9" ht="15" customHeight="1" x14ac:dyDescent="0.25">
      <c r="A379" s="20"/>
      <c r="B379" s="21" t="str">
        <f t="shared" si="15"/>
        <v/>
      </c>
      <c r="C379" s="21" t="str">
        <f t="shared" si="16"/>
        <v/>
      </c>
      <c r="D379" s="22"/>
      <c r="E379" s="22"/>
      <c r="F379" s="23"/>
      <c r="G379" s="24" t="str">
        <f>IF($D379="","",IFERROR(INDEX(Einstellungen!$B$4:$B$40,MATCH($D379,Einstellungen!$A$4:$A$40,0)),"?"))</f>
        <v/>
      </c>
      <c r="H379" s="22"/>
      <c r="I379" s="25" t="str">
        <f t="shared" si="17"/>
        <v/>
      </c>
    </row>
    <row r="380" spans="1:9" ht="15" customHeight="1" x14ac:dyDescent="0.25">
      <c r="A380" s="26"/>
      <c r="B380" s="17" t="str">
        <f t="shared" si="15"/>
        <v/>
      </c>
      <c r="C380" s="17" t="str">
        <f t="shared" si="16"/>
        <v/>
      </c>
      <c r="D380" s="27"/>
      <c r="E380" s="27"/>
      <c r="F380" s="28"/>
      <c r="G380" s="14" t="str">
        <f>IF($D380="","",IFERROR(INDEX(Einstellungen!$B$4:$B$40,MATCH($D380,Einstellungen!$A$4:$A$40,0)),"?"))</f>
        <v/>
      </c>
      <c r="H380" s="27"/>
      <c r="I380" s="11" t="str">
        <f t="shared" si="17"/>
        <v/>
      </c>
    </row>
    <row r="381" spans="1:9" ht="15" customHeight="1" x14ac:dyDescent="0.25">
      <c r="A381" s="20"/>
      <c r="B381" s="21" t="str">
        <f t="shared" si="15"/>
        <v/>
      </c>
      <c r="C381" s="21" t="str">
        <f t="shared" si="16"/>
        <v/>
      </c>
      <c r="D381" s="22"/>
      <c r="E381" s="22"/>
      <c r="F381" s="23"/>
      <c r="G381" s="24" t="str">
        <f>IF($D381="","",IFERROR(INDEX(Einstellungen!$B$4:$B$40,MATCH($D381,Einstellungen!$A$4:$A$40,0)),"?"))</f>
        <v/>
      </c>
      <c r="H381" s="22"/>
      <c r="I381" s="25" t="str">
        <f t="shared" si="17"/>
        <v/>
      </c>
    </row>
    <row r="382" spans="1:9" ht="15" customHeight="1" x14ac:dyDescent="0.25">
      <c r="A382" s="26"/>
      <c r="B382" s="17" t="str">
        <f t="shared" si="15"/>
        <v/>
      </c>
      <c r="C382" s="17" t="str">
        <f t="shared" si="16"/>
        <v/>
      </c>
      <c r="D382" s="27"/>
      <c r="E382" s="27"/>
      <c r="F382" s="28"/>
      <c r="G382" s="14" t="str">
        <f>IF($D382="","",IFERROR(INDEX(Einstellungen!$B$4:$B$40,MATCH($D382,Einstellungen!$A$4:$A$40,0)),"?"))</f>
        <v/>
      </c>
      <c r="H382" s="27"/>
      <c r="I382" s="11" t="str">
        <f t="shared" si="17"/>
        <v/>
      </c>
    </row>
    <row r="383" spans="1:9" ht="15" customHeight="1" x14ac:dyDescent="0.25">
      <c r="A383" s="20"/>
      <c r="B383" s="21" t="str">
        <f t="shared" si="15"/>
        <v/>
      </c>
      <c r="C383" s="21" t="str">
        <f t="shared" si="16"/>
        <v/>
      </c>
      <c r="D383" s="22"/>
      <c r="E383" s="22"/>
      <c r="F383" s="23"/>
      <c r="G383" s="24" t="str">
        <f>IF($D383="","",IFERROR(INDEX(Einstellungen!$B$4:$B$40,MATCH($D383,Einstellungen!$A$4:$A$40,0)),"?"))</f>
        <v/>
      </c>
      <c r="H383" s="22"/>
      <c r="I383" s="25" t="str">
        <f t="shared" si="17"/>
        <v/>
      </c>
    </row>
    <row r="384" spans="1:9" ht="15" customHeight="1" x14ac:dyDescent="0.25">
      <c r="A384" s="26"/>
      <c r="B384" s="17" t="str">
        <f t="shared" si="15"/>
        <v/>
      </c>
      <c r="C384" s="17" t="str">
        <f t="shared" si="16"/>
        <v/>
      </c>
      <c r="D384" s="27"/>
      <c r="E384" s="27"/>
      <c r="F384" s="28"/>
      <c r="G384" s="14" t="str">
        <f>IF($D384="","",IFERROR(INDEX(Einstellungen!$B$4:$B$40,MATCH($D384,Einstellungen!$A$4:$A$40,0)),"?"))</f>
        <v/>
      </c>
      <c r="H384" s="27"/>
      <c r="I384" s="11" t="str">
        <f t="shared" si="17"/>
        <v/>
      </c>
    </row>
    <row r="385" spans="1:9" ht="15" customHeight="1" x14ac:dyDescent="0.25">
      <c r="A385" s="20"/>
      <c r="B385" s="21" t="str">
        <f t="shared" si="15"/>
        <v/>
      </c>
      <c r="C385" s="21" t="str">
        <f t="shared" si="16"/>
        <v/>
      </c>
      <c r="D385" s="22"/>
      <c r="E385" s="22"/>
      <c r="F385" s="23"/>
      <c r="G385" s="24" t="str">
        <f>IF($D385="","",IFERROR(INDEX(Einstellungen!$B$4:$B$40,MATCH($D385,Einstellungen!$A$4:$A$40,0)),"?"))</f>
        <v/>
      </c>
      <c r="H385" s="22"/>
      <c r="I385" s="25" t="str">
        <f t="shared" si="17"/>
        <v/>
      </c>
    </row>
    <row r="386" spans="1:9" ht="15" customHeight="1" x14ac:dyDescent="0.25">
      <c r="A386" s="26"/>
      <c r="B386" s="17" t="str">
        <f t="shared" si="15"/>
        <v/>
      </c>
      <c r="C386" s="17" t="str">
        <f t="shared" si="16"/>
        <v/>
      </c>
      <c r="D386" s="27"/>
      <c r="E386" s="27"/>
      <c r="F386" s="28"/>
      <c r="G386" s="14" t="str">
        <f>IF($D386="","",IFERROR(INDEX(Einstellungen!$B$4:$B$40,MATCH($D386,Einstellungen!$A$4:$A$40,0)),"?"))</f>
        <v/>
      </c>
      <c r="H386" s="27"/>
      <c r="I386" s="11" t="str">
        <f t="shared" si="17"/>
        <v/>
      </c>
    </row>
    <row r="387" spans="1:9" ht="15" customHeight="1" x14ac:dyDescent="0.25">
      <c r="A387" s="20"/>
      <c r="B387" s="21" t="str">
        <f t="shared" si="15"/>
        <v/>
      </c>
      <c r="C387" s="21" t="str">
        <f t="shared" si="16"/>
        <v/>
      </c>
      <c r="D387" s="22"/>
      <c r="E387" s="22"/>
      <c r="F387" s="23"/>
      <c r="G387" s="24" t="str">
        <f>IF($D387="","",IFERROR(INDEX(Einstellungen!$B$4:$B$40,MATCH($D387,Einstellungen!$A$4:$A$40,0)),"?"))</f>
        <v/>
      </c>
      <c r="H387" s="22"/>
      <c r="I387" s="25" t="str">
        <f t="shared" si="17"/>
        <v/>
      </c>
    </row>
    <row r="388" spans="1:9" ht="15" customHeight="1" x14ac:dyDescent="0.25">
      <c r="A388" s="26"/>
      <c r="B388" s="17" t="str">
        <f t="shared" ref="B388:B451" si="18">IF($A388="","",YEAR($A388))</f>
        <v/>
      </c>
      <c r="C388" s="17" t="str">
        <f t="shared" ref="C388:C451" si="19">IF($A388="","",MONTH($A388))</f>
        <v/>
      </c>
      <c r="D388" s="27"/>
      <c r="E388" s="27"/>
      <c r="F388" s="28"/>
      <c r="G388" s="14" t="str">
        <f>IF($D388="","",IFERROR(INDEX(Einstellungen!$B$4:$B$40,MATCH($D388,Einstellungen!$A$4:$A$40,0)),"?"))</f>
        <v/>
      </c>
      <c r="H388" s="27"/>
      <c r="I388" s="11" t="str">
        <f t="shared" ref="I388:I451" si="20">IF($F388="","",IF($G388="Einnahme",$F388,-$F388))</f>
        <v/>
      </c>
    </row>
    <row r="389" spans="1:9" ht="15" customHeight="1" x14ac:dyDescent="0.25">
      <c r="A389" s="20"/>
      <c r="B389" s="21" t="str">
        <f t="shared" si="18"/>
        <v/>
      </c>
      <c r="C389" s="21" t="str">
        <f t="shared" si="19"/>
        <v/>
      </c>
      <c r="D389" s="22"/>
      <c r="E389" s="22"/>
      <c r="F389" s="23"/>
      <c r="G389" s="24" t="str">
        <f>IF($D389="","",IFERROR(INDEX(Einstellungen!$B$4:$B$40,MATCH($D389,Einstellungen!$A$4:$A$40,0)),"?"))</f>
        <v/>
      </c>
      <c r="H389" s="22"/>
      <c r="I389" s="25" t="str">
        <f t="shared" si="20"/>
        <v/>
      </c>
    </row>
    <row r="390" spans="1:9" ht="15" customHeight="1" x14ac:dyDescent="0.25">
      <c r="A390" s="26"/>
      <c r="B390" s="17" t="str">
        <f t="shared" si="18"/>
        <v/>
      </c>
      <c r="C390" s="17" t="str">
        <f t="shared" si="19"/>
        <v/>
      </c>
      <c r="D390" s="27"/>
      <c r="E390" s="27"/>
      <c r="F390" s="28"/>
      <c r="G390" s="14" t="str">
        <f>IF($D390="","",IFERROR(INDEX(Einstellungen!$B$4:$B$40,MATCH($D390,Einstellungen!$A$4:$A$40,0)),"?"))</f>
        <v/>
      </c>
      <c r="H390" s="27"/>
      <c r="I390" s="11" t="str">
        <f t="shared" si="20"/>
        <v/>
      </c>
    </row>
    <row r="391" spans="1:9" ht="15" customHeight="1" x14ac:dyDescent="0.25">
      <c r="A391" s="20"/>
      <c r="B391" s="21" t="str">
        <f t="shared" si="18"/>
        <v/>
      </c>
      <c r="C391" s="21" t="str">
        <f t="shared" si="19"/>
        <v/>
      </c>
      <c r="D391" s="22"/>
      <c r="E391" s="22"/>
      <c r="F391" s="23"/>
      <c r="G391" s="24" t="str">
        <f>IF($D391="","",IFERROR(INDEX(Einstellungen!$B$4:$B$40,MATCH($D391,Einstellungen!$A$4:$A$40,0)),"?"))</f>
        <v/>
      </c>
      <c r="H391" s="22"/>
      <c r="I391" s="25" t="str">
        <f t="shared" si="20"/>
        <v/>
      </c>
    </row>
    <row r="392" spans="1:9" ht="15" customHeight="1" x14ac:dyDescent="0.25">
      <c r="A392" s="26"/>
      <c r="B392" s="17" t="str">
        <f t="shared" si="18"/>
        <v/>
      </c>
      <c r="C392" s="17" t="str">
        <f t="shared" si="19"/>
        <v/>
      </c>
      <c r="D392" s="27"/>
      <c r="E392" s="27"/>
      <c r="F392" s="28"/>
      <c r="G392" s="14" t="str">
        <f>IF($D392="","",IFERROR(INDEX(Einstellungen!$B$4:$B$40,MATCH($D392,Einstellungen!$A$4:$A$40,0)),"?"))</f>
        <v/>
      </c>
      <c r="H392" s="27"/>
      <c r="I392" s="11" t="str">
        <f t="shared" si="20"/>
        <v/>
      </c>
    </row>
    <row r="393" spans="1:9" ht="15" customHeight="1" x14ac:dyDescent="0.25">
      <c r="A393" s="20"/>
      <c r="B393" s="21" t="str">
        <f t="shared" si="18"/>
        <v/>
      </c>
      <c r="C393" s="21" t="str">
        <f t="shared" si="19"/>
        <v/>
      </c>
      <c r="D393" s="22"/>
      <c r="E393" s="22"/>
      <c r="F393" s="23"/>
      <c r="G393" s="24" t="str">
        <f>IF($D393="","",IFERROR(INDEX(Einstellungen!$B$4:$B$40,MATCH($D393,Einstellungen!$A$4:$A$40,0)),"?"))</f>
        <v/>
      </c>
      <c r="H393" s="22"/>
      <c r="I393" s="25" t="str">
        <f t="shared" si="20"/>
        <v/>
      </c>
    </row>
    <row r="394" spans="1:9" ht="15" customHeight="1" x14ac:dyDescent="0.25">
      <c r="A394" s="26"/>
      <c r="B394" s="17" t="str">
        <f t="shared" si="18"/>
        <v/>
      </c>
      <c r="C394" s="17" t="str">
        <f t="shared" si="19"/>
        <v/>
      </c>
      <c r="D394" s="27"/>
      <c r="E394" s="27"/>
      <c r="F394" s="28"/>
      <c r="G394" s="14" t="str">
        <f>IF($D394="","",IFERROR(INDEX(Einstellungen!$B$4:$B$40,MATCH($D394,Einstellungen!$A$4:$A$40,0)),"?"))</f>
        <v/>
      </c>
      <c r="H394" s="27"/>
      <c r="I394" s="11" t="str">
        <f t="shared" si="20"/>
        <v/>
      </c>
    </row>
    <row r="395" spans="1:9" ht="15" customHeight="1" x14ac:dyDescent="0.25">
      <c r="A395" s="20"/>
      <c r="B395" s="21" t="str">
        <f t="shared" si="18"/>
        <v/>
      </c>
      <c r="C395" s="21" t="str">
        <f t="shared" si="19"/>
        <v/>
      </c>
      <c r="D395" s="22"/>
      <c r="E395" s="22"/>
      <c r="F395" s="23"/>
      <c r="G395" s="24" t="str">
        <f>IF($D395="","",IFERROR(INDEX(Einstellungen!$B$4:$B$40,MATCH($D395,Einstellungen!$A$4:$A$40,0)),"?"))</f>
        <v/>
      </c>
      <c r="H395" s="22"/>
      <c r="I395" s="25" t="str">
        <f t="shared" si="20"/>
        <v/>
      </c>
    </row>
    <row r="396" spans="1:9" ht="15" customHeight="1" x14ac:dyDescent="0.25">
      <c r="A396" s="26"/>
      <c r="B396" s="17" t="str">
        <f t="shared" si="18"/>
        <v/>
      </c>
      <c r="C396" s="17" t="str">
        <f t="shared" si="19"/>
        <v/>
      </c>
      <c r="D396" s="27"/>
      <c r="E396" s="27"/>
      <c r="F396" s="28"/>
      <c r="G396" s="14" t="str">
        <f>IF($D396="","",IFERROR(INDEX(Einstellungen!$B$4:$B$40,MATCH($D396,Einstellungen!$A$4:$A$40,0)),"?"))</f>
        <v/>
      </c>
      <c r="H396" s="27"/>
      <c r="I396" s="11" t="str">
        <f t="shared" si="20"/>
        <v/>
      </c>
    </row>
    <row r="397" spans="1:9" ht="15" customHeight="1" x14ac:dyDescent="0.25">
      <c r="A397" s="20"/>
      <c r="B397" s="21" t="str">
        <f t="shared" si="18"/>
        <v/>
      </c>
      <c r="C397" s="21" t="str">
        <f t="shared" si="19"/>
        <v/>
      </c>
      <c r="D397" s="22"/>
      <c r="E397" s="22"/>
      <c r="F397" s="23"/>
      <c r="G397" s="24" t="str">
        <f>IF($D397="","",IFERROR(INDEX(Einstellungen!$B$4:$B$40,MATCH($D397,Einstellungen!$A$4:$A$40,0)),"?"))</f>
        <v/>
      </c>
      <c r="H397" s="22"/>
      <c r="I397" s="25" t="str">
        <f t="shared" si="20"/>
        <v/>
      </c>
    </row>
    <row r="398" spans="1:9" ht="15" customHeight="1" x14ac:dyDescent="0.25">
      <c r="A398" s="26"/>
      <c r="B398" s="17" t="str">
        <f t="shared" si="18"/>
        <v/>
      </c>
      <c r="C398" s="17" t="str">
        <f t="shared" si="19"/>
        <v/>
      </c>
      <c r="D398" s="27"/>
      <c r="E398" s="27"/>
      <c r="F398" s="28"/>
      <c r="G398" s="14" t="str">
        <f>IF($D398="","",IFERROR(INDEX(Einstellungen!$B$4:$B$40,MATCH($D398,Einstellungen!$A$4:$A$40,0)),"?"))</f>
        <v/>
      </c>
      <c r="H398" s="27"/>
      <c r="I398" s="11" t="str">
        <f t="shared" si="20"/>
        <v/>
      </c>
    </row>
    <row r="399" spans="1:9" ht="15" customHeight="1" x14ac:dyDescent="0.25">
      <c r="A399" s="20"/>
      <c r="B399" s="21" t="str">
        <f t="shared" si="18"/>
        <v/>
      </c>
      <c r="C399" s="21" t="str">
        <f t="shared" si="19"/>
        <v/>
      </c>
      <c r="D399" s="22"/>
      <c r="E399" s="22"/>
      <c r="F399" s="23"/>
      <c r="G399" s="24" t="str">
        <f>IF($D399="","",IFERROR(INDEX(Einstellungen!$B$4:$B$40,MATCH($D399,Einstellungen!$A$4:$A$40,0)),"?"))</f>
        <v/>
      </c>
      <c r="H399" s="22"/>
      <c r="I399" s="25" t="str">
        <f t="shared" si="20"/>
        <v/>
      </c>
    </row>
    <row r="400" spans="1:9" ht="15" customHeight="1" x14ac:dyDescent="0.25">
      <c r="A400" s="26"/>
      <c r="B400" s="17" t="str">
        <f t="shared" si="18"/>
        <v/>
      </c>
      <c r="C400" s="17" t="str">
        <f t="shared" si="19"/>
        <v/>
      </c>
      <c r="D400" s="27"/>
      <c r="E400" s="27"/>
      <c r="F400" s="28"/>
      <c r="G400" s="14" t="str">
        <f>IF($D400="","",IFERROR(INDEX(Einstellungen!$B$4:$B$40,MATCH($D400,Einstellungen!$A$4:$A$40,0)),"?"))</f>
        <v/>
      </c>
      <c r="H400" s="27"/>
      <c r="I400" s="11" t="str">
        <f t="shared" si="20"/>
        <v/>
      </c>
    </row>
    <row r="401" spans="1:9" ht="15" customHeight="1" x14ac:dyDescent="0.25">
      <c r="A401" s="20"/>
      <c r="B401" s="21" t="str">
        <f t="shared" si="18"/>
        <v/>
      </c>
      <c r="C401" s="21" t="str">
        <f t="shared" si="19"/>
        <v/>
      </c>
      <c r="D401" s="22"/>
      <c r="E401" s="22"/>
      <c r="F401" s="23"/>
      <c r="G401" s="24" t="str">
        <f>IF($D401="","",IFERROR(INDEX(Einstellungen!$B$4:$B$40,MATCH($D401,Einstellungen!$A$4:$A$40,0)),"?"))</f>
        <v/>
      </c>
      <c r="H401" s="22"/>
      <c r="I401" s="25" t="str">
        <f t="shared" si="20"/>
        <v/>
      </c>
    </row>
    <row r="402" spans="1:9" ht="15" customHeight="1" x14ac:dyDescent="0.25">
      <c r="A402" s="26"/>
      <c r="B402" s="17" t="str">
        <f t="shared" si="18"/>
        <v/>
      </c>
      <c r="C402" s="17" t="str">
        <f t="shared" si="19"/>
        <v/>
      </c>
      <c r="D402" s="27"/>
      <c r="E402" s="27"/>
      <c r="F402" s="28"/>
      <c r="G402" s="14" t="str">
        <f>IF($D402="","",IFERROR(INDEX(Einstellungen!$B$4:$B$40,MATCH($D402,Einstellungen!$A$4:$A$40,0)),"?"))</f>
        <v/>
      </c>
      <c r="H402" s="27"/>
      <c r="I402" s="11" t="str">
        <f t="shared" si="20"/>
        <v/>
      </c>
    </row>
    <row r="403" spans="1:9" ht="15" customHeight="1" x14ac:dyDescent="0.25">
      <c r="A403" s="20"/>
      <c r="B403" s="21" t="str">
        <f t="shared" si="18"/>
        <v/>
      </c>
      <c r="C403" s="21" t="str">
        <f t="shared" si="19"/>
        <v/>
      </c>
      <c r="D403" s="22"/>
      <c r="E403" s="22"/>
      <c r="F403" s="23"/>
      <c r="G403" s="24" t="str">
        <f>IF($D403="","",IFERROR(INDEX(Einstellungen!$B$4:$B$40,MATCH($D403,Einstellungen!$A$4:$A$40,0)),"?"))</f>
        <v/>
      </c>
      <c r="H403" s="22"/>
      <c r="I403" s="25" t="str">
        <f t="shared" si="20"/>
        <v/>
      </c>
    </row>
    <row r="404" spans="1:9" ht="15" customHeight="1" x14ac:dyDescent="0.25">
      <c r="A404" s="26"/>
      <c r="B404" s="17" t="str">
        <f t="shared" si="18"/>
        <v/>
      </c>
      <c r="C404" s="17" t="str">
        <f t="shared" si="19"/>
        <v/>
      </c>
      <c r="D404" s="27"/>
      <c r="E404" s="27"/>
      <c r="F404" s="28"/>
      <c r="G404" s="14" t="str">
        <f>IF($D404="","",IFERROR(INDEX(Einstellungen!$B$4:$B$40,MATCH($D404,Einstellungen!$A$4:$A$40,0)),"?"))</f>
        <v/>
      </c>
      <c r="H404" s="27"/>
      <c r="I404" s="11" t="str">
        <f t="shared" si="20"/>
        <v/>
      </c>
    </row>
    <row r="405" spans="1:9" ht="15" customHeight="1" x14ac:dyDescent="0.25">
      <c r="A405" s="20"/>
      <c r="B405" s="21" t="str">
        <f t="shared" si="18"/>
        <v/>
      </c>
      <c r="C405" s="21" t="str">
        <f t="shared" si="19"/>
        <v/>
      </c>
      <c r="D405" s="22"/>
      <c r="E405" s="22"/>
      <c r="F405" s="23"/>
      <c r="G405" s="24" t="str">
        <f>IF($D405="","",IFERROR(INDEX(Einstellungen!$B$4:$B$40,MATCH($D405,Einstellungen!$A$4:$A$40,0)),"?"))</f>
        <v/>
      </c>
      <c r="H405" s="22"/>
      <c r="I405" s="25" t="str">
        <f t="shared" si="20"/>
        <v/>
      </c>
    </row>
    <row r="406" spans="1:9" ht="15" customHeight="1" x14ac:dyDescent="0.25">
      <c r="A406" s="26"/>
      <c r="B406" s="17" t="str">
        <f t="shared" si="18"/>
        <v/>
      </c>
      <c r="C406" s="17" t="str">
        <f t="shared" si="19"/>
        <v/>
      </c>
      <c r="D406" s="27"/>
      <c r="E406" s="27"/>
      <c r="F406" s="28"/>
      <c r="G406" s="14" t="str">
        <f>IF($D406="","",IFERROR(INDEX(Einstellungen!$B$4:$B$40,MATCH($D406,Einstellungen!$A$4:$A$40,0)),"?"))</f>
        <v/>
      </c>
      <c r="H406" s="27"/>
      <c r="I406" s="11" t="str">
        <f t="shared" si="20"/>
        <v/>
      </c>
    </row>
    <row r="407" spans="1:9" ht="15" customHeight="1" x14ac:dyDescent="0.25">
      <c r="A407" s="20"/>
      <c r="B407" s="21" t="str">
        <f t="shared" si="18"/>
        <v/>
      </c>
      <c r="C407" s="21" t="str">
        <f t="shared" si="19"/>
        <v/>
      </c>
      <c r="D407" s="22"/>
      <c r="E407" s="22"/>
      <c r="F407" s="23"/>
      <c r="G407" s="24" t="str">
        <f>IF($D407="","",IFERROR(INDEX(Einstellungen!$B$4:$B$40,MATCH($D407,Einstellungen!$A$4:$A$40,0)),"?"))</f>
        <v/>
      </c>
      <c r="H407" s="22"/>
      <c r="I407" s="25" t="str">
        <f t="shared" si="20"/>
        <v/>
      </c>
    </row>
    <row r="408" spans="1:9" ht="15" customHeight="1" x14ac:dyDescent="0.25">
      <c r="A408" s="26"/>
      <c r="B408" s="17" t="str">
        <f t="shared" si="18"/>
        <v/>
      </c>
      <c r="C408" s="17" t="str">
        <f t="shared" si="19"/>
        <v/>
      </c>
      <c r="D408" s="27"/>
      <c r="E408" s="27"/>
      <c r="F408" s="28"/>
      <c r="G408" s="14" t="str">
        <f>IF($D408="","",IFERROR(INDEX(Einstellungen!$B$4:$B$40,MATCH($D408,Einstellungen!$A$4:$A$40,0)),"?"))</f>
        <v/>
      </c>
      <c r="H408" s="27"/>
      <c r="I408" s="11" t="str">
        <f t="shared" si="20"/>
        <v/>
      </c>
    </row>
    <row r="409" spans="1:9" ht="15" customHeight="1" x14ac:dyDescent="0.25">
      <c r="A409" s="20"/>
      <c r="B409" s="21" t="str">
        <f t="shared" si="18"/>
        <v/>
      </c>
      <c r="C409" s="21" t="str">
        <f t="shared" si="19"/>
        <v/>
      </c>
      <c r="D409" s="22"/>
      <c r="E409" s="22"/>
      <c r="F409" s="23"/>
      <c r="G409" s="24" t="str">
        <f>IF($D409="","",IFERROR(INDEX(Einstellungen!$B$4:$B$40,MATCH($D409,Einstellungen!$A$4:$A$40,0)),"?"))</f>
        <v/>
      </c>
      <c r="H409" s="22"/>
      <c r="I409" s="25" t="str">
        <f t="shared" si="20"/>
        <v/>
      </c>
    </row>
    <row r="410" spans="1:9" ht="15" customHeight="1" x14ac:dyDescent="0.25">
      <c r="A410" s="26"/>
      <c r="B410" s="17" t="str">
        <f t="shared" si="18"/>
        <v/>
      </c>
      <c r="C410" s="17" t="str">
        <f t="shared" si="19"/>
        <v/>
      </c>
      <c r="D410" s="27"/>
      <c r="E410" s="27"/>
      <c r="F410" s="28"/>
      <c r="G410" s="14" t="str">
        <f>IF($D410="","",IFERROR(INDEX(Einstellungen!$B$4:$B$40,MATCH($D410,Einstellungen!$A$4:$A$40,0)),"?"))</f>
        <v/>
      </c>
      <c r="H410" s="27"/>
      <c r="I410" s="11" t="str">
        <f t="shared" si="20"/>
        <v/>
      </c>
    </row>
    <row r="411" spans="1:9" ht="15" customHeight="1" x14ac:dyDescent="0.25">
      <c r="A411" s="20"/>
      <c r="B411" s="21" t="str">
        <f t="shared" si="18"/>
        <v/>
      </c>
      <c r="C411" s="21" t="str">
        <f t="shared" si="19"/>
        <v/>
      </c>
      <c r="D411" s="22"/>
      <c r="E411" s="22"/>
      <c r="F411" s="23"/>
      <c r="G411" s="24" t="str">
        <f>IF($D411="","",IFERROR(INDEX(Einstellungen!$B$4:$B$40,MATCH($D411,Einstellungen!$A$4:$A$40,0)),"?"))</f>
        <v/>
      </c>
      <c r="H411" s="22"/>
      <c r="I411" s="25" t="str">
        <f t="shared" si="20"/>
        <v/>
      </c>
    </row>
    <row r="412" spans="1:9" ht="15" customHeight="1" x14ac:dyDescent="0.25">
      <c r="A412" s="26"/>
      <c r="B412" s="17" t="str">
        <f t="shared" si="18"/>
        <v/>
      </c>
      <c r="C412" s="17" t="str">
        <f t="shared" si="19"/>
        <v/>
      </c>
      <c r="D412" s="27"/>
      <c r="E412" s="27"/>
      <c r="F412" s="28"/>
      <c r="G412" s="14" t="str">
        <f>IF($D412="","",IFERROR(INDEX(Einstellungen!$B$4:$B$40,MATCH($D412,Einstellungen!$A$4:$A$40,0)),"?"))</f>
        <v/>
      </c>
      <c r="H412" s="27"/>
      <c r="I412" s="11" t="str">
        <f t="shared" si="20"/>
        <v/>
      </c>
    </row>
    <row r="413" spans="1:9" ht="15" customHeight="1" x14ac:dyDescent="0.25">
      <c r="A413" s="20"/>
      <c r="B413" s="21" t="str">
        <f t="shared" si="18"/>
        <v/>
      </c>
      <c r="C413" s="21" t="str">
        <f t="shared" si="19"/>
        <v/>
      </c>
      <c r="D413" s="22"/>
      <c r="E413" s="22"/>
      <c r="F413" s="23"/>
      <c r="G413" s="24" t="str">
        <f>IF($D413="","",IFERROR(INDEX(Einstellungen!$B$4:$B$40,MATCH($D413,Einstellungen!$A$4:$A$40,0)),"?"))</f>
        <v/>
      </c>
      <c r="H413" s="22"/>
      <c r="I413" s="25" t="str">
        <f t="shared" si="20"/>
        <v/>
      </c>
    </row>
    <row r="414" spans="1:9" ht="15" customHeight="1" x14ac:dyDescent="0.25">
      <c r="A414" s="26"/>
      <c r="B414" s="17" t="str">
        <f t="shared" si="18"/>
        <v/>
      </c>
      <c r="C414" s="17" t="str">
        <f t="shared" si="19"/>
        <v/>
      </c>
      <c r="D414" s="27"/>
      <c r="E414" s="27"/>
      <c r="F414" s="28"/>
      <c r="G414" s="14" t="str">
        <f>IF($D414="","",IFERROR(INDEX(Einstellungen!$B$4:$B$40,MATCH($D414,Einstellungen!$A$4:$A$40,0)),"?"))</f>
        <v/>
      </c>
      <c r="H414" s="27"/>
      <c r="I414" s="11" t="str">
        <f t="shared" si="20"/>
        <v/>
      </c>
    </row>
    <row r="415" spans="1:9" ht="15" customHeight="1" x14ac:dyDescent="0.25">
      <c r="A415" s="20"/>
      <c r="B415" s="21" t="str">
        <f t="shared" si="18"/>
        <v/>
      </c>
      <c r="C415" s="21" t="str">
        <f t="shared" si="19"/>
        <v/>
      </c>
      <c r="D415" s="22"/>
      <c r="E415" s="22"/>
      <c r="F415" s="23"/>
      <c r="G415" s="24" t="str">
        <f>IF($D415="","",IFERROR(INDEX(Einstellungen!$B$4:$B$40,MATCH($D415,Einstellungen!$A$4:$A$40,0)),"?"))</f>
        <v/>
      </c>
      <c r="H415" s="22"/>
      <c r="I415" s="25" t="str">
        <f t="shared" si="20"/>
        <v/>
      </c>
    </row>
    <row r="416" spans="1:9" ht="15" customHeight="1" x14ac:dyDescent="0.25">
      <c r="A416" s="26"/>
      <c r="B416" s="17" t="str">
        <f t="shared" si="18"/>
        <v/>
      </c>
      <c r="C416" s="17" t="str">
        <f t="shared" si="19"/>
        <v/>
      </c>
      <c r="D416" s="27"/>
      <c r="E416" s="27"/>
      <c r="F416" s="28"/>
      <c r="G416" s="14" t="str">
        <f>IF($D416="","",IFERROR(INDEX(Einstellungen!$B$4:$B$40,MATCH($D416,Einstellungen!$A$4:$A$40,0)),"?"))</f>
        <v/>
      </c>
      <c r="H416" s="27"/>
      <c r="I416" s="11" t="str">
        <f t="shared" si="20"/>
        <v/>
      </c>
    </row>
    <row r="417" spans="1:9" ht="15" customHeight="1" x14ac:dyDescent="0.25">
      <c r="A417" s="20"/>
      <c r="B417" s="21" t="str">
        <f t="shared" si="18"/>
        <v/>
      </c>
      <c r="C417" s="21" t="str">
        <f t="shared" si="19"/>
        <v/>
      </c>
      <c r="D417" s="22"/>
      <c r="E417" s="22"/>
      <c r="F417" s="23"/>
      <c r="G417" s="24" t="str">
        <f>IF($D417="","",IFERROR(INDEX(Einstellungen!$B$4:$B$40,MATCH($D417,Einstellungen!$A$4:$A$40,0)),"?"))</f>
        <v/>
      </c>
      <c r="H417" s="22"/>
      <c r="I417" s="25" t="str">
        <f t="shared" si="20"/>
        <v/>
      </c>
    </row>
    <row r="418" spans="1:9" ht="15" customHeight="1" x14ac:dyDescent="0.25">
      <c r="A418" s="26"/>
      <c r="B418" s="17" t="str">
        <f t="shared" si="18"/>
        <v/>
      </c>
      <c r="C418" s="17" t="str">
        <f t="shared" si="19"/>
        <v/>
      </c>
      <c r="D418" s="27"/>
      <c r="E418" s="27"/>
      <c r="F418" s="28"/>
      <c r="G418" s="14" t="str">
        <f>IF($D418="","",IFERROR(INDEX(Einstellungen!$B$4:$B$40,MATCH($D418,Einstellungen!$A$4:$A$40,0)),"?"))</f>
        <v/>
      </c>
      <c r="H418" s="27"/>
      <c r="I418" s="11" t="str">
        <f t="shared" si="20"/>
        <v/>
      </c>
    </row>
    <row r="419" spans="1:9" ht="15" customHeight="1" x14ac:dyDescent="0.25">
      <c r="A419" s="20"/>
      <c r="B419" s="21" t="str">
        <f t="shared" si="18"/>
        <v/>
      </c>
      <c r="C419" s="21" t="str">
        <f t="shared" si="19"/>
        <v/>
      </c>
      <c r="D419" s="22"/>
      <c r="E419" s="22"/>
      <c r="F419" s="23"/>
      <c r="G419" s="24" t="str">
        <f>IF($D419="","",IFERROR(INDEX(Einstellungen!$B$4:$B$40,MATCH($D419,Einstellungen!$A$4:$A$40,0)),"?"))</f>
        <v/>
      </c>
      <c r="H419" s="22"/>
      <c r="I419" s="25" t="str">
        <f t="shared" si="20"/>
        <v/>
      </c>
    </row>
    <row r="420" spans="1:9" ht="15" customHeight="1" x14ac:dyDescent="0.25">
      <c r="A420" s="26"/>
      <c r="B420" s="17" t="str">
        <f t="shared" si="18"/>
        <v/>
      </c>
      <c r="C420" s="17" t="str">
        <f t="shared" si="19"/>
        <v/>
      </c>
      <c r="D420" s="27"/>
      <c r="E420" s="27"/>
      <c r="F420" s="28"/>
      <c r="G420" s="14" t="str">
        <f>IF($D420="","",IFERROR(INDEX(Einstellungen!$B$4:$B$40,MATCH($D420,Einstellungen!$A$4:$A$40,0)),"?"))</f>
        <v/>
      </c>
      <c r="H420" s="27"/>
      <c r="I420" s="11" t="str">
        <f t="shared" si="20"/>
        <v/>
      </c>
    </row>
    <row r="421" spans="1:9" ht="15" customHeight="1" x14ac:dyDescent="0.25">
      <c r="A421" s="20"/>
      <c r="B421" s="21" t="str">
        <f t="shared" si="18"/>
        <v/>
      </c>
      <c r="C421" s="21" t="str">
        <f t="shared" si="19"/>
        <v/>
      </c>
      <c r="D421" s="22"/>
      <c r="E421" s="22"/>
      <c r="F421" s="23"/>
      <c r="G421" s="24" t="str">
        <f>IF($D421="","",IFERROR(INDEX(Einstellungen!$B$4:$B$40,MATCH($D421,Einstellungen!$A$4:$A$40,0)),"?"))</f>
        <v/>
      </c>
      <c r="H421" s="22"/>
      <c r="I421" s="25" t="str">
        <f t="shared" si="20"/>
        <v/>
      </c>
    </row>
    <row r="422" spans="1:9" ht="15" customHeight="1" x14ac:dyDescent="0.25">
      <c r="A422" s="26"/>
      <c r="B422" s="17" t="str">
        <f t="shared" si="18"/>
        <v/>
      </c>
      <c r="C422" s="17" t="str">
        <f t="shared" si="19"/>
        <v/>
      </c>
      <c r="D422" s="27"/>
      <c r="E422" s="27"/>
      <c r="F422" s="28"/>
      <c r="G422" s="14" t="str">
        <f>IF($D422="","",IFERROR(INDEX(Einstellungen!$B$4:$B$40,MATCH($D422,Einstellungen!$A$4:$A$40,0)),"?"))</f>
        <v/>
      </c>
      <c r="H422" s="27"/>
      <c r="I422" s="11" t="str">
        <f t="shared" si="20"/>
        <v/>
      </c>
    </row>
    <row r="423" spans="1:9" ht="15" customHeight="1" x14ac:dyDescent="0.25">
      <c r="A423" s="20"/>
      <c r="B423" s="21" t="str">
        <f t="shared" si="18"/>
        <v/>
      </c>
      <c r="C423" s="21" t="str">
        <f t="shared" si="19"/>
        <v/>
      </c>
      <c r="D423" s="22"/>
      <c r="E423" s="22"/>
      <c r="F423" s="23"/>
      <c r="G423" s="24" t="str">
        <f>IF($D423="","",IFERROR(INDEX(Einstellungen!$B$4:$B$40,MATCH($D423,Einstellungen!$A$4:$A$40,0)),"?"))</f>
        <v/>
      </c>
      <c r="H423" s="22"/>
      <c r="I423" s="25" t="str">
        <f t="shared" si="20"/>
        <v/>
      </c>
    </row>
    <row r="424" spans="1:9" ht="15" customHeight="1" x14ac:dyDescent="0.25">
      <c r="A424" s="26"/>
      <c r="B424" s="17" t="str">
        <f t="shared" si="18"/>
        <v/>
      </c>
      <c r="C424" s="17" t="str">
        <f t="shared" si="19"/>
        <v/>
      </c>
      <c r="D424" s="27"/>
      <c r="E424" s="27"/>
      <c r="F424" s="28"/>
      <c r="G424" s="14" t="str">
        <f>IF($D424="","",IFERROR(INDEX(Einstellungen!$B$4:$B$40,MATCH($D424,Einstellungen!$A$4:$A$40,0)),"?"))</f>
        <v/>
      </c>
      <c r="H424" s="27"/>
      <c r="I424" s="11" t="str">
        <f t="shared" si="20"/>
        <v/>
      </c>
    </row>
    <row r="425" spans="1:9" ht="15" customHeight="1" x14ac:dyDescent="0.25">
      <c r="A425" s="20"/>
      <c r="B425" s="21" t="str">
        <f t="shared" si="18"/>
        <v/>
      </c>
      <c r="C425" s="21" t="str">
        <f t="shared" si="19"/>
        <v/>
      </c>
      <c r="D425" s="22"/>
      <c r="E425" s="22"/>
      <c r="F425" s="23"/>
      <c r="G425" s="24" t="str">
        <f>IF($D425="","",IFERROR(INDEX(Einstellungen!$B$4:$B$40,MATCH($D425,Einstellungen!$A$4:$A$40,0)),"?"))</f>
        <v/>
      </c>
      <c r="H425" s="22"/>
      <c r="I425" s="25" t="str">
        <f t="shared" si="20"/>
        <v/>
      </c>
    </row>
    <row r="426" spans="1:9" ht="15" customHeight="1" x14ac:dyDescent="0.25">
      <c r="A426" s="26"/>
      <c r="B426" s="17" t="str">
        <f t="shared" si="18"/>
        <v/>
      </c>
      <c r="C426" s="17" t="str">
        <f t="shared" si="19"/>
        <v/>
      </c>
      <c r="D426" s="27"/>
      <c r="E426" s="27"/>
      <c r="F426" s="28"/>
      <c r="G426" s="14" t="str">
        <f>IF($D426="","",IFERROR(INDEX(Einstellungen!$B$4:$B$40,MATCH($D426,Einstellungen!$A$4:$A$40,0)),"?"))</f>
        <v/>
      </c>
      <c r="H426" s="27"/>
      <c r="I426" s="11" t="str">
        <f t="shared" si="20"/>
        <v/>
      </c>
    </row>
    <row r="427" spans="1:9" ht="15" customHeight="1" x14ac:dyDescent="0.25">
      <c r="A427" s="20"/>
      <c r="B427" s="21" t="str">
        <f t="shared" si="18"/>
        <v/>
      </c>
      <c r="C427" s="21" t="str">
        <f t="shared" si="19"/>
        <v/>
      </c>
      <c r="D427" s="22"/>
      <c r="E427" s="22"/>
      <c r="F427" s="23"/>
      <c r="G427" s="24" t="str">
        <f>IF($D427="","",IFERROR(INDEX(Einstellungen!$B$4:$B$40,MATCH($D427,Einstellungen!$A$4:$A$40,0)),"?"))</f>
        <v/>
      </c>
      <c r="H427" s="22"/>
      <c r="I427" s="25" t="str">
        <f t="shared" si="20"/>
        <v/>
      </c>
    </row>
    <row r="428" spans="1:9" ht="15" customHeight="1" x14ac:dyDescent="0.25">
      <c r="A428" s="26"/>
      <c r="B428" s="17" t="str">
        <f t="shared" si="18"/>
        <v/>
      </c>
      <c r="C428" s="17" t="str">
        <f t="shared" si="19"/>
        <v/>
      </c>
      <c r="D428" s="27"/>
      <c r="E428" s="27"/>
      <c r="F428" s="28"/>
      <c r="G428" s="14" t="str">
        <f>IF($D428="","",IFERROR(INDEX(Einstellungen!$B$4:$B$40,MATCH($D428,Einstellungen!$A$4:$A$40,0)),"?"))</f>
        <v/>
      </c>
      <c r="H428" s="27"/>
      <c r="I428" s="11" t="str">
        <f t="shared" si="20"/>
        <v/>
      </c>
    </row>
    <row r="429" spans="1:9" ht="15" customHeight="1" x14ac:dyDescent="0.25">
      <c r="A429" s="20"/>
      <c r="B429" s="21" t="str">
        <f t="shared" si="18"/>
        <v/>
      </c>
      <c r="C429" s="21" t="str">
        <f t="shared" si="19"/>
        <v/>
      </c>
      <c r="D429" s="22"/>
      <c r="E429" s="22"/>
      <c r="F429" s="23"/>
      <c r="G429" s="24" t="str">
        <f>IF($D429="","",IFERROR(INDEX(Einstellungen!$B$4:$B$40,MATCH($D429,Einstellungen!$A$4:$A$40,0)),"?"))</f>
        <v/>
      </c>
      <c r="H429" s="22"/>
      <c r="I429" s="25" t="str">
        <f t="shared" si="20"/>
        <v/>
      </c>
    </row>
    <row r="430" spans="1:9" ht="15" customHeight="1" x14ac:dyDescent="0.25">
      <c r="A430" s="26"/>
      <c r="B430" s="17" t="str">
        <f t="shared" si="18"/>
        <v/>
      </c>
      <c r="C430" s="17" t="str">
        <f t="shared" si="19"/>
        <v/>
      </c>
      <c r="D430" s="27"/>
      <c r="E430" s="27"/>
      <c r="F430" s="28"/>
      <c r="G430" s="14" t="str">
        <f>IF($D430="","",IFERROR(INDEX(Einstellungen!$B$4:$B$40,MATCH($D430,Einstellungen!$A$4:$A$40,0)),"?"))</f>
        <v/>
      </c>
      <c r="H430" s="27"/>
      <c r="I430" s="11" t="str">
        <f t="shared" si="20"/>
        <v/>
      </c>
    </row>
    <row r="431" spans="1:9" ht="15" customHeight="1" x14ac:dyDescent="0.25">
      <c r="A431" s="20"/>
      <c r="B431" s="21" t="str">
        <f t="shared" si="18"/>
        <v/>
      </c>
      <c r="C431" s="21" t="str">
        <f t="shared" si="19"/>
        <v/>
      </c>
      <c r="D431" s="22"/>
      <c r="E431" s="22"/>
      <c r="F431" s="23"/>
      <c r="G431" s="24" t="str">
        <f>IF($D431="","",IFERROR(INDEX(Einstellungen!$B$4:$B$40,MATCH($D431,Einstellungen!$A$4:$A$40,0)),"?"))</f>
        <v/>
      </c>
      <c r="H431" s="22"/>
      <c r="I431" s="25" t="str">
        <f t="shared" si="20"/>
        <v/>
      </c>
    </row>
    <row r="432" spans="1:9" ht="15" customHeight="1" x14ac:dyDescent="0.25">
      <c r="A432" s="26"/>
      <c r="B432" s="17" t="str">
        <f t="shared" si="18"/>
        <v/>
      </c>
      <c r="C432" s="17" t="str">
        <f t="shared" si="19"/>
        <v/>
      </c>
      <c r="D432" s="27"/>
      <c r="E432" s="27"/>
      <c r="F432" s="28"/>
      <c r="G432" s="14" t="str">
        <f>IF($D432="","",IFERROR(INDEX(Einstellungen!$B$4:$B$40,MATCH($D432,Einstellungen!$A$4:$A$40,0)),"?"))</f>
        <v/>
      </c>
      <c r="H432" s="27"/>
      <c r="I432" s="11" t="str">
        <f t="shared" si="20"/>
        <v/>
      </c>
    </row>
    <row r="433" spans="1:9" ht="15" customHeight="1" x14ac:dyDescent="0.25">
      <c r="A433" s="20"/>
      <c r="B433" s="21" t="str">
        <f t="shared" si="18"/>
        <v/>
      </c>
      <c r="C433" s="21" t="str">
        <f t="shared" si="19"/>
        <v/>
      </c>
      <c r="D433" s="22"/>
      <c r="E433" s="22"/>
      <c r="F433" s="23"/>
      <c r="G433" s="24" t="str">
        <f>IF($D433="","",IFERROR(INDEX(Einstellungen!$B$4:$B$40,MATCH($D433,Einstellungen!$A$4:$A$40,0)),"?"))</f>
        <v/>
      </c>
      <c r="H433" s="22"/>
      <c r="I433" s="25" t="str">
        <f t="shared" si="20"/>
        <v/>
      </c>
    </row>
    <row r="434" spans="1:9" ht="15" customHeight="1" x14ac:dyDescent="0.25">
      <c r="A434" s="26"/>
      <c r="B434" s="17" t="str">
        <f t="shared" si="18"/>
        <v/>
      </c>
      <c r="C434" s="17" t="str">
        <f t="shared" si="19"/>
        <v/>
      </c>
      <c r="D434" s="27"/>
      <c r="E434" s="27"/>
      <c r="F434" s="28"/>
      <c r="G434" s="14" t="str">
        <f>IF($D434="","",IFERROR(INDEX(Einstellungen!$B$4:$B$40,MATCH($D434,Einstellungen!$A$4:$A$40,0)),"?"))</f>
        <v/>
      </c>
      <c r="H434" s="27"/>
      <c r="I434" s="11" t="str">
        <f t="shared" si="20"/>
        <v/>
      </c>
    </row>
    <row r="435" spans="1:9" ht="15" customHeight="1" x14ac:dyDescent="0.25">
      <c r="A435" s="20"/>
      <c r="B435" s="21" t="str">
        <f t="shared" si="18"/>
        <v/>
      </c>
      <c r="C435" s="21" t="str">
        <f t="shared" si="19"/>
        <v/>
      </c>
      <c r="D435" s="22"/>
      <c r="E435" s="22"/>
      <c r="F435" s="23"/>
      <c r="G435" s="24" t="str">
        <f>IF($D435="","",IFERROR(INDEX(Einstellungen!$B$4:$B$40,MATCH($D435,Einstellungen!$A$4:$A$40,0)),"?"))</f>
        <v/>
      </c>
      <c r="H435" s="22"/>
      <c r="I435" s="25" t="str">
        <f t="shared" si="20"/>
        <v/>
      </c>
    </row>
    <row r="436" spans="1:9" ht="15" customHeight="1" x14ac:dyDescent="0.25">
      <c r="A436" s="26"/>
      <c r="B436" s="17" t="str">
        <f t="shared" si="18"/>
        <v/>
      </c>
      <c r="C436" s="17" t="str">
        <f t="shared" si="19"/>
        <v/>
      </c>
      <c r="D436" s="27"/>
      <c r="E436" s="27"/>
      <c r="F436" s="28"/>
      <c r="G436" s="14" t="str">
        <f>IF($D436="","",IFERROR(INDEX(Einstellungen!$B$4:$B$40,MATCH($D436,Einstellungen!$A$4:$A$40,0)),"?"))</f>
        <v/>
      </c>
      <c r="H436" s="27"/>
      <c r="I436" s="11" t="str">
        <f t="shared" si="20"/>
        <v/>
      </c>
    </row>
    <row r="437" spans="1:9" ht="15" customHeight="1" x14ac:dyDescent="0.25">
      <c r="A437" s="20"/>
      <c r="B437" s="21" t="str">
        <f t="shared" si="18"/>
        <v/>
      </c>
      <c r="C437" s="21" t="str">
        <f t="shared" si="19"/>
        <v/>
      </c>
      <c r="D437" s="22"/>
      <c r="E437" s="22"/>
      <c r="F437" s="23"/>
      <c r="G437" s="24" t="str">
        <f>IF($D437="","",IFERROR(INDEX(Einstellungen!$B$4:$B$40,MATCH($D437,Einstellungen!$A$4:$A$40,0)),"?"))</f>
        <v/>
      </c>
      <c r="H437" s="22"/>
      <c r="I437" s="25" t="str">
        <f t="shared" si="20"/>
        <v/>
      </c>
    </row>
    <row r="438" spans="1:9" ht="15" customHeight="1" x14ac:dyDescent="0.25">
      <c r="A438" s="26"/>
      <c r="B438" s="17" t="str">
        <f t="shared" si="18"/>
        <v/>
      </c>
      <c r="C438" s="17" t="str">
        <f t="shared" si="19"/>
        <v/>
      </c>
      <c r="D438" s="27"/>
      <c r="E438" s="27"/>
      <c r="F438" s="28"/>
      <c r="G438" s="14" t="str">
        <f>IF($D438="","",IFERROR(INDEX(Einstellungen!$B$4:$B$40,MATCH($D438,Einstellungen!$A$4:$A$40,0)),"?"))</f>
        <v/>
      </c>
      <c r="H438" s="27"/>
      <c r="I438" s="11" t="str">
        <f t="shared" si="20"/>
        <v/>
      </c>
    </row>
    <row r="439" spans="1:9" ht="15" customHeight="1" x14ac:dyDescent="0.25">
      <c r="A439" s="20"/>
      <c r="B439" s="21" t="str">
        <f t="shared" si="18"/>
        <v/>
      </c>
      <c r="C439" s="21" t="str">
        <f t="shared" si="19"/>
        <v/>
      </c>
      <c r="D439" s="22"/>
      <c r="E439" s="22"/>
      <c r="F439" s="23"/>
      <c r="G439" s="24" t="str">
        <f>IF($D439="","",IFERROR(INDEX(Einstellungen!$B$4:$B$40,MATCH($D439,Einstellungen!$A$4:$A$40,0)),"?"))</f>
        <v/>
      </c>
      <c r="H439" s="22"/>
      <c r="I439" s="25" t="str">
        <f t="shared" si="20"/>
        <v/>
      </c>
    </row>
    <row r="440" spans="1:9" ht="15" customHeight="1" x14ac:dyDescent="0.25">
      <c r="A440" s="26"/>
      <c r="B440" s="17" t="str">
        <f t="shared" si="18"/>
        <v/>
      </c>
      <c r="C440" s="17" t="str">
        <f t="shared" si="19"/>
        <v/>
      </c>
      <c r="D440" s="27"/>
      <c r="E440" s="27"/>
      <c r="F440" s="28"/>
      <c r="G440" s="14" t="str">
        <f>IF($D440="","",IFERROR(INDEX(Einstellungen!$B$4:$B$40,MATCH($D440,Einstellungen!$A$4:$A$40,0)),"?"))</f>
        <v/>
      </c>
      <c r="H440" s="27"/>
      <c r="I440" s="11" t="str">
        <f t="shared" si="20"/>
        <v/>
      </c>
    </row>
    <row r="441" spans="1:9" ht="15" customHeight="1" x14ac:dyDescent="0.25">
      <c r="A441" s="20"/>
      <c r="B441" s="21" t="str">
        <f t="shared" si="18"/>
        <v/>
      </c>
      <c r="C441" s="21" t="str">
        <f t="shared" si="19"/>
        <v/>
      </c>
      <c r="D441" s="22"/>
      <c r="E441" s="22"/>
      <c r="F441" s="23"/>
      <c r="G441" s="24" t="str">
        <f>IF($D441="","",IFERROR(INDEX(Einstellungen!$B$4:$B$40,MATCH($D441,Einstellungen!$A$4:$A$40,0)),"?"))</f>
        <v/>
      </c>
      <c r="H441" s="22"/>
      <c r="I441" s="25" t="str">
        <f t="shared" si="20"/>
        <v/>
      </c>
    </row>
    <row r="442" spans="1:9" ht="15" customHeight="1" x14ac:dyDescent="0.25">
      <c r="A442" s="26"/>
      <c r="B442" s="17" t="str">
        <f t="shared" si="18"/>
        <v/>
      </c>
      <c r="C442" s="17" t="str">
        <f t="shared" si="19"/>
        <v/>
      </c>
      <c r="D442" s="27"/>
      <c r="E442" s="27"/>
      <c r="F442" s="28"/>
      <c r="G442" s="14" t="str">
        <f>IF($D442="","",IFERROR(INDEX(Einstellungen!$B$4:$B$40,MATCH($D442,Einstellungen!$A$4:$A$40,0)),"?"))</f>
        <v/>
      </c>
      <c r="H442" s="27"/>
      <c r="I442" s="11" t="str">
        <f t="shared" si="20"/>
        <v/>
      </c>
    </row>
    <row r="443" spans="1:9" ht="15" customHeight="1" x14ac:dyDescent="0.25">
      <c r="A443" s="20"/>
      <c r="B443" s="21" t="str">
        <f t="shared" si="18"/>
        <v/>
      </c>
      <c r="C443" s="21" t="str">
        <f t="shared" si="19"/>
        <v/>
      </c>
      <c r="D443" s="22"/>
      <c r="E443" s="22"/>
      <c r="F443" s="23"/>
      <c r="G443" s="24" t="str">
        <f>IF($D443="","",IFERROR(INDEX(Einstellungen!$B$4:$B$40,MATCH($D443,Einstellungen!$A$4:$A$40,0)),"?"))</f>
        <v/>
      </c>
      <c r="H443" s="22"/>
      <c r="I443" s="25" t="str">
        <f t="shared" si="20"/>
        <v/>
      </c>
    </row>
    <row r="444" spans="1:9" ht="15" customHeight="1" x14ac:dyDescent="0.25">
      <c r="A444" s="26"/>
      <c r="B444" s="17" t="str">
        <f t="shared" si="18"/>
        <v/>
      </c>
      <c r="C444" s="17" t="str">
        <f t="shared" si="19"/>
        <v/>
      </c>
      <c r="D444" s="27"/>
      <c r="E444" s="27"/>
      <c r="F444" s="28"/>
      <c r="G444" s="14" t="str">
        <f>IF($D444="","",IFERROR(INDEX(Einstellungen!$B$4:$B$40,MATCH($D444,Einstellungen!$A$4:$A$40,0)),"?"))</f>
        <v/>
      </c>
      <c r="H444" s="27"/>
      <c r="I444" s="11" t="str">
        <f t="shared" si="20"/>
        <v/>
      </c>
    </row>
    <row r="445" spans="1:9" ht="15" customHeight="1" x14ac:dyDescent="0.25">
      <c r="A445" s="20"/>
      <c r="B445" s="21" t="str">
        <f t="shared" si="18"/>
        <v/>
      </c>
      <c r="C445" s="21" t="str">
        <f t="shared" si="19"/>
        <v/>
      </c>
      <c r="D445" s="22"/>
      <c r="E445" s="22"/>
      <c r="F445" s="23"/>
      <c r="G445" s="24" t="str">
        <f>IF($D445="","",IFERROR(INDEX(Einstellungen!$B$4:$B$40,MATCH($D445,Einstellungen!$A$4:$A$40,0)),"?"))</f>
        <v/>
      </c>
      <c r="H445" s="22"/>
      <c r="I445" s="25" t="str">
        <f t="shared" si="20"/>
        <v/>
      </c>
    </row>
    <row r="446" spans="1:9" ht="15" customHeight="1" x14ac:dyDescent="0.25">
      <c r="A446" s="26"/>
      <c r="B446" s="17" t="str">
        <f t="shared" si="18"/>
        <v/>
      </c>
      <c r="C446" s="17" t="str">
        <f t="shared" si="19"/>
        <v/>
      </c>
      <c r="D446" s="27"/>
      <c r="E446" s="27"/>
      <c r="F446" s="28"/>
      <c r="G446" s="14" t="str">
        <f>IF($D446="","",IFERROR(INDEX(Einstellungen!$B$4:$B$40,MATCH($D446,Einstellungen!$A$4:$A$40,0)),"?"))</f>
        <v/>
      </c>
      <c r="H446" s="27"/>
      <c r="I446" s="11" t="str">
        <f t="shared" si="20"/>
        <v/>
      </c>
    </row>
    <row r="447" spans="1:9" ht="15" customHeight="1" x14ac:dyDescent="0.25">
      <c r="A447" s="20"/>
      <c r="B447" s="21" t="str">
        <f t="shared" si="18"/>
        <v/>
      </c>
      <c r="C447" s="21" t="str">
        <f t="shared" si="19"/>
        <v/>
      </c>
      <c r="D447" s="22"/>
      <c r="E447" s="22"/>
      <c r="F447" s="23"/>
      <c r="G447" s="24" t="str">
        <f>IF($D447="","",IFERROR(INDEX(Einstellungen!$B$4:$B$40,MATCH($D447,Einstellungen!$A$4:$A$40,0)),"?"))</f>
        <v/>
      </c>
      <c r="H447" s="22"/>
      <c r="I447" s="25" t="str">
        <f t="shared" si="20"/>
        <v/>
      </c>
    </row>
    <row r="448" spans="1:9" ht="15" customHeight="1" x14ac:dyDescent="0.25">
      <c r="A448" s="26"/>
      <c r="B448" s="17" t="str">
        <f t="shared" si="18"/>
        <v/>
      </c>
      <c r="C448" s="17" t="str">
        <f t="shared" si="19"/>
        <v/>
      </c>
      <c r="D448" s="27"/>
      <c r="E448" s="27"/>
      <c r="F448" s="28"/>
      <c r="G448" s="14" t="str">
        <f>IF($D448="","",IFERROR(INDEX(Einstellungen!$B$4:$B$40,MATCH($D448,Einstellungen!$A$4:$A$40,0)),"?"))</f>
        <v/>
      </c>
      <c r="H448" s="27"/>
      <c r="I448" s="11" t="str">
        <f t="shared" si="20"/>
        <v/>
      </c>
    </row>
    <row r="449" spans="1:9" ht="15" customHeight="1" x14ac:dyDescent="0.25">
      <c r="A449" s="20"/>
      <c r="B449" s="21" t="str">
        <f t="shared" si="18"/>
        <v/>
      </c>
      <c r="C449" s="21" t="str">
        <f t="shared" si="19"/>
        <v/>
      </c>
      <c r="D449" s="22"/>
      <c r="E449" s="22"/>
      <c r="F449" s="23"/>
      <c r="G449" s="24" t="str">
        <f>IF($D449="","",IFERROR(INDEX(Einstellungen!$B$4:$B$40,MATCH($D449,Einstellungen!$A$4:$A$40,0)),"?"))</f>
        <v/>
      </c>
      <c r="H449" s="22"/>
      <c r="I449" s="25" t="str">
        <f t="shared" si="20"/>
        <v/>
      </c>
    </row>
    <row r="450" spans="1:9" ht="15" customHeight="1" x14ac:dyDescent="0.25">
      <c r="A450" s="26"/>
      <c r="B450" s="17" t="str">
        <f t="shared" si="18"/>
        <v/>
      </c>
      <c r="C450" s="17" t="str">
        <f t="shared" si="19"/>
        <v/>
      </c>
      <c r="D450" s="27"/>
      <c r="E450" s="27"/>
      <c r="F450" s="28"/>
      <c r="G450" s="14" t="str">
        <f>IF($D450="","",IFERROR(INDEX(Einstellungen!$B$4:$B$40,MATCH($D450,Einstellungen!$A$4:$A$40,0)),"?"))</f>
        <v/>
      </c>
      <c r="H450" s="27"/>
      <c r="I450" s="11" t="str">
        <f t="shared" si="20"/>
        <v/>
      </c>
    </row>
    <row r="451" spans="1:9" ht="15" customHeight="1" x14ac:dyDescent="0.25">
      <c r="A451" s="20"/>
      <c r="B451" s="21" t="str">
        <f t="shared" si="18"/>
        <v/>
      </c>
      <c r="C451" s="21" t="str">
        <f t="shared" si="19"/>
        <v/>
      </c>
      <c r="D451" s="22"/>
      <c r="E451" s="22"/>
      <c r="F451" s="23"/>
      <c r="G451" s="24" t="str">
        <f>IF($D451="","",IFERROR(INDEX(Einstellungen!$B$4:$B$40,MATCH($D451,Einstellungen!$A$4:$A$40,0)),"?"))</f>
        <v/>
      </c>
      <c r="H451" s="22"/>
      <c r="I451" s="25" t="str">
        <f t="shared" si="20"/>
        <v/>
      </c>
    </row>
    <row r="452" spans="1:9" ht="15" customHeight="1" x14ac:dyDescent="0.25">
      <c r="A452" s="26"/>
      <c r="B452" s="17" t="str">
        <f t="shared" ref="B452:B515" si="21">IF($A452="","",YEAR($A452))</f>
        <v/>
      </c>
      <c r="C452" s="17" t="str">
        <f t="shared" ref="C452:C515" si="22">IF($A452="","",MONTH($A452))</f>
        <v/>
      </c>
      <c r="D452" s="27"/>
      <c r="E452" s="27"/>
      <c r="F452" s="28"/>
      <c r="G452" s="14" t="str">
        <f>IF($D452="","",IFERROR(INDEX(Einstellungen!$B$4:$B$40,MATCH($D452,Einstellungen!$A$4:$A$40,0)),"?"))</f>
        <v/>
      </c>
      <c r="H452" s="27"/>
      <c r="I452" s="11" t="str">
        <f t="shared" ref="I452:I515" si="23">IF($F452="","",IF($G452="Einnahme",$F452,-$F452))</f>
        <v/>
      </c>
    </row>
    <row r="453" spans="1:9" ht="15" customHeight="1" x14ac:dyDescent="0.25">
      <c r="A453" s="20"/>
      <c r="B453" s="21" t="str">
        <f t="shared" si="21"/>
        <v/>
      </c>
      <c r="C453" s="21" t="str">
        <f t="shared" si="22"/>
        <v/>
      </c>
      <c r="D453" s="22"/>
      <c r="E453" s="22"/>
      <c r="F453" s="23"/>
      <c r="G453" s="24" t="str">
        <f>IF($D453="","",IFERROR(INDEX(Einstellungen!$B$4:$B$40,MATCH($D453,Einstellungen!$A$4:$A$40,0)),"?"))</f>
        <v/>
      </c>
      <c r="H453" s="22"/>
      <c r="I453" s="25" t="str">
        <f t="shared" si="23"/>
        <v/>
      </c>
    </row>
    <row r="454" spans="1:9" ht="15" customHeight="1" x14ac:dyDescent="0.25">
      <c r="A454" s="26"/>
      <c r="B454" s="17" t="str">
        <f t="shared" si="21"/>
        <v/>
      </c>
      <c r="C454" s="17" t="str">
        <f t="shared" si="22"/>
        <v/>
      </c>
      <c r="D454" s="27"/>
      <c r="E454" s="27"/>
      <c r="F454" s="28"/>
      <c r="G454" s="14" t="str">
        <f>IF($D454="","",IFERROR(INDEX(Einstellungen!$B$4:$B$40,MATCH($D454,Einstellungen!$A$4:$A$40,0)),"?"))</f>
        <v/>
      </c>
      <c r="H454" s="27"/>
      <c r="I454" s="11" t="str">
        <f t="shared" si="23"/>
        <v/>
      </c>
    </row>
    <row r="455" spans="1:9" ht="15" customHeight="1" x14ac:dyDescent="0.25">
      <c r="A455" s="20"/>
      <c r="B455" s="21" t="str">
        <f t="shared" si="21"/>
        <v/>
      </c>
      <c r="C455" s="21" t="str">
        <f t="shared" si="22"/>
        <v/>
      </c>
      <c r="D455" s="22"/>
      <c r="E455" s="22"/>
      <c r="F455" s="23"/>
      <c r="G455" s="24" t="str">
        <f>IF($D455="","",IFERROR(INDEX(Einstellungen!$B$4:$B$40,MATCH($D455,Einstellungen!$A$4:$A$40,0)),"?"))</f>
        <v/>
      </c>
      <c r="H455" s="22"/>
      <c r="I455" s="25" t="str">
        <f t="shared" si="23"/>
        <v/>
      </c>
    </row>
    <row r="456" spans="1:9" ht="15" customHeight="1" x14ac:dyDescent="0.25">
      <c r="A456" s="26"/>
      <c r="B456" s="17" t="str">
        <f t="shared" si="21"/>
        <v/>
      </c>
      <c r="C456" s="17" t="str">
        <f t="shared" si="22"/>
        <v/>
      </c>
      <c r="D456" s="27"/>
      <c r="E456" s="27"/>
      <c r="F456" s="28"/>
      <c r="G456" s="14" t="str">
        <f>IF($D456="","",IFERROR(INDEX(Einstellungen!$B$4:$B$40,MATCH($D456,Einstellungen!$A$4:$A$40,0)),"?"))</f>
        <v/>
      </c>
      <c r="H456" s="27"/>
      <c r="I456" s="11" t="str">
        <f t="shared" si="23"/>
        <v/>
      </c>
    </row>
    <row r="457" spans="1:9" ht="15" customHeight="1" x14ac:dyDescent="0.25">
      <c r="A457" s="20"/>
      <c r="B457" s="21" t="str">
        <f t="shared" si="21"/>
        <v/>
      </c>
      <c r="C457" s="21" t="str">
        <f t="shared" si="22"/>
        <v/>
      </c>
      <c r="D457" s="22"/>
      <c r="E457" s="22"/>
      <c r="F457" s="23"/>
      <c r="G457" s="24" t="str">
        <f>IF($D457="","",IFERROR(INDEX(Einstellungen!$B$4:$B$40,MATCH($D457,Einstellungen!$A$4:$A$40,0)),"?"))</f>
        <v/>
      </c>
      <c r="H457" s="22"/>
      <c r="I457" s="25" t="str">
        <f t="shared" si="23"/>
        <v/>
      </c>
    </row>
    <row r="458" spans="1:9" ht="15" customHeight="1" x14ac:dyDescent="0.25">
      <c r="A458" s="26"/>
      <c r="B458" s="17" t="str">
        <f t="shared" si="21"/>
        <v/>
      </c>
      <c r="C458" s="17" t="str">
        <f t="shared" si="22"/>
        <v/>
      </c>
      <c r="D458" s="27"/>
      <c r="E458" s="27"/>
      <c r="F458" s="28"/>
      <c r="G458" s="14" t="str">
        <f>IF($D458="","",IFERROR(INDEX(Einstellungen!$B$4:$B$40,MATCH($D458,Einstellungen!$A$4:$A$40,0)),"?"))</f>
        <v/>
      </c>
      <c r="H458" s="27"/>
      <c r="I458" s="11" t="str">
        <f t="shared" si="23"/>
        <v/>
      </c>
    </row>
    <row r="459" spans="1:9" ht="15" customHeight="1" x14ac:dyDescent="0.25">
      <c r="A459" s="20"/>
      <c r="B459" s="21" t="str">
        <f t="shared" si="21"/>
        <v/>
      </c>
      <c r="C459" s="21" t="str">
        <f t="shared" si="22"/>
        <v/>
      </c>
      <c r="D459" s="22"/>
      <c r="E459" s="22"/>
      <c r="F459" s="23"/>
      <c r="G459" s="24" t="str">
        <f>IF($D459="","",IFERROR(INDEX(Einstellungen!$B$4:$B$40,MATCH($D459,Einstellungen!$A$4:$A$40,0)),"?"))</f>
        <v/>
      </c>
      <c r="H459" s="22"/>
      <c r="I459" s="25" t="str">
        <f t="shared" si="23"/>
        <v/>
      </c>
    </row>
    <row r="460" spans="1:9" ht="15" customHeight="1" x14ac:dyDescent="0.25">
      <c r="A460" s="26"/>
      <c r="B460" s="17" t="str">
        <f t="shared" si="21"/>
        <v/>
      </c>
      <c r="C460" s="17" t="str">
        <f t="shared" si="22"/>
        <v/>
      </c>
      <c r="D460" s="27"/>
      <c r="E460" s="27"/>
      <c r="F460" s="28"/>
      <c r="G460" s="14" t="str">
        <f>IF($D460="","",IFERROR(INDEX(Einstellungen!$B$4:$B$40,MATCH($D460,Einstellungen!$A$4:$A$40,0)),"?"))</f>
        <v/>
      </c>
      <c r="H460" s="27"/>
      <c r="I460" s="11" t="str">
        <f t="shared" si="23"/>
        <v/>
      </c>
    </row>
    <row r="461" spans="1:9" ht="15" customHeight="1" x14ac:dyDescent="0.25">
      <c r="A461" s="20"/>
      <c r="B461" s="21" t="str">
        <f t="shared" si="21"/>
        <v/>
      </c>
      <c r="C461" s="21" t="str">
        <f t="shared" si="22"/>
        <v/>
      </c>
      <c r="D461" s="22"/>
      <c r="E461" s="22"/>
      <c r="F461" s="23"/>
      <c r="G461" s="24" t="str">
        <f>IF($D461="","",IFERROR(INDEX(Einstellungen!$B$4:$B$40,MATCH($D461,Einstellungen!$A$4:$A$40,0)),"?"))</f>
        <v/>
      </c>
      <c r="H461" s="22"/>
      <c r="I461" s="25" t="str">
        <f t="shared" si="23"/>
        <v/>
      </c>
    </row>
    <row r="462" spans="1:9" ht="15" customHeight="1" x14ac:dyDescent="0.25">
      <c r="A462" s="26"/>
      <c r="B462" s="17" t="str">
        <f t="shared" si="21"/>
        <v/>
      </c>
      <c r="C462" s="17" t="str">
        <f t="shared" si="22"/>
        <v/>
      </c>
      <c r="D462" s="27"/>
      <c r="E462" s="27"/>
      <c r="F462" s="28"/>
      <c r="G462" s="14" t="str">
        <f>IF($D462="","",IFERROR(INDEX(Einstellungen!$B$4:$B$40,MATCH($D462,Einstellungen!$A$4:$A$40,0)),"?"))</f>
        <v/>
      </c>
      <c r="H462" s="27"/>
      <c r="I462" s="11" t="str">
        <f t="shared" si="23"/>
        <v/>
      </c>
    </row>
    <row r="463" spans="1:9" ht="15" customHeight="1" x14ac:dyDescent="0.25">
      <c r="A463" s="20"/>
      <c r="B463" s="21" t="str">
        <f t="shared" si="21"/>
        <v/>
      </c>
      <c r="C463" s="21" t="str">
        <f t="shared" si="22"/>
        <v/>
      </c>
      <c r="D463" s="22"/>
      <c r="E463" s="22"/>
      <c r="F463" s="23"/>
      <c r="G463" s="24" t="str">
        <f>IF($D463="","",IFERROR(INDEX(Einstellungen!$B$4:$B$40,MATCH($D463,Einstellungen!$A$4:$A$40,0)),"?"))</f>
        <v/>
      </c>
      <c r="H463" s="22"/>
      <c r="I463" s="25" t="str">
        <f t="shared" si="23"/>
        <v/>
      </c>
    </row>
    <row r="464" spans="1:9" ht="15" customHeight="1" x14ac:dyDescent="0.25">
      <c r="A464" s="26"/>
      <c r="B464" s="17" t="str">
        <f t="shared" si="21"/>
        <v/>
      </c>
      <c r="C464" s="17" t="str">
        <f t="shared" si="22"/>
        <v/>
      </c>
      <c r="D464" s="27"/>
      <c r="E464" s="27"/>
      <c r="F464" s="28"/>
      <c r="G464" s="14" t="str">
        <f>IF($D464="","",IFERROR(INDEX(Einstellungen!$B$4:$B$40,MATCH($D464,Einstellungen!$A$4:$A$40,0)),"?"))</f>
        <v/>
      </c>
      <c r="H464" s="27"/>
      <c r="I464" s="11" t="str">
        <f t="shared" si="23"/>
        <v/>
      </c>
    </row>
    <row r="465" spans="1:9" ht="15" customHeight="1" x14ac:dyDescent="0.25">
      <c r="A465" s="20"/>
      <c r="B465" s="21" t="str">
        <f t="shared" si="21"/>
        <v/>
      </c>
      <c r="C465" s="21" t="str">
        <f t="shared" si="22"/>
        <v/>
      </c>
      <c r="D465" s="22"/>
      <c r="E465" s="22"/>
      <c r="F465" s="23"/>
      <c r="G465" s="24" t="str">
        <f>IF($D465="","",IFERROR(INDEX(Einstellungen!$B$4:$B$40,MATCH($D465,Einstellungen!$A$4:$A$40,0)),"?"))</f>
        <v/>
      </c>
      <c r="H465" s="22"/>
      <c r="I465" s="25" t="str">
        <f t="shared" si="23"/>
        <v/>
      </c>
    </row>
    <row r="466" spans="1:9" ht="15" customHeight="1" x14ac:dyDescent="0.25">
      <c r="A466" s="26"/>
      <c r="B466" s="17" t="str">
        <f t="shared" si="21"/>
        <v/>
      </c>
      <c r="C466" s="17" t="str">
        <f t="shared" si="22"/>
        <v/>
      </c>
      <c r="D466" s="27"/>
      <c r="E466" s="27"/>
      <c r="F466" s="28"/>
      <c r="G466" s="14" t="str">
        <f>IF($D466="","",IFERROR(INDEX(Einstellungen!$B$4:$B$40,MATCH($D466,Einstellungen!$A$4:$A$40,0)),"?"))</f>
        <v/>
      </c>
      <c r="H466" s="27"/>
      <c r="I466" s="11" t="str">
        <f t="shared" si="23"/>
        <v/>
      </c>
    </row>
    <row r="467" spans="1:9" ht="15" customHeight="1" x14ac:dyDescent="0.25">
      <c r="A467" s="20"/>
      <c r="B467" s="21" t="str">
        <f t="shared" si="21"/>
        <v/>
      </c>
      <c r="C467" s="21" t="str">
        <f t="shared" si="22"/>
        <v/>
      </c>
      <c r="D467" s="22"/>
      <c r="E467" s="22"/>
      <c r="F467" s="23"/>
      <c r="G467" s="24" t="str">
        <f>IF($D467="","",IFERROR(INDEX(Einstellungen!$B$4:$B$40,MATCH($D467,Einstellungen!$A$4:$A$40,0)),"?"))</f>
        <v/>
      </c>
      <c r="H467" s="22"/>
      <c r="I467" s="25" t="str">
        <f t="shared" si="23"/>
        <v/>
      </c>
    </row>
    <row r="468" spans="1:9" ht="15" customHeight="1" x14ac:dyDescent="0.25">
      <c r="A468" s="26"/>
      <c r="B468" s="17" t="str">
        <f t="shared" si="21"/>
        <v/>
      </c>
      <c r="C468" s="17" t="str">
        <f t="shared" si="22"/>
        <v/>
      </c>
      <c r="D468" s="27"/>
      <c r="E468" s="27"/>
      <c r="F468" s="28"/>
      <c r="G468" s="14" t="str">
        <f>IF($D468="","",IFERROR(INDEX(Einstellungen!$B$4:$B$40,MATCH($D468,Einstellungen!$A$4:$A$40,0)),"?"))</f>
        <v/>
      </c>
      <c r="H468" s="27"/>
      <c r="I468" s="11" t="str">
        <f t="shared" si="23"/>
        <v/>
      </c>
    </row>
    <row r="469" spans="1:9" ht="15" customHeight="1" x14ac:dyDescent="0.25">
      <c r="A469" s="20"/>
      <c r="B469" s="21" t="str">
        <f t="shared" si="21"/>
        <v/>
      </c>
      <c r="C469" s="21" t="str">
        <f t="shared" si="22"/>
        <v/>
      </c>
      <c r="D469" s="22"/>
      <c r="E469" s="22"/>
      <c r="F469" s="23"/>
      <c r="G469" s="24" t="str">
        <f>IF($D469="","",IFERROR(INDEX(Einstellungen!$B$4:$B$40,MATCH($D469,Einstellungen!$A$4:$A$40,0)),"?"))</f>
        <v/>
      </c>
      <c r="H469" s="22"/>
      <c r="I469" s="25" t="str">
        <f t="shared" si="23"/>
        <v/>
      </c>
    </row>
    <row r="470" spans="1:9" ht="15" customHeight="1" x14ac:dyDescent="0.25">
      <c r="A470" s="26"/>
      <c r="B470" s="17" t="str">
        <f t="shared" si="21"/>
        <v/>
      </c>
      <c r="C470" s="17" t="str">
        <f t="shared" si="22"/>
        <v/>
      </c>
      <c r="D470" s="27"/>
      <c r="E470" s="27"/>
      <c r="F470" s="28"/>
      <c r="G470" s="14" t="str">
        <f>IF($D470="","",IFERROR(INDEX(Einstellungen!$B$4:$B$40,MATCH($D470,Einstellungen!$A$4:$A$40,0)),"?"))</f>
        <v/>
      </c>
      <c r="H470" s="27"/>
      <c r="I470" s="11" t="str">
        <f t="shared" si="23"/>
        <v/>
      </c>
    </row>
    <row r="471" spans="1:9" ht="15" customHeight="1" x14ac:dyDescent="0.25">
      <c r="A471" s="20"/>
      <c r="B471" s="21" t="str">
        <f t="shared" si="21"/>
        <v/>
      </c>
      <c r="C471" s="21" t="str">
        <f t="shared" si="22"/>
        <v/>
      </c>
      <c r="D471" s="22"/>
      <c r="E471" s="22"/>
      <c r="F471" s="23"/>
      <c r="G471" s="24" t="str">
        <f>IF($D471="","",IFERROR(INDEX(Einstellungen!$B$4:$B$40,MATCH($D471,Einstellungen!$A$4:$A$40,0)),"?"))</f>
        <v/>
      </c>
      <c r="H471" s="22"/>
      <c r="I471" s="25" t="str">
        <f t="shared" si="23"/>
        <v/>
      </c>
    </row>
    <row r="472" spans="1:9" ht="15" customHeight="1" x14ac:dyDescent="0.25">
      <c r="A472" s="26"/>
      <c r="B472" s="17" t="str">
        <f t="shared" si="21"/>
        <v/>
      </c>
      <c r="C472" s="17" t="str">
        <f t="shared" si="22"/>
        <v/>
      </c>
      <c r="D472" s="27"/>
      <c r="E472" s="27"/>
      <c r="F472" s="28"/>
      <c r="G472" s="14" t="str">
        <f>IF($D472="","",IFERROR(INDEX(Einstellungen!$B$4:$B$40,MATCH($D472,Einstellungen!$A$4:$A$40,0)),"?"))</f>
        <v/>
      </c>
      <c r="H472" s="27"/>
      <c r="I472" s="11" t="str">
        <f t="shared" si="23"/>
        <v/>
      </c>
    </row>
    <row r="473" spans="1:9" ht="15" customHeight="1" x14ac:dyDescent="0.25">
      <c r="A473" s="20"/>
      <c r="B473" s="21" t="str">
        <f t="shared" si="21"/>
        <v/>
      </c>
      <c r="C473" s="21" t="str">
        <f t="shared" si="22"/>
        <v/>
      </c>
      <c r="D473" s="22"/>
      <c r="E473" s="22"/>
      <c r="F473" s="23"/>
      <c r="G473" s="24" t="str">
        <f>IF($D473="","",IFERROR(INDEX(Einstellungen!$B$4:$B$40,MATCH($D473,Einstellungen!$A$4:$A$40,0)),"?"))</f>
        <v/>
      </c>
      <c r="H473" s="22"/>
      <c r="I473" s="25" t="str">
        <f t="shared" si="23"/>
        <v/>
      </c>
    </row>
    <row r="474" spans="1:9" ht="15" customHeight="1" x14ac:dyDescent="0.25">
      <c r="A474" s="26"/>
      <c r="B474" s="17" t="str">
        <f t="shared" si="21"/>
        <v/>
      </c>
      <c r="C474" s="17" t="str">
        <f t="shared" si="22"/>
        <v/>
      </c>
      <c r="D474" s="27"/>
      <c r="E474" s="27"/>
      <c r="F474" s="28"/>
      <c r="G474" s="14" t="str">
        <f>IF($D474="","",IFERROR(INDEX(Einstellungen!$B$4:$B$40,MATCH($D474,Einstellungen!$A$4:$A$40,0)),"?"))</f>
        <v/>
      </c>
      <c r="H474" s="27"/>
      <c r="I474" s="11" t="str">
        <f t="shared" si="23"/>
        <v/>
      </c>
    </row>
    <row r="475" spans="1:9" ht="15" customHeight="1" x14ac:dyDescent="0.25">
      <c r="A475" s="20"/>
      <c r="B475" s="21" t="str">
        <f t="shared" si="21"/>
        <v/>
      </c>
      <c r="C475" s="21" t="str">
        <f t="shared" si="22"/>
        <v/>
      </c>
      <c r="D475" s="22"/>
      <c r="E475" s="22"/>
      <c r="F475" s="23"/>
      <c r="G475" s="24" t="str">
        <f>IF($D475="","",IFERROR(INDEX(Einstellungen!$B$4:$B$40,MATCH($D475,Einstellungen!$A$4:$A$40,0)),"?"))</f>
        <v/>
      </c>
      <c r="H475" s="22"/>
      <c r="I475" s="25" t="str">
        <f t="shared" si="23"/>
        <v/>
      </c>
    </row>
    <row r="476" spans="1:9" ht="15" customHeight="1" x14ac:dyDescent="0.25">
      <c r="A476" s="26"/>
      <c r="B476" s="17" t="str">
        <f t="shared" si="21"/>
        <v/>
      </c>
      <c r="C476" s="17" t="str">
        <f t="shared" si="22"/>
        <v/>
      </c>
      <c r="D476" s="27"/>
      <c r="E476" s="27"/>
      <c r="F476" s="28"/>
      <c r="G476" s="14" t="str">
        <f>IF($D476="","",IFERROR(INDEX(Einstellungen!$B$4:$B$40,MATCH($D476,Einstellungen!$A$4:$A$40,0)),"?"))</f>
        <v/>
      </c>
      <c r="H476" s="27"/>
      <c r="I476" s="11" t="str">
        <f t="shared" si="23"/>
        <v/>
      </c>
    </row>
    <row r="477" spans="1:9" ht="15" customHeight="1" x14ac:dyDescent="0.25">
      <c r="A477" s="20"/>
      <c r="B477" s="21" t="str">
        <f t="shared" si="21"/>
        <v/>
      </c>
      <c r="C477" s="21" t="str">
        <f t="shared" si="22"/>
        <v/>
      </c>
      <c r="D477" s="22"/>
      <c r="E477" s="22"/>
      <c r="F477" s="23"/>
      <c r="G477" s="24" t="str">
        <f>IF($D477="","",IFERROR(INDEX(Einstellungen!$B$4:$B$40,MATCH($D477,Einstellungen!$A$4:$A$40,0)),"?"))</f>
        <v/>
      </c>
      <c r="H477" s="22"/>
      <c r="I477" s="25" t="str">
        <f t="shared" si="23"/>
        <v/>
      </c>
    </row>
    <row r="478" spans="1:9" ht="15" customHeight="1" x14ac:dyDescent="0.25">
      <c r="A478" s="26"/>
      <c r="B478" s="17" t="str">
        <f t="shared" si="21"/>
        <v/>
      </c>
      <c r="C478" s="17" t="str">
        <f t="shared" si="22"/>
        <v/>
      </c>
      <c r="D478" s="27"/>
      <c r="E478" s="27"/>
      <c r="F478" s="28"/>
      <c r="G478" s="14" t="str">
        <f>IF($D478="","",IFERROR(INDEX(Einstellungen!$B$4:$B$40,MATCH($D478,Einstellungen!$A$4:$A$40,0)),"?"))</f>
        <v/>
      </c>
      <c r="H478" s="27"/>
      <c r="I478" s="11" t="str">
        <f t="shared" si="23"/>
        <v/>
      </c>
    </row>
    <row r="479" spans="1:9" ht="15" customHeight="1" x14ac:dyDescent="0.25">
      <c r="A479" s="20"/>
      <c r="B479" s="21" t="str">
        <f t="shared" si="21"/>
        <v/>
      </c>
      <c r="C479" s="21" t="str">
        <f t="shared" si="22"/>
        <v/>
      </c>
      <c r="D479" s="22"/>
      <c r="E479" s="22"/>
      <c r="F479" s="23"/>
      <c r="G479" s="24" t="str">
        <f>IF($D479="","",IFERROR(INDEX(Einstellungen!$B$4:$B$40,MATCH($D479,Einstellungen!$A$4:$A$40,0)),"?"))</f>
        <v/>
      </c>
      <c r="H479" s="22"/>
      <c r="I479" s="25" t="str">
        <f t="shared" si="23"/>
        <v/>
      </c>
    </row>
    <row r="480" spans="1:9" ht="15" customHeight="1" x14ac:dyDescent="0.25">
      <c r="A480" s="26"/>
      <c r="B480" s="17" t="str">
        <f t="shared" si="21"/>
        <v/>
      </c>
      <c r="C480" s="17" t="str">
        <f t="shared" si="22"/>
        <v/>
      </c>
      <c r="D480" s="27"/>
      <c r="E480" s="27"/>
      <c r="F480" s="28"/>
      <c r="G480" s="14" t="str">
        <f>IF($D480="","",IFERROR(INDEX(Einstellungen!$B$4:$B$40,MATCH($D480,Einstellungen!$A$4:$A$40,0)),"?"))</f>
        <v/>
      </c>
      <c r="H480" s="27"/>
      <c r="I480" s="11" t="str">
        <f t="shared" si="23"/>
        <v/>
      </c>
    </row>
    <row r="481" spans="1:9" ht="15" customHeight="1" x14ac:dyDescent="0.25">
      <c r="A481" s="20"/>
      <c r="B481" s="21" t="str">
        <f t="shared" si="21"/>
        <v/>
      </c>
      <c r="C481" s="21" t="str">
        <f t="shared" si="22"/>
        <v/>
      </c>
      <c r="D481" s="22"/>
      <c r="E481" s="22"/>
      <c r="F481" s="23"/>
      <c r="G481" s="24" t="str">
        <f>IF($D481="","",IFERROR(INDEX(Einstellungen!$B$4:$B$40,MATCH($D481,Einstellungen!$A$4:$A$40,0)),"?"))</f>
        <v/>
      </c>
      <c r="H481" s="22"/>
      <c r="I481" s="25" t="str">
        <f t="shared" si="23"/>
        <v/>
      </c>
    </row>
    <row r="482" spans="1:9" ht="15" customHeight="1" x14ac:dyDescent="0.25">
      <c r="A482" s="26"/>
      <c r="B482" s="17" t="str">
        <f t="shared" si="21"/>
        <v/>
      </c>
      <c r="C482" s="17" t="str">
        <f t="shared" si="22"/>
        <v/>
      </c>
      <c r="D482" s="27"/>
      <c r="E482" s="27"/>
      <c r="F482" s="28"/>
      <c r="G482" s="14" t="str">
        <f>IF($D482="","",IFERROR(INDEX(Einstellungen!$B$4:$B$40,MATCH($D482,Einstellungen!$A$4:$A$40,0)),"?"))</f>
        <v/>
      </c>
      <c r="H482" s="27"/>
      <c r="I482" s="11" t="str">
        <f t="shared" si="23"/>
        <v/>
      </c>
    </row>
    <row r="483" spans="1:9" ht="15" customHeight="1" x14ac:dyDescent="0.25">
      <c r="A483" s="20"/>
      <c r="B483" s="21" t="str">
        <f t="shared" si="21"/>
        <v/>
      </c>
      <c r="C483" s="21" t="str">
        <f t="shared" si="22"/>
        <v/>
      </c>
      <c r="D483" s="22"/>
      <c r="E483" s="22"/>
      <c r="F483" s="23"/>
      <c r="G483" s="24" t="str">
        <f>IF($D483="","",IFERROR(INDEX(Einstellungen!$B$4:$B$40,MATCH($D483,Einstellungen!$A$4:$A$40,0)),"?"))</f>
        <v/>
      </c>
      <c r="H483" s="22"/>
      <c r="I483" s="25" t="str">
        <f t="shared" si="23"/>
        <v/>
      </c>
    </row>
    <row r="484" spans="1:9" ht="15" customHeight="1" x14ac:dyDescent="0.25">
      <c r="A484" s="26"/>
      <c r="B484" s="17" t="str">
        <f t="shared" si="21"/>
        <v/>
      </c>
      <c r="C484" s="17" t="str">
        <f t="shared" si="22"/>
        <v/>
      </c>
      <c r="D484" s="27"/>
      <c r="E484" s="27"/>
      <c r="F484" s="28"/>
      <c r="G484" s="14" t="str">
        <f>IF($D484="","",IFERROR(INDEX(Einstellungen!$B$4:$B$40,MATCH($D484,Einstellungen!$A$4:$A$40,0)),"?"))</f>
        <v/>
      </c>
      <c r="H484" s="27"/>
      <c r="I484" s="11" t="str">
        <f t="shared" si="23"/>
        <v/>
      </c>
    </row>
    <row r="485" spans="1:9" ht="15" customHeight="1" x14ac:dyDescent="0.25">
      <c r="A485" s="20"/>
      <c r="B485" s="21" t="str">
        <f t="shared" si="21"/>
        <v/>
      </c>
      <c r="C485" s="21" t="str">
        <f t="shared" si="22"/>
        <v/>
      </c>
      <c r="D485" s="22"/>
      <c r="E485" s="22"/>
      <c r="F485" s="23"/>
      <c r="G485" s="24" t="str">
        <f>IF($D485="","",IFERROR(INDEX(Einstellungen!$B$4:$B$40,MATCH($D485,Einstellungen!$A$4:$A$40,0)),"?"))</f>
        <v/>
      </c>
      <c r="H485" s="22"/>
      <c r="I485" s="25" t="str">
        <f t="shared" si="23"/>
        <v/>
      </c>
    </row>
    <row r="486" spans="1:9" ht="15" customHeight="1" x14ac:dyDescent="0.25">
      <c r="A486" s="26"/>
      <c r="B486" s="17" t="str">
        <f t="shared" si="21"/>
        <v/>
      </c>
      <c r="C486" s="17" t="str">
        <f t="shared" si="22"/>
        <v/>
      </c>
      <c r="D486" s="27"/>
      <c r="E486" s="27"/>
      <c r="F486" s="28"/>
      <c r="G486" s="14" t="str">
        <f>IF($D486="","",IFERROR(INDEX(Einstellungen!$B$4:$B$40,MATCH($D486,Einstellungen!$A$4:$A$40,0)),"?"))</f>
        <v/>
      </c>
      <c r="H486" s="27"/>
      <c r="I486" s="11" t="str">
        <f t="shared" si="23"/>
        <v/>
      </c>
    </row>
    <row r="487" spans="1:9" ht="15" customHeight="1" x14ac:dyDescent="0.25">
      <c r="A487" s="20"/>
      <c r="B487" s="21" t="str">
        <f t="shared" si="21"/>
        <v/>
      </c>
      <c r="C487" s="21" t="str">
        <f t="shared" si="22"/>
        <v/>
      </c>
      <c r="D487" s="22"/>
      <c r="E487" s="22"/>
      <c r="F487" s="23"/>
      <c r="G487" s="24" t="str">
        <f>IF($D487="","",IFERROR(INDEX(Einstellungen!$B$4:$B$40,MATCH($D487,Einstellungen!$A$4:$A$40,0)),"?"))</f>
        <v/>
      </c>
      <c r="H487" s="22"/>
      <c r="I487" s="25" t="str">
        <f t="shared" si="23"/>
        <v/>
      </c>
    </row>
    <row r="488" spans="1:9" ht="15" customHeight="1" x14ac:dyDescent="0.25">
      <c r="A488" s="26"/>
      <c r="B488" s="17" t="str">
        <f t="shared" si="21"/>
        <v/>
      </c>
      <c r="C488" s="17" t="str">
        <f t="shared" si="22"/>
        <v/>
      </c>
      <c r="D488" s="27"/>
      <c r="E488" s="27"/>
      <c r="F488" s="28"/>
      <c r="G488" s="14" t="str">
        <f>IF($D488="","",IFERROR(INDEX(Einstellungen!$B$4:$B$40,MATCH($D488,Einstellungen!$A$4:$A$40,0)),"?"))</f>
        <v/>
      </c>
      <c r="H488" s="27"/>
      <c r="I488" s="11" t="str">
        <f t="shared" si="23"/>
        <v/>
      </c>
    </row>
    <row r="489" spans="1:9" ht="15" customHeight="1" x14ac:dyDescent="0.25">
      <c r="A489" s="20"/>
      <c r="B489" s="21" t="str">
        <f t="shared" si="21"/>
        <v/>
      </c>
      <c r="C489" s="21" t="str">
        <f t="shared" si="22"/>
        <v/>
      </c>
      <c r="D489" s="22"/>
      <c r="E489" s="22"/>
      <c r="F489" s="23"/>
      <c r="G489" s="24" t="str">
        <f>IF($D489="","",IFERROR(INDEX(Einstellungen!$B$4:$B$40,MATCH($D489,Einstellungen!$A$4:$A$40,0)),"?"))</f>
        <v/>
      </c>
      <c r="H489" s="22"/>
      <c r="I489" s="25" t="str">
        <f t="shared" si="23"/>
        <v/>
      </c>
    </row>
    <row r="490" spans="1:9" ht="15" customHeight="1" x14ac:dyDescent="0.25">
      <c r="A490" s="26"/>
      <c r="B490" s="17" t="str">
        <f t="shared" si="21"/>
        <v/>
      </c>
      <c r="C490" s="17" t="str">
        <f t="shared" si="22"/>
        <v/>
      </c>
      <c r="D490" s="27"/>
      <c r="E490" s="27"/>
      <c r="F490" s="28"/>
      <c r="G490" s="14" t="str">
        <f>IF($D490="","",IFERROR(INDEX(Einstellungen!$B$4:$B$40,MATCH($D490,Einstellungen!$A$4:$A$40,0)),"?"))</f>
        <v/>
      </c>
      <c r="H490" s="27"/>
      <c r="I490" s="11" t="str">
        <f t="shared" si="23"/>
        <v/>
      </c>
    </row>
    <row r="491" spans="1:9" ht="15" customHeight="1" x14ac:dyDescent="0.25">
      <c r="A491" s="20"/>
      <c r="B491" s="21" t="str">
        <f t="shared" si="21"/>
        <v/>
      </c>
      <c r="C491" s="21" t="str">
        <f t="shared" si="22"/>
        <v/>
      </c>
      <c r="D491" s="22"/>
      <c r="E491" s="22"/>
      <c r="F491" s="23"/>
      <c r="G491" s="24" t="str">
        <f>IF($D491="","",IFERROR(INDEX(Einstellungen!$B$4:$B$40,MATCH($D491,Einstellungen!$A$4:$A$40,0)),"?"))</f>
        <v/>
      </c>
      <c r="H491" s="22"/>
      <c r="I491" s="25" t="str">
        <f t="shared" si="23"/>
        <v/>
      </c>
    </row>
    <row r="492" spans="1:9" ht="15" customHeight="1" x14ac:dyDescent="0.25">
      <c r="A492" s="26"/>
      <c r="B492" s="17" t="str">
        <f t="shared" si="21"/>
        <v/>
      </c>
      <c r="C492" s="17" t="str">
        <f t="shared" si="22"/>
        <v/>
      </c>
      <c r="D492" s="27"/>
      <c r="E492" s="27"/>
      <c r="F492" s="28"/>
      <c r="G492" s="14" t="str">
        <f>IF($D492="","",IFERROR(INDEX(Einstellungen!$B$4:$B$40,MATCH($D492,Einstellungen!$A$4:$A$40,0)),"?"))</f>
        <v/>
      </c>
      <c r="H492" s="27"/>
      <c r="I492" s="11" t="str">
        <f t="shared" si="23"/>
        <v/>
      </c>
    </row>
    <row r="493" spans="1:9" ht="15" customHeight="1" x14ac:dyDescent="0.25">
      <c r="A493" s="20"/>
      <c r="B493" s="21" t="str">
        <f t="shared" si="21"/>
        <v/>
      </c>
      <c r="C493" s="21" t="str">
        <f t="shared" si="22"/>
        <v/>
      </c>
      <c r="D493" s="22"/>
      <c r="E493" s="22"/>
      <c r="F493" s="23"/>
      <c r="G493" s="24" t="str">
        <f>IF($D493="","",IFERROR(INDEX(Einstellungen!$B$4:$B$40,MATCH($D493,Einstellungen!$A$4:$A$40,0)),"?"))</f>
        <v/>
      </c>
      <c r="H493" s="22"/>
      <c r="I493" s="25" t="str">
        <f t="shared" si="23"/>
        <v/>
      </c>
    </row>
    <row r="494" spans="1:9" ht="15" customHeight="1" x14ac:dyDescent="0.25">
      <c r="A494" s="26"/>
      <c r="B494" s="17" t="str">
        <f t="shared" si="21"/>
        <v/>
      </c>
      <c r="C494" s="17" t="str">
        <f t="shared" si="22"/>
        <v/>
      </c>
      <c r="D494" s="27"/>
      <c r="E494" s="27"/>
      <c r="F494" s="28"/>
      <c r="G494" s="14" t="str">
        <f>IF($D494="","",IFERROR(INDEX(Einstellungen!$B$4:$B$40,MATCH($D494,Einstellungen!$A$4:$A$40,0)),"?"))</f>
        <v/>
      </c>
      <c r="H494" s="27"/>
      <c r="I494" s="11" t="str">
        <f t="shared" si="23"/>
        <v/>
      </c>
    </row>
    <row r="495" spans="1:9" ht="15" customHeight="1" x14ac:dyDescent="0.25">
      <c r="A495" s="20"/>
      <c r="B495" s="21" t="str">
        <f t="shared" si="21"/>
        <v/>
      </c>
      <c r="C495" s="21" t="str">
        <f t="shared" si="22"/>
        <v/>
      </c>
      <c r="D495" s="22"/>
      <c r="E495" s="22"/>
      <c r="F495" s="23"/>
      <c r="G495" s="24" t="str">
        <f>IF($D495="","",IFERROR(INDEX(Einstellungen!$B$4:$B$40,MATCH($D495,Einstellungen!$A$4:$A$40,0)),"?"))</f>
        <v/>
      </c>
      <c r="H495" s="22"/>
      <c r="I495" s="25" t="str">
        <f t="shared" si="23"/>
        <v/>
      </c>
    </row>
    <row r="496" spans="1:9" ht="15" customHeight="1" x14ac:dyDescent="0.25">
      <c r="A496" s="26"/>
      <c r="B496" s="17" t="str">
        <f t="shared" si="21"/>
        <v/>
      </c>
      <c r="C496" s="17" t="str">
        <f t="shared" si="22"/>
        <v/>
      </c>
      <c r="D496" s="27"/>
      <c r="E496" s="27"/>
      <c r="F496" s="28"/>
      <c r="G496" s="14" t="str">
        <f>IF($D496="","",IFERROR(INDEX(Einstellungen!$B$4:$B$40,MATCH($D496,Einstellungen!$A$4:$A$40,0)),"?"))</f>
        <v/>
      </c>
      <c r="H496" s="27"/>
      <c r="I496" s="11" t="str">
        <f t="shared" si="23"/>
        <v/>
      </c>
    </row>
    <row r="497" spans="1:9" ht="15" customHeight="1" x14ac:dyDescent="0.25">
      <c r="A497" s="20"/>
      <c r="B497" s="21" t="str">
        <f t="shared" si="21"/>
        <v/>
      </c>
      <c r="C497" s="21" t="str">
        <f t="shared" si="22"/>
        <v/>
      </c>
      <c r="D497" s="22"/>
      <c r="E497" s="22"/>
      <c r="F497" s="23"/>
      <c r="G497" s="24" t="str">
        <f>IF($D497="","",IFERROR(INDEX(Einstellungen!$B$4:$B$40,MATCH($D497,Einstellungen!$A$4:$A$40,0)),"?"))</f>
        <v/>
      </c>
      <c r="H497" s="22"/>
      <c r="I497" s="25" t="str">
        <f t="shared" si="23"/>
        <v/>
      </c>
    </row>
    <row r="498" spans="1:9" ht="15" customHeight="1" x14ac:dyDescent="0.25">
      <c r="A498" s="26"/>
      <c r="B498" s="17" t="str">
        <f t="shared" si="21"/>
        <v/>
      </c>
      <c r="C498" s="17" t="str">
        <f t="shared" si="22"/>
        <v/>
      </c>
      <c r="D498" s="27"/>
      <c r="E498" s="27"/>
      <c r="F498" s="28"/>
      <c r="G498" s="14" t="str">
        <f>IF($D498="","",IFERROR(INDEX(Einstellungen!$B$4:$B$40,MATCH($D498,Einstellungen!$A$4:$A$40,0)),"?"))</f>
        <v/>
      </c>
      <c r="H498" s="27"/>
      <c r="I498" s="11" t="str">
        <f t="shared" si="23"/>
        <v/>
      </c>
    </row>
    <row r="499" spans="1:9" ht="15" customHeight="1" x14ac:dyDescent="0.25">
      <c r="A499" s="20"/>
      <c r="B499" s="21" t="str">
        <f t="shared" si="21"/>
        <v/>
      </c>
      <c r="C499" s="21" t="str">
        <f t="shared" si="22"/>
        <v/>
      </c>
      <c r="D499" s="22"/>
      <c r="E499" s="22"/>
      <c r="F499" s="23"/>
      <c r="G499" s="24" t="str">
        <f>IF($D499="","",IFERROR(INDEX(Einstellungen!$B$4:$B$40,MATCH($D499,Einstellungen!$A$4:$A$40,0)),"?"))</f>
        <v/>
      </c>
      <c r="H499" s="22"/>
      <c r="I499" s="25" t="str">
        <f t="shared" si="23"/>
        <v/>
      </c>
    </row>
    <row r="500" spans="1:9" ht="15" customHeight="1" x14ac:dyDescent="0.25">
      <c r="A500" s="26"/>
      <c r="B500" s="17" t="str">
        <f t="shared" si="21"/>
        <v/>
      </c>
      <c r="C500" s="17" t="str">
        <f t="shared" si="22"/>
        <v/>
      </c>
      <c r="D500" s="27"/>
      <c r="E500" s="27"/>
      <c r="F500" s="28"/>
      <c r="G500" s="14" t="str">
        <f>IF($D500="","",IFERROR(INDEX(Einstellungen!$B$4:$B$40,MATCH($D500,Einstellungen!$A$4:$A$40,0)),"?"))</f>
        <v/>
      </c>
      <c r="H500" s="27"/>
      <c r="I500" s="11" t="str">
        <f t="shared" si="23"/>
        <v/>
      </c>
    </row>
    <row r="501" spans="1:9" ht="15" customHeight="1" x14ac:dyDescent="0.25">
      <c r="A501" s="20"/>
      <c r="B501" s="21" t="str">
        <f t="shared" si="21"/>
        <v/>
      </c>
      <c r="C501" s="21" t="str">
        <f t="shared" si="22"/>
        <v/>
      </c>
      <c r="D501" s="22"/>
      <c r="E501" s="22"/>
      <c r="F501" s="23"/>
      <c r="G501" s="24" t="str">
        <f>IF($D501="","",IFERROR(INDEX(Einstellungen!$B$4:$B$40,MATCH($D501,Einstellungen!$A$4:$A$40,0)),"?"))</f>
        <v/>
      </c>
      <c r="H501" s="22"/>
      <c r="I501" s="25" t="str">
        <f t="shared" si="23"/>
        <v/>
      </c>
    </row>
    <row r="502" spans="1:9" ht="15" customHeight="1" x14ac:dyDescent="0.25">
      <c r="A502" s="26"/>
      <c r="B502" s="17" t="str">
        <f t="shared" si="21"/>
        <v/>
      </c>
      <c r="C502" s="17" t="str">
        <f t="shared" si="22"/>
        <v/>
      </c>
      <c r="D502" s="27"/>
      <c r="E502" s="27"/>
      <c r="F502" s="28"/>
      <c r="G502" s="14" t="str">
        <f>IF($D502="","",IFERROR(INDEX(Einstellungen!$B$4:$B$40,MATCH($D502,Einstellungen!$A$4:$A$40,0)),"?"))</f>
        <v/>
      </c>
      <c r="H502" s="27"/>
      <c r="I502" s="11" t="str">
        <f t="shared" si="23"/>
        <v/>
      </c>
    </row>
    <row r="503" spans="1:9" ht="15" customHeight="1" x14ac:dyDescent="0.25">
      <c r="A503" s="20"/>
      <c r="B503" s="21" t="str">
        <f t="shared" si="21"/>
        <v/>
      </c>
      <c r="C503" s="21" t="str">
        <f t="shared" si="22"/>
        <v/>
      </c>
      <c r="D503" s="22"/>
      <c r="E503" s="22"/>
      <c r="F503" s="23"/>
      <c r="G503" s="24" t="str">
        <f>IF($D503="","",IFERROR(INDEX(Einstellungen!$B$4:$B$40,MATCH($D503,Einstellungen!$A$4:$A$40,0)),"?"))</f>
        <v/>
      </c>
      <c r="H503" s="22"/>
      <c r="I503" s="25" t="str">
        <f t="shared" si="23"/>
        <v/>
      </c>
    </row>
    <row r="504" spans="1:9" ht="15" customHeight="1" x14ac:dyDescent="0.25">
      <c r="A504" s="26"/>
      <c r="B504" s="17" t="str">
        <f t="shared" si="21"/>
        <v/>
      </c>
      <c r="C504" s="17" t="str">
        <f t="shared" si="22"/>
        <v/>
      </c>
      <c r="D504" s="27"/>
      <c r="E504" s="27"/>
      <c r="F504" s="28"/>
      <c r="G504" s="14" t="str">
        <f>IF($D504="","",IFERROR(INDEX(Einstellungen!$B$4:$B$40,MATCH($D504,Einstellungen!$A$4:$A$40,0)),"?"))</f>
        <v/>
      </c>
      <c r="H504" s="27"/>
      <c r="I504" s="11" t="str">
        <f t="shared" si="23"/>
        <v/>
      </c>
    </row>
    <row r="505" spans="1:9" ht="15" customHeight="1" x14ac:dyDescent="0.25">
      <c r="A505" s="20"/>
      <c r="B505" s="21" t="str">
        <f t="shared" si="21"/>
        <v/>
      </c>
      <c r="C505" s="21" t="str">
        <f t="shared" si="22"/>
        <v/>
      </c>
      <c r="D505" s="22"/>
      <c r="E505" s="22"/>
      <c r="F505" s="23"/>
      <c r="G505" s="24" t="str">
        <f>IF($D505="","",IFERROR(INDEX(Einstellungen!$B$4:$B$40,MATCH($D505,Einstellungen!$A$4:$A$40,0)),"?"))</f>
        <v/>
      </c>
      <c r="H505" s="22"/>
      <c r="I505" s="25" t="str">
        <f t="shared" si="23"/>
        <v/>
      </c>
    </row>
    <row r="506" spans="1:9" ht="15" customHeight="1" x14ac:dyDescent="0.25">
      <c r="A506" s="26"/>
      <c r="B506" s="17" t="str">
        <f t="shared" si="21"/>
        <v/>
      </c>
      <c r="C506" s="17" t="str">
        <f t="shared" si="22"/>
        <v/>
      </c>
      <c r="D506" s="27"/>
      <c r="E506" s="27"/>
      <c r="F506" s="28"/>
      <c r="G506" s="14" t="str">
        <f>IF($D506="","",IFERROR(INDEX(Einstellungen!$B$4:$B$40,MATCH($D506,Einstellungen!$A$4:$A$40,0)),"?"))</f>
        <v/>
      </c>
      <c r="H506" s="27"/>
      <c r="I506" s="11" t="str">
        <f t="shared" si="23"/>
        <v/>
      </c>
    </row>
    <row r="507" spans="1:9" ht="15" customHeight="1" x14ac:dyDescent="0.25">
      <c r="A507" s="20"/>
      <c r="B507" s="21" t="str">
        <f t="shared" si="21"/>
        <v/>
      </c>
      <c r="C507" s="21" t="str">
        <f t="shared" si="22"/>
        <v/>
      </c>
      <c r="D507" s="22"/>
      <c r="E507" s="22"/>
      <c r="F507" s="23"/>
      <c r="G507" s="24" t="str">
        <f>IF($D507="","",IFERROR(INDEX(Einstellungen!$B$4:$B$40,MATCH($D507,Einstellungen!$A$4:$A$40,0)),"?"))</f>
        <v/>
      </c>
      <c r="H507" s="22"/>
      <c r="I507" s="25" t="str">
        <f t="shared" si="23"/>
        <v/>
      </c>
    </row>
    <row r="508" spans="1:9" ht="15" customHeight="1" x14ac:dyDescent="0.25">
      <c r="A508" s="26"/>
      <c r="B508" s="17" t="str">
        <f t="shared" si="21"/>
        <v/>
      </c>
      <c r="C508" s="17" t="str">
        <f t="shared" si="22"/>
        <v/>
      </c>
      <c r="D508" s="27"/>
      <c r="E508" s="27"/>
      <c r="F508" s="28"/>
      <c r="G508" s="14" t="str">
        <f>IF($D508="","",IFERROR(INDEX(Einstellungen!$B$4:$B$40,MATCH($D508,Einstellungen!$A$4:$A$40,0)),"?"))</f>
        <v/>
      </c>
      <c r="H508" s="27"/>
      <c r="I508" s="11" t="str">
        <f t="shared" si="23"/>
        <v/>
      </c>
    </row>
    <row r="509" spans="1:9" ht="15" customHeight="1" x14ac:dyDescent="0.25">
      <c r="A509" s="20"/>
      <c r="B509" s="21" t="str">
        <f t="shared" si="21"/>
        <v/>
      </c>
      <c r="C509" s="21" t="str">
        <f t="shared" si="22"/>
        <v/>
      </c>
      <c r="D509" s="22"/>
      <c r="E509" s="22"/>
      <c r="F509" s="23"/>
      <c r="G509" s="24" t="str">
        <f>IF($D509="","",IFERROR(INDEX(Einstellungen!$B$4:$B$40,MATCH($D509,Einstellungen!$A$4:$A$40,0)),"?"))</f>
        <v/>
      </c>
      <c r="H509" s="22"/>
      <c r="I509" s="25" t="str">
        <f t="shared" si="23"/>
        <v/>
      </c>
    </row>
    <row r="510" spans="1:9" ht="15" customHeight="1" x14ac:dyDescent="0.25">
      <c r="A510" s="26"/>
      <c r="B510" s="17" t="str">
        <f t="shared" si="21"/>
        <v/>
      </c>
      <c r="C510" s="17" t="str">
        <f t="shared" si="22"/>
        <v/>
      </c>
      <c r="D510" s="27"/>
      <c r="E510" s="27"/>
      <c r="F510" s="28"/>
      <c r="G510" s="14" t="str">
        <f>IF($D510="","",IFERROR(INDEX(Einstellungen!$B$4:$B$40,MATCH($D510,Einstellungen!$A$4:$A$40,0)),"?"))</f>
        <v/>
      </c>
      <c r="H510" s="27"/>
      <c r="I510" s="11" t="str">
        <f t="shared" si="23"/>
        <v/>
      </c>
    </row>
    <row r="511" spans="1:9" ht="15" customHeight="1" x14ac:dyDescent="0.25">
      <c r="A511" s="20"/>
      <c r="B511" s="21" t="str">
        <f t="shared" si="21"/>
        <v/>
      </c>
      <c r="C511" s="21" t="str">
        <f t="shared" si="22"/>
        <v/>
      </c>
      <c r="D511" s="22"/>
      <c r="E511" s="22"/>
      <c r="F511" s="23"/>
      <c r="G511" s="24" t="str">
        <f>IF($D511="","",IFERROR(INDEX(Einstellungen!$B$4:$B$40,MATCH($D511,Einstellungen!$A$4:$A$40,0)),"?"))</f>
        <v/>
      </c>
      <c r="H511" s="22"/>
      <c r="I511" s="25" t="str">
        <f t="shared" si="23"/>
        <v/>
      </c>
    </row>
    <row r="512" spans="1:9" ht="15" customHeight="1" x14ac:dyDescent="0.25">
      <c r="A512" s="26"/>
      <c r="B512" s="17" t="str">
        <f t="shared" si="21"/>
        <v/>
      </c>
      <c r="C512" s="17" t="str">
        <f t="shared" si="22"/>
        <v/>
      </c>
      <c r="D512" s="27"/>
      <c r="E512" s="27"/>
      <c r="F512" s="28"/>
      <c r="G512" s="14" t="str">
        <f>IF($D512="","",IFERROR(INDEX(Einstellungen!$B$4:$B$40,MATCH($D512,Einstellungen!$A$4:$A$40,0)),"?"))</f>
        <v/>
      </c>
      <c r="H512" s="27"/>
      <c r="I512" s="11" t="str">
        <f t="shared" si="23"/>
        <v/>
      </c>
    </row>
    <row r="513" spans="1:9" ht="15" customHeight="1" x14ac:dyDescent="0.25">
      <c r="A513" s="20"/>
      <c r="B513" s="21" t="str">
        <f t="shared" si="21"/>
        <v/>
      </c>
      <c r="C513" s="21" t="str">
        <f t="shared" si="22"/>
        <v/>
      </c>
      <c r="D513" s="22"/>
      <c r="E513" s="22"/>
      <c r="F513" s="23"/>
      <c r="G513" s="24" t="str">
        <f>IF($D513="","",IFERROR(INDEX(Einstellungen!$B$4:$B$40,MATCH($D513,Einstellungen!$A$4:$A$40,0)),"?"))</f>
        <v/>
      </c>
      <c r="H513" s="22"/>
      <c r="I513" s="25" t="str">
        <f t="shared" si="23"/>
        <v/>
      </c>
    </row>
    <row r="514" spans="1:9" ht="15" customHeight="1" x14ac:dyDescent="0.25">
      <c r="A514" s="26"/>
      <c r="B514" s="17" t="str">
        <f t="shared" si="21"/>
        <v/>
      </c>
      <c r="C514" s="17" t="str">
        <f t="shared" si="22"/>
        <v/>
      </c>
      <c r="D514" s="27"/>
      <c r="E514" s="27"/>
      <c r="F514" s="28"/>
      <c r="G514" s="14" t="str">
        <f>IF($D514="","",IFERROR(INDEX(Einstellungen!$B$4:$B$40,MATCH($D514,Einstellungen!$A$4:$A$40,0)),"?"))</f>
        <v/>
      </c>
      <c r="H514" s="27"/>
      <c r="I514" s="11" t="str">
        <f t="shared" si="23"/>
        <v/>
      </c>
    </row>
    <row r="515" spans="1:9" ht="15" customHeight="1" x14ac:dyDescent="0.25">
      <c r="A515" s="20"/>
      <c r="B515" s="21" t="str">
        <f t="shared" si="21"/>
        <v/>
      </c>
      <c r="C515" s="21" t="str">
        <f t="shared" si="22"/>
        <v/>
      </c>
      <c r="D515" s="22"/>
      <c r="E515" s="22"/>
      <c r="F515" s="23"/>
      <c r="G515" s="24" t="str">
        <f>IF($D515="","",IFERROR(INDEX(Einstellungen!$B$4:$B$40,MATCH($D515,Einstellungen!$A$4:$A$40,0)),"?"))</f>
        <v/>
      </c>
      <c r="H515" s="22"/>
      <c r="I515" s="25" t="str">
        <f t="shared" si="23"/>
        <v/>
      </c>
    </row>
    <row r="516" spans="1:9" ht="15" customHeight="1" x14ac:dyDescent="0.25">
      <c r="A516" s="26"/>
      <c r="B516" s="17" t="str">
        <f t="shared" ref="B516:B579" si="24">IF($A516="","",YEAR($A516))</f>
        <v/>
      </c>
      <c r="C516" s="17" t="str">
        <f t="shared" ref="C516:C579" si="25">IF($A516="","",MONTH($A516))</f>
        <v/>
      </c>
      <c r="D516" s="27"/>
      <c r="E516" s="27"/>
      <c r="F516" s="28"/>
      <c r="G516" s="14" t="str">
        <f>IF($D516="","",IFERROR(INDEX(Einstellungen!$B$4:$B$40,MATCH($D516,Einstellungen!$A$4:$A$40,0)),"?"))</f>
        <v/>
      </c>
      <c r="H516" s="27"/>
      <c r="I516" s="11" t="str">
        <f t="shared" ref="I516:I579" si="26">IF($F516="","",IF($G516="Einnahme",$F516,-$F516))</f>
        <v/>
      </c>
    </row>
    <row r="517" spans="1:9" ht="15" customHeight="1" x14ac:dyDescent="0.25">
      <c r="A517" s="20"/>
      <c r="B517" s="21" t="str">
        <f t="shared" si="24"/>
        <v/>
      </c>
      <c r="C517" s="21" t="str">
        <f t="shared" si="25"/>
        <v/>
      </c>
      <c r="D517" s="22"/>
      <c r="E517" s="22"/>
      <c r="F517" s="23"/>
      <c r="G517" s="24" t="str">
        <f>IF($D517="","",IFERROR(INDEX(Einstellungen!$B$4:$B$40,MATCH($D517,Einstellungen!$A$4:$A$40,0)),"?"))</f>
        <v/>
      </c>
      <c r="H517" s="22"/>
      <c r="I517" s="25" t="str">
        <f t="shared" si="26"/>
        <v/>
      </c>
    </row>
    <row r="518" spans="1:9" ht="15" customHeight="1" x14ac:dyDescent="0.25">
      <c r="A518" s="26"/>
      <c r="B518" s="17" t="str">
        <f t="shared" si="24"/>
        <v/>
      </c>
      <c r="C518" s="17" t="str">
        <f t="shared" si="25"/>
        <v/>
      </c>
      <c r="D518" s="27"/>
      <c r="E518" s="27"/>
      <c r="F518" s="28"/>
      <c r="G518" s="14" t="str">
        <f>IF($D518="","",IFERROR(INDEX(Einstellungen!$B$4:$B$40,MATCH($D518,Einstellungen!$A$4:$A$40,0)),"?"))</f>
        <v/>
      </c>
      <c r="H518" s="27"/>
      <c r="I518" s="11" t="str">
        <f t="shared" si="26"/>
        <v/>
      </c>
    </row>
    <row r="519" spans="1:9" ht="15" customHeight="1" x14ac:dyDescent="0.25">
      <c r="A519" s="20"/>
      <c r="B519" s="21" t="str">
        <f t="shared" si="24"/>
        <v/>
      </c>
      <c r="C519" s="21" t="str">
        <f t="shared" si="25"/>
        <v/>
      </c>
      <c r="D519" s="22"/>
      <c r="E519" s="22"/>
      <c r="F519" s="23"/>
      <c r="G519" s="24" t="str">
        <f>IF($D519="","",IFERROR(INDEX(Einstellungen!$B$4:$B$40,MATCH($D519,Einstellungen!$A$4:$A$40,0)),"?"))</f>
        <v/>
      </c>
      <c r="H519" s="22"/>
      <c r="I519" s="25" t="str">
        <f t="shared" si="26"/>
        <v/>
      </c>
    </row>
    <row r="520" spans="1:9" ht="15" customHeight="1" x14ac:dyDescent="0.25">
      <c r="A520" s="26"/>
      <c r="B520" s="17" t="str">
        <f t="shared" si="24"/>
        <v/>
      </c>
      <c r="C520" s="17" t="str">
        <f t="shared" si="25"/>
        <v/>
      </c>
      <c r="D520" s="27"/>
      <c r="E520" s="27"/>
      <c r="F520" s="28"/>
      <c r="G520" s="14" t="str">
        <f>IF($D520="","",IFERROR(INDEX(Einstellungen!$B$4:$B$40,MATCH($D520,Einstellungen!$A$4:$A$40,0)),"?"))</f>
        <v/>
      </c>
      <c r="H520" s="27"/>
      <c r="I520" s="11" t="str">
        <f t="shared" si="26"/>
        <v/>
      </c>
    </row>
    <row r="521" spans="1:9" ht="15" customHeight="1" x14ac:dyDescent="0.25">
      <c r="A521" s="20"/>
      <c r="B521" s="21" t="str">
        <f t="shared" si="24"/>
        <v/>
      </c>
      <c r="C521" s="21" t="str">
        <f t="shared" si="25"/>
        <v/>
      </c>
      <c r="D521" s="22"/>
      <c r="E521" s="22"/>
      <c r="F521" s="23"/>
      <c r="G521" s="24" t="str">
        <f>IF($D521="","",IFERROR(INDEX(Einstellungen!$B$4:$B$40,MATCH($D521,Einstellungen!$A$4:$A$40,0)),"?"))</f>
        <v/>
      </c>
      <c r="H521" s="22"/>
      <c r="I521" s="25" t="str">
        <f t="shared" si="26"/>
        <v/>
      </c>
    </row>
    <row r="522" spans="1:9" ht="15" customHeight="1" x14ac:dyDescent="0.25">
      <c r="A522" s="26"/>
      <c r="B522" s="17" t="str">
        <f t="shared" si="24"/>
        <v/>
      </c>
      <c r="C522" s="17" t="str">
        <f t="shared" si="25"/>
        <v/>
      </c>
      <c r="D522" s="27"/>
      <c r="E522" s="27"/>
      <c r="F522" s="28"/>
      <c r="G522" s="14" t="str">
        <f>IF($D522="","",IFERROR(INDEX(Einstellungen!$B$4:$B$40,MATCH($D522,Einstellungen!$A$4:$A$40,0)),"?"))</f>
        <v/>
      </c>
      <c r="H522" s="27"/>
      <c r="I522" s="11" t="str">
        <f t="shared" si="26"/>
        <v/>
      </c>
    </row>
    <row r="523" spans="1:9" ht="15" customHeight="1" x14ac:dyDescent="0.25">
      <c r="A523" s="20"/>
      <c r="B523" s="21" t="str">
        <f t="shared" si="24"/>
        <v/>
      </c>
      <c r="C523" s="21" t="str">
        <f t="shared" si="25"/>
        <v/>
      </c>
      <c r="D523" s="22"/>
      <c r="E523" s="22"/>
      <c r="F523" s="23"/>
      <c r="G523" s="24" t="str">
        <f>IF($D523="","",IFERROR(INDEX(Einstellungen!$B$4:$B$40,MATCH($D523,Einstellungen!$A$4:$A$40,0)),"?"))</f>
        <v/>
      </c>
      <c r="H523" s="22"/>
      <c r="I523" s="25" t="str">
        <f t="shared" si="26"/>
        <v/>
      </c>
    </row>
    <row r="524" spans="1:9" ht="15" customHeight="1" x14ac:dyDescent="0.25">
      <c r="A524" s="26"/>
      <c r="B524" s="17" t="str">
        <f t="shared" si="24"/>
        <v/>
      </c>
      <c r="C524" s="17" t="str">
        <f t="shared" si="25"/>
        <v/>
      </c>
      <c r="D524" s="27"/>
      <c r="E524" s="27"/>
      <c r="F524" s="28"/>
      <c r="G524" s="14" t="str">
        <f>IF($D524="","",IFERROR(INDEX(Einstellungen!$B$4:$B$40,MATCH($D524,Einstellungen!$A$4:$A$40,0)),"?"))</f>
        <v/>
      </c>
      <c r="H524" s="27"/>
      <c r="I524" s="11" t="str">
        <f t="shared" si="26"/>
        <v/>
      </c>
    </row>
    <row r="525" spans="1:9" ht="15" customHeight="1" x14ac:dyDescent="0.25">
      <c r="A525" s="20"/>
      <c r="B525" s="21" t="str">
        <f t="shared" si="24"/>
        <v/>
      </c>
      <c r="C525" s="21" t="str">
        <f t="shared" si="25"/>
        <v/>
      </c>
      <c r="D525" s="22"/>
      <c r="E525" s="22"/>
      <c r="F525" s="23"/>
      <c r="G525" s="24" t="str">
        <f>IF($D525="","",IFERROR(INDEX(Einstellungen!$B$4:$B$40,MATCH($D525,Einstellungen!$A$4:$A$40,0)),"?"))</f>
        <v/>
      </c>
      <c r="H525" s="22"/>
      <c r="I525" s="25" t="str">
        <f t="shared" si="26"/>
        <v/>
      </c>
    </row>
    <row r="526" spans="1:9" ht="15" customHeight="1" x14ac:dyDescent="0.25">
      <c r="A526" s="26"/>
      <c r="B526" s="17" t="str">
        <f t="shared" si="24"/>
        <v/>
      </c>
      <c r="C526" s="17" t="str">
        <f t="shared" si="25"/>
        <v/>
      </c>
      <c r="D526" s="27"/>
      <c r="E526" s="27"/>
      <c r="F526" s="28"/>
      <c r="G526" s="14" t="str">
        <f>IF($D526="","",IFERROR(INDEX(Einstellungen!$B$4:$B$40,MATCH($D526,Einstellungen!$A$4:$A$40,0)),"?"))</f>
        <v/>
      </c>
      <c r="H526" s="27"/>
      <c r="I526" s="11" t="str">
        <f t="shared" si="26"/>
        <v/>
      </c>
    </row>
    <row r="527" spans="1:9" ht="15" customHeight="1" x14ac:dyDescent="0.25">
      <c r="A527" s="20"/>
      <c r="B527" s="21" t="str">
        <f t="shared" si="24"/>
        <v/>
      </c>
      <c r="C527" s="21" t="str">
        <f t="shared" si="25"/>
        <v/>
      </c>
      <c r="D527" s="22"/>
      <c r="E527" s="22"/>
      <c r="F527" s="23"/>
      <c r="G527" s="24" t="str">
        <f>IF($D527="","",IFERROR(INDEX(Einstellungen!$B$4:$B$40,MATCH($D527,Einstellungen!$A$4:$A$40,0)),"?"))</f>
        <v/>
      </c>
      <c r="H527" s="22"/>
      <c r="I527" s="25" t="str">
        <f t="shared" si="26"/>
        <v/>
      </c>
    </row>
    <row r="528" spans="1:9" ht="15" customHeight="1" x14ac:dyDescent="0.25">
      <c r="A528" s="26"/>
      <c r="B528" s="17" t="str">
        <f t="shared" si="24"/>
        <v/>
      </c>
      <c r="C528" s="17" t="str">
        <f t="shared" si="25"/>
        <v/>
      </c>
      <c r="D528" s="27"/>
      <c r="E528" s="27"/>
      <c r="F528" s="28"/>
      <c r="G528" s="14" t="str">
        <f>IF($D528="","",IFERROR(INDEX(Einstellungen!$B$4:$B$40,MATCH($D528,Einstellungen!$A$4:$A$40,0)),"?"))</f>
        <v/>
      </c>
      <c r="H528" s="27"/>
      <c r="I528" s="11" t="str">
        <f t="shared" si="26"/>
        <v/>
      </c>
    </row>
    <row r="529" spans="1:9" ht="15" customHeight="1" x14ac:dyDescent="0.25">
      <c r="A529" s="20"/>
      <c r="B529" s="21" t="str">
        <f t="shared" si="24"/>
        <v/>
      </c>
      <c r="C529" s="21" t="str">
        <f t="shared" si="25"/>
        <v/>
      </c>
      <c r="D529" s="22"/>
      <c r="E529" s="22"/>
      <c r="F529" s="23"/>
      <c r="G529" s="24" t="str">
        <f>IF($D529="","",IFERROR(INDEX(Einstellungen!$B$4:$B$40,MATCH($D529,Einstellungen!$A$4:$A$40,0)),"?"))</f>
        <v/>
      </c>
      <c r="H529" s="22"/>
      <c r="I529" s="25" t="str">
        <f t="shared" si="26"/>
        <v/>
      </c>
    </row>
    <row r="530" spans="1:9" ht="15" customHeight="1" x14ac:dyDescent="0.25">
      <c r="A530" s="26"/>
      <c r="B530" s="17" t="str">
        <f t="shared" si="24"/>
        <v/>
      </c>
      <c r="C530" s="17" t="str">
        <f t="shared" si="25"/>
        <v/>
      </c>
      <c r="D530" s="27"/>
      <c r="E530" s="27"/>
      <c r="F530" s="28"/>
      <c r="G530" s="14" t="str">
        <f>IF($D530="","",IFERROR(INDEX(Einstellungen!$B$4:$B$40,MATCH($D530,Einstellungen!$A$4:$A$40,0)),"?"))</f>
        <v/>
      </c>
      <c r="H530" s="27"/>
      <c r="I530" s="11" t="str">
        <f t="shared" si="26"/>
        <v/>
      </c>
    </row>
    <row r="531" spans="1:9" ht="15" customHeight="1" x14ac:dyDescent="0.25">
      <c r="A531" s="20"/>
      <c r="B531" s="21" t="str">
        <f t="shared" si="24"/>
        <v/>
      </c>
      <c r="C531" s="21" t="str">
        <f t="shared" si="25"/>
        <v/>
      </c>
      <c r="D531" s="22"/>
      <c r="E531" s="22"/>
      <c r="F531" s="23"/>
      <c r="G531" s="24" t="str">
        <f>IF($D531="","",IFERROR(INDEX(Einstellungen!$B$4:$B$40,MATCH($D531,Einstellungen!$A$4:$A$40,0)),"?"))</f>
        <v/>
      </c>
      <c r="H531" s="22"/>
      <c r="I531" s="25" t="str">
        <f t="shared" si="26"/>
        <v/>
      </c>
    </row>
    <row r="532" spans="1:9" ht="15" customHeight="1" x14ac:dyDescent="0.25">
      <c r="A532" s="26"/>
      <c r="B532" s="17" t="str">
        <f t="shared" si="24"/>
        <v/>
      </c>
      <c r="C532" s="17" t="str">
        <f t="shared" si="25"/>
        <v/>
      </c>
      <c r="D532" s="27"/>
      <c r="E532" s="27"/>
      <c r="F532" s="28"/>
      <c r="G532" s="14" t="str">
        <f>IF($D532="","",IFERROR(INDEX(Einstellungen!$B$4:$B$40,MATCH($D532,Einstellungen!$A$4:$A$40,0)),"?"))</f>
        <v/>
      </c>
      <c r="H532" s="27"/>
      <c r="I532" s="11" t="str">
        <f t="shared" si="26"/>
        <v/>
      </c>
    </row>
    <row r="533" spans="1:9" ht="15" customHeight="1" x14ac:dyDescent="0.25">
      <c r="A533" s="20"/>
      <c r="B533" s="21" t="str">
        <f t="shared" si="24"/>
        <v/>
      </c>
      <c r="C533" s="21" t="str">
        <f t="shared" si="25"/>
        <v/>
      </c>
      <c r="D533" s="22"/>
      <c r="E533" s="22"/>
      <c r="F533" s="23"/>
      <c r="G533" s="24" t="str">
        <f>IF($D533="","",IFERROR(INDEX(Einstellungen!$B$4:$B$40,MATCH($D533,Einstellungen!$A$4:$A$40,0)),"?"))</f>
        <v/>
      </c>
      <c r="H533" s="22"/>
      <c r="I533" s="25" t="str">
        <f t="shared" si="26"/>
        <v/>
      </c>
    </row>
    <row r="534" spans="1:9" ht="15" customHeight="1" x14ac:dyDescent="0.25">
      <c r="A534" s="26"/>
      <c r="B534" s="17" t="str">
        <f t="shared" si="24"/>
        <v/>
      </c>
      <c r="C534" s="17" t="str">
        <f t="shared" si="25"/>
        <v/>
      </c>
      <c r="D534" s="27"/>
      <c r="E534" s="27"/>
      <c r="F534" s="28"/>
      <c r="G534" s="14" t="str">
        <f>IF($D534="","",IFERROR(INDEX(Einstellungen!$B$4:$B$40,MATCH($D534,Einstellungen!$A$4:$A$40,0)),"?"))</f>
        <v/>
      </c>
      <c r="H534" s="27"/>
      <c r="I534" s="11" t="str">
        <f t="shared" si="26"/>
        <v/>
      </c>
    </row>
    <row r="535" spans="1:9" ht="15" customHeight="1" x14ac:dyDescent="0.25">
      <c r="A535" s="20"/>
      <c r="B535" s="21" t="str">
        <f t="shared" si="24"/>
        <v/>
      </c>
      <c r="C535" s="21" t="str">
        <f t="shared" si="25"/>
        <v/>
      </c>
      <c r="D535" s="22"/>
      <c r="E535" s="22"/>
      <c r="F535" s="23"/>
      <c r="G535" s="24" t="str">
        <f>IF($D535="","",IFERROR(INDEX(Einstellungen!$B$4:$B$40,MATCH($D535,Einstellungen!$A$4:$A$40,0)),"?"))</f>
        <v/>
      </c>
      <c r="H535" s="22"/>
      <c r="I535" s="25" t="str">
        <f t="shared" si="26"/>
        <v/>
      </c>
    </row>
    <row r="536" spans="1:9" ht="15" customHeight="1" x14ac:dyDescent="0.25">
      <c r="A536" s="26"/>
      <c r="B536" s="17" t="str">
        <f t="shared" si="24"/>
        <v/>
      </c>
      <c r="C536" s="17" t="str">
        <f t="shared" si="25"/>
        <v/>
      </c>
      <c r="D536" s="27"/>
      <c r="E536" s="27"/>
      <c r="F536" s="28"/>
      <c r="G536" s="14" t="str">
        <f>IF($D536="","",IFERROR(INDEX(Einstellungen!$B$4:$B$40,MATCH($D536,Einstellungen!$A$4:$A$40,0)),"?"))</f>
        <v/>
      </c>
      <c r="H536" s="27"/>
      <c r="I536" s="11" t="str">
        <f t="shared" si="26"/>
        <v/>
      </c>
    </row>
    <row r="537" spans="1:9" ht="15" customHeight="1" x14ac:dyDescent="0.25">
      <c r="A537" s="20"/>
      <c r="B537" s="21" t="str">
        <f t="shared" si="24"/>
        <v/>
      </c>
      <c r="C537" s="21" t="str">
        <f t="shared" si="25"/>
        <v/>
      </c>
      <c r="D537" s="22"/>
      <c r="E537" s="22"/>
      <c r="F537" s="23"/>
      <c r="G537" s="24" t="str">
        <f>IF($D537="","",IFERROR(INDEX(Einstellungen!$B$4:$B$40,MATCH($D537,Einstellungen!$A$4:$A$40,0)),"?"))</f>
        <v/>
      </c>
      <c r="H537" s="22"/>
      <c r="I537" s="25" t="str">
        <f t="shared" si="26"/>
        <v/>
      </c>
    </row>
    <row r="538" spans="1:9" ht="15" customHeight="1" x14ac:dyDescent="0.25">
      <c r="A538" s="26"/>
      <c r="B538" s="17" t="str">
        <f t="shared" si="24"/>
        <v/>
      </c>
      <c r="C538" s="17" t="str">
        <f t="shared" si="25"/>
        <v/>
      </c>
      <c r="D538" s="27"/>
      <c r="E538" s="27"/>
      <c r="F538" s="28"/>
      <c r="G538" s="14" t="str">
        <f>IF($D538="","",IFERROR(INDEX(Einstellungen!$B$4:$B$40,MATCH($D538,Einstellungen!$A$4:$A$40,0)),"?"))</f>
        <v/>
      </c>
      <c r="H538" s="27"/>
      <c r="I538" s="11" t="str">
        <f t="shared" si="26"/>
        <v/>
      </c>
    </row>
    <row r="539" spans="1:9" ht="15" customHeight="1" x14ac:dyDescent="0.25">
      <c r="A539" s="20"/>
      <c r="B539" s="21" t="str">
        <f t="shared" si="24"/>
        <v/>
      </c>
      <c r="C539" s="21" t="str">
        <f t="shared" si="25"/>
        <v/>
      </c>
      <c r="D539" s="22"/>
      <c r="E539" s="22"/>
      <c r="F539" s="23"/>
      <c r="G539" s="24" t="str">
        <f>IF($D539="","",IFERROR(INDEX(Einstellungen!$B$4:$B$40,MATCH($D539,Einstellungen!$A$4:$A$40,0)),"?"))</f>
        <v/>
      </c>
      <c r="H539" s="22"/>
      <c r="I539" s="25" t="str">
        <f t="shared" si="26"/>
        <v/>
      </c>
    </row>
    <row r="540" spans="1:9" ht="15" customHeight="1" x14ac:dyDescent="0.25">
      <c r="A540" s="26"/>
      <c r="B540" s="17" t="str">
        <f t="shared" si="24"/>
        <v/>
      </c>
      <c r="C540" s="17" t="str">
        <f t="shared" si="25"/>
        <v/>
      </c>
      <c r="D540" s="27"/>
      <c r="E540" s="27"/>
      <c r="F540" s="28"/>
      <c r="G540" s="14" t="str">
        <f>IF($D540="","",IFERROR(INDEX(Einstellungen!$B$4:$B$40,MATCH($D540,Einstellungen!$A$4:$A$40,0)),"?"))</f>
        <v/>
      </c>
      <c r="H540" s="27"/>
      <c r="I540" s="11" t="str">
        <f t="shared" si="26"/>
        <v/>
      </c>
    </row>
    <row r="541" spans="1:9" ht="15" customHeight="1" x14ac:dyDescent="0.25">
      <c r="A541" s="20"/>
      <c r="B541" s="21" t="str">
        <f t="shared" si="24"/>
        <v/>
      </c>
      <c r="C541" s="21" t="str">
        <f t="shared" si="25"/>
        <v/>
      </c>
      <c r="D541" s="22"/>
      <c r="E541" s="22"/>
      <c r="F541" s="23"/>
      <c r="G541" s="24" t="str">
        <f>IF($D541="","",IFERROR(INDEX(Einstellungen!$B$4:$B$40,MATCH($D541,Einstellungen!$A$4:$A$40,0)),"?"))</f>
        <v/>
      </c>
      <c r="H541" s="22"/>
      <c r="I541" s="25" t="str">
        <f t="shared" si="26"/>
        <v/>
      </c>
    </row>
    <row r="542" spans="1:9" ht="15" customHeight="1" x14ac:dyDescent="0.25">
      <c r="A542" s="26"/>
      <c r="B542" s="17" t="str">
        <f t="shared" si="24"/>
        <v/>
      </c>
      <c r="C542" s="17" t="str">
        <f t="shared" si="25"/>
        <v/>
      </c>
      <c r="D542" s="27"/>
      <c r="E542" s="27"/>
      <c r="F542" s="28"/>
      <c r="G542" s="14" t="str">
        <f>IF($D542="","",IFERROR(INDEX(Einstellungen!$B$4:$B$40,MATCH($D542,Einstellungen!$A$4:$A$40,0)),"?"))</f>
        <v/>
      </c>
      <c r="H542" s="27"/>
      <c r="I542" s="11" t="str">
        <f t="shared" si="26"/>
        <v/>
      </c>
    </row>
    <row r="543" spans="1:9" ht="15" customHeight="1" x14ac:dyDescent="0.25">
      <c r="A543" s="20"/>
      <c r="B543" s="21" t="str">
        <f t="shared" si="24"/>
        <v/>
      </c>
      <c r="C543" s="21" t="str">
        <f t="shared" si="25"/>
        <v/>
      </c>
      <c r="D543" s="22"/>
      <c r="E543" s="22"/>
      <c r="F543" s="23"/>
      <c r="G543" s="24" t="str">
        <f>IF($D543="","",IFERROR(INDEX(Einstellungen!$B$4:$B$40,MATCH($D543,Einstellungen!$A$4:$A$40,0)),"?"))</f>
        <v/>
      </c>
      <c r="H543" s="22"/>
      <c r="I543" s="25" t="str">
        <f t="shared" si="26"/>
        <v/>
      </c>
    </row>
    <row r="544" spans="1:9" ht="15" customHeight="1" x14ac:dyDescent="0.25">
      <c r="A544" s="26"/>
      <c r="B544" s="17" t="str">
        <f t="shared" si="24"/>
        <v/>
      </c>
      <c r="C544" s="17" t="str">
        <f t="shared" si="25"/>
        <v/>
      </c>
      <c r="D544" s="27"/>
      <c r="E544" s="27"/>
      <c r="F544" s="28"/>
      <c r="G544" s="14" t="str">
        <f>IF($D544="","",IFERROR(INDEX(Einstellungen!$B$4:$B$40,MATCH($D544,Einstellungen!$A$4:$A$40,0)),"?"))</f>
        <v/>
      </c>
      <c r="H544" s="27"/>
      <c r="I544" s="11" t="str">
        <f t="shared" si="26"/>
        <v/>
      </c>
    </row>
    <row r="545" spans="1:9" ht="15" customHeight="1" x14ac:dyDescent="0.25">
      <c r="A545" s="20"/>
      <c r="B545" s="21" t="str">
        <f t="shared" si="24"/>
        <v/>
      </c>
      <c r="C545" s="21" t="str">
        <f t="shared" si="25"/>
        <v/>
      </c>
      <c r="D545" s="22"/>
      <c r="E545" s="22"/>
      <c r="F545" s="23"/>
      <c r="G545" s="24" t="str">
        <f>IF($D545="","",IFERROR(INDEX(Einstellungen!$B$4:$B$40,MATCH($D545,Einstellungen!$A$4:$A$40,0)),"?"))</f>
        <v/>
      </c>
      <c r="H545" s="22"/>
      <c r="I545" s="25" t="str">
        <f t="shared" si="26"/>
        <v/>
      </c>
    </row>
    <row r="546" spans="1:9" ht="15" customHeight="1" x14ac:dyDescent="0.25">
      <c r="A546" s="26"/>
      <c r="B546" s="17" t="str">
        <f t="shared" si="24"/>
        <v/>
      </c>
      <c r="C546" s="17" t="str">
        <f t="shared" si="25"/>
        <v/>
      </c>
      <c r="D546" s="27"/>
      <c r="E546" s="27"/>
      <c r="F546" s="28"/>
      <c r="G546" s="14" t="str">
        <f>IF($D546="","",IFERROR(INDEX(Einstellungen!$B$4:$B$40,MATCH($D546,Einstellungen!$A$4:$A$40,0)),"?"))</f>
        <v/>
      </c>
      <c r="H546" s="27"/>
      <c r="I546" s="11" t="str">
        <f t="shared" si="26"/>
        <v/>
      </c>
    </row>
    <row r="547" spans="1:9" ht="15" customHeight="1" x14ac:dyDescent="0.25">
      <c r="A547" s="20"/>
      <c r="B547" s="21" t="str">
        <f t="shared" si="24"/>
        <v/>
      </c>
      <c r="C547" s="21" t="str">
        <f t="shared" si="25"/>
        <v/>
      </c>
      <c r="D547" s="22"/>
      <c r="E547" s="22"/>
      <c r="F547" s="23"/>
      <c r="G547" s="24" t="str">
        <f>IF($D547="","",IFERROR(INDEX(Einstellungen!$B$4:$B$40,MATCH($D547,Einstellungen!$A$4:$A$40,0)),"?"))</f>
        <v/>
      </c>
      <c r="H547" s="22"/>
      <c r="I547" s="25" t="str">
        <f t="shared" si="26"/>
        <v/>
      </c>
    </row>
    <row r="548" spans="1:9" ht="15" customHeight="1" x14ac:dyDescent="0.25">
      <c r="A548" s="26"/>
      <c r="B548" s="17" t="str">
        <f t="shared" si="24"/>
        <v/>
      </c>
      <c r="C548" s="17" t="str">
        <f t="shared" si="25"/>
        <v/>
      </c>
      <c r="D548" s="27"/>
      <c r="E548" s="27"/>
      <c r="F548" s="28"/>
      <c r="G548" s="14" t="str">
        <f>IF($D548="","",IFERROR(INDEX(Einstellungen!$B$4:$B$40,MATCH($D548,Einstellungen!$A$4:$A$40,0)),"?"))</f>
        <v/>
      </c>
      <c r="H548" s="27"/>
      <c r="I548" s="11" t="str">
        <f t="shared" si="26"/>
        <v/>
      </c>
    </row>
    <row r="549" spans="1:9" ht="15" customHeight="1" x14ac:dyDescent="0.25">
      <c r="A549" s="20"/>
      <c r="B549" s="21" t="str">
        <f t="shared" si="24"/>
        <v/>
      </c>
      <c r="C549" s="21" t="str">
        <f t="shared" si="25"/>
        <v/>
      </c>
      <c r="D549" s="22"/>
      <c r="E549" s="22"/>
      <c r="F549" s="23"/>
      <c r="G549" s="24" t="str">
        <f>IF($D549="","",IFERROR(INDEX(Einstellungen!$B$4:$B$40,MATCH($D549,Einstellungen!$A$4:$A$40,0)),"?"))</f>
        <v/>
      </c>
      <c r="H549" s="22"/>
      <c r="I549" s="25" t="str">
        <f t="shared" si="26"/>
        <v/>
      </c>
    </row>
    <row r="550" spans="1:9" ht="15" customHeight="1" x14ac:dyDescent="0.25">
      <c r="A550" s="26"/>
      <c r="B550" s="17" t="str">
        <f t="shared" si="24"/>
        <v/>
      </c>
      <c r="C550" s="17" t="str">
        <f t="shared" si="25"/>
        <v/>
      </c>
      <c r="D550" s="27"/>
      <c r="E550" s="27"/>
      <c r="F550" s="28"/>
      <c r="G550" s="14" t="str">
        <f>IF($D550="","",IFERROR(INDEX(Einstellungen!$B$4:$B$40,MATCH($D550,Einstellungen!$A$4:$A$40,0)),"?"))</f>
        <v/>
      </c>
      <c r="H550" s="27"/>
      <c r="I550" s="11" t="str">
        <f t="shared" si="26"/>
        <v/>
      </c>
    </row>
    <row r="551" spans="1:9" ht="15" customHeight="1" x14ac:dyDescent="0.25">
      <c r="A551" s="20"/>
      <c r="B551" s="21" t="str">
        <f t="shared" si="24"/>
        <v/>
      </c>
      <c r="C551" s="21" t="str">
        <f t="shared" si="25"/>
        <v/>
      </c>
      <c r="D551" s="22"/>
      <c r="E551" s="22"/>
      <c r="F551" s="23"/>
      <c r="G551" s="24" t="str">
        <f>IF($D551="","",IFERROR(INDEX(Einstellungen!$B$4:$B$40,MATCH($D551,Einstellungen!$A$4:$A$40,0)),"?"))</f>
        <v/>
      </c>
      <c r="H551" s="22"/>
      <c r="I551" s="25" t="str">
        <f t="shared" si="26"/>
        <v/>
      </c>
    </row>
    <row r="552" spans="1:9" ht="15" customHeight="1" x14ac:dyDescent="0.25">
      <c r="A552" s="26"/>
      <c r="B552" s="17" t="str">
        <f t="shared" si="24"/>
        <v/>
      </c>
      <c r="C552" s="17" t="str">
        <f t="shared" si="25"/>
        <v/>
      </c>
      <c r="D552" s="27"/>
      <c r="E552" s="27"/>
      <c r="F552" s="28"/>
      <c r="G552" s="14" t="str">
        <f>IF($D552="","",IFERROR(INDEX(Einstellungen!$B$4:$B$40,MATCH($D552,Einstellungen!$A$4:$A$40,0)),"?"))</f>
        <v/>
      </c>
      <c r="H552" s="27"/>
      <c r="I552" s="11" t="str">
        <f t="shared" si="26"/>
        <v/>
      </c>
    </row>
    <row r="553" spans="1:9" ht="15" customHeight="1" x14ac:dyDescent="0.25">
      <c r="A553" s="20"/>
      <c r="B553" s="21" t="str">
        <f t="shared" si="24"/>
        <v/>
      </c>
      <c r="C553" s="21" t="str">
        <f t="shared" si="25"/>
        <v/>
      </c>
      <c r="D553" s="22"/>
      <c r="E553" s="22"/>
      <c r="F553" s="23"/>
      <c r="G553" s="24" t="str">
        <f>IF($D553="","",IFERROR(INDEX(Einstellungen!$B$4:$B$40,MATCH($D553,Einstellungen!$A$4:$A$40,0)),"?"))</f>
        <v/>
      </c>
      <c r="H553" s="22"/>
      <c r="I553" s="25" t="str">
        <f t="shared" si="26"/>
        <v/>
      </c>
    </row>
    <row r="554" spans="1:9" ht="15" customHeight="1" x14ac:dyDescent="0.25">
      <c r="A554" s="26"/>
      <c r="B554" s="17" t="str">
        <f t="shared" si="24"/>
        <v/>
      </c>
      <c r="C554" s="17" t="str">
        <f t="shared" si="25"/>
        <v/>
      </c>
      <c r="D554" s="27"/>
      <c r="E554" s="27"/>
      <c r="F554" s="28"/>
      <c r="G554" s="14" t="str">
        <f>IF($D554="","",IFERROR(INDEX(Einstellungen!$B$4:$B$40,MATCH($D554,Einstellungen!$A$4:$A$40,0)),"?"))</f>
        <v/>
      </c>
      <c r="H554" s="27"/>
      <c r="I554" s="11" t="str">
        <f t="shared" si="26"/>
        <v/>
      </c>
    </row>
    <row r="555" spans="1:9" ht="15" customHeight="1" x14ac:dyDescent="0.25">
      <c r="A555" s="20"/>
      <c r="B555" s="21" t="str">
        <f t="shared" si="24"/>
        <v/>
      </c>
      <c r="C555" s="21" t="str">
        <f t="shared" si="25"/>
        <v/>
      </c>
      <c r="D555" s="22"/>
      <c r="E555" s="22"/>
      <c r="F555" s="23"/>
      <c r="G555" s="24" t="str">
        <f>IF($D555="","",IFERROR(INDEX(Einstellungen!$B$4:$B$40,MATCH($D555,Einstellungen!$A$4:$A$40,0)),"?"))</f>
        <v/>
      </c>
      <c r="H555" s="22"/>
      <c r="I555" s="25" t="str">
        <f t="shared" si="26"/>
        <v/>
      </c>
    </row>
    <row r="556" spans="1:9" ht="15" customHeight="1" x14ac:dyDescent="0.25">
      <c r="A556" s="26"/>
      <c r="B556" s="17" t="str">
        <f t="shared" si="24"/>
        <v/>
      </c>
      <c r="C556" s="17" t="str">
        <f t="shared" si="25"/>
        <v/>
      </c>
      <c r="D556" s="27"/>
      <c r="E556" s="27"/>
      <c r="F556" s="28"/>
      <c r="G556" s="14" t="str">
        <f>IF($D556="","",IFERROR(INDEX(Einstellungen!$B$4:$B$40,MATCH($D556,Einstellungen!$A$4:$A$40,0)),"?"))</f>
        <v/>
      </c>
      <c r="H556" s="27"/>
      <c r="I556" s="11" t="str">
        <f t="shared" si="26"/>
        <v/>
      </c>
    </row>
    <row r="557" spans="1:9" ht="15" customHeight="1" x14ac:dyDescent="0.25">
      <c r="A557" s="20"/>
      <c r="B557" s="21" t="str">
        <f t="shared" si="24"/>
        <v/>
      </c>
      <c r="C557" s="21" t="str">
        <f t="shared" si="25"/>
        <v/>
      </c>
      <c r="D557" s="22"/>
      <c r="E557" s="22"/>
      <c r="F557" s="23"/>
      <c r="G557" s="24" t="str">
        <f>IF($D557="","",IFERROR(INDEX(Einstellungen!$B$4:$B$40,MATCH($D557,Einstellungen!$A$4:$A$40,0)),"?"))</f>
        <v/>
      </c>
      <c r="H557" s="22"/>
      <c r="I557" s="25" t="str">
        <f t="shared" si="26"/>
        <v/>
      </c>
    </row>
    <row r="558" spans="1:9" ht="15" customHeight="1" x14ac:dyDescent="0.25">
      <c r="A558" s="26"/>
      <c r="B558" s="17" t="str">
        <f t="shared" si="24"/>
        <v/>
      </c>
      <c r="C558" s="17" t="str">
        <f t="shared" si="25"/>
        <v/>
      </c>
      <c r="D558" s="27"/>
      <c r="E558" s="27"/>
      <c r="F558" s="28"/>
      <c r="G558" s="14" t="str">
        <f>IF($D558="","",IFERROR(INDEX(Einstellungen!$B$4:$B$40,MATCH($D558,Einstellungen!$A$4:$A$40,0)),"?"))</f>
        <v/>
      </c>
      <c r="H558" s="27"/>
      <c r="I558" s="11" t="str">
        <f t="shared" si="26"/>
        <v/>
      </c>
    </row>
    <row r="559" spans="1:9" ht="15" customHeight="1" x14ac:dyDescent="0.25">
      <c r="A559" s="20"/>
      <c r="B559" s="21" t="str">
        <f t="shared" si="24"/>
        <v/>
      </c>
      <c r="C559" s="21" t="str">
        <f t="shared" si="25"/>
        <v/>
      </c>
      <c r="D559" s="22"/>
      <c r="E559" s="22"/>
      <c r="F559" s="23"/>
      <c r="G559" s="24" t="str">
        <f>IF($D559="","",IFERROR(INDEX(Einstellungen!$B$4:$B$40,MATCH($D559,Einstellungen!$A$4:$A$40,0)),"?"))</f>
        <v/>
      </c>
      <c r="H559" s="22"/>
      <c r="I559" s="25" t="str">
        <f t="shared" si="26"/>
        <v/>
      </c>
    </row>
    <row r="560" spans="1:9" ht="15" customHeight="1" x14ac:dyDescent="0.25">
      <c r="A560" s="26"/>
      <c r="B560" s="17" t="str">
        <f t="shared" si="24"/>
        <v/>
      </c>
      <c r="C560" s="17" t="str">
        <f t="shared" si="25"/>
        <v/>
      </c>
      <c r="D560" s="27"/>
      <c r="E560" s="27"/>
      <c r="F560" s="28"/>
      <c r="G560" s="14" t="str">
        <f>IF($D560="","",IFERROR(INDEX(Einstellungen!$B$4:$B$40,MATCH($D560,Einstellungen!$A$4:$A$40,0)),"?"))</f>
        <v/>
      </c>
      <c r="H560" s="27"/>
      <c r="I560" s="11" t="str">
        <f t="shared" si="26"/>
        <v/>
      </c>
    </row>
    <row r="561" spans="1:9" ht="15" customHeight="1" x14ac:dyDescent="0.25">
      <c r="A561" s="20"/>
      <c r="B561" s="21" t="str">
        <f t="shared" si="24"/>
        <v/>
      </c>
      <c r="C561" s="21" t="str">
        <f t="shared" si="25"/>
        <v/>
      </c>
      <c r="D561" s="22"/>
      <c r="E561" s="22"/>
      <c r="F561" s="23"/>
      <c r="G561" s="24" t="str">
        <f>IF($D561="","",IFERROR(INDEX(Einstellungen!$B$4:$B$40,MATCH($D561,Einstellungen!$A$4:$A$40,0)),"?"))</f>
        <v/>
      </c>
      <c r="H561" s="22"/>
      <c r="I561" s="25" t="str">
        <f t="shared" si="26"/>
        <v/>
      </c>
    </row>
    <row r="562" spans="1:9" ht="15" customHeight="1" x14ac:dyDescent="0.25">
      <c r="A562" s="26"/>
      <c r="B562" s="17" t="str">
        <f t="shared" si="24"/>
        <v/>
      </c>
      <c r="C562" s="17" t="str">
        <f t="shared" si="25"/>
        <v/>
      </c>
      <c r="D562" s="27"/>
      <c r="E562" s="27"/>
      <c r="F562" s="28"/>
      <c r="G562" s="14" t="str">
        <f>IF($D562="","",IFERROR(INDEX(Einstellungen!$B$4:$B$40,MATCH($D562,Einstellungen!$A$4:$A$40,0)),"?"))</f>
        <v/>
      </c>
      <c r="H562" s="27"/>
      <c r="I562" s="11" t="str">
        <f t="shared" si="26"/>
        <v/>
      </c>
    </row>
    <row r="563" spans="1:9" ht="15" customHeight="1" x14ac:dyDescent="0.25">
      <c r="A563" s="20"/>
      <c r="B563" s="21" t="str">
        <f t="shared" si="24"/>
        <v/>
      </c>
      <c r="C563" s="21" t="str">
        <f t="shared" si="25"/>
        <v/>
      </c>
      <c r="D563" s="22"/>
      <c r="E563" s="22"/>
      <c r="F563" s="23"/>
      <c r="G563" s="24" t="str">
        <f>IF($D563="","",IFERROR(INDEX(Einstellungen!$B$4:$B$40,MATCH($D563,Einstellungen!$A$4:$A$40,0)),"?"))</f>
        <v/>
      </c>
      <c r="H563" s="22"/>
      <c r="I563" s="25" t="str">
        <f t="shared" si="26"/>
        <v/>
      </c>
    </row>
    <row r="564" spans="1:9" ht="15" customHeight="1" x14ac:dyDescent="0.25">
      <c r="A564" s="26"/>
      <c r="B564" s="17" t="str">
        <f t="shared" si="24"/>
        <v/>
      </c>
      <c r="C564" s="17" t="str">
        <f t="shared" si="25"/>
        <v/>
      </c>
      <c r="D564" s="27"/>
      <c r="E564" s="27"/>
      <c r="F564" s="28"/>
      <c r="G564" s="14" t="str">
        <f>IF($D564="","",IFERROR(INDEX(Einstellungen!$B$4:$B$40,MATCH($D564,Einstellungen!$A$4:$A$40,0)),"?"))</f>
        <v/>
      </c>
      <c r="H564" s="27"/>
      <c r="I564" s="11" t="str">
        <f t="shared" si="26"/>
        <v/>
      </c>
    </row>
    <row r="565" spans="1:9" ht="15" customHeight="1" x14ac:dyDescent="0.25">
      <c r="A565" s="20"/>
      <c r="B565" s="21" t="str">
        <f t="shared" si="24"/>
        <v/>
      </c>
      <c r="C565" s="21" t="str">
        <f t="shared" si="25"/>
        <v/>
      </c>
      <c r="D565" s="22"/>
      <c r="E565" s="22"/>
      <c r="F565" s="23"/>
      <c r="G565" s="24" t="str">
        <f>IF($D565="","",IFERROR(INDEX(Einstellungen!$B$4:$B$40,MATCH($D565,Einstellungen!$A$4:$A$40,0)),"?"))</f>
        <v/>
      </c>
      <c r="H565" s="22"/>
      <c r="I565" s="25" t="str">
        <f t="shared" si="26"/>
        <v/>
      </c>
    </row>
    <row r="566" spans="1:9" ht="15" customHeight="1" x14ac:dyDescent="0.25">
      <c r="A566" s="26"/>
      <c r="B566" s="17" t="str">
        <f t="shared" si="24"/>
        <v/>
      </c>
      <c r="C566" s="17" t="str">
        <f t="shared" si="25"/>
        <v/>
      </c>
      <c r="D566" s="27"/>
      <c r="E566" s="27"/>
      <c r="F566" s="28"/>
      <c r="G566" s="14" t="str">
        <f>IF($D566="","",IFERROR(INDEX(Einstellungen!$B$4:$B$40,MATCH($D566,Einstellungen!$A$4:$A$40,0)),"?"))</f>
        <v/>
      </c>
      <c r="H566" s="27"/>
      <c r="I566" s="11" t="str">
        <f t="shared" si="26"/>
        <v/>
      </c>
    </row>
    <row r="567" spans="1:9" ht="15" customHeight="1" x14ac:dyDescent="0.25">
      <c r="A567" s="20"/>
      <c r="B567" s="21" t="str">
        <f t="shared" si="24"/>
        <v/>
      </c>
      <c r="C567" s="21" t="str">
        <f t="shared" si="25"/>
        <v/>
      </c>
      <c r="D567" s="22"/>
      <c r="E567" s="22"/>
      <c r="F567" s="23"/>
      <c r="G567" s="24" t="str">
        <f>IF($D567="","",IFERROR(INDEX(Einstellungen!$B$4:$B$40,MATCH($D567,Einstellungen!$A$4:$A$40,0)),"?"))</f>
        <v/>
      </c>
      <c r="H567" s="22"/>
      <c r="I567" s="25" t="str">
        <f t="shared" si="26"/>
        <v/>
      </c>
    </row>
    <row r="568" spans="1:9" ht="15" customHeight="1" x14ac:dyDescent="0.25">
      <c r="A568" s="26"/>
      <c r="B568" s="17" t="str">
        <f t="shared" si="24"/>
        <v/>
      </c>
      <c r="C568" s="17" t="str">
        <f t="shared" si="25"/>
        <v/>
      </c>
      <c r="D568" s="27"/>
      <c r="E568" s="27"/>
      <c r="F568" s="28"/>
      <c r="G568" s="14" t="str">
        <f>IF($D568="","",IFERROR(INDEX(Einstellungen!$B$4:$B$40,MATCH($D568,Einstellungen!$A$4:$A$40,0)),"?"))</f>
        <v/>
      </c>
      <c r="H568" s="27"/>
      <c r="I568" s="11" t="str">
        <f t="shared" si="26"/>
        <v/>
      </c>
    </row>
    <row r="569" spans="1:9" ht="15" customHeight="1" x14ac:dyDescent="0.25">
      <c r="A569" s="20"/>
      <c r="B569" s="21" t="str">
        <f t="shared" si="24"/>
        <v/>
      </c>
      <c r="C569" s="21" t="str">
        <f t="shared" si="25"/>
        <v/>
      </c>
      <c r="D569" s="22"/>
      <c r="E569" s="22"/>
      <c r="F569" s="23"/>
      <c r="G569" s="24" t="str">
        <f>IF($D569="","",IFERROR(INDEX(Einstellungen!$B$4:$B$40,MATCH($D569,Einstellungen!$A$4:$A$40,0)),"?"))</f>
        <v/>
      </c>
      <c r="H569" s="22"/>
      <c r="I569" s="25" t="str">
        <f t="shared" si="26"/>
        <v/>
      </c>
    </row>
    <row r="570" spans="1:9" ht="15" customHeight="1" x14ac:dyDescent="0.25">
      <c r="A570" s="26"/>
      <c r="B570" s="17" t="str">
        <f t="shared" si="24"/>
        <v/>
      </c>
      <c r="C570" s="17" t="str">
        <f t="shared" si="25"/>
        <v/>
      </c>
      <c r="D570" s="27"/>
      <c r="E570" s="27"/>
      <c r="F570" s="28"/>
      <c r="G570" s="14" t="str">
        <f>IF($D570="","",IFERROR(INDEX(Einstellungen!$B$4:$B$40,MATCH($D570,Einstellungen!$A$4:$A$40,0)),"?"))</f>
        <v/>
      </c>
      <c r="H570" s="27"/>
      <c r="I570" s="11" t="str">
        <f t="shared" si="26"/>
        <v/>
      </c>
    </row>
    <row r="571" spans="1:9" ht="15" customHeight="1" x14ac:dyDescent="0.25">
      <c r="A571" s="20"/>
      <c r="B571" s="21" t="str">
        <f t="shared" si="24"/>
        <v/>
      </c>
      <c r="C571" s="21" t="str">
        <f t="shared" si="25"/>
        <v/>
      </c>
      <c r="D571" s="22"/>
      <c r="E571" s="22"/>
      <c r="F571" s="23"/>
      <c r="G571" s="24" t="str">
        <f>IF($D571="","",IFERROR(INDEX(Einstellungen!$B$4:$B$40,MATCH($D571,Einstellungen!$A$4:$A$40,0)),"?"))</f>
        <v/>
      </c>
      <c r="H571" s="22"/>
      <c r="I571" s="25" t="str">
        <f t="shared" si="26"/>
        <v/>
      </c>
    </row>
    <row r="572" spans="1:9" ht="15" customHeight="1" x14ac:dyDescent="0.25">
      <c r="A572" s="26"/>
      <c r="B572" s="17" t="str">
        <f t="shared" si="24"/>
        <v/>
      </c>
      <c r="C572" s="17" t="str">
        <f t="shared" si="25"/>
        <v/>
      </c>
      <c r="D572" s="27"/>
      <c r="E572" s="27"/>
      <c r="F572" s="28"/>
      <c r="G572" s="14" t="str">
        <f>IF($D572="","",IFERROR(INDEX(Einstellungen!$B$4:$B$40,MATCH($D572,Einstellungen!$A$4:$A$40,0)),"?"))</f>
        <v/>
      </c>
      <c r="H572" s="27"/>
      <c r="I572" s="11" t="str">
        <f t="shared" si="26"/>
        <v/>
      </c>
    </row>
    <row r="573" spans="1:9" ht="15" customHeight="1" x14ac:dyDescent="0.25">
      <c r="A573" s="20"/>
      <c r="B573" s="21" t="str">
        <f t="shared" si="24"/>
        <v/>
      </c>
      <c r="C573" s="21" t="str">
        <f t="shared" si="25"/>
        <v/>
      </c>
      <c r="D573" s="22"/>
      <c r="E573" s="22"/>
      <c r="F573" s="23"/>
      <c r="G573" s="24" t="str">
        <f>IF($D573="","",IFERROR(INDEX(Einstellungen!$B$4:$B$40,MATCH($D573,Einstellungen!$A$4:$A$40,0)),"?"))</f>
        <v/>
      </c>
      <c r="H573" s="22"/>
      <c r="I573" s="25" t="str">
        <f t="shared" si="26"/>
        <v/>
      </c>
    </row>
    <row r="574" spans="1:9" ht="15" customHeight="1" x14ac:dyDescent="0.25">
      <c r="A574" s="26"/>
      <c r="B574" s="17" t="str">
        <f t="shared" si="24"/>
        <v/>
      </c>
      <c r="C574" s="17" t="str">
        <f t="shared" si="25"/>
        <v/>
      </c>
      <c r="D574" s="27"/>
      <c r="E574" s="27"/>
      <c r="F574" s="28"/>
      <c r="G574" s="14" t="str">
        <f>IF($D574="","",IFERROR(INDEX(Einstellungen!$B$4:$B$40,MATCH($D574,Einstellungen!$A$4:$A$40,0)),"?"))</f>
        <v/>
      </c>
      <c r="H574" s="27"/>
      <c r="I574" s="11" t="str">
        <f t="shared" si="26"/>
        <v/>
      </c>
    </row>
    <row r="575" spans="1:9" ht="15" customHeight="1" x14ac:dyDescent="0.25">
      <c r="A575" s="20"/>
      <c r="B575" s="21" t="str">
        <f t="shared" si="24"/>
        <v/>
      </c>
      <c r="C575" s="21" t="str">
        <f t="shared" si="25"/>
        <v/>
      </c>
      <c r="D575" s="22"/>
      <c r="E575" s="22"/>
      <c r="F575" s="23"/>
      <c r="G575" s="24" t="str">
        <f>IF($D575="","",IFERROR(INDEX(Einstellungen!$B$4:$B$40,MATCH($D575,Einstellungen!$A$4:$A$40,0)),"?"))</f>
        <v/>
      </c>
      <c r="H575" s="22"/>
      <c r="I575" s="25" t="str">
        <f t="shared" si="26"/>
        <v/>
      </c>
    </row>
    <row r="576" spans="1:9" ht="15" customHeight="1" x14ac:dyDescent="0.25">
      <c r="A576" s="26"/>
      <c r="B576" s="17" t="str">
        <f t="shared" si="24"/>
        <v/>
      </c>
      <c r="C576" s="17" t="str">
        <f t="shared" si="25"/>
        <v/>
      </c>
      <c r="D576" s="27"/>
      <c r="E576" s="27"/>
      <c r="F576" s="28"/>
      <c r="G576" s="14" t="str">
        <f>IF($D576="","",IFERROR(INDEX(Einstellungen!$B$4:$B$40,MATCH($D576,Einstellungen!$A$4:$A$40,0)),"?"))</f>
        <v/>
      </c>
      <c r="H576" s="27"/>
      <c r="I576" s="11" t="str">
        <f t="shared" si="26"/>
        <v/>
      </c>
    </row>
    <row r="577" spans="1:9" ht="15" customHeight="1" x14ac:dyDescent="0.25">
      <c r="A577" s="20"/>
      <c r="B577" s="21" t="str">
        <f t="shared" si="24"/>
        <v/>
      </c>
      <c r="C577" s="21" t="str">
        <f t="shared" si="25"/>
        <v/>
      </c>
      <c r="D577" s="22"/>
      <c r="E577" s="22"/>
      <c r="F577" s="23"/>
      <c r="G577" s="24" t="str">
        <f>IF($D577="","",IFERROR(INDEX(Einstellungen!$B$4:$B$40,MATCH($D577,Einstellungen!$A$4:$A$40,0)),"?"))</f>
        <v/>
      </c>
      <c r="H577" s="22"/>
      <c r="I577" s="25" t="str">
        <f t="shared" si="26"/>
        <v/>
      </c>
    </row>
    <row r="578" spans="1:9" ht="15" customHeight="1" x14ac:dyDescent="0.25">
      <c r="A578" s="26"/>
      <c r="B578" s="17" t="str">
        <f t="shared" si="24"/>
        <v/>
      </c>
      <c r="C578" s="17" t="str">
        <f t="shared" si="25"/>
        <v/>
      </c>
      <c r="D578" s="27"/>
      <c r="E578" s="27"/>
      <c r="F578" s="28"/>
      <c r="G578" s="14" t="str">
        <f>IF($D578="","",IFERROR(INDEX(Einstellungen!$B$4:$B$40,MATCH($D578,Einstellungen!$A$4:$A$40,0)),"?"))</f>
        <v/>
      </c>
      <c r="H578" s="27"/>
      <c r="I578" s="11" t="str">
        <f t="shared" si="26"/>
        <v/>
      </c>
    </row>
    <row r="579" spans="1:9" ht="15" customHeight="1" x14ac:dyDescent="0.25">
      <c r="A579" s="20"/>
      <c r="B579" s="21" t="str">
        <f t="shared" si="24"/>
        <v/>
      </c>
      <c r="C579" s="21" t="str">
        <f t="shared" si="25"/>
        <v/>
      </c>
      <c r="D579" s="22"/>
      <c r="E579" s="22"/>
      <c r="F579" s="23"/>
      <c r="G579" s="24" t="str">
        <f>IF($D579="","",IFERROR(INDEX(Einstellungen!$B$4:$B$40,MATCH($D579,Einstellungen!$A$4:$A$40,0)),"?"))</f>
        <v/>
      </c>
      <c r="H579" s="22"/>
      <c r="I579" s="25" t="str">
        <f t="shared" si="26"/>
        <v/>
      </c>
    </row>
    <row r="580" spans="1:9" ht="15" customHeight="1" x14ac:dyDescent="0.25">
      <c r="A580" s="26"/>
      <c r="B580" s="17" t="str">
        <f t="shared" ref="B580:B643" si="27">IF($A580="","",YEAR($A580))</f>
        <v/>
      </c>
      <c r="C580" s="17" t="str">
        <f t="shared" ref="C580:C643" si="28">IF($A580="","",MONTH($A580))</f>
        <v/>
      </c>
      <c r="D580" s="27"/>
      <c r="E580" s="27"/>
      <c r="F580" s="28"/>
      <c r="G580" s="14" t="str">
        <f>IF($D580="","",IFERROR(INDEX(Einstellungen!$B$4:$B$40,MATCH($D580,Einstellungen!$A$4:$A$40,0)),"?"))</f>
        <v/>
      </c>
      <c r="H580" s="27"/>
      <c r="I580" s="11" t="str">
        <f t="shared" ref="I580:I643" si="29">IF($F580="","",IF($G580="Einnahme",$F580,-$F580))</f>
        <v/>
      </c>
    </row>
    <row r="581" spans="1:9" ht="15" customHeight="1" x14ac:dyDescent="0.25">
      <c r="A581" s="20"/>
      <c r="B581" s="21" t="str">
        <f t="shared" si="27"/>
        <v/>
      </c>
      <c r="C581" s="21" t="str">
        <f t="shared" si="28"/>
        <v/>
      </c>
      <c r="D581" s="22"/>
      <c r="E581" s="22"/>
      <c r="F581" s="23"/>
      <c r="G581" s="24" t="str">
        <f>IF($D581="","",IFERROR(INDEX(Einstellungen!$B$4:$B$40,MATCH($D581,Einstellungen!$A$4:$A$40,0)),"?"))</f>
        <v/>
      </c>
      <c r="H581" s="22"/>
      <c r="I581" s="25" t="str">
        <f t="shared" si="29"/>
        <v/>
      </c>
    </row>
    <row r="582" spans="1:9" ht="15" customHeight="1" x14ac:dyDescent="0.25">
      <c r="A582" s="26"/>
      <c r="B582" s="17" t="str">
        <f t="shared" si="27"/>
        <v/>
      </c>
      <c r="C582" s="17" t="str">
        <f t="shared" si="28"/>
        <v/>
      </c>
      <c r="D582" s="27"/>
      <c r="E582" s="27"/>
      <c r="F582" s="28"/>
      <c r="G582" s="14" t="str">
        <f>IF($D582="","",IFERROR(INDEX(Einstellungen!$B$4:$B$40,MATCH($D582,Einstellungen!$A$4:$A$40,0)),"?"))</f>
        <v/>
      </c>
      <c r="H582" s="27"/>
      <c r="I582" s="11" t="str">
        <f t="shared" si="29"/>
        <v/>
      </c>
    </row>
    <row r="583" spans="1:9" ht="15" customHeight="1" x14ac:dyDescent="0.25">
      <c r="A583" s="20"/>
      <c r="B583" s="21" t="str">
        <f t="shared" si="27"/>
        <v/>
      </c>
      <c r="C583" s="21" t="str">
        <f t="shared" si="28"/>
        <v/>
      </c>
      <c r="D583" s="22"/>
      <c r="E583" s="22"/>
      <c r="F583" s="23"/>
      <c r="G583" s="24" t="str">
        <f>IF($D583="","",IFERROR(INDEX(Einstellungen!$B$4:$B$40,MATCH($D583,Einstellungen!$A$4:$A$40,0)),"?"))</f>
        <v/>
      </c>
      <c r="H583" s="22"/>
      <c r="I583" s="25" t="str">
        <f t="shared" si="29"/>
        <v/>
      </c>
    </row>
    <row r="584" spans="1:9" ht="15" customHeight="1" x14ac:dyDescent="0.25">
      <c r="A584" s="26"/>
      <c r="B584" s="17" t="str">
        <f t="shared" si="27"/>
        <v/>
      </c>
      <c r="C584" s="17" t="str">
        <f t="shared" si="28"/>
        <v/>
      </c>
      <c r="D584" s="27"/>
      <c r="E584" s="27"/>
      <c r="F584" s="28"/>
      <c r="G584" s="14" t="str">
        <f>IF($D584="","",IFERROR(INDEX(Einstellungen!$B$4:$B$40,MATCH($D584,Einstellungen!$A$4:$A$40,0)),"?"))</f>
        <v/>
      </c>
      <c r="H584" s="27"/>
      <c r="I584" s="11" t="str">
        <f t="shared" si="29"/>
        <v/>
      </c>
    </row>
    <row r="585" spans="1:9" ht="15" customHeight="1" x14ac:dyDescent="0.25">
      <c r="A585" s="20"/>
      <c r="B585" s="21" t="str">
        <f t="shared" si="27"/>
        <v/>
      </c>
      <c r="C585" s="21" t="str">
        <f t="shared" si="28"/>
        <v/>
      </c>
      <c r="D585" s="22"/>
      <c r="E585" s="22"/>
      <c r="F585" s="23"/>
      <c r="G585" s="24" t="str">
        <f>IF($D585="","",IFERROR(INDEX(Einstellungen!$B$4:$B$40,MATCH($D585,Einstellungen!$A$4:$A$40,0)),"?"))</f>
        <v/>
      </c>
      <c r="H585" s="22"/>
      <c r="I585" s="25" t="str">
        <f t="shared" si="29"/>
        <v/>
      </c>
    </row>
    <row r="586" spans="1:9" ht="15" customHeight="1" x14ac:dyDescent="0.25">
      <c r="A586" s="26"/>
      <c r="B586" s="17" t="str">
        <f t="shared" si="27"/>
        <v/>
      </c>
      <c r="C586" s="17" t="str">
        <f t="shared" si="28"/>
        <v/>
      </c>
      <c r="D586" s="27"/>
      <c r="E586" s="27"/>
      <c r="F586" s="28"/>
      <c r="G586" s="14" t="str">
        <f>IF($D586="","",IFERROR(INDEX(Einstellungen!$B$4:$B$40,MATCH($D586,Einstellungen!$A$4:$A$40,0)),"?"))</f>
        <v/>
      </c>
      <c r="H586" s="27"/>
      <c r="I586" s="11" t="str">
        <f t="shared" si="29"/>
        <v/>
      </c>
    </row>
    <row r="587" spans="1:9" ht="15" customHeight="1" x14ac:dyDescent="0.25">
      <c r="A587" s="20"/>
      <c r="B587" s="21" t="str">
        <f t="shared" si="27"/>
        <v/>
      </c>
      <c r="C587" s="21" t="str">
        <f t="shared" si="28"/>
        <v/>
      </c>
      <c r="D587" s="22"/>
      <c r="E587" s="22"/>
      <c r="F587" s="23"/>
      <c r="G587" s="24" t="str">
        <f>IF($D587="","",IFERROR(INDEX(Einstellungen!$B$4:$B$40,MATCH($D587,Einstellungen!$A$4:$A$40,0)),"?"))</f>
        <v/>
      </c>
      <c r="H587" s="22"/>
      <c r="I587" s="25" t="str">
        <f t="shared" si="29"/>
        <v/>
      </c>
    </row>
    <row r="588" spans="1:9" ht="15" customHeight="1" x14ac:dyDescent="0.25">
      <c r="A588" s="26"/>
      <c r="B588" s="17" t="str">
        <f t="shared" si="27"/>
        <v/>
      </c>
      <c r="C588" s="17" t="str">
        <f t="shared" si="28"/>
        <v/>
      </c>
      <c r="D588" s="27"/>
      <c r="E588" s="27"/>
      <c r="F588" s="28"/>
      <c r="G588" s="14" t="str">
        <f>IF($D588="","",IFERROR(INDEX(Einstellungen!$B$4:$B$40,MATCH($D588,Einstellungen!$A$4:$A$40,0)),"?"))</f>
        <v/>
      </c>
      <c r="H588" s="27"/>
      <c r="I588" s="11" t="str">
        <f t="shared" si="29"/>
        <v/>
      </c>
    </row>
    <row r="589" spans="1:9" ht="15" customHeight="1" x14ac:dyDescent="0.25">
      <c r="A589" s="20"/>
      <c r="B589" s="21" t="str">
        <f t="shared" si="27"/>
        <v/>
      </c>
      <c r="C589" s="21" t="str">
        <f t="shared" si="28"/>
        <v/>
      </c>
      <c r="D589" s="22"/>
      <c r="E589" s="22"/>
      <c r="F589" s="23"/>
      <c r="G589" s="24" t="str">
        <f>IF($D589="","",IFERROR(INDEX(Einstellungen!$B$4:$B$40,MATCH($D589,Einstellungen!$A$4:$A$40,0)),"?"))</f>
        <v/>
      </c>
      <c r="H589" s="22"/>
      <c r="I589" s="25" t="str">
        <f t="shared" si="29"/>
        <v/>
      </c>
    </row>
    <row r="590" spans="1:9" ht="15" customHeight="1" x14ac:dyDescent="0.25">
      <c r="A590" s="26"/>
      <c r="B590" s="17" t="str">
        <f t="shared" si="27"/>
        <v/>
      </c>
      <c r="C590" s="17" t="str">
        <f t="shared" si="28"/>
        <v/>
      </c>
      <c r="D590" s="27"/>
      <c r="E590" s="27"/>
      <c r="F590" s="28"/>
      <c r="G590" s="14" t="str">
        <f>IF($D590="","",IFERROR(INDEX(Einstellungen!$B$4:$B$40,MATCH($D590,Einstellungen!$A$4:$A$40,0)),"?"))</f>
        <v/>
      </c>
      <c r="H590" s="27"/>
      <c r="I590" s="11" t="str">
        <f t="shared" si="29"/>
        <v/>
      </c>
    </row>
    <row r="591" spans="1:9" ht="15" customHeight="1" x14ac:dyDescent="0.25">
      <c r="A591" s="20"/>
      <c r="B591" s="21" t="str">
        <f t="shared" si="27"/>
        <v/>
      </c>
      <c r="C591" s="21" t="str">
        <f t="shared" si="28"/>
        <v/>
      </c>
      <c r="D591" s="22"/>
      <c r="E591" s="22"/>
      <c r="F591" s="23"/>
      <c r="G591" s="24" t="str">
        <f>IF($D591="","",IFERROR(INDEX(Einstellungen!$B$4:$B$40,MATCH($D591,Einstellungen!$A$4:$A$40,0)),"?"))</f>
        <v/>
      </c>
      <c r="H591" s="22"/>
      <c r="I591" s="25" t="str">
        <f t="shared" si="29"/>
        <v/>
      </c>
    </row>
    <row r="592" spans="1:9" ht="15" customHeight="1" x14ac:dyDescent="0.25">
      <c r="A592" s="26"/>
      <c r="B592" s="17" t="str">
        <f t="shared" si="27"/>
        <v/>
      </c>
      <c r="C592" s="17" t="str">
        <f t="shared" si="28"/>
        <v/>
      </c>
      <c r="D592" s="27"/>
      <c r="E592" s="27"/>
      <c r="F592" s="28"/>
      <c r="G592" s="14" t="str">
        <f>IF($D592="","",IFERROR(INDEX(Einstellungen!$B$4:$B$40,MATCH($D592,Einstellungen!$A$4:$A$40,0)),"?"))</f>
        <v/>
      </c>
      <c r="H592" s="27"/>
      <c r="I592" s="11" t="str">
        <f t="shared" si="29"/>
        <v/>
      </c>
    </row>
    <row r="593" spans="1:9" ht="15" customHeight="1" x14ac:dyDescent="0.25">
      <c r="A593" s="20"/>
      <c r="B593" s="21" t="str">
        <f t="shared" si="27"/>
        <v/>
      </c>
      <c r="C593" s="21" t="str">
        <f t="shared" si="28"/>
        <v/>
      </c>
      <c r="D593" s="22"/>
      <c r="E593" s="22"/>
      <c r="F593" s="23"/>
      <c r="G593" s="24" t="str">
        <f>IF($D593="","",IFERROR(INDEX(Einstellungen!$B$4:$B$40,MATCH($D593,Einstellungen!$A$4:$A$40,0)),"?"))</f>
        <v/>
      </c>
      <c r="H593" s="22"/>
      <c r="I593" s="25" t="str">
        <f t="shared" si="29"/>
        <v/>
      </c>
    </row>
    <row r="594" spans="1:9" ht="15" customHeight="1" x14ac:dyDescent="0.25">
      <c r="A594" s="26"/>
      <c r="B594" s="17" t="str">
        <f t="shared" si="27"/>
        <v/>
      </c>
      <c r="C594" s="17" t="str">
        <f t="shared" si="28"/>
        <v/>
      </c>
      <c r="D594" s="27"/>
      <c r="E594" s="27"/>
      <c r="F594" s="28"/>
      <c r="G594" s="14" t="str">
        <f>IF($D594="","",IFERROR(INDEX(Einstellungen!$B$4:$B$40,MATCH($D594,Einstellungen!$A$4:$A$40,0)),"?"))</f>
        <v/>
      </c>
      <c r="H594" s="27"/>
      <c r="I594" s="11" t="str">
        <f t="shared" si="29"/>
        <v/>
      </c>
    </row>
    <row r="595" spans="1:9" ht="15" customHeight="1" x14ac:dyDescent="0.25">
      <c r="A595" s="20"/>
      <c r="B595" s="21" t="str">
        <f t="shared" si="27"/>
        <v/>
      </c>
      <c r="C595" s="21" t="str">
        <f t="shared" si="28"/>
        <v/>
      </c>
      <c r="D595" s="22"/>
      <c r="E595" s="22"/>
      <c r="F595" s="23"/>
      <c r="G595" s="24" t="str">
        <f>IF($D595="","",IFERROR(INDEX(Einstellungen!$B$4:$B$40,MATCH($D595,Einstellungen!$A$4:$A$40,0)),"?"))</f>
        <v/>
      </c>
      <c r="H595" s="22"/>
      <c r="I595" s="25" t="str">
        <f t="shared" si="29"/>
        <v/>
      </c>
    </row>
    <row r="596" spans="1:9" ht="15" customHeight="1" x14ac:dyDescent="0.25">
      <c r="A596" s="26"/>
      <c r="B596" s="17" t="str">
        <f t="shared" si="27"/>
        <v/>
      </c>
      <c r="C596" s="17" t="str">
        <f t="shared" si="28"/>
        <v/>
      </c>
      <c r="D596" s="27"/>
      <c r="E596" s="27"/>
      <c r="F596" s="28"/>
      <c r="G596" s="14" t="str">
        <f>IF($D596="","",IFERROR(INDEX(Einstellungen!$B$4:$B$40,MATCH($D596,Einstellungen!$A$4:$A$40,0)),"?"))</f>
        <v/>
      </c>
      <c r="H596" s="27"/>
      <c r="I596" s="11" t="str">
        <f t="shared" si="29"/>
        <v/>
      </c>
    </row>
    <row r="597" spans="1:9" ht="15" customHeight="1" x14ac:dyDescent="0.25">
      <c r="A597" s="20"/>
      <c r="B597" s="21" t="str">
        <f t="shared" si="27"/>
        <v/>
      </c>
      <c r="C597" s="21" t="str">
        <f t="shared" si="28"/>
        <v/>
      </c>
      <c r="D597" s="22"/>
      <c r="E597" s="22"/>
      <c r="F597" s="23"/>
      <c r="G597" s="24" t="str">
        <f>IF($D597="","",IFERROR(INDEX(Einstellungen!$B$4:$B$40,MATCH($D597,Einstellungen!$A$4:$A$40,0)),"?"))</f>
        <v/>
      </c>
      <c r="H597" s="22"/>
      <c r="I597" s="25" t="str">
        <f t="shared" si="29"/>
        <v/>
      </c>
    </row>
    <row r="598" spans="1:9" ht="15" customHeight="1" x14ac:dyDescent="0.25">
      <c r="A598" s="26"/>
      <c r="B598" s="17" t="str">
        <f t="shared" si="27"/>
        <v/>
      </c>
      <c r="C598" s="17" t="str">
        <f t="shared" si="28"/>
        <v/>
      </c>
      <c r="D598" s="27"/>
      <c r="E598" s="27"/>
      <c r="F598" s="28"/>
      <c r="G598" s="14" t="str">
        <f>IF($D598="","",IFERROR(INDEX(Einstellungen!$B$4:$B$40,MATCH($D598,Einstellungen!$A$4:$A$40,0)),"?"))</f>
        <v/>
      </c>
      <c r="H598" s="27"/>
      <c r="I598" s="11" t="str">
        <f t="shared" si="29"/>
        <v/>
      </c>
    </row>
    <row r="599" spans="1:9" ht="15" customHeight="1" x14ac:dyDescent="0.25">
      <c r="A599" s="20"/>
      <c r="B599" s="21" t="str">
        <f t="shared" si="27"/>
        <v/>
      </c>
      <c r="C599" s="21" t="str">
        <f t="shared" si="28"/>
        <v/>
      </c>
      <c r="D599" s="22"/>
      <c r="E599" s="22"/>
      <c r="F599" s="23"/>
      <c r="G599" s="24" t="str">
        <f>IF($D599="","",IFERROR(INDEX(Einstellungen!$B$4:$B$40,MATCH($D599,Einstellungen!$A$4:$A$40,0)),"?"))</f>
        <v/>
      </c>
      <c r="H599" s="22"/>
      <c r="I599" s="25" t="str">
        <f t="shared" si="29"/>
        <v/>
      </c>
    </row>
    <row r="600" spans="1:9" ht="15" customHeight="1" x14ac:dyDescent="0.25">
      <c r="A600" s="26"/>
      <c r="B600" s="17" t="str">
        <f t="shared" si="27"/>
        <v/>
      </c>
      <c r="C600" s="17" t="str">
        <f t="shared" si="28"/>
        <v/>
      </c>
      <c r="D600" s="27"/>
      <c r="E600" s="27"/>
      <c r="F600" s="28"/>
      <c r="G600" s="14" t="str">
        <f>IF($D600="","",IFERROR(INDEX(Einstellungen!$B$4:$B$40,MATCH($D600,Einstellungen!$A$4:$A$40,0)),"?"))</f>
        <v/>
      </c>
      <c r="H600" s="27"/>
      <c r="I600" s="11" t="str">
        <f t="shared" si="29"/>
        <v/>
      </c>
    </row>
    <row r="601" spans="1:9" ht="15" customHeight="1" x14ac:dyDescent="0.25">
      <c r="A601" s="20"/>
      <c r="B601" s="21" t="str">
        <f t="shared" si="27"/>
        <v/>
      </c>
      <c r="C601" s="21" t="str">
        <f t="shared" si="28"/>
        <v/>
      </c>
      <c r="D601" s="22"/>
      <c r="E601" s="22"/>
      <c r="F601" s="23"/>
      <c r="G601" s="24" t="str">
        <f>IF($D601="","",IFERROR(INDEX(Einstellungen!$B$4:$B$40,MATCH($D601,Einstellungen!$A$4:$A$40,0)),"?"))</f>
        <v/>
      </c>
      <c r="H601" s="22"/>
      <c r="I601" s="25" t="str">
        <f t="shared" si="29"/>
        <v/>
      </c>
    </row>
    <row r="602" spans="1:9" ht="15" customHeight="1" x14ac:dyDescent="0.25">
      <c r="A602" s="26"/>
      <c r="B602" s="17" t="str">
        <f t="shared" si="27"/>
        <v/>
      </c>
      <c r="C602" s="17" t="str">
        <f t="shared" si="28"/>
        <v/>
      </c>
      <c r="D602" s="27"/>
      <c r="E602" s="27"/>
      <c r="F602" s="28"/>
      <c r="G602" s="14" t="str">
        <f>IF($D602="","",IFERROR(INDEX(Einstellungen!$B$4:$B$40,MATCH($D602,Einstellungen!$A$4:$A$40,0)),"?"))</f>
        <v/>
      </c>
      <c r="H602" s="27"/>
      <c r="I602" s="11" t="str">
        <f t="shared" si="29"/>
        <v/>
      </c>
    </row>
    <row r="603" spans="1:9" ht="15" customHeight="1" x14ac:dyDescent="0.25">
      <c r="A603" s="20"/>
      <c r="B603" s="21" t="str">
        <f t="shared" si="27"/>
        <v/>
      </c>
      <c r="C603" s="21" t="str">
        <f t="shared" si="28"/>
        <v/>
      </c>
      <c r="D603" s="22"/>
      <c r="E603" s="22"/>
      <c r="F603" s="23"/>
      <c r="G603" s="24" t="str">
        <f>IF($D603="","",IFERROR(INDEX(Einstellungen!$B$4:$B$40,MATCH($D603,Einstellungen!$A$4:$A$40,0)),"?"))</f>
        <v/>
      </c>
      <c r="H603" s="22"/>
      <c r="I603" s="25" t="str">
        <f t="shared" si="29"/>
        <v/>
      </c>
    </row>
    <row r="604" spans="1:9" ht="15" customHeight="1" x14ac:dyDescent="0.25">
      <c r="A604" s="26"/>
      <c r="B604" s="17" t="str">
        <f t="shared" si="27"/>
        <v/>
      </c>
      <c r="C604" s="17" t="str">
        <f t="shared" si="28"/>
        <v/>
      </c>
      <c r="D604" s="27"/>
      <c r="E604" s="27"/>
      <c r="F604" s="28"/>
      <c r="G604" s="14" t="str">
        <f>IF($D604="","",IFERROR(INDEX(Einstellungen!$B$4:$B$40,MATCH($D604,Einstellungen!$A$4:$A$40,0)),"?"))</f>
        <v/>
      </c>
      <c r="H604" s="27"/>
      <c r="I604" s="11" t="str">
        <f t="shared" si="29"/>
        <v/>
      </c>
    </row>
    <row r="605" spans="1:9" ht="15" customHeight="1" x14ac:dyDescent="0.25">
      <c r="A605" s="20"/>
      <c r="B605" s="21" t="str">
        <f t="shared" si="27"/>
        <v/>
      </c>
      <c r="C605" s="21" t="str">
        <f t="shared" si="28"/>
        <v/>
      </c>
      <c r="D605" s="22"/>
      <c r="E605" s="22"/>
      <c r="F605" s="23"/>
      <c r="G605" s="24" t="str">
        <f>IF($D605="","",IFERROR(INDEX(Einstellungen!$B$4:$B$40,MATCH($D605,Einstellungen!$A$4:$A$40,0)),"?"))</f>
        <v/>
      </c>
      <c r="H605" s="22"/>
      <c r="I605" s="25" t="str">
        <f t="shared" si="29"/>
        <v/>
      </c>
    </row>
    <row r="606" spans="1:9" ht="15" customHeight="1" x14ac:dyDescent="0.25">
      <c r="A606" s="26"/>
      <c r="B606" s="17" t="str">
        <f t="shared" si="27"/>
        <v/>
      </c>
      <c r="C606" s="17" t="str">
        <f t="shared" si="28"/>
        <v/>
      </c>
      <c r="D606" s="27"/>
      <c r="E606" s="27"/>
      <c r="F606" s="28"/>
      <c r="G606" s="14" t="str">
        <f>IF($D606="","",IFERROR(INDEX(Einstellungen!$B$4:$B$40,MATCH($D606,Einstellungen!$A$4:$A$40,0)),"?"))</f>
        <v/>
      </c>
      <c r="H606" s="27"/>
      <c r="I606" s="11" t="str">
        <f t="shared" si="29"/>
        <v/>
      </c>
    </row>
    <row r="607" spans="1:9" ht="15" customHeight="1" x14ac:dyDescent="0.25">
      <c r="A607" s="20"/>
      <c r="B607" s="21" t="str">
        <f t="shared" si="27"/>
        <v/>
      </c>
      <c r="C607" s="21" t="str">
        <f t="shared" si="28"/>
        <v/>
      </c>
      <c r="D607" s="22"/>
      <c r="E607" s="22"/>
      <c r="F607" s="23"/>
      <c r="G607" s="24" t="str">
        <f>IF($D607="","",IFERROR(INDEX(Einstellungen!$B$4:$B$40,MATCH($D607,Einstellungen!$A$4:$A$40,0)),"?"))</f>
        <v/>
      </c>
      <c r="H607" s="22"/>
      <c r="I607" s="25" t="str">
        <f t="shared" si="29"/>
        <v/>
      </c>
    </row>
    <row r="608" spans="1:9" ht="15" customHeight="1" x14ac:dyDescent="0.25">
      <c r="A608" s="26"/>
      <c r="B608" s="17" t="str">
        <f t="shared" si="27"/>
        <v/>
      </c>
      <c r="C608" s="17" t="str">
        <f t="shared" si="28"/>
        <v/>
      </c>
      <c r="D608" s="27"/>
      <c r="E608" s="27"/>
      <c r="F608" s="28"/>
      <c r="G608" s="14" t="str">
        <f>IF($D608="","",IFERROR(INDEX(Einstellungen!$B$4:$B$40,MATCH($D608,Einstellungen!$A$4:$A$40,0)),"?"))</f>
        <v/>
      </c>
      <c r="H608" s="27"/>
      <c r="I608" s="11" t="str">
        <f t="shared" si="29"/>
        <v/>
      </c>
    </row>
    <row r="609" spans="1:9" ht="15" customHeight="1" x14ac:dyDescent="0.25">
      <c r="A609" s="20"/>
      <c r="B609" s="21" t="str">
        <f t="shared" si="27"/>
        <v/>
      </c>
      <c r="C609" s="21" t="str">
        <f t="shared" si="28"/>
        <v/>
      </c>
      <c r="D609" s="22"/>
      <c r="E609" s="22"/>
      <c r="F609" s="23"/>
      <c r="G609" s="24" t="str">
        <f>IF($D609="","",IFERROR(INDEX(Einstellungen!$B$4:$B$40,MATCH($D609,Einstellungen!$A$4:$A$40,0)),"?"))</f>
        <v/>
      </c>
      <c r="H609" s="22"/>
      <c r="I609" s="25" t="str">
        <f t="shared" si="29"/>
        <v/>
      </c>
    </row>
    <row r="610" spans="1:9" ht="15" customHeight="1" x14ac:dyDescent="0.25">
      <c r="A610" s="26"/>
      <c r="B610" s="17" t="str">
        <f t="shared" si="27"/>
        <v/>
      </c>
      <c r="C610" s="17" t="str">
        <f t="shared" si="28"/>
        <v/>
      </c>
      <c r="D610" s="27"/>
      <c r="E610" s="27"/>
      <c r="F610" s="28"/>
      <c r="G610" s="14" t="str">
        <f>IF($D610="","",IFERROR(INDEX(Einstellungen!$B$4:$B$40,MATCH($D610,Einstellungen!$A$4:$A$40,0)),"?"))</f>
        <v/>
      </c>
      <c r="H610" s="27"/>
      <c r="I610" s="11" t="str">
        <f t="shared" si="29"/>
        <v/>
      </c>
    </row>
    <row r="611" spans="1:9" ht="15" customHeight="1" x14ac:dyDescent="0.25">
      <c r="A611" s="20"/>
      <c r="B611" s="21" t="str">
        <f t="shared" si="27"/>
        <v/>
      </c>
      <c r="C611" s="21" t="str">
        <f t="shared" si="28"/>
        <v/>
      </c>
      <c r="D611" s="22"/>
      <c r="E611" s="22"/>
      <c r="F611" s="23"/>
      <c r="G611" s="24" t="str">
        <f>IF($D611="","",IFERROR(INDEX(Einstellungen!$B$4:$B$40,MATCH($D611,Einstellungen!$A$4:$A$40,0)),"?"))</f>
        <v/>
      </c>
      <c r="H611" s="22"/>
      <c r="I611" s="25" t="str">
        <f t="shared" si="29"/>
        <v/>
      </c>
    </row>
    <row r="612" spans="1:9" ht="15" customHeight="1" x14ac:dyDescent="0.25">
      <c r="A612" s="26"/>
      <c r="B612" s="17" t="str">
        <f t="shared" si="27"/>
        <v/>
      </c>
      <c r="C612" s="17" t="str">
        <f t="shared" si="28"/>
        <v/>
      </c>
      <c r="D612" s="27"/>
      <c r="E612" s="27"/>
      <c r="F612" s="28"/>
      <c r="G612" s="14" t="str">
        <f>IF($D612="","",IFERROR(INDEX(Einstellungen!$B$4:$B$40,MATCH($D612,Einstellungen!$A$4:$A$40,0)),"?"))</f>
        <v/>
      </c>
      <c r="H612" s="27"/>
      <c r="I612" s="11" t="str">
        <f t="shared" si="29"/>
        <v/>
      </c>
    </row>
    <row r="613" spans="1:9" ht="15" customHeight="1" x14ac:dyDescent="0.25">
      <c r="A613" s="20"/>
      <c r="B613" s="21" t="str">
        <f t="shared" si="27"/>
        <v/>
      </c>
      <c r="C613" s="21" t="str">
        <f t="shared" si="28"/>
        <v/>
      </c>
      <c r="D613" s="22"/>
      <c r="E613" s="22"/>
      <c r="F613" s="23"/>
      <c r="G613" s="24" t="str">
        <f>IF($D613="","",IFERROR(INDEX(Einstellungen!$B$4:$B$40,MATCH($D613,Einstellungen!$A$4:$A$40,0)),"?"))</f>
        <v/>
      </c>
      <c r="H613" s="22"/>
      <c r="I613" s="25" t="str">
        <f t="shared" si="29"/>
        <v/>
      </c>
    </row>
    <row r="614" spans="1:9" ht="15" customHeight="1" x14ac:dyDescent="0.25">
      <c r="A614" s="26"/>
      <c r="B614" s="17" t="str">
        <f t="shared" si="27"/>
        <v/>
      </c>
      <c r="C614" s="17" t="str">
        <f t="shared" si="28"/>
        <v/>
      </c>
      <c r="D614" s="27"/>
      <c r="E614" s="27"/>
      <c r="F614" s="28"/>
      <c r="G614" s="14" t="str">
        <f>IF($D614="","",IFERROR(INDEX(Einstellungen!$B$4:$B$40,MATCH($D614,Einstellungen!$A$4:$A$40,0)),"?"))</f>
        <v/>
      </c>
      <c r="H614" s="27"/>
      <c r="I614" s="11" t="str">
        <f t="shared" si="29"/>
        <v/>
      </c>
    </row>
    <row r="615" spans="1:9" ht="15" customHeight="1" x14ac:dyDescent="0.25">
      <c r="A615" s="20"/>
      <c r="B615" s="21" t="str">
        <f t="shared" si="27"/>
        <v/>
      </c>
      <c r="C615" s="21" t="str">
        <f t="shared" si="28"/>
        <v/>
      </c>
      <c r="D615" s="22"/>
      <c r="E615" s="22"/>
      <c r="F615" s="23"/>
      <c r="G615" s="24" t="str">
        <f>IF($D615="","",IFERROR(INDEX(Einstellungen!$B$4:$B$40,MATCH($D615,Einstellungen!$A$4:$A$40,0)),"?"))</f>
        <v/>
      </c>
      <c r="H615" s="22"/>
      <c r="I615" s="25" t="str">
        <f t="shared" si="29"/>
        <v/>
      </c>
    </row>
    <row r="616" spans="1:9" ht="15" customHeight="1" x14ac:dyDescent="0.25">
      <c r="A616" s="26"/>
      <c r="B616" s="17" t="str">
        <f t="shared" si="27"/>
        <v/>
      </c>
      <c r="C616" s="17" t="str">
        <f t="shared" si="28"/>
        <v/>
      </c>
      <c r="D616" s="27"/>
      <c r="E616" s="27"/>
      <c r="F616" s="28"/>
      <c r="G616" s="14" t="str">
        <f>IF($D616="","",IFERROR(INDEX(Einstellungen!$B$4:$B$40,MATCH($D616,Einstellungen!$A$4:$A$40,0)),"?"))</f>
        <v/>
      </c>
      <c r="H616" s="27"/>
      <c r="I616" s="11" t="str">
        <f t="shared" si="29"/>
        <v/>
      </c>
    </row>
    <row r="617" spans="1:9" ht="15" customHeight="1" x14ac:dyDescent="0.25">
      <c r="A617" s="20"/>
      <c r="B617" s="21" t="str">
        <f t="shared" si="27"/>
        <v/>
      </c>
      <c r="C617" s="21" t="str">
        <f t="shared" si="28"/>
        <v/>
      </c>
      <c r="D617" s="22"/>
      <c r="E617" s="22"/>
      <c r="F617" s="23"/>
      <c r="G617" s="24" t="str">
        <f>IF($D617="","",IFERROR(INDEX(Einstellungen!$B$4:$B$40,MATCH($D617,Einstellungen!$A$4:$A$40,0)),"?"))</f>
        <v/>
      </c>
      <c r="H617" s="22"/>
      <c r="I617" s="25" t="str">
        <f t="shared" si="29"/>
        <v/>
      </c>
    </row>
    <row r="618" spans="1:9" ht="15" customHeight="1" x14ac:dyDescent="0.25">
      <c r="A618" s="26"/>
      <c r="B618" s="17" t="str">
        <f t="shared" si="27"/>
        <v/>
      </c>
      <c r="C618" s="17" t="str">
        <f t="shared" si="28"/>
        <v/>
      </c>
      <c r="D618" s="27"/>
      <c r="E618" s="27"/>
      <c r="F618" s="28"/>
      <c r="G618" s="14" t="str">
        <f>IF($D618="","",IFERROR(INDEX(Einstellungen!$B$4:$B$40,MATCH($D618,Einstellungen!$A$4:$A$40,0)),"?"))</f>
        <v/>
      </c>
      <c r="H618" s="27"/>
      <c r="I618" s="11" t="str">
        <f t="shared" si="29"/>
        <v/>
      </c>
    </row>
    <row r="619" spans="1:9" ht="15" customHeight="1" x14ac:dyDescent="0.25">
      <c r="A619" s="20"/>
      <c r="B619" s="21" t="str">
        <f t="shared" si="27"/>
        <v/>
      </c>
      <c r="C619" s="21" t="str">
        <f t="shared" si="28"/>
        <v/>
      </c>
      <c r="D619" s="22"/>
      <c r="E619" s="22"/>
      <c r="F619" s="23"/>
      <c r="G619" s="24" t="str">
        <f>IF($D619="","",IFERROR(INDEX(Einstellungen!$B$4:$B$40,MATCH($D619,Einstellungen!$A$4:$A$40,0)),"?"))</f>
        <v/>
      </c>
      <c r="H619" s="22"/>
      <c r="I619" s="25" t="str">
        <f t="shared" si="29"/>
        <v/>
      </c>
    </row>
    <row r="620" spans="1:9" ht="15" customHeight="1" x14ac:dyDescent="0.25">
      <c r="A620" s="26"/>
      <c r="B620" s="17" t="str">
        <f t="shared" si="27"/>
        <v/>
      </c>
      <c r="C620" s="17" t="str">
        <f t="shared" si="28"/>
        <v/>
      </c>
      <c r="D620" s="27"/>
      <c r="E620" s="27"/>
      <c r="F620" s="28"/>
      <c r="G620" s="14" t="str">
        <f>IF($D620="","",IFERROR(INDEX(Einstellungen!$B$4:$B$40,MATCH($D620,Einstellungen!$A$4:$A$40,0)),"?"))</f>
        <v/>
      </c>
      <c r="H620" s="27"/>
      <c r="I620" s="11" t="str">
        <f t="shared" si="29"/>
        <v/>
      </c>
    </row>
    <row r="621" spans="1:9" ht="15" customHeight="1" x14ac:dyDescent="0.25">
      <c r="A621" s="20"/>
      <c r="B621" s="21" t="str">
        <f t="shared" si="27"/>
        <v/>
      </c>
      <c r="C621" s="21" t="str">
        <f t="shared" si="28"/>
        <v/>
      </c>
      <c r="D621" s="22"/>
      <c r="E621" s="22"/>
      <c r="F621" s="23"/>
      <c r="G621" s="24" t="str">
        <f>IF($D621="","",IFERROR(INDEX(Einstellungen!$B$4:$B$40,MATCH($D621,Einstellungen!$A$4:$A$40,0)),"?"))</f>
        <v/>
      </c>
      <c r="H621" s="22"/>
      <c r="I621" s="25" t="str">
        <f t="shared" si="29"/>
        <v/>
      </c>
    </row>
    <row r="622" spans="1:9" ht="15" customHeight="1" x14ac:dyDescent="0.25">
      <c r="A622" s="26"/>
      <c r="B622" s="17" t="str">
        <f t="shared" si="27"/>
        <v/>
      </c>
      <c r="C622" s="17" t="str">
        <f t="shared" si="28"/>
        <v/>
      </c>
      <c r="D622" s="27"/>
      <c r="E622" s="27"/>
      <c r="F622" s="28"/>
      <c r="G622" s="14" t="str">
        <f>IF($D622="","",IFERROR(INDEX(Einstellungen!$B$4:$B$40,MATCH($D622,Einstellungen!$A$4:$A$40,0)),"?"))</f>
        <v/>
      </c>
      <c r="H622" s="27"/>
      <c r="I622" s="11" t="str">
        <f t="shared" si="29"/>
        <v/>
      </c>
    </row>
    <row r="623" spans="1:9" ht="15" customHeight="1" x14ac:dyDescent="0.25">
      <c r="A623" s="20"/>
      <c r="B623" s="21" t="str">
        <f t="shared" si="27"/>
        <v/>
      </c>
      <c r="C623" s="21" t="str">
        <f t="shared" si="28"/>
        <v/>
      </c>
      <c r="D623" s="22"/>
      <c r="E623" s="22"/>
      <c r="F623" s="23"/>
      <c r="G623" s="24" t="str">
        <f>IF($D623="","",IFERROR(INDEX(Einstellungen!$B$4:$B$40,MATCH($D623,Einstellungen!$A$4:$A$40,0)),"?"))</f>
        <v/>
      </c>
      <c r="H623" s="22"/>
      <c r="I623" s="25" t="str">
        <f t="shared" si="29"/>
        <v/>
      </c>
    </row>
    <row r="624" spans="1:9" ht="15" customHeight="1" x14ac:dyDescent="0.25">
      <c r="A624" s="26"/>
      <c r="B624" s="17" t="str">
        <f t="shared" si="27"/>
        <v/>
      </c>
      <c r="C624" s="17" t="str">
        <f t="shared" si="28"/>
        <v/>
      </c>
      <c r="D624" s="27"/>
      <c r="E624" s="27"/>
      <c r="F624" s="28"/>
      <c r="G624" s="14" t="str">
        <f>IF($D624="","",IFERROR(INDEX(Einstellungen!$B$4:$B$40,MATCH($D624,Einstellungen!$A$4:$A$40,0)),"?"))</f>
        <v/>
      </c>
      <c r="H624" s="27"/>
      <c r="I624" s="11" t="str">
        <f t="shared" si="29"/>
        <v/>
      </c>
    </row>
    <row r="625" spans="1:9" ht="15" customHeight="1" x14ac:dyDescent="0.25">
      <c r="A625" s="20"/>
      <c r="B625" s="21" t="str">
        <f t="shared" si="27"/>
        <v/>
      </c>
      <c r="C625" s="21" t="str">
        <f t="shared" si="28"/>
        <v/>
      </c>
      <c r="D625" s="22"/>
      <c r="E625" s="22"/>
      <c r="F625" s="23"/>
      <c r="G625" s="24" t="str">
        <f>IF($D625="","",IFERROR(INDEX(Einstellungen!$B$4:$B$40,MATCH($D625,Einstellungen!$A$4:$A$40,0)),"?"))</f>
        <v/>
      </c>
      <c r="H625" s="22"/>
      <c r="I625" s="25" t="str">
        <f t="shared" si="29"/>
        <v/>
      </c>
    </row>
    <row r="626" spans="1:9" ht="15" customHeight="1" x14ac:dyDescent="0.25">
      <c r="A626" s="26"/>
      <c r="B626" s="17" t="str">
        <f t="shared" si="27"/>
        <v/>
      </c>
      <c r="C626" s="17" t="str">
        <f t="shared" si="28"/>
        <v/>
      </c>
      <c r="D626" s="27"/>
      <c r="E626" s="27"/>
      <c r="F626" s="28"/>
      <c r="G626" s="14" t="str">
        <f>IF($D626="","",IFERROR(INDEX(Einstellungen!$B$4:$B$40,MATCH($D626,Einstellungen!$A$4:$A$40,0)),"?"))</f>
        <v/>
      </c>
      <c r="H626" s="27"/>
      <c r="I626" s="11" t="str">
        <f t="shared" si="29"/>
        <v/>
      </c>
    </row>
    <row r="627" spans="1:9" ht="15" customHeight="1" x14ac:dyDescent="0.25">
      <c r="A627" s="20"/>
      <c r="B627" s="21" t="str">
        <f t="shared" si="27"/>
        <v/>
      </c>
      <c r="C627" s="21" t="str">
        <f t="shared" si="28"/>
        <v/>
      </c>
      <c r="D627" s="22"/>
      <c r="E627" s="22"/>
      <c r="F627" s="23"/>
      <c r="G627" s="24" t="str">
        <f>IF($D627="","",IFERROR(INDEX(Einstellungen!$B$4:$B$40,MATCH($D627,Einstellungen!$A$4:$A$40,0)),"?"))</f>
        <v/>
      </c>
      <c r="H627" s="22"/>
      <c r="I627" s="25" t="str">
        <f t="shared" si="29"/>
        <v/>
      </c>
    </row>
    <row r="628" spans="1:9" ht="15" customHeight="1" x14ac:dyDescent="0.25">
      <c r="A628" s="26"/>
      <c r="B628" s="17" t="str">
        <f t="shared" si="27"/>
        <v/>
      </c>
      <c r="C628" s="17" t="str">
        <f t="shared" si="28"/>
        <v/>
      </c>
      <c r="D628" s="27"/>
      <c r="E628" s="27"/>
      <c r="F628" s="28"/>
      <c r="G628" s="14" t="str">
        <f>IF($D628="","",IFERROR(INDEX(Einstellungen!$B$4:$B$40,MATCH($D628,Einstellungen!$A$4:$A$40,0)),"?"))</f>
        <v/>
      </c>
      <c r="H628" s="27"/>
      <c r="I628" s="11" t="str">
        <f t="shared" si="29"/>
        <v/>
      </c>
    </row>
    <row r="629" spans="1:9" ht="15" customHeight="1" x14ac:dyDescent="0.25">
      <c r="A629" s="20"/>
      <c r="B629" s="21" t="str">
        <f t="shared" si="27"/>
        <v/>
      </c>
      <c r="C629" s="21" t="str">
        <f t="shared" si="28"/>
        <v/>
      </c>
      <c r="D629" s="22"/>
      <c r="E629" s="22"/>
      <c r="F629" s="23"/>
      <c r="G629" s="24" t="str">
        <f>IF($D629="","",IFERROR(INDEX(Einstellungen!$B$4:$B$40,MATCH($D629,Einstellungen!$A$4:$A$40,0)),"?"))</f>
        <v/>
      </c>
      <c r="H629" s="22"/>
      <c r="I629" s="25" t="str">
        <f t="shared" si="29"/>
        <v/>
      </c>
    </row>
    <row r="630" spans="1:9" ht="15" customHeight="1" x14ac:dyDescent="0.25">
      <c r="A630" s="26"/>
      <c r="B630" s="17" t="str">
        <f t="shared" si="27"/>
        <v/>
      </c>
      <c r="C630" s="17" t="str">
        <f t="shared" si="28"/>
        <v/>
      </c>
      <c r="D630" s="27"/>
      <c r="E630" s="27"/>
      <c r="F630" s="28"/>
      <c r="G630" s="14" t="str">
        <f>IF($D630="","",IFERROR(INDEX(Einstellungen!$B$4:$B$40,MATCH($D630,Einstellungen!$A$4:$A$40,0)),"?"))</f>
        <v/>
      </c>
      <c r="H630" s="27"/>
      <c r="I630" s="11" t="str">
        <f t="shared" si="29"/>
        <v/>
      </c>
    </row>
    <row r="631" spans="1:9" ht="15" customHeight="1" x14ac:dyDescent="0.25">
      <c r="A631" s="20"/>
      <c r="B631" s="21" t="str">
        <f t="shared" si="27"/>
        <v/>
      </c>
      <c r="C631" s="21" t="str">
        <f t="shared" si="28"/>
        <v/>
      </c>
      <c r="D631" s="22"/>
      <c r="E631" s="22"/>
      <c r="F631" s="23"/>
      <c r="G631" s="24" t="str">
        <f>IF($D631="","",IFERROR(INDEX(Einstellungen!$B$4:$B$40,MATCH($D631,Einstellungen!$A$4:$A$40,0)),"?"))</f>
        <v/>
      </c>
      <c r="H631" s="22"/>
      <c r="I631" s="25" t="str">
        <f t="shared" si="29"/>
        <v/>
      </c>
    </row>
    <row r="632" spans="1:9" ht="15" customHeight="1" x14ac:dyDescent="0.25">
      <c r="A632" s="26"/>
      <c r="B632" s="17" t="str">
        <f t="shared" si="27"/>
        <v/>
      </c>
      <c r="C632" s="17" t="str">
        <f t="shared" si="28"/>
        <v/>
      </c>
      <c r="D632" s="27"/>
      <c r="E632" s="27"/>
      <c r="F632" s="28"/>
      <c r="G632" s="14" t="str">
        <f>IF($D632="","",IFERROR(INDEX(Einstellungen!$B$4:$B$40,MATCH($D632,Einstellungen!$A$4:$A$40,0)),"?"))</f>
        <v/>
      </c>
      <c r="H632" s="27"/>
      <c r="I632" s="11" t="str">
        <f t="shared" si="29"/>
        <v/>
      </c>
    </row>
    <row r="633" spans="1:9" ht="15" customHeight="1" x14ac:dyDescent="0.25">
      <c r="A633" s="20"/>
      <c r="B633" s="21" t="str">
        <f t="shared" si="27"/>
        <v/>
      </c>
      <c r="C633" s="21" t="str">
        <f t="shared" si="28"/>
        <v/>
      </c>
      <c r="D633" s="22"/>
      <c r="E633" s="22"/>
      <c r="F633" s="23"/>
      <c r="G633" s="24" t="str">
        <f>IF($D633="","",IFERROR(INDEX(Einstellungen!$B$4:$B$40,MATCH($D633,Einstellungen!$A$4:$A$40,0)),"?"))</f>
        <v/>
      </c>
      <c r="H633" s="22"/>
      <c r="I633" s="25" t="str">
        <f t="shared" si="29"/>
        <v/>
      </c>
    </row>
    <row r="634" spans="1:9" ht="15" customHeight="1" x14ac:dyDescent="0.25">
      <c r="A634" s="26"/>
      <c r="B634" s="17" t="str">
        <f t="shared" si="27"/>
        <v/>
      </c>
      <c r="C634" s="17" t="str">
        <f t="shared" si="28"/>
        <v/>
      </c>
      <c r="D634" s="27"/>
      <c r="E634" s="27"/>
      <c r="F634" s="28"/>
      <c r="G634" s="14" t="str">
        <f>IF($D634="","",IFERROR(INDEX(Einstellungen!$B$4:$B$40,MATCH($D634,Einstellungen!$A$4:$A$40,0)),"?"))</f>
        <v/>
      </c>
      <c r="H634" s="27"/>
      <c r="I634" s="11" t="str">
        <f t="shared" si="29"/>
        <v/>
      </c>
    </row>
    <row r="635" spans="1:9" ht="15" customHeight="1" x14ac:dyDescent="0.25">
      <c r="A635" s="20"/>
      <c r="B635" s="21" t="str">
        <f t="shared" si="27"/>
        <v/>
      </c>
      <c r="C635" s="21" t="str">
        <f t="shared" si="28"/>
        <v/>
      </c>
      <c r="D635" s="22"/>
      <c r="E635" s="22"/>
      <c r="F635" s="23"/>
      <c r="G635" s="24" t="str">
        <f>IF($D635="","",IFERROR(INDEX(Einstellungen!$B$4:$B$40,MATCH($D635,Einstellungen!$A$4:$A$40,0)),"?"))</f>
        <v/>
      </c>
      <c r="H635" s="22"/>
      <c r="I635" s="25" t="str">
        <f t="shared" si="29"/>
        <v/>
      </c>
    </row>
    <row r="636" spans="1:9" ht="15" customHeight="1" x14ac:dyDescent="0.25">
      <c r="A636" s="26"/>
      <c r="B636" s="17" t="str">
        <f t="shared" si="27"/>
        <v/>
      </c>
      <c r="C636" s="17" t="str">
        <f t="shared" si="28"/>
        <v/>
      </c>
      <c r="D636" s="27"/>
      <c r="E636" s="27"/>
      <c r="F636" s="28"/>
      <c r="G636" s="14" t="str">
        <f>IF($D636="","",IFERROR(INDEX(Einstellungen!$B$4:$B$40,MATCH($D636,Einstellungen!$A$4:$A$40,0)),"?"))</f>
        <v/>
      </c>
      <c r="H636" s="27"/>
      <c r="I636" s="11" t="str">
        <f t="shared" si="29"/>
        <v/>
      </c>
    </row>
    <row r="637" spans="1:9" ht="15" customHeight="1" x14ac:dyDescent="0.25">
      <c r="A637" s="20"/>
      <c r="B637" s="21" t="str">
        <f t="shared" si="27"/>
        <v/>
      </c>
      <c r="C637" s="21" t="str">
        <f t="shared" si="28"/>
        <v/>
      </c>
      <c r="D637" s="22"/>
      <c r="E637" s="22"/>
      <c r="F637" s="23"/>
      <c r="G637" s="24" t="str">
        <f>IF($D637="","",IFERROR(INDEX(Einstellungen!$B$4:$B$40,MATCH($D637,Einstellungen!$A$4:$A$40,0)),"?"))</f>
        <v/>
      </c>
      <c r="H637" s="22"/>
      <c r="I637" s="25" t="str">
        <f t="shared" si="29"/>
        <v/>
      </c>
    </row>
    <row r="638" spans="1:9" ht="15" customHeight="1" x14ac:dyDescent="0.25">
      <c r="A638" s="26"/>
      <c r="B638" s="17" t="str">
        <f t="shared" si="27"/>
        <v/>
      </c>
      <c r="C638" s="17" t="str">
        <f t="shared" si="28"/>
        <v/>
      </c>
      <c r="D638" s="27"/>
      <c r="E638" s="27"/>
      <c r="F638" s="28"/>
      <c r="G638" s="14" t="str">
        <f>IF($D638="","",IFERROR(INDEX(Einstellungen!$B$4:$B$40,MATCH($D638,Einstellungen!$A$4:$A$40,0)),"?"))</f>
        <v/>
      </c>
      <c r="H638" s="27"/>
      <c r="I638" s="11" t="str">
        <f t="shared" si="29"/>
        <v/>
      </c>
    </row>
    <row r="639" spans="1:9" ht="15" customHeight="1" x14ac:dyDescent="0.25">
      <c r="A639" s="20"/>
      <c r="B639" s="21" t="str">
        <f t="shared" si="27"/>
        <v/>
      </c>
      <c r="C639" s="21" t="str">
        <f t="shared" si="28"/>
        <v/>
      </c>
      <c r="D639" s="22"/>
      <c r="E639" s="22"/>
      <c r="F639" s="23"/>
      <c r="G639" s="24" t="str">
        <f>IF($D639="","",IFERROR(INDEX(Einstellungen!$B$4:$B$40,MATCH($D639,Einstellungen!$A$4:$A$40,0)),"?"))</f>
        <v/>
      </c>
      <c r="H639" s="22"/>
      <c r="I639" s="25" t="str">
        <f t="shared" si="29"/>
        <v/>
      </c>
    </row>
    <row r="640" spans="1:9" ht="15" customHeight="1" x14ac:dyDescent="0.25">
      <c r="A640" s="26"/>
      <c r="B640" s="17" t="str">
        <f t="shared" si="27"/>
        <v/>
      </c>
      <c r="C640" s="17" t="str">
        <f t="shared" si="28"/>
        <v/>
      </c>
      <c r="D640" s="27"/>
      <c r="E640" s="27"/>
      <c r="F640" s="28"/>
      <c r="G640" s="14" t="str">
        <f>IF($D640="","",IFERROR(INDEX(Einstellungen!$B$4:$B$40,MATCH($D640,Einstellungen!$A$4:$A$40,0)),"?"))</f>
        <v/>
      </c>
      <c r="H640" s="27"/>
      <c r="I640" s="11" t="str">
        <f t="shared" si="29"/>
        <v/>
      </c>
    </row>
    <row r="641" spans="1:9" ht="15" customHeight="1" x14ac:dyDescent="0.25">
      <c r="A641" s="20"/>
      <c r="B641" s="21" t="str">
        <f t="shared" si="27"/>
        <v/>
      </c>
      <c r="C641" s="21" t="str">
        <f t="shared" si="28"/>
        <v/>
      </c>
      <c r="D641" s="22"/>
      <c r="E641" s="22"/>
      <c r="F641" s="23"/>
      <c r="G641" s="24" t="str">
        <f>IF($D641="","",IFERROR(INDEX(Einstellungen!$B$4:$B$40,MATCH($D641,Einstellungen!$A$4:$A$40,0)),"?"))</f>
        <v/>
      </c>
      <c r="H641" s="22"/>
      <c r="I641" s="25" t="str">
        <f t="shared" si="29"/>
        <v/>
      </c>
    </row>
    <row r="642" spans="1:9" ht="15" customHeight="1" x14ac:dyDescent="0.25">
      <c r="A642" s="26"/>
      <c r="B642" s="17" t="str">
        <f t="shared" si="27"/>
        <v/>
      </c>
      <c r="C642" s="17" t="str">
        <f t="shared" si="28"/>
        <v/>
      </c>
      <c r="D642" s="27"/>
      <c r="E642" s="27"/>
      <c r="F642" s="28"/>
      <c r="G642" s="14" t="str">
        <f>IF($D642="","",IFERROR(INDEX(Einstellungen!$B$4:$B$40,MATCH($D642,Einstellungen!$A$4:$A$40,0)),"?"))</f>
        <v/>
      </c>
      <c r="H642" s="27"/>
      <c r="I642" s="11" t="str">
        <f t="shared" si="29"/>
        <v/>
      </c>
    </row>
    <row r="643" spans="1:9" ht="15" customHeight="1" x14ac:dyDescent="0.25">
      <c r="A643" s="20"/>
      <c r="B643" s="21" t="str">
        <f t="shared" si="27"/>
        <v/>
      </c>
      <c r="C643" s="21" t="str">
        <f t="shared" si="28"/>
        <v/>
      </c>
      <c r="D643" s="22"/>
      <c r="E643" s="22"/>
      <c r="F643" s="23"/>
      <c r="G643" s="24" t="str">
        <f>IF($D643="","",IFERROR(INDEX(Einstellungen!$B$4:$B$40,MATCH($D643,Einstellungen!$A$4:$A$40,0)),"?"))</f>
        <v/>
      </c>
      <c r="H643" s="22"/>
      <c r="I643" s="25" t="str">
        <f t="shared" si="29"/>
        <v/>
      </c>
    </row>
    <row r="644" spans="1:9" ht="15" customHeight="1" x14ac:dyDescent="0.25">
      <c r="A644" s="26"/>
      <c r="B644" s="17" t="str">
        <f t="shared" ref="B644:B707" si="30">IF($A644="","",YEAR($A644))</f>
        <v/>
      </c>
      <c r="C644" s="17" t="str">
        <f t="shared" ref="C644:C707" si="31">IF($A644="","",MONTH($A644))</f>
        <v/>
      </c>
      <c r="D644" s="27"/>
      <c r="E644" s="27"/>
      <c r="F644" s="28"/>
      <c r="G644" s="14" t="str">
        <f>IF($D644="","",IFERROR(INDEX(Einstellungen!$B$4:$B$40,MATCH($D644,Einstellungen!$A$4:$A$40,0)),"?"))</f>
        <v/>
      </c>
      <c r="H644" s="27"/>
      <c r="I644" s="11" t="str">
        <f t="shared" ref="I644:I707" si="32">IF($F644="","",IF($G644="Einnahme",$F644,-$F644))</f>
        <v/>
      </c>
    </row>
    <row r="645" spans="1:9" ht="15" customHeight="1" x14ac:dyDescent="0.25">
      <c r="A645" s="20"/>
      <c r="B645" s="21" t="str">
        <f t="shared" si="30"/>
        <v/>
      </c>
      <c r="C645" s="21" t="str">
        <f t="shared" si="31"/>
        <v/>
      </c>
      <c r="D645" s="22"/>
      <c r="E645" s="22"/>
      <c r="F645" s="23"/>
      <c r="G645" s="24" t="str">
        <f>IF($D645="","",IFERROR(INDEX(Einstellungen!$B$4:$B$40,MATCH($D645,Einstellungen!$A$4:$A$40,0)),"?"))</f>
        <v/>
      </c>
      <c r="H645" s="22"/>
      <c r="I645" s="25" t="str">
        <f t="shared" si="32"/>
        <v/>
      </c>
    </row>
    <row r="646" spans="1:9" ht="15" customHeight="1" x14ac:dyDescent="0.25">
      <c r="A646" s="26"/>
      <c r="B646" s="17" t="str">
        <f t="shared" si="30"/>
        <v/>
      </c>
      <c r="C646" s="17" t="str">
        <f t="shared" si="31"/>
        <v/>
      </c>
      <c r="D646" s="27"/>
      <c r="E646" s="27"/>
      <c r="F646" s="28"/>
      <c r="G646" s="14" t="str">
        <f>IF($D646="","",IFERROR(INDEX(Einstellungen!$B$4:$B$40,MATCH($D646,Einstellungen!$A$4:$A$40,0)),"?"))</f>
        <v/>
      </c>
      <c r="H646" s="27"/>
      <c r="I646" s="11" t="str">
        <f t="shared" si="32"/>
        <v/>
      </c>
    </row>
    <row r="647" spans="1:9" ht="15" customHeight="1" x14ac:dyDescent="0.25">
      <c r="A647" s="20"/>
      <c r="B647" s="21" t="str">
        <f t="shared" si="30"/>
        <v/>
      </c>
      <c r="C647" s="21" t="str">
        <f t="shared" si="31"/>
        <v/>
      </c>
      <c r="D647" s="22"/>
      <c r="E647" s="22"/>
      <c r="F647" s="23"/>
      <c r="G647" s="24" t="str">
        <f>IF($D647="","",IFERROR(INDEX(Einstellungen!$B$4:$B$40,MATCH($D647,Einstellungen!$A$4:$A$40,0)),"?"))</f>
        <v/>
      </c>
      <c r="H647" s="22"/>
      <c r="I647" s="25" t="str">
        <f t="shared" si="32"/>
        <v/>
      </c>
    </row>
    <row r="648" spans="1:9" ht="15" customHeight="1" x14ac:dyDescent="0.25">
      <c r="A648" s="26"/>
      <c r="B648" s="17" t="str">
        <f t="shared" si="30"/>
        <v/>
      </c>
      <c r="C648" s="17" t="str">
        <f t="shared" si="31"/>
        <v/>
      </c>
      <c r="D648" s="27"/>
      <c r="E648" s="27"/>
      <c r="F648" s="28"/>
      <c r="G648" s="14" t="str">
        <f>IF($D648="","",IFERROR(INDEX(Einstellungen!$B$4:$B$40,MATCH($D648,Einstellungen!$A$4:$A$40,0)),"?"))</f>
        <v/>
      </c>
      <c r="H648" s="27"/>
      <c r="I648" s="11" t="str">
        <f t="shared" si="32"/>
        <v/>
      </c>
    </row>
    <row r="649" spans="1:9" ht="15" customHeight="1" x14ac:dyDescent="0.25">
      <c r="A649" s="20"/>
      <c r="B649" s="21" t="str">
        <f t="shared" si="30"/>
        <v/>
      </c>
      <c r="C649" s="21" t="str">
        <f t="shared" si="31"/>
        <v/>
      </c>
      <c r="D649" s="22"/>
      <c r="E649" s="22"/>
      <c r="F649" s="23"/>
      <c r="G649" s="24" t="str">
        <f>IF($D649="","",IFERROR(INDEX(Einstellungen!$B$4:$B$40,MATCH($D649,Einstellungen!$A$4:$A$40,0)),"?"))</f>
        <v/>
      </c>
      <c r="H649" s="22"/>
      <c r="I649" s="25" t="str">
        <f t="shared" si="32"/>
        <v/>
      </c>
    </row>
    <row r="650" spans="1:9" ht="15" customHeight="1" x14ac:dyDescent="0.25">
      <c r="A650" s="26"/>
      <c r="B650" s="17" t="str">
        <f t="shared" si="30"/>
        <v/>
      </c>
      <c r="C650" s="17" t="str">
        <f t="shared" si="31"/>
        <v/>
      </c>
      <c r="D650" s="27"/>
      <c r="E650" s="27"/>
      <c r="F650" s="28"/>
      <c r="G650" s="14" t="str">
        <f>IF($D650="","",IFERROR(INDEX(Einstellungen!$B$4:$B$40,MATCH($D650,Einstellungen!$A$4:$A$40,0)),"?"))</f>
        <v/>
      </c>
      <c r="H650" s="27"/>
      <c r="I650" s="11" t="str">
        <f t="shared" si="32"/>
        <v/>
      </c>
    </row>
    <row r="651" spans="1:9" ht="15" customHeight="1" x14ac:dyDescent="0.25">
      <c r="A651" s="20"/>
      <c r="B651" s="21" t="str">
        <f t="shared" si="30"/>
        <v/>
      </c>
      <c r="C651" s="21" t="str">
        <f t="shared" si="31"/>
        <v/>
      </c>
      <c r="D651" s="22"/>
      <c r="E651" s="22"/>
      <c r="F651" s="23"/>
      <c r="G651" s="24" t="str">
        <f>IF($D651="","",IFERROR(INDEX(Einstellungen!$B$4:$B$40,MATCH($D651,Einstellungen!$A$4:$A$40,0)),"?"))</f>
        <v/>
      </c>
      <c r="H651" s="22"/>
      <c r="I651" s="25" t="str">
        <f t="shared" si="32"/>
        <v/>
      </c>
    </row>
    <row r="652" spans="1:9" ht="15" customHeight="1" x14ac:dyDescent="0.25">
      <c r="A652" s="26"/>
      <c r="B652" s="17" t="str">
        <f t="shared" si="30"/>
        <v/>
      </c>
      <c r="C652" s="17" t="str">
        <f t="shared" si="31"/>
        <v/>
      </c>
      <c r="D652" s="27"/>
      <c r="E652" s="27"/>
      <c r="F652" s="28"/>
      <c r="G652" s="14" t="str">
        <f>IF($D652="","",IFERROR(INDEX(Einstellungen!$B$4:$B$40,MATCH($D652,Einstellungen!$A$4:$A$40,0)),"?"))</f>
        <v/>
      </c>
      <c r="H652" s="27"/>
      <c r="I652" s="11" t="str">
        <f t="shared" si="32"/>
        <v/>
      </c>
    </row>
    <row r="653" spans="1:9" ht="15" customHeight="1" x14ac:dyDescent="0.25">
      <c r="A653" s="20"/>
      <c r="B653" s="21" t="str">
        <f t="shared" si="30"/>
        <v/>
      </c>
      <c r="C653" s="21" t="str">
        <f t="shared" si="31"/>
        <v/>
      </c>
      <c r="D653" s="22"/>
      <c r="E653" s="22"/>
      <c r="F653" s="23"/>
      <c r="G653" s="24" t="str">
        <f>IF($D653="","",IFERROR(INDEX(Einstellungen!$B$4:$B$40,MATCH($D653,Einstellungen!$A$4:$A$40,0)),"?"))</f>
        <v/>
      </c>
      <c r="H653" s="22"/>
      <c r="I653" s="25" t="str">
        <f t="shared" si="32"/>
        <v/>
      </c>
    </row>
    <row r="654" spans="1:9" ht="15" customHeight="1" x14ac:dyDescent="0.25">
      <c r="A654" s="26"/>
      <c r="B654" s="17" t="str">
        <f t="shared" si="30"/>
        <v/>
      </c>
      <c r="C654" s="17" t="str">
        <f t="shared" si="31"/>
        <v/>
      </c>
      <c r="D654" s="27"/>
      <c r="E654" s="27"/>
      <c r="F654" s="28"/>
      <c r="G654" s="14" t="str">
        <f>IF($D654="","",IFERROR(INDEX(Einstellungen!$B$4:$B$40,MATCH($D654,Einstellungen!$A$4:$A$40,0)),"?"))</f>
        <v/>
      </c>
      <c r="H654" s="27"/>
      <c r="I654" s="11" t="str">
        <f t="shared" si="32"/>
        <v/>
      </c>
    </row>
    <row r="655" spans="1:9" ht="15" customHeight="1" x14ac:dyDescent="0.25">
      <c r="A655" s="20"/>
      <c r="B655" s="21" t="str">
        <f t="shared" si="30"/>
        <v/>
      </c>
      <c r="C655" s="21" t="str">
        <f t="shared" si="31"/>
        <v/>
      </c>
      <c r="D655" s="22"/>
      <c r="E655" s="22"/>
      <c r="F655" s="23"/>
      <c r="G655" s="24" t="str">
        <f>IF($D655="","",IFERROR(INDEX(Einstellungen!$B$4:$B$40,MATCH($D655,Einstellungen!$A$4:$A$40,0)),"?"))</f>
        <v/>
      </c>
      <c r="H655" s="22"/>
      <c r="I655" s="25" t="str">
        <f t="shared" si="32"/>
        <v/>
      </c>
    </row>
    <row r="656" spans="1:9" ht="15" customHeight="1" x14ac:dyDescent="0.25">
      <c r="A656" s="26"/>
      <c r="B656" s="17" t="str">
        <f t="shared" si="30"/>
        <v/>
      </c>
      <c r="C656" s="17" t="str">
        <f t="shared" si="31"/>
        <v/>
      </c>
      <c r="D656" s="27"/>
      <c r="E656" s="27"/>
      <c r="F656" s="28"/>
      <c r="G656" s="14" t="str">
        <f>IF($D656="","",IFERROR(INDEX(Einstellungen!$B$4:$B$40,MATCH($D656,Einstellungen!$A$4:$A$40,0)),"?"))</f>
        <v/>
      </c>
      <c r="H656" s="27"/>
      <c r="I656" s="11" t="str">
        <f t="shared" si="32"/>
        <v/>
      </c>
    </row>
    <row r="657" spans="1:9" ht="15" customHeight="1" x14ac:dyDescent="0.25">
      <c r="A657" s="20"/>
      <c r="B657" s="21" t="str">
        <f t="shared" si="30"/>
        <v/>
      </c>
      <c r="C657" s="21" t="str">
        <f t="shared" si="31"/>
        <v/>
      </c>
      <c r="D657" s="22"/>
      <c r="E657" s="22"/>
      <c r="F657" s="23"/>
      <c r="G657" s="24" t="str">
        <f>IF($D657="","",IFERROR(INDEX(Einstellungen!$B$4:$B$40,MATCH($D657,Einstellungen!$A$4:$A$40,0)),"?"))</f>
        <v/>
      </c>
      <c r="H657" s="22"/>
      <c r="I657" s="25" t="str">
        <f t="shared" si="32"/>
        <v/>
      </c>
    </row>
    <row r="658" spans="1:9" ht="15" customHeight="1" x14ac:dyDescent="0.25">
      <c r="A658" s="26"/>
      <c r="B658" s="17" t="str">
        <f t="shared" si="30"/>
        <v/>
      </c>
      <c r="C658" s="17" t="str">
        <f t="shared" si="31"/>
        <v/>
      </c>
      <c r="D658" s="27"/>
      <c r="E658" s="27"/>
      <c r="F658" s="28"/>
      <c r="G658" s="14" t="str">
        <f>IF($D658="","",IFERROR(INDEX(Einstellungen!$B$4:$B$40,MATCH($D658,Einstellungen!$A$4:$A$40,0)),"?"))</f>
        <v/>
      </c>
      <c r="H658" s="27"/>
      <c r="I658" s="11" t="str">
        <f t="shared" si="32"/>
        <v/>
      </c>
    </row>
    <row r="659" spans="1:9" ht="15" customHeight="1" x14ac:dyDescent="0.25">
      <c r="A659" s="20"/>
      <c r="B659" s="21" t="str">
        <f t="shared" si="30"/>
        <v/>
      </c>
      <c r="C659" s="21" t="str">
        <f t="shared" si="31"/>
        <v/>
      </c>
      <c r="D659" s="22"/>
      <c r="E659" s="22"/>
      <c r="F659" s="23"/>
      <c r="G659" s="24" t="str">
        <f>IF($D659="","",IFERROR(INDEX(Einstellungen!$B$4:$B$40,MATCH($D659,Einstellungen!$A$4:$A$40,0)),"?"))</f>
        <v/>
      </c>
      <c r="H659" s="22"/>
      <c r="I659" s="25" t="str">
        <f t="shared" si="32"/>
        <v/>
      </c>
    </row>
    <row r="660" spans="1:9" ht="15" customHeight="1" x14ac:dyDescent="0.25">
      <c r="A660" s="26"/>
      <c r="B660" s="17" t="str">
        <f t="shared" si="30"/>
        <v/>
      </c>
      <c r="C660" s="17" t="str">
        <f t="shared" si="31"/>
        <v/>
      </c>
      <c r="D660" s="27"/>
      <c r="E660" s="27"/>
      <c r="F660" s="28"/>
      <c r="G660" s="14" t="str">
        <f>IF($D660="","",IFERROR(INDEX(Einstellungen!$B$4:$B$40,MATCH($D660,Einstellungen!$A$4:$A$40,0)),"?"))</f>
        <v/>
      </c>
      <c r="H660" s="27"/>
      <c r="I660" s="11" t="str">
        <f t="shared" si="32"/>
        <v/>
      </c>
    </row>
    <row r="661" spans="1:9" ht="15" customHeight="1" x14ac:dyDescent="0.25">
      <c r="A661" s="20"/>
      <c r="B661" s="21" t="str">
        <f t="shared" si="30"/>
        <v/>
      </c>
      <c r="C661" s="21" t="str">
        <f t="shared" si="31"/>
        <v/>
      </c>
      <c r="D661" s="22"/>
      <c r="E661" s="22"/>
      <c r="F661" s="23"/>
      <c r="G661" s="24" t="str">
        <f>IF($D661="","",IFERROR(INDEX(Einstellungen!$B$4:$B$40,MATCH($D661,Einstellungen!$A$4:$A$40,0)),"?"))</f>
        <v/>
      </c>
      <c r="H661" s="22"/>
      <c r="I661" s="25" t="str">
        <f t="shared" si="32"/>
        <v/>
      </c>
    </row>
    <row r="662" spans="1:9" ht="15" customHeight="1" x14ac:dyDescent="0.25">
      <c r="A662" s="26"/>
      <c r="B662" s="17" t="str">
        <f t="shared" si="30"/>
        <v/>
      </c>
      <c r="C662" s="17" t="str">
        <f t="shared" si="31"/>
        <v/>
      </c>
      <c r="D662" s="27"/>
      <c r="E662" s="27"/>
      <c r="F662" s="28"/>
      <c r="G662" s="14" t="str">
        <f>IF($D662="","",IFERROR(INDEX(Einstellungen!$B$4:$B$40,MATCH($D662,Einstellungen!$A$4:$A$40,0)),"?"))</f>
        <v/>
      </c>
      <c r="H662" s="27"/>
      <c r="I662" s="11" t="str">
        <f t="shared" si="32"/>
        <v/>
      </c>
    </row>
    <row r="663" spans="1:9" ht="15" customHeight="1" x14ac:dyDescent="0.25">
      <c r="A663" s="20"/>
      <c r="B663" s="21" t="str">
        <f t="shared" si="30"/>
        <v/>
      </c>
      <c r="C663" s="21" t="str">
        <f t="shared" si="31"/>
        <v/>
      </c>
      <c r="D663" s="22"/>
      <c r="E663" s="22"/>
      <c r="F663" s="23"/>
      <c r="G663" s="24" t="str">
        <f>IF($D663="","",IFERROR(INDEX(Einstellungen!$B$4:$B$40,MATCH($D663,Einstellungen!$A$4:$A$40,0)),"?"))</f>
        <v/>
      </c>
      <c r="H663" s="22"/>
      <c r="I663" s="25" t="str">
        <f t="shared" si="32"/>
        <v/>
      </c>
    </row>
    <row r="664" spans="1:9" ht="15" customHeight="1" x14ac:dyDescent="0.25">
      <c r="A664" s="26"/>
      <c r="B664" s="17" t="str">
        <f t="shared" si="30"/>
        <v/>
      </c>
      <c r="C664" s="17" t="str">
        <f t="shared" si="31"/>
        <v/>
      </c>
      <c r="D664" s="27"/>
      <c r="E664" s="27"/>
      <c r="F664" s="28"/>
      <c r="G664" s="14" t="str">
        <f>IF($D664="","",IFERROR(INDEX(Einstellungen!$B$4:$B$40,MATCH($D664,Einstellungen!$A$4:$A$40,0)),"?"))</f>
        <v/>
      </c>
      <c r="H664" s="27"/>
      <c r="I664" s="11" t="str">
        <f t="shared" si="32"/>
        <v/>
      </c>
    </row>
    <row r="665" spans="1:9" ht="15" customHeight="1" x14ac:dyDescent="0.25">
      <c r="A665" s="20"/>
      <c r="B665" s="21" t="str">
        <f t="shared" si="30"/>
        <v/>
      </c>
      <c r="C665" s="21" t="str">
        <f t="shared" si="31"/>
        <v/>
      </c>
      <c r="D665" s="22"/>
      <c r="E665" s="22"/>
      <c r="F665" s="23"/>
      <c r="G665" s="24" t="str">
        <f>IF($D665="","",IFERROR(INDEX(Einstellungen!$B$4:$B$40,MATCH($D665,Einstellungen!$A$4:$A$40,0)),"?"))</f>
        <v/>
      </c>
      <c r="H665" s="22"/>
      <c r="I665" s="25" t="str">
        <f t="shared" si="32"/>
        <v/>
      </c>
    </row>
    <row r="666" spans="1:9" ht="15" customHeight="1" x14ac:dyDescent="0.25">
      <c r="A666" s="26"/>
      <c r="B666" s="17" t="str">
        <f t="shared" si="30"/>
        <v/>
      </c>
      <c r="C666" s="17" t="str">
        <f t="shared" si="31"/>
        <v/>
      </c>
      <c r="D666" s="27"/>
      <c r="E666" s="27"/>
      <c r="F666" s="28"/>
      <c r="G666" s="14" t="str">
        <f>IF($D666="","",IFERROR(INDEX(Einstellungen!$B$4:$B$40,MATCH($D666,Einstellungen!$A$4:$A$40,0)),"?"))</f>
        <v/>
      </c>
      <c r="H666" s="27"/>
      <c r="I666" s="11" t="str">
        <f t="shared" si="32"/>
        <v/>
      </c>
    </row>
    <row r="667" spans="1:9" ht="15" customHeight="1" x14ac:dyDescent="0.25">
      <c r="A667" s="20"/>
      <c r="B667" s="21" t="str">
        <f t="shared" si="30"/>
        <v/>
      </c>
      <c r="C667" s="21" t="str">
        <f t="shared" si="31"/>
        <v/>
      </c>
      <c r="D667" s="22"/>
      <c r="E667" s="22"/>
      <c r="F667" s="23"/>
      <c r="G667" s="24" t="str">
        <f>IF($D667="","",IFERROR(INDEX(Einstellungen!$B$4:$B$40,MATCH($D667,Einstellungen!$A$4:$A$40,0)),"?"))</f>
        <v/>
      </c>
      <c r="H667" s="22"/>
      <c r="I667" s="25" t="str">
        <f t="shared" si="32"/>
        <v/>
      </c>
    </row>
    <row r="668" spans="1:9" ht="15" customHeight="1" x14ac:dyDescent="0.25">
      <c r="A668" s="26"/>
      <c r="B668" s="17" t="str">
        <f t="shared" si="30"/>
        <v/>
      </c>
      <c r="C668" s="17" t="str">
        <f t="shared" si="31"/>
        <v/>
      </c>
      <c r="D668" s="27"/>
      <c r="E668" s="27"/>
      <c r="F668" s="28"/>
      <c r="G668" s="14" t="str">
        <f>IF($D668="","",IFERROR(INDEX(Einstellungen!$B$4:$B$40,MATCH($D668,Einstellungen!$A$4:$A$40,0)),"?"))</f>
        <v/>
      </c>
      <c r="H668" s="27"/>
      <c r="I668" s="11" t="str">
        <f t="shared" si="32"/>
        <v/>
      </c>
    </row>
    <row r="669" spans="1:9" ht="15" customHeight="1" x14ac:dyDescent="0.25">
      <c r="A669" s="20"/>
      <c r="B669" s="21" t="str">
        <f t="shared" si="30"/>
        <v/>
      </c>
      <c r="C669" s="21" t="str">
        <f t="shared" si="31"/>
        <v/>
      </c>
      <c r="D669" s="22"/>
      <c r="E669" s="22"/>
      <c r="F669" s="23"/>
      <c r="G669" s="24" t="str">
        <f>IF($D669="","",IFERROR(INDEX(Einstellungen!$B$4:$B$40,MATCH($D669,Einstellungen!$A$4:$A$40,0)),"?"))</f>
        <v/>
      </c>
      <c r="H669" s="22"/>
      <c r="I669" s="25" t="str">
        <f t="shared" si="32"/>
        <v/>
      </c>
    </row>
    <row r="670" spans="1:9" ht="15" customHeight="1" x14ac:dyDescent="0.25">
      <c r="A670" s="26"/>
      <c r="B670" s="17" t="str">
        <f t="shared" si="30"/>
        <v/>
      </c>
      <c r="C670" s="17" t="str">
        <f t="shared" si="31"/>
        <v/>
      </c>
      <c r="D670" s="27"/>
      <c r="E670" s="27"/>
      <c r="F670" s="28"/>
      <c r="G670" s="14" t="str">
        <f>IF($D670="","",IFERROR(INDEX(Einstellungen!$B$4:$B$40,MATCH($D670,Einstellungen!$A$4:$A$40,0)),"?"))</f>
        <v/>
      </c>
      <c r="H670" s="27"/>
      <c r="I670" s="11" t="str">
        <f t="shared" si="32"/>
        <v/>
      </c>
    </row>
    <row r="671" spans="1:9" ht="15" customHeight="1" x14ac:dyDescent="0.25">
      <c r="A671" s="20"/>
      <c r="B671" s="21" t="str">
        <f t="shared" si="30"/>
        <v/>
      </c>
      <c r="C671" s="21" t="str">
        <f t="shared" si="31"/>
        <v/>
      </c>
      <c r="D671" s="22"/>
      <c r="E671" s="22"/>
      <c r="F671" s="23"/>
      <c r="G671" s="24" t="str">
        <f>IF($D671="","",IFERROR(INDEX(Einstellungen!$B$4:$B$40,MATCH($D671,Einstellungen!$A$4:$A$40,0)),"?"))</f>
        <v/>
      </c>
      <c r="H671" s="22"/>
      <c r="I671" s="25" t="str">
        <f t="shared" si="32"/>
        <v/>
      </c>
    </row>
    <row r="672" spans="1:9" ht="15" customHeight="1" x14ac:dyDescent="0.25">
      <c r="A672" s="26"/>
      <c r="B672" s="17" t="str">
        <f t="shared" si="30"/>
        <v/>
      </c>
      <c r="C672" s="17" t="str">
        <f t="shared" si="31"/>
        <v/>
      </c>
      <c r="D672" s="27"/>
      <c r="E672" s="27"/>
      <c r="F672" s="28"/>
      <c r="G672" s="14" t="str">
        <f>IF($D672="","",IFERROR(INDEX(Einstellungen!$B$4:$B$40,MATCH($D672,Einstellungen!$A$4:$A$40,0)),"?"))</f>
        <v/>
      </c>
      <c r="H672" s="27"/>
      <c r="I672" s="11" t="str">
        <f t="shared" si="32"/>
        <v/>
      </c>
    </row>
    <row r="673" spans="1:9" ht="15" customHeight="1" x14ac:dyDescent="0.25">
      <c r="A673" s="20"/>
      <c r="B673" s="21" t="str">
        <f t="shared" si="30"/>
        <v/>
      </c>
      <c r="C673" s="21" t="str">
        <f t="shared" si="31"/>
        <v/>
      </c>
      <c r="D673" s="22"/>
      <c r="E673" s="22"/>
      <c r="F673" s="23"/>
      <c r="G673" s="24" t="str">
        <f>IF($D673="","",IFERROR(INDEX(Einstellungen!$B$4:$B$40,MATCH($D673,Einstellungen!$A$4:$A$40,0)),"?"))</f>
        <v/>
      </c>
      <c r="H673" s="22"/>
      <c r="I673" s="25" t="str">
        <f t="shared" si="32"/>
        <v/>
      </c>
    </row>
    <row r="674" spans="1:9" ht="15" customHeight="1" x14ac:dyDescent="0.25">
      <c r="A674" s="26"/>
      <c r="B674" s="17" t="str">
        <f t="shared" si="30"/>
        <v/>
      </c>
      <c r="C674" s="17" t="str">
        <f t="shared" si="31"/>
        <v/>
      </c>
      <c r="D674" s="27"/>
      <c r="E674" s="27"/>
      <c r="F674" s="28"/>
      <c r="G674" s="14" t="str">
        <f>IF($D674="","",IFERROR(INDEX(Einstellungen!$B$4:$B$40,MATCH($D674,Einstellungen!$A$4:$A$40,0)),"?"))</f>
        <v/>
      </c>
      <c r="H674" s="27"/>
      <c r="I674" s="11" t="str">
        <f t="shared" si="32"/>
        <v/>
      </c>
    </row>
    <row r="675" spans="1:9" ht="15" customHeight="1" x14ac:dyDescent="0.25">
      <c r="A675" s="20"/>
      <c r="B675" s="21" t="str">
        <f t="shared" si="30"/>
        <v/>
      </c>
      <c r="C675" s="21" t="str">
        <f t="shared" si="31"/>
        <v/>
      </c>
      <c r="D675" s="22"/>
      <c r="E675" s="22"/>
      <c r="F675" s="23"/>
      <c r="G675" s="24" t="str">
        <f>IF($D675="","",IFERROR(INDEX(Einstellungen!$B$4:$B$40,MATCH($D675,Einstellungen!$A$4:$A$40,0)),"?"))</f>
        <v/>
      </c>
      <c r="H675" s="22"/>
      <c r="I675" s="25" t="str">
        <f t="shared" si="32"/>
        <v/>
      </c>
    </row>
    <row r="676" spans="1:9" ht="15" customHeight="1" x14ac:dyDescent="0.25">
      <c r="A676" s="26"/>
      <c r="B676" s="17" t="str">
        <f t="shared" si="30"/>
        <v/>
      </c>
      <c r="C676" s="17" t="str">
        <f t="shared" si="31"/>
        <v/>
      </c>
      <c r="D676" s="27"/>
      <c r="E676" s="27"/>
      <c r="F676" s="28"/>
      <c r="G676" s="14" t="str">
        <f>IF($D676="","",IFERROR(INDEX(Einstellungen!$B$4:$B$40,MATCH($D676,Einstellungen!$A$4:$A$40,0)),"?"))</f>
        <v/>
      </c>
      <c r="H676" s="27"/>
      <c r="I676" s="11" t="str">
        <f t="shared" si="32"/>
        <v/>
      </c>
    </row>
    <row r="677" spans="1:9" ht="15" customHeight="1" x14ac:dyDescent="0.25">
      <c r="A677" s="20"/>
      <c r="B677" s="21" t="str">
        <f t="shared" si="30"/>
        <v/>
      </c>
      <c r="C677" s="21" t="str">
        <f t="shared" si="31"/>
        <v/>
      </c>
      <c r="D677" s="22"/>
      <c r="E677" s="22"/>
      <c r="F677" s="23"/>
      <c r="G677" s="24" t="str">
        <f>IF($D677="","",IFERROR(INDEX(Einstellungen!$B$4:$B$40,MATCH($D677,Einstellungen!$A$4:$A$40,0)),"?"))</f>
        <v/>
      </c>
      <c r="H677" s="22"/>
      <c r="I677" s="25" t="str">
        <f t="shared" si="32"/>
        <v/>
      </c>
    </row>
    <row r="678" spans="1:9" ht="15" customHeight="1" x14ac:dyDescent="0.25">
      <c r="A678" s="26"/>
      <c r="B678" s="17" t="str">
        <f t="shared" si="30"/>
        <v/>
      </c>
      <c r="C678" s="17" t="str">
        <f t="shared" si="31"/>
        <v/>
      </c>
      <c r="D678" s="27"/>
      <c r="E678" s="27"/>
      <c r="F678" s="28"/>
      <c r="G678" s="14" t="str">
        <f>IF($D678="","",IFERROR(INDEX(Einstellungen!$B$4:$B$40,MATCH($D678,Einstellungen!$A$4:$A$40,0)),"?"))</f>
        <v/>
      </c>
      <c r="H678" s="27"/>
      <c r="I678" s="11" t="str">
        <f t="shared" si="32"/>
        <v/>
      </c>
    </row>
    <row r="679" spans="1:9" ht="15" customHeight="1" x14ac:dyDescent="0.25">
      <c r="A679" s="20"/>
      <c r="B679" s="21" t="str">
        <f t="shared" si="30"/>
        <v/>
      </c>
      <c r="C679" s="21" t="str">
        <f t="shared" si="31"/>
        <v/>
      </c>
      <c r="D679" s="22"/>
      <c r="E679" s="22"/>
      <c r="F679" s="23"/>
      <c r="G679" s="24" t="str">
        <f>IF($D679="","",IFERROR(INDEX(Einstellungen!$B$4:$B$40,MATCH($D679,Einstellungen!$A$4:$A$40,0)),"?"))</f>
        <v/>
      </c>
      <c r="H679" s="22"/>
      <c r="I679" s="25" t="str">
        <f t="shared" si="32"/>
        <v/>
      </c>
    </row>
    <row r="680" spans="1:9" ht="15" customHeight="1" x14ac:dyDescent="0.25">
      <c r="A680" s="26"/>
      <c r="B680" s="17" t="str">
        <f t="shared" si="30"/>
        <v/>
      </c>
      <c r="C680" s="17" t="str">
        <f t="shared" si="31"/>
        <v/>
      </c>
      <c r="D680" s="27"/>
      <c r="E680" s="27"/>
      <c r="F680" s="28"/>
      <c r="G680" s="14" t="str">
        <f>IF($D680="","",IFERROR(INDEX(Einstellungen!$B$4:$B$40,MATCH($D680,Einstellungen!$A$4:$A$40,0)),"?"))</f>
        <v/>
      </c>
      <c r="H680" s="27"/>
      <c r="I680" s="11" t="str">
        <f t="shared" si="32"/>
        <v/>
      </c>
    </row>
    <row r="681" spans="1:9" ht="15" customHeight="1" x14ac:dyDescent="0.25">
      <c r="A681" s="20"/>
      <c r="B681" s="21" t="str">
        <f t="shared" si="30"/>
        <v/>
      </c>
      <c r="C681" s="21" t="str">
        <f t="shared" si="31"/>
        <v/>
      </c>
      <c r="D681" s="22"/>
      <c r="E681" s="22"/>
      <c r="F681" s="23"/>
      <c r="G681" s="24" t="str">
        <f>IF($D681="","",IFERROR(INDEX(Einstellungen!$B$4:$B$40,MATCH($D681,Einstellungen!$A$4:$A$40,0)),"?"))</f>
        <v/>
      </c>
      <c r="H681" s="22"/>
      <c r="I681" s="25" t="str">
        <f t="shared" si="32"/>
        <v/>
      </c>
    </row>
    <row r="682" spans="1:9" ht="15" customHeight="1" x14ac:dyDescent="0.25">
      <c r="A682" s="26"/>
      <c r="B682" s="17" t="str">
        <f t="shared" si="30"/>
        <v/>
      </c>
      <c r="C682" s="17" t="str">
        <f t="shared" si="31"/>
        <v/>
      </c>
      <c r="D682" s="27"/>
      <c r="E682" s="27"/>
      <c r="F682" s="28"/>
      <c r="G682" s="14" t="str">
        <f>IF($D682="","",IFERROR(INDEX(Einstellungen!$B$4:$B$40,MATCH($D682,Einstellungen!$A$4:$A$40,0)),"?"))</f>
        <v/>
      </c>
      <c r="H682" s="27"/>
      <c r="I682" s="11" t="str">
        <f t="shared" si="32"/>
        <v/>
      </c>
    </row>
    <row r="683" spans="1:9" ht="15" customHeight="1" x14ac:dyDescent="0.25">
      <c r="A683" s="20"/>
      <c r="B683" s="21" t="str">
        <f t="shared" si="30"/>
        <v/>
      </c>
      <c r="C683" s="21" t="str">
        <f t="shared" si="31"/>
        <v/>
      </c>
      <c r="D683" s="22"/>
      <c r="E683" s="22"/>
      <c r="F683" s="23"/>
      <c r="G683" s="24" t="str">
        <f>IF($D683="","",IFERROR(INDEX(Einstellungen!$B$4:$B$40,MATCH($D683,Einstellungen!$A$4:$A$40,0)),"?"))</f>
        <v/>
      </c>
      <c r="H683" s="22"/>
      <c r="I683" s="25" t="str">
        <f t="shared" si="32"/>
        <v/>
      </c>
    </row>
    <row r="684" spans="1:9" ht="15" customHeight="1" x14ac:dyDescent="0.25">
      <c r="A684" s="26"/>
      <c r="B684" s="17" t="str">
        <f t="shared" si="30"/>
        <v/>
      </c>
      <c r="C684" s="17" t="str">
        <f t="shared" si="31"/>
        <v/>
      </c>
      <c r="D684" s="27"/>
      <c r="E684" s="27"/>
      <c r="F684" s="28"/>
      <c r="G684" s="14" t="str">
        <f>IF($D684="","",IFERROR(INDEX(Einstellungen!$B$4:$B$40,MATCH($D684,Einstellungen!$A$4:$A$40,0)),"?"))</f>
        <v/>
      </c>
      <c r="H684" s="27"/>
      <c r="I684" s="11" t="str">
        <f t="shared" si="32"/>
        <v/>
      </c>
    </row>
    <row r="685" spans="1:9" ht="15" customHeight="1" x14ac:dyDescent="0.25">
      <c r="A685" s="20"/>
      <c r="B685" s="21" t="str">
        <f t="shared" si="30"/>
        <v/>
      </c>
      <c r="C685" s="21" t="str">
        <f t="shared" si="31"/>
        <v/>
      </c>
      <c r="D685" s="22"/>
      <c r="E685" s="22"/>
      <c r="F685" s="23"/>
      <c r="G685" s="24" t="str">
        <f>IF($D685="","",IFERROR(INDEX(Einstellungen!$B$4:$B$40,MATCH($D685,Einstellungen!$A$4:$A$40,0)),"?"))</f>
        <v/>
      </c>
      <c r="H685" s="22"/>
      <c r="I685" s="25" t="str">
        <f t="shared" si="32"/>
        <v/>
      </c>
    </row>
    <row r="686" spans="1:9" ht="15" customHeight="1" x14ac:dyDescent="0.25">
      <c r="A686" s="26"/>
      <c r="B686" s="17" t="str">
        <f t="shared" si="30"/>
        <v/>
      </c>
      <c r="C686" s="17" t="str">
        <f t="shared" si="31"/>
        <v/>
      </c>
      <c r="D686" s="27"/>
      <c r="E686" s="27"/>
      <c r="F686" s="28"/>
      <c r="G686" s="14" t="str">
        <f>IF($D686="","",IFERROR(INDEX(Einstellungen!$B$4:$B$40,MATCH($D686,Einstellungen!$A$4:$A$40,0)),"?"))</f>
        <v/>
      </c>
      <c r="H686" s="27"/>
      <c r="I686" s="11" t="str">
        <f t="shared" si="32"/>
        <v/>
      </c>
    </row>
    <row r="687" spans="1:9" ht="15" customHeight="1" x14ac:dyDescent="0.25">
      <c r="A687" s="20"/>
      <c r="B687" s="21" t="str">
        <f t="shared" si="30"/>
        <v/>
      </c>
      <c r="C687" s="21" t="str">
        <f t="shared" si="31"/>
        <v/>
      </c>
      <c r="D687" s="22"/>
      <c r="E687" s="22"/>
      <c r="F687" s="23"/>
      <c r="G687" s="24" t="str">
        <f>IF($D687="","",IFERROR(INDEX(Einstellungen!$B$4:$B$40,MATCH($D687,Einstellungen!$A$4:$A$40,0)),"?"))</f>
        <v/>
      </c>
      <c r="H687" s="22"/>
      <c r="I687" s="25" t="str">
        <f t="shared" si="32"/>
        <v/>
      </c>
    </row>
    <row r="688" spans="1:9" ht="15" customHeight="1" x14ac:dyDescent="0.25">
      <c r="A688" s="26"/>
      <c r="B688" s="17" t="str">
        <f t="shared" si="30"/>
        <v/>
      </c>
      <c r="C688" s="17" t="str">
        <f t="shared" si="31"/>
        <v/>
      </c>
      <c r="D688" s="27"/>
      <c r="E688" s="27"/>
      <c r="F688" s="28"/>
      <c r="G688" s="14" t="str">
        <f>IF($D688="","",IFERROR(INDEX(Einstellungen!$B$4:$B$40,MATCH($D688,Einstellungen!$A$4:$A$40,0)),"?"))</f>
        <v/>
      </c>
      <c r="H688" s="27"/>
      <c r="I688" s="11" t="str">
        <f t="shared" si="32"/>
        <v/>
      </c>
    </row>
    <row r="689" spans="1:9" ht="15" customHeight="1" x14ac:dyDescent="0.25">
      <c r="A689" s="20"/>
      <c r="B689" s="21" t="str">
        <f t="shared" si="30"/>
        <v/>
      </c>
      <c r="C689" s="21" t="str">
        <f t="shared" si="31"/>
        <v/>
      </c>
      <c r="D689" s="22"/>
      <c r="E689" s="22"/>
      <c r="F689" s="23"/>
      <c r="G689" s="24" t="str">
        <f>IF($D689="","",IFERROR(INDEX(Einstellungen!$B$4:$B$40,MATCH($D689,Einstellungen!$A$4:$A$40,0)),"?"))</f>
        <v/>
      </c>
      <c r="H689" s="22"/>
      <c r="I689" s="25" t="str">
        <f t="shared" si="32"/>
        <v/>
      </c>
    </row>
    <row r="690" spans="1:9" ht="15" customHeight="1" x14ac:dyDescent="0.25">
      <c r="A690" s="26"/>
      <c r="B690" s="17" t="str">
        <f t="shared" si="30"/>
        <v/>
      </c>
      <c r="C690" s="17" t="str">
        <f t="shared" si="31"/>
        <v/>
      </c>
      <c r="D690" s="27"/>
      <c r="E690" s="27"/>
      <c r="F690" s="28"/>
      <c r="G690" s="14" t="str">
        <f>IF($D690="","",IFERROR(INDEX(Einstellungen!$B$4:$B$40,MATCH($D690,Einstellungen!$A$4:$A$40,0)),"?"))</f>
        <v/>
      </c>
      <c r="H690" s="27"/>
      <c r="I690" s="11" t="str">
        <f t="shared" si="32"/>
        <v/>
      </c>
    </row>
    <row r="691" spans="1:9" ht="15" customHeight="1" x14ac:dyDescent="0.25">
      <c r="A691" s="20"/>
      <c r="B691" s="21" t="str">
        <f t="shared" si="30"/>
        <v/>
      </c>
      <c r="C691" s="21" t="str">
        <f t="shared" si="31"/>
        <v/>
      </c>
      <c r="D691" s="22"/>
      <c r="E691" s="22"/>
      <c r="F691" s="23"/>
      <c r="G691" s="24" t="str">
        <f>IF($D691="","",IFERROR(INDEX(Einstellungen!$B$4:$B$40,MATCH($D691,Einstellungen!$A$4:$A$40,0)),"?"))</f>
        <v/>
      </c>
      <c r="H691" s="22"/>
      <c r="I691" s="25" t="str">
        <f t="shared" si="32"/>
        <v/>
      </c>
    </row>
    <row r="692" spans="1:9" ht="15" customHeight="1" x14ac:dyDescent="0.25">
      <c r="A692" s="26"/>
      <c r="B692" s="17" t="str">
        <f t="shared" si="30"/>
        <v/>
      </c>
      <c r="C692" s="17" t="str">
        <f t="shared" si="31"/>
        <v/>
      </c>
      <c r="D692" s="27"/>
      <c r="E692" s="27"/>
      <c r="F692" s="28"/>
      <c r="G692" s="14" t="str">
        <f>IF($D692="","",IFERROR(INDEX(Einstellungen!$B$4:$B$40,MATCH($D692,Einstellungen!$A$4:$A$40,0)),"?"))</f>
        <v/>
      </c>
      <c r="H692" s="27"/>
      <c r="I692" s="11" t="str">
        <f t="shared" si="32"/>
        <v/>
      </c>
    </row>
    <row r="693" spans="1:9" ht="15" customHeight="1" x14ac:dyDescent="0.25">
      <c r="A693" s="20"/>
      <c r="B693" s="21" t="str">
        <f t="shared" si="30"/>
        <v/>
      </c>
      <c r="C693" s="21" t="str">
        <f t="shared" si="31"/>
        <v/>
      </c>
      <c r="D693" s="22"/>
      <c r="E693" s="22"/>
      <c r="F693" s="23"/>
      <c r="G693" s="24" t="str">
        <f>IF($D693="","",IFERROR(INDEX(Einstellungen!$B$4:$B$40,MATCH($D693,Einstellungen!$A$4:$A$40,0)),"?"))</f>
        <v/>
      </c>
      <c r="H693" s="22"/>
      <c r="I693" s="25" t="str">
        <f t="shared" si="32"/>
        <v/>
      </c>
    </row>
    <row r="694" spans="1:9" ht="15" customHeight="1" x14ac:dyDescent="0.25">
      <c r="A694" s="26"/>
      <c r="B694" s="17" t="str">
        <f t="shared" si="30"/>
        <v/>
      </c>
      <c r="C694" s="17" t="str">
        <f t="shared" si="31"/>
        <v/>
      </c>
      <c r="D694" s="27"/>
      <c r="E694" s="27"/>
      <c r="F694" s="28"/>
      <c r="G694" s="14" t="str">
        <f>IF($D694="","",IFERROR(INDEX(Einstellungen!$B$4:$B$40,MATCH($D694,Einstellungen!$A$4:$A$40,0)),"?"))</f>
        <v/>
      </c>
      <c r="H694" s="27"/>
      <c r="I694" s="11" t="str">
        <f t="shared" si="32"/>
        <v/>
      </c>
    </row>
    <row r="695" spans="1:9" ht="15" customHeight="1" x14ac:dyDescent="0.25">
      <c r="A695" s="20"/>
      <c r="B695" s="21" t="str">
        <f t="shared" si="30"/>
        <v/>
      </c>
      <c r="C695" s="21" t="str">
        <f t="shared" si="31"/>
        <v/>
      </c>
      <c r="D695" s="22"/>
      <c r="E695" s="22"/>
      <c r="F695" s="23"/>
      <c r="G695" s="24" t="str">
        <f>IF($D695="","",IFERROR(INDEX(Einstellungen!$B$4:$B$40,MATCH($D695,Einstellungen!$A$4:$A$40,0)),"?"))</f>
        <v/>
      </c>
      <c r="H695" s="22"/>
      <c r="I695" s="25" t="str">
        <f t="shared" si="32"/>
        <v/>
      </c>
    </row>
    <row r="696" spans="1:9" ht="15" customHeight="1" x14ac:dyDescent="0.25">
      <c r="A696" s="26"/>
      <c r="B696" s="17" t="str">
        <f t="shared" si="30"/>
        <v/>
      </c>
      <c r="C696" s="17" t="str">
        <f t="shared" si="31"/>
        <v/>
      </c>
      <c r="D696" s="27"/>
      <c r="E696" s="27"/>
      <c r="F696" s="28"/>
      <c r="G696" s="14" t="str">
        <f>IF($D696="","",IFERROR(INDEX(Einstellungen!$B$4:$B$40,MATCH($D696,Einstellungen!$A$4:$A$40,0)),"?"))</f>
        <v/>
      </c>
      <c r="H696" s="27"/>
      <c r="I696" s="11" t="str">
        <f t="shared" si="32"/>
        <v/>
      </c>
    </row>
    <row r="697" spans="1:9" ht="15" customHeight="1" x14ac:dyDescent="0.25">
      <c r="A697" s="20"/>
      <c r="B697" s="21" t="str">
        <f t="shared" si="30"/>
        <v/>
      </c>
      <c r="C697" s="21" t="str">
        <f t="shared" si="31"/>
        <v/>
      </c>
      <c r="D697" s="22"/>
      <c r="E697" s="22"/>
      <c r="F697" s="23"/>
      <c r="G697" s="24" t="str">
        <f>IF($D697="","",IFERROR(INDEX(Einstellungen!$B$4:$B$40,MATCH($D697,Einstellungen!$A$4:$A$40,0)),"?"))</f>
        <v/>
      </c>
      <c r="H697" s="22"/>
      <c r="I697" s="25" t="str">
        <f t="shared" si="32"/>
        <v/>
      </c>
    </row>
    <row r="698" spans="1:9" ht="15" customHeight="1" x14ac:dyDescent="0.25">
      <c r="A698" s="26"/>
      <c r="B698" s="17" t="str">
        <f t="shared" si="30"/>
        <v/>
      </c>
      <c r="C698" s="17" t="str">
        <f t="shared" si="31"/>
        <v/>
      </c>
      <c r="D698" s="27"/>
      <c r="E698" s="27"/>
      <c r="F698" s="28"/>
      <c r="G698" s="14" t="str">
        <f>IF($D698="","",IFERROR(INDEX(Einstellungen!$B$4:$B$40,MATCH($D698,Einstellungen!$A$4:$A$40,0)),"?"))</f>
        <v/>
      </c>
      <c r="H698" s="27"/>
      <c r="I698" s="11" t="str">
        <f t="shared" si="32"/>
        <v/>
      </c>
    </row>
    <row r="699" spans="1:9" ht="15" customHeight="1" x14ac:dyDescent="0.25">
      <c r="A699" s="20"/>
      <c r="B699" s="21" t="str">
        <f t="shared" si="30"/>
        <v/>
      </c>
      <c r="C699" s="21" t="str">
        <f t="shared" si="31"/>
        <v/>
      </c>
      <c r="D699" s="22"/>
      <c r="E699" s="22"/>
      <c r="F699" s="23"/>
      <c r="G699" s="24" t="str">
        <f>IF($D699="","",IFERROR(INDEX(Einstellungen!$B$4:$B$40,MATCH($D699,Einstellungen!$A$4:$A$40,0)),"?"))</f>
        <v/>
      </c>
      <c r="H699" s="22"/>
      <c r="I699" s="25" t="str">
        <f t="shared" si="32"/>
        <v/>
      </c>
    </row>
    <row r="700" spans="1:9" ht="15" customHeight="1" x14ac:dyDescent="0.25">
      <c r="A700" s="26"/>
      <c r="B700" s="17" t="str">
        <f t="shared" si="30"/>
        <v/>
      </c>
      <c r="C700" s="17" t="str">
        <f t="shared" si="31"/>
        <v/>
      </c>
      <c r="D700" s="27"/>
      <c r="E700" s="27"/>
      <c r="F700" s="28"/>
      <c r="G700" s="14" t="str">
        <f>IF($D700="","",IFERROR(INDEX(Einstellungen!$B$4:$B$40,MATCH($D700,Einstellungen!$A$4:$A$40,0)),"?"))</f>
        <v/>
      </c>
      <c r="H700" s="27"/>
      <c r="I700" s="11" t="str">
        <f t="shared" si="32"/>
        <v/>
      </c>
    </row>
    <row r="701" spans="1:9" ht="15" customHeight="1" x14ac:dyDescent="0.25">
      <c r="A701" s="20"/>
      <c r="B701" s="21" t="str">
        <f t="shared" si="30"/>
        <v/>
      </c>
      <c r="C701" s="21" t="str">
        <f t="shared" si="31"/>
        <v/>
      </c>
      <c r="D701" s="22"/>
      <c r="E701" s="22"/>
      <c r="F701" s="23"/>
      <c r="G701" s="24" t="str">
        <f>IF($D701="","",IFERROR(INDEX(Einstellungen!$B$4:$B$40,MATCH($D701,Einstellungen!$A$4:$A$40,0)),"?"))</f>
        <v/>
      </c>
      <c r="H701" s="22"/>
      <c r="I701" s="25" t="str">
        <f t="shared" si="32"/>
        <v/>
      </c>
    </row>
    <row r="702" spans="1:9" ht="15" customHeight="1" x14ac:dyDescent="0.25">
      <c r="A702" s="26"/>
      <c r="B702" s="17" t="str">
        <f t="shared" si="30"/>
        <v/>
      </c>
      <c r="C702" s="17" t="str">
        <f t="shared" si="31"/>
        <v/>
      </c>
      <c r="D702" s="27"/>
      <c r="E702" s="27"/>
      <c r="F702" s="28"/>
      <c r="G702" s="14" t="str">
        <f>IF($D702="","",IFERROR(INDEX(Einstellungen!$B$4:$B$40,MATCH($D702,Einstellungen!$A$4:$A$40,0)),"?"))</f>
        <v/>
      </c>
      <c r="H702" s="27"/>
      <c r="I702" s="11" t="str">
        <f t="shared" si="32"/>
        <v/>
      </c>
    </row>
    <row r="703" spans="1:9" ht="15" customHeight="1" x14ac:dyDescent="0.25">
      <c r="A703" s="20"/>
      <c r="B703" s="21" t="str">
        <f t="shared" si="30"/>
        <v/>
      </c>
      <c r="C703" s="21" t="str">
        <f t="shared" si="31"/>
        <v/>
      </c>
      <c r="D703" s="22"/>
      <c r="E703" s="22"/>
      <c r="F703" s="23"/>
      <c r="G703" s="24" t="str">
        <f>IF($D703="","",IFERROR(INDEX(Einstellungen!$B$4:$B$40,MATCH($D703,Einstellungen!$A$4:$A$40,0)),"?"))</f>
        <v/>
      </c>
      <c r="H703" s="22"/>
      <c r="I703" s="25" t="str">
        <f t="shared" si="32"/>
        <v/>
      </c>
    </row>
    <row r="704" spans="1:9" ht="15" customHeight="1" x14ac:dyDescent="0.25">
      <c r="A704" s="26"/>
      <c r="B704" s="17" t="str">
        <f t="shared" si="30"/>
        <v/>
      </c>
      <c r="C704" s="17" t="str">
        <f t="shared" si="31"/>
        <v/>
      </c>
      <c r="D704" s="27"/>
      <c r="E704" s="27"/>
      <c r="F704" s="28"/>
      <c r="G704" s="14" t="str">
        <f>IF($D704="","",IFERROR(INDEX(Einstellungen!$B$4:$B$40,MATCH($D704,Einstellungen!$A$4:$A$40,0)),"?"))</f>
        <v/>
      </c>
      <c r="H704" s="27"/>
      <c r="I704" s="11" t="str">
        <f t="shared" si="32"/>
        <v/>
      </c>
    </row>
    <row r="705" spans="1:9" ht="15" customHeight="1" x14ac:dyDescent="0.25">
      <c r="A705" s="20"/>
      <c r="B705" s="21" t="str">
        <f t="shared" si="30"/>
        <v/>
      </c>
      <c r="C705" s="21" t="str">
        <f t="shared" si="31"/>
        <v/>
      </c>
      <c r="D705" s="22"/>
      <c r="E705" s="22"/>
      <c r="F705" s="23"/>
      <c r="G705" s="24" t="str">
        <f>IF($D705="","",IFERROR(INDEX(Einstellungen!$B$4:$B$40,MATCH($D705,Einstellungen!$A$4:$A$40,0)),"?"))</f>
        <v/>
      </c>
      <c r="H705" s="22"/>
      <c r="I705" s="25" t="str">
        <f t="shared" si="32"/>
        <v/>
      </c>
    </row>
    <row r="706" spans="1:9" ht="15" customHeight="1" x14ac:dyDescent="0.25">
      <c r="A706" s="26"/>
      <c r="B706" s="17" t="str">
        <f t="shared" si="30"/>
        <v/>
      </c>
      <c r="C706" s="17" t="str">
        <f t="shared" si="31"/>
        <v/>
      </c>
      <c r="D706" s="27"/>
      <c r="E706" s="27"/>
      <c r="F706" s="28"/>
      <c r="G706" s="14" t="str">
        <f>IF($D706="","",IFERROR(INDEX(Einstellungen!$B$4:$B$40,MATCH($D706,Einstellungen!$A$4:$A$40,0)),"?"))</f>
        <v/>
      </c>
      <c r="H706" s="27"/>
      <c r="I706" s="11" t="str">
        <f t="shared" si="32"/>
        <v/>
      </c>
    </row>
    <row r="707" spans="1:9" ht="15" customHeight="1" x14ac:dyDescent="0.25">
      <c r="A707" s="20"/>
      <c r="B707" s="21" t="str">
        <f t="shared" si="30"/>
        <v/>
      </c>
      <c r="C707" s="21" t="str">
        <f t="shared" si="31"/>
        <v/>
      </c>
      <c r="D707" s="22"/>
      <c r="E707" s="22"/>
      <c r="F707" s="23"/>
      <c r="G707" s="24" t="str">
        <f>IF($D707="","",IFERROR(INDEX(Einstellungen!$B$4:$B$40,MATCH($D707,Einstellungen!$A$4:$A$40,0)),"?"))</f>
        <v/>
      </c>
      <c r="H707" s="22"/>
      <c r="I707" s="25" t="str">
        <f t="shared" si="32"/>
        <v/>
      </c>
    </row>
    <row r="708" spans="1:9" ht="15" customHeight="1" x14ac:dyDescent="0.25">
      <c r="A708" s="26"/>
      <c r="B708" s="17" t="str">
        <f t="shared" ref="B708:B771" si="33">IF($A708="","",YEAR($A708))</f>
        <v/>
      </c>
      <c r="C708" s="17" t="str">
        <f t="shared" ref="C708:C771" si="34">IF($A708="","",MONTH($A708))</f>
        <v/>
      </c>
      <c r="D708" s="27"/>
      <c r="E708" s="27"/>
      <c r="F708" s="28"/>
      <c r="G708" s="14" t="str">
        <f>IF($D708="","",IFERROR(INDEX(Einstellungen!$B$4:$B$40,MATCH($D708,Einstellungen!$A$4:$A$40,0)),"?"))</f>
        <v/>
      </c>
      <c r="H708" s="27"/>
      <c r="I708" s="11" t="str">
        <f t="shared" ref="I708:I771" si="35">IF($F708="","",IF($G708="Einnahme",$F708,-$F708))</f>
        <v/>
      </c>
    </row>
    <row r="709" spans="1:9" ht="15" customHeight="1" x14ac:dyDescent="0.25">
      <c r="A709" s="20"/>
      <c r="B709" s="21" t="str">
        <f t="shared" si="33"/>
        <v/>
      </c>
      <c r="C709" s="21" t="str">
        <f t="shared" si="34"/>
        <v/>
      </c>
      <c r="D709" s="22"/>
      <c r="E709" s="22"/>
      <c r="F709" s="23"/>
      <c r="G709" s="24" t="str">
        <f>IF($D709="","",IFERROR(INDEX(Einstellungen!$B$4:$B$40,MATCH($D709,Einstellungen!$A$4:$A$40,0)),"?"))</f>
        <v/>
      </c>
      <c r="H709" s="22"/>
      <c r="I709" s="25" t="str">
        <f t="shared" si="35"/>
        <v/>
      </c>
    </row>
    <row r="710" spans="1:9" ht="15" customHeight="1" x14ac:dyDescent="0.25">
      <c r="A710" s="26"/>
      <c r="B710" s="17" t="str">
        <f t="shared" si="33"/>
        <v/>
      </c>
      <c r="C710" s="17" t="str">
        <f t="shared" si="34"/>
        <v/>
      </c>
      <c r="D710" s="27"/>
      <c r="E710" s="27"/>
      <c r="F710" s="28"/>
      <c r="G710" s="14" t="str">
        <f>IF($D710="","",IFERROR(INDEX(Einstellungen!$B$4:$B$40,MATCH($D710,Einstellungen!$A$4:$A$40,0)),"?"))</f>
        <v/>
      </c>
      <c r="H710" s="27"/>
      <c r="I710" s="11" t="str">
        <f t="shared" si="35"/>
        <v/>
      </c>
    </row>
    <row r="711" spans="1:9" ht="15" customHeight="1" x14ac:dyDescent="0.25">
      <c r="A711" s="20"/>
      <c r="B711" s="21" t="str">
        <f t="shared" si="33"/>
        <v/>
      </c>
      <c r="C711" s="21" t="str">
        <f t="shared" si="34"/>
        <v/>
      </c>
      <c r="D711" s="22"/>
      <c r="E711" s="22"/>
      <c r="F711" s="23"/>
      <c r="G711" s="24" t="str">
        <f>IF($D711="","",IFERROR(INDEX(Einstellungen!$B$4:$B$40,MATCH($D711,Einstellungen!$A$4:$A$40,0)),"?"))</f>
        <v/>
      </c>
      <c r="H711" s="22"/>
      <c r="I711" s="25" t="str">
        <f t="shared" si="35"/>
        <v/>
      </c>
    </row>
    <row r="712" spans="1:9" ht="15" customHeight="1" x14ac:dyDescent="0.25">
      <c r="A712" s="26"/>
      <c r="B712" s="17" t="str">
        <f t="shared" si="33"/>
        <v/>
      </c>
      <c r="C712" s="17" t="str">
        <f t="shared" si="34"/>
        <v/>
      </c>
      <c r="D712" s="27"/>
      <c r="E712" s="27"/>
      <c r="F712" s="28"/>
      <c r="G712" s="14" t="str">
        <f>IF($D712="","",IFERROR(INDEX(Einstellungen!$B$4:$B$40,MATCH($D712,Einstellungen!$A$4:$A$40,0)),"?"))</f>
        <v/>
      </c>
      <c r="H712" s="27"/>
      <c r="I712" s="11" t="str">
        <f t="shared" si="35"/>
        <v/>
      </c>
    </row>
    <row r="713" spans="1:9" ht="15" customHeight="1" x14ac:dyDescent="0.25">
      <c r="A713" s="20"/>
      <c r="B713" s="21" t="str">
        <f t="shared" si="33"/>
        <v/>
      </c>
      <c r="C713" s="21" t="str">
        <f t="shared" si="34"/>
        <v/>
      </c>
      <c r="D713" s="22"/>
      <c r="E713" s="22"/>
      <c r="F713" s="23"/>
      <c r="G713" s="24" t="str">
        <f>IF($D713="","",IFERROR(INDEX(Einstellungen!$B$4:$B$40,MATCH($D713,Einstellungen!$A$4:$A$40,0)),"?"))</f>
        <v/>
      </c>
      <c r="H713" s="22"/>
      <c r="I713" s="25" t="str">
        <f t="shared" si="35"/>
        <v/>
      </c>
    </row>
    <row r="714" spans="1:9" ht="15" customHeight="1" x14ac:dyDescent="0.25">
      <c r="A714" s="26"/>
      <c r="B714" s="17" t="str">
        <f t="shared" si="33"/>
        <v/>
      </c>
      <c r="C714" s="17" t="str">
        <f t="shared" si="34"/>
        <v/>
      </c>
      <c r="D714" s="27"/>
      <c r="E714" s="27"/>
      <c r="F714" s="28"/>
      <c r="G714" s="14" t="str">
        <f>IF($D714="","",IFERROR(INDEX(Einstellungen!$B$4:$B$40,MATCH($D714,Einstellungen!$A$4:$A$40,0)),"?"))</f>
        <v/>
      </c>
      <c r="H714" s="27"/>
      <c r="I714" s="11" t="str">
        <f t="shared" si="35"/>
        <v/>
      </c>
    </row>
    <row r="715" spans="1:9" ht="15" customHeight="1" x14ac:dyDescent="0.25">
      <c r="A715" s="20"/>
      <c r="B715" s="21" t="str">
        <f t="shared" si="33"/>
        <v/>
      </c>
      <c r="C715" s="21" t="str">
        <f t="shared" si="34"/>
        <v/>
      </c>
      <c r="D715" s="22"/>
      <c r="E715" s="22"/>
      <c r="F715" s="23"/>
      <c r="G715" s="24" t="str">
        <f>IF($D715="","",IFERROR(INDEX(Einstellungen!$B$4:$B$40,MATCH($D715,Einstellungen!$A$4:$A$40,0)),"?"))</f>
        <v/>
      </c>
      <c r="H715" s="22"/>
      <c r="I715" s="25" t="str">
        <f t="shared" si="35"/>
        <v/>
      </c>
    </row>
    <row r="716" spans="1:9" ht="15" customHeight="1" x14ac:dyDescent="0.25">
      <c r="A716" s="26"/>
      <c r="B716" s="17" t="str">
        <f t="shared" si="33"/>
        <v/>
      </c>
      <c r="C716" s="17" t="str">
        <f t="shared" si="34"/>
        <v/>
      </c>
      <c r="D716" s="27"/>
      <c r="E716" s="27"/>
      <c r="F716" s="28"/>
      <c r="G716" s="14" t="str">
        <f>IF($D716="","",IFERROR(INDEX(Einstellungen!$B$4:$B$40,MATCH($D716,Einstellungen!$A$4:$A$40,0)),"?"))</f>
        <v/>
      </c>
      <c r="H716" s="27"/>
      <c r="I716" s="11" t="str">
        <f t="shared" si="35"/>
        <v/>
      </c>
    </row>
    <row r="717" spans="1:9" ht="15" customHeight="1" x14ac:dyDescent="0.25">
      <c r="A717" s="20"/>
      <c r="B717" s="21" t="str">
        <f t="shared" si="33"/>
        <v/>
      </c>
      <c r="C717" s="21" t="str">
        <f t="shared" si="34"/>
        <v/>
      </c>
      <c r="D717" s="22"/>
      <c r="E717" s="22"/>
      <c r="F717" s="23"/>
      <c r="G717" s="24" t="str">
        <f>IF($D717="","",IFERROR(INDEX(Einstellungen!$B$4:$B$40,MATCH($D717,Einstellungen!$A$4:$A$40,0)),"?"))</f>
        <v/>
      </c>
      <c r="H717" s="22"/>
      <c r="I717" s="25" t="str">
        <f t="shared" si="35"/>
        <v/>
      </c>
    </row>
    <row r="718" spans="1:9" ht="15" customHeight="1" x14ac:dyDescent="0.25">
      <c r="A718" s="26"/>
      <c r="B718" s="17" t="str">
        <f t="shared" si="33"/>
        <v/>
      </c>
      <c r="C718" s="17" t="str">
        <f t="shared" si="34"/>
        <v/>
      </c>
      <c r="D718" s="27"/>
      <c r="E718" s="27"/>
      <c r="F718" s="28"/>
      <c r="G718" s="14" t="str">
        <f>IF($D718="","",IFERROR(INDEX(Einstellungen!$B$4:$B$40,MATCH($D718,Einstellungen!$A$4:$A$40,0)),"?"))</f>
        <v/>
      </c>
      <c r="H718" s="27"/>
      <c r="I718" s="11" t="str">
        <f t="shared" si="35"/>
        <v/>
      </c>
    </row>
    <row r="719" spans="1:9" ht="15" customHeight="1" x14ac:dyDescent="0.25">
      <c r="A719" s="20"/>
      <c r="B719" s="21" t="str">
        <f t="shared" si="33"/>
        <v/>
      </c>
      <c r="C719" s="21" t="str">
        <f t="shared" si="34"/>
        <v/>
      </c>
      <c r="D719" s="22"/>
      <c r="E719" s="22"/>
      <c r="F719" s="23"/>
      <c r="G719" s="24" t="str">
        <f>IF($D719="","",IFERROR(INDEX(Einstellungen!$B$4:$B$40,MATCH($D719,Einstellungen!$A$4:$A$40,0)),"?"))</f>
        <v/>
      </c>
      <c r="H719" s="22"/>
      <c r="I719" s="25" t="str">
        <f t="shared" si="35"/>
        <v/>
      </c>
    </row>
    <row r="720" spans="1:9" ht="15" customHeight="1" x14ac:dyDescent="0.25">
      <c r="A720" s="26"/>
      <c r="B720" s="17" t="str">
        <f t="shared" si="33"/>
        <v/>
      </c>
      <c r="C720" s="17" t="str">
        <f t="shared" si="34"/>
        <v/>
      </c>
      <c r="D720" s="27"/>
      <c r="E720" s="27"/>
      <c r="F720" s="28"/>
      <c r="G720" s="14" t="str">
        <f>IF($D720="","",IFERROR(INDEX(Einstellungen!$B$4:$B$40,MATCH($D720,Einstellungen!$A$4:$A$40,0)),"?"))</f>
        <v/>
      </c>
      <c r="H720" s="27"/>
      <c r="I720" s="11" t="str">
        <f t="shared" si="35"/>
        <v/>
      </c>
    </row>
    <row r="721" spans="1:9" ht="15" customHeight="1" x14ac:dyDescent="0.25">
      <c r="A721" s="20"/>
      <c r="B721" s="21" t="str">
        <f t="shared" si="33"/>
        <v/>
      </c>
      <c r="C721" s="21" t="str">
        <f t="shared" si="34"/>
        <v/>
      </c>
      <c r="D721" s="22"/>
      <c r="E721" s="22"/>
      <c r="F721" s="23"/>
      <c r="G721" s="24" t="str">
        <f>IF($D721="","",IFERROR(INDEX(Einstellungen!$B$4:$B$40,MATCH($D721,Einstellungen!$A$4:$A$40,0)),"?"))</f>
        <v/>
      </c>
      <c r="H721" s="22"/>
      <c r="I721" s="25" t="str">
        <f t="shared" si="35"/>
        <v/>
      </c>
    </row>
    <row r="722" spans="1:9" ht="15" customHeight="1" x14ac:dyDescent="0.25">
      <c r="A722" s="26"/>
      <c r="B722" s="17" t="str">
        <f t="shared" si="33"/>
        <v/>
      </c>
      <c r="C722" s="17" t="str">
        <f t="shared" si="34"/>
        <v/>
      </c>
      <c r="D722" s="27"/>
      <c r="E722" s="27"/>
      <c r="F722" s="28"/>
      <c r="G722" s="14" t="str">
        <f>IF($D722="","",IFERROR(INDEX(Einstellungen!$B$4:$B$40,MATCH($D722,Einstellungen!$A$4:$A$40,0)),"?"))</f>
        <v/>
      </c>
      <c r="H722" s="27"/>
      <c r="I722" s="11" t="str">
        <f t="shared" si="35"/>
        <v/>
      </c>
    </row>
    <row r="723" spans="1:9" ht="15" customHeight="1" x14ac:dyDescent="0.25">
      <c r="A723" s="20"/>
      <c r="B723" s="21" t="str">
        <f t="shared" si="33"/>
        <v/>
      </c>
      <c r="C723" s="21" t="str">
        <f t="shared" si="34"/>
        <v/>
      </c>
      <c r="D723" s="22"/>
      <c r="E723" s="22"/>
      <c r="F723" s="23"/>
      <c r="G723" s="24" t="str">
        <f>IF($D723="","",IFERROR(INDEX(Einstellungen!$B$4:$B$40,MATCH($D723,Einstellungen!$A$4:$A$40,0)),"?"))</f>
        <v/>
      </c>
      <c r="H723" s="22"/>
      <c r="I723" s="25" t="str">
        <f t="shared" si="35"/>
        <v/>
      </c>
    </row>
    <row r="724" spans="1:9" ht="15" customHeight="1" x14ac:dyDescent="0.25">
      <c r="A724" s="26"/>
      <c r="B724" s="17" t="str">
        <f t="shared" si="33"/>
        <v/>
      </c>
      <c r="C724" s="17" t="str">
        <f t="shared" si="34"/>
        <v/>
      </c>
      <c r="D724" s="27"/>
      <c r="E724" s="27"/>
      <c r="F724" s="28"/>
      <c r="G724" s="14" t="str">
        <f>IF($D724="","",IFERROR(INDEX(Einstellungen!$B$4:$B$40,MATCH($D724,Einstellungen!$A$4:$A$40,0)),"?"))</f>
        <v/>
      </c>
      <c r="H724" s="27"/>
      <c r="I724" s="11" t="str">
        <f t="shared" si="35"/>
        <v/>
      </c>
    </row>
    <row r="725" spans="1:9" ht="15" customHeight="1" x14ac:dyDescent="0.25">
      <c r="A725" s="20"/>
      <c r="B725" s="21" t="str">
        <f t="shared" si="33"/>
        <v/>
      </c>
      <c r="C725" s="21" t="str">
        <f t="shared" si="34"/>
        <v/>
      </c>
      <c r="D725" s="22"/>
      <c r="E725" s="22"/>
      <c r="F725" s="23"/>
      <c r="G725" s="24" t="str">
        <f>IF($D725="","",IFERROR(INDEX(Einstellungen!$B$4:$B$40,MATCH($D725,Einstellungen!$A$4:$A$40,0)),"?"))</f>
        <v/>
      </c>
      <c r="H725" s="22"/>
      <c r="I725" s="25" t="str">
        <f t="shared" si="35"/>
        <v/>
      </c>
    </row>
    <row r="726" spans="1:9" ht="15" customHeight="1" x14ac:dyDescent="0.25">
      <c r="A726" s="26"/>
      <c r="B726" s="17" t="str">
        <f t="shared" si="33"/>
        <v/>
      </c>
      <c r="C726" s="17" t="str">
        <f t="shared" si="34"/>
        <v/>
      </c>
      <c r="D726" s="27"/>
      <c r="E726" s="27"/>
      <c r="F726" s="28"/>
      <c r="G726" s="14" t="str">
        <f>IF($D726="","",IFERROR(INDEX(Einstellungen!$B$4:$B$40,MATCH($D726,Einstellungen!$A$4:$A$40,0)),"?"))</f>
        <v/>
      </c>
      <c r="H726" s="27"/>
      <c r="I726" s="11" t="str">
        <f t="shared" si="35"/>
        <v/>
      </c>
    </row>
    <row r="727" spans="1:9" ht="15" customHeight="1" x14ac:dyDescent="0.25">
      <c r="A727" s="20"/>
      <c r="B727" s="21" t="str">
        <f t="shared" si="33"/>
        <v/>
      </c>
      <c r="C727" s="21" t="str">
        <f t="shared" si="34"/>
        <v/>
      </c>
      <c r="D727" s="22"/>
      <c r="E727" s="22"/>
      <c r="F727" s="23"/>
      <c r="G727" s="24" t="str">
        <f>IF($D727="","",IFERROR(INDEX(Einstellungen!$B$4:$B$40,MATCH($D727,Einstellungen!$A$4:$A$40,0)),"?"))</f>
        <v/>
      </c>
      <c r="H727" s="22"/>
      <c r="I727" s="25" t="str">
        <f t="shared" si="35"/>
        <v/>
      </c>
    </row>
    <row r="728" spans="1:9" ht="15" customHeight="1" x14ac:dyDescent="0.25">
      <c r="A728" s="26"/>
      <c r="B728" s="17" t="str">
        <f t="shared" si="33"/>
        <v/>
      </c>
      <c r="C728" s="17" t="str">
        <f t="shared" si="34"/>
        <v/>
      </c>
      <c r="D728" s="27"/>
      <c r="E728" s="27"/>
      <c r="F728" s="28"/>
      <c r="G728" s="14" t="str">
        <f>IF($D728="","",IFERROR(INDEX(Einstellungen!$B$4:$B$40,MATCH($D728,Einstellungen!$A$4:$A$40,0)),"?"))</f>
        <v/>
      </c>
      <c r="H728" s="27"/>
      <c r="I728" s="11" t="str">
        <f t="shared" si="35"/>
        <v/>
      </c>
    </row>
    <row r="729" spans="1:9" ht="15" customHeight="1" x14ac:dyDescent="0.25">
      <c r="A729" s="20"/>
      <c r="B729" s="21" t="str">
        <f t="shared" si="33"/>
        <v/>
      </c>
      <c r="C729" s="21" t="str">
        <f t="shared" si="34"/>
        <v/>
      </c>
      <c r="D729" s="22"/>
      <c r="E729" s="22"/>
      <c r="F729" s="23"/>
      <c r="G729" s="24" t="str">
        <f>IF($D729="","",IFERROR(INDEX(Einstellungen!$B$4:$B$40,MATCH($D729,Einstellungen!$A$4:$A$40,0)),"?"))</f>
        <v/>
      </c>
      <c r="H729" s="22"/>
      <c r="I729" s="25" t="str">
        <f t="shared" si="35"/>
        <v/>
      </c>
    </row>
    <row r="730" spans="1:9" ht="15" customHeight="1" x14ac:dyDescent="0.25">
      <c r="A730" s="26"/>
      <c r="B730" s="17" t="str">
        <f t="shared" si="33"/>
        <v/>
      </c>
      <c r="C730" s="17" t="str">
        <f t="shared" si="34"/>
        <v/>
      </c>
      <c r="D730" s="27"/>
      <c r="E730" s="27"/>
      <c r="F730" s="28"/>
      <c r="G730" s="14" t="str">
        <f>IF($D730="","",IFERROR(INDEX(Einstellungen!$B$4:$B$40,MATCH($D730,Einstellungen!$A$4:$A$40,0)),"?"))</f>
        <v/>
      </c>
      <c r="H730" s="27"/>
      <c r="I730" s="11" t="str">
        <f t="shared" si="35"/>
        <v/>
      </c>
    </row>
    <row r="731" spans="1:9" ht="15" customHeight="1" x14ac:dyDescent="0.25">
      <c r="A731" s="20"/>
      <c r="B731" s="21" t="str">
        <f t="shared" si="33"/>
        <v/>
      </c>
      <c r="C731" s="21" t="str">
        <f t="shared" si="34"/>
        <v/>
      </c>
      <c r="D731" s="22"/>
      <c r="E731" s="22"/>
      <c r="F731" s="23"/>
      <c r="G731" s="24" t="str">
        <f>IF($D731="","",IFERROR(INDEX(Einstellungen!$B$4:$B$40,MATCH($D731,Einstellungen!$A$4:$A$40,0)),"?"))</f>
        <v/>
      </c>
      <c r="H731" s="22"/>
      <c r="I731" s="25" t="str">
        <f t="shared" si="35"/>
        <v/>
      </c>
    </row>
    <row r="732" spans="1:9" ht="15" customHeight="1" x14ac:dyDescent="0.25">
      <c r="A732" s="26"/>
      <c r="B732" s="17" t="str">
        <f t="shared" si="33"/>
        <v/>
      </c>
      <c r="C732" s="17" t="str">
        <f t="shared" si="34"/>
        <v/>
      </c>
      <c r="D732" s="27"/>
      <c r="E732" s="27"/>
      <c r="F732" s="28"/>
      <c r="G732" s="14" t="str">
        <f>IF($D732="","",IFERROR(INDEX(Einstellungen!$B$4:$B$40,MATCH($D732,Einstellungen!$A$4:$A$40,0)),"?"))</f>
        <v/>
      </c>
      <c r="H732" s="27"/>
      <c r="I732" s="11" t="str">
        <f t="shared" si="35"/>
        <v/>
      </c>
    </row>
    <row r="733" spans="1:9" ht="15" customHeight="1" x14ac:dyDescent="0.25">
      <c r="A733" s="20"/>
      <c r="B733" s="21" t="str">
        <f t="shared" si="33"/>
        <v/>
      </c>
      <c r="C733" s="21" t="str">
        <f t="shared" si="34"/>
        <v/>
      </c>
      <c r="D733" s="22"/>
      <c r="E733" s="22"/>
      <c r="F733" s="23"/>
      <c r="G733" s="24" t="str">
        <f>IF($D733="","",IFERROR(INDEX(Einstellungen!$B$4:$B$40,MATCH($D733,Einstellungen!$A$4:$A$40,0)),"?"))</f>
        <v/>
      </c>
      <c r="H733" s="22"/>
      <c r="I733" s="25" t="str">
        <f t="shared" si="35"/>
        <v/>
      </c>
    </row>
    <row r="734" spans="1:9" ht="15" customHeight="1" x14ac:dyDescent="0.25">
      <c r="A734" s="26"/>
      <c r="B734" s="17" t="str">
        <f t="shared" si="33"/>
        <v/>
      </c>
      <c r="C734" s="17" t="str">
        <f t="shared" si="34"/>
        <v/>
      </c>
      <c r="D734" s="27"/>
      <c r="E734" s="27"/>
      <c r="F734" s="28"/>
      <c r="G734" s="14" t="str">
        <f>IF($D734="","",IFERROR(INDEX(Einstellungen!$B$4:$B$40,MATCH($D734,Einstellungen!$A$4:$A$40,0)),"?"))</f>
        <v/>
      </c>
      <c r="H734" s="27"/>
      <c r="I734" s="11" t="str">
        <f t="shared" si="35"/>
        <v/>
      </c>
    </row>
    <row r="735" spans="1:9" ht="15" customHeight="1" x14ac:dyDescent="0.25">
      <c r="A735" s="20"/>
      <c r="B735" s="21" t="str">
        <f t="shared" si="33"/>
        <v/>
      </c>
      <c r="C735" s="21" t="str">
        <f t="shared" si="34"/>
        <v/>
      </c>
      <c r="D735" s="22"/>
      <c r="E735" s="22"/>
      <c r="F735" s="23"/>
      <c r="G735" s="24" t="str">
        <f>IF($D735="","",IFERROR(INDEX(Einstellungen!$B$4:$B$40,MATCH($D735,Einstellungen!$A$4:$A$40,0)),"?"))</f>
        <v/>
      </c>
      <c r="H735" s="22"/>
      <c r="I735" s="25" t="str">
        <f t="shared" si="35"/>
        <v/>
      </c>
    </row>
    <row r="736" spans="1:9" ht="15" customHeight="1" x14ac:dyDescent="0.25">
      <c r="A736" s="26"/>
      <c r="B736" s="17" t="str">
        <f t="shared" si="33"/>
        <v/>
      </c>
      <c r="C736" s="17" t="str">
        <f t="shared" si="34"/>
        <v/>
      </c>
      <c r="D736" s="27"/>
      <c r="E736" s="27"/>
      <c r="F736" s="28"/>
      <c r="G736" s="14" t="str">
        <f>IF($D736="","",IFERROR(INDEX(Einstellungen!$B$4:$B$40,MATCH($D736,Einstellungen!$A$4:$A$40,0)),"?"))</f>
        <v/>
      </c>
      <c r="H736" s="27"/>
      <c r="I736" s="11" t="str">
        <f t="shared" si="35"/>
        <v/>
      </c>
    </row>
    <row r="737" spans="1:9" ht="15" customHeight="1" x14ac:dyDescent="0.25">
      <c r="A737" s="20"/>
      <c r="B737" s="21" t="str">
        <f t="shared" si="33"/>
        <v/>
      </c>
      <c r="C737" s="21" t="str">
        <f t="shared" si="34"/>
        <v/>
      </c>
      <c r="D737" s="22"/>
      <c r="E737" s="22"/>
      <c r="F737" s="23"/>
      <c r="G737" s="24" t="str">
        <f>IF($D737="","",IFERROR(INDEX(Einstellungen!$B$4:$B$40,MATCH($D737,Einstellungen!$A$4:$A$40,0)),"?"))</f>
        <v/>
      </c>
      <c r="H737" s="22"/>
      <c r="I737" s="25" t="str">
        <f t="shared" si="35"/>
        <v/>
      </c>
    </row>
    <row r="738" spans="1:9" ht="15" customHeight="1" x14ac:dyDescent="0.25">
      <c r="A738" s="26"/>
      <c r="B738" s="17" t="str">
        <f t="shared" si="33"/>
        <v/>
      </c>
      <c r="C738" s="17" t="str">
        <f t="shared" si="34"/>
        <v/>
      </c>
      <c r="D738" s="27"/>
      <c r="E738" s="27"/>
      <c r="F738" s="28"/>
      <c r="G738" s="14" t="str">
        <f>IF($D738="","",IFERROR(INDEX(Einstellungen!$B$4:$B$40,MATCH($D738,Einstellungen!$A$4:$A$40,0)),"?"))</f>
        <v/>
      </c>
      <c r="H738" s="27"/>
      <c r="I738" s="11" t="str">
        <f t="shared" si="35"/>
        <v/>
      </c>
    </row>
    <row r="739" spans="1:9" ht="15" customHeight="1" x14ac:dyDescent="0.25">
      <c r="A739" s="20"/>
      <c r="B739" s="21" t="str">
        <f t="shared" si="33"/>
        <v/>
      </c>
      <c r="C739" s="21" t="str">
        <f t="shared" si="34"/>
        <v/>
      </c>
      <c r="D739" s="22"/>
      <c r="E739" s="22"/>
      <c r="F739" s="23"/>
      <c r="G739" s="24" t="str">
        <f>IF($D739="","",IFERROR(INDEX(Einstellungen!$B$4:$B$40,MATCH($D739,Einstellungen!$A$4:$A$40,0)),"?"))</f>
        <v/>
      </c>
      <c r="H739" s="22"/>
      <c r="I739" s="25" t="str">
        <f t="shared" si="35"/>
        <v/>
      </c>
    </row>
    <row r="740" spans="1:9" ht="15" customHeight="1" x14ac:dyDescent="0.25">
      <c r="A740" s="26"/>
      <c r="B740" s="17" t="str">
        <f t="shared" si="33"/>
        <v/>
      </c>
      <c r="C740" s="17" t="str">
        <f t="shared" si="34"/>
        <v/>
      </c>
      <c r="D740" s="27"/>
      <c r="E740" s="27"/>
      <c r="F740" s="28"/>
      <c r="G740" s="14" t="str">
        <f>IF($D740="","",IFERROR(INDEX(Einstellungen!$B$4:$B$40,MATCH($D740,Einstellungen!$A$4:$A$40,0)),"?"))</f>
        <v/>
      </c>
      <c r="H740" s="27"/>
      <c r="I740" s="11" t="str">
        <f t="shared" si="35"/>
        <v/>
      </c>
    </row>
    <row r="741" spans="1:9" ht="15" customHeight="1" x14ac:dyDescent="0.25">
      <c r="A741" s="20"/>
      <c r="B741" s="21" t="str">
        <f t="shared" si="33"/>
        <v/>
      </c>
      <c r="C741" s="21" t="str">
        <f t="shared" si="34"/>
        <v/>
      </c>
      <c r="D741" s="22"/>
      <c r="E741" s="22"/>
      <c r="F741" s="23"/>
      <c r="G741" s="24" t="str">
        <f>IF($D741="","",IFERROR(INDEX(Einstellungen!$B$4:$B$40,MATCH($D741,Einstellungen!$A$4:$A$40,0)),"?"))</f>
        <v/>
      </c>
      <c r="H741" s="22"/>
      <c r="I741" s="25" t="str">
        <f t="shared" si="35"/>
        <v/>
      </c>
    </row>
    <row r="742" spans="1:9" ht="15" customHeight="1" x14ac:dyDescent="0.25">
      <c r="A742" s="26"/>
      <c r="B742" s="17" t="str">
        <f t="shared" si="33"/>
        <v/>
      </c>
      <c r="C742" s="17" t="str">
        <f t="shared" si="34"/>
        <v/>
      </c>
      <c r="D742" s="27"/>
      <c r="E742" s="27"/>
      <c r="F742" s="28"/>
      <c r="G742" s="14" t="str">
        <f>IF($D742="","",IFERROR(INDEX(Einstellungen!$B$4:$B$40,MATCH($D742,Einstellungen!$A$4:$A$40,0)),"?"))</f>
        <v/>
      </c>
      <c r="H742" s="27"/>
      <c r="I742" s="11" t="str">
        <f t="shared" si="35"/>
        <v/>
      </c>
    </row>
    <row r="743" spans="1:9" ht="15" customHeight="1" x14ac:dyDescent="0.25">
      <c r="A743" s="20"/>
      <c r="B743" s="21" t="str">
        <f t="shared" si="33"/>
        <v/>
      </c>
      <c r="C743" s="21" t="str">
        <f t="shared" si="34"/>
        <v/>
      </c>
      <c r="D743" s="22"/>
      <c r="E743" s="22"/>
      <c r="F743" s="23"/>
      <c r="G743" s="24" t="str">
        <f>IF($D743="","",IFERROR(INDEX(Einstellungen!$B$4:$B$40,MATCH($D743,Einstellungen!$A$4:$A$40,0)),"?"))</f>
        <v/>
      </c>
      <c r="H743" s="22"/>
      <c r="I743" s="25" t="str">
        <f t="shared" si="35"/>
        <v/>
      </c>
    </row>
    <row r="744" spans="1:9" ht="15" customHeight="1" x14ac:dyDescent="0.25">
      <c r="A744" s="26"/>
      <c r="B744" s="17" t="str">
        <f t="shared" si="33"/>
        <v/>
      </c>
      <c r="C744" s="17" t="str">
        <f t="shared" si="34"/>
        <v/>
      </c>
      <c r="D744" s="27"/>
      <c r="E744" s="27"/>
      <c r="F744" s="28"/>
      <c r="G744" s="14" t="str">
        <f>IF($D744="","",IFERROR(INDEX(Einstellungen!$B$4:$B$40,MATCH($D744,Einstellungen!$A$4:$A$40,0)),"?"))</f>
        <v/>
      </c>
      <c r="H744" s="27"/>
      <c r="I744" s="11" t="str">
        <f t="shared" si="35"/>
        <v/>
      </c>
    </row>
    <row r="745" spans="1:9" ht="15" customHeight="1" x14ac:dyDescent="0.25">
      <c r="A745" s="20"/>
      <c r="B745" s="21" t="str">
        <f t="shared" si="33"/>
        <v/>
      </c>
      <c r="C745" s="21" t="str">
        <f t="shared" si="34"/>
        <v/>
      </c>
      <c r="D745" s="22"/>
      <c r="E745" s="22"/>
      <c r="F745" s="23"/>
      <c r="G745" s="24" t="str">
        <f>IF($D745="","",IFERROR(INDEX(Einstellungen!$B$4:$B$40,MATCH($D745,Einstellungen!$A$4:$A$40,0)),"?"))</f>
        <v/>
      </c>
      <c r="H745" s="22"/>
      <c r="I745" s="25" t="str">
        <f t="shared" si="35"/>
        <v/>
      </c>
    </row>
    <row r="746" spans="1:9" ht="15" customHeight="1" x14ac:dyDescent="0.25">
      <c r="A746" s="26"/>
      <c r="B746" s="17" t="str">
        <f t="shared" si="33"/>
        <v/>
      </c>
      <c r="C746" s="17" t="str">
        <f t="shared" si="34"/>
        <v/>
      </c>
      <c r="D746" s="27"/>
      <c r="E746" s="27"/>
      <c r="F746" s="28"/>
      <c r="G746" s="14" t="str">
        <f>IF($D746="","",IFERROR(INDEX(Einstellungen!$B$4:$B$40,MATCH($D746,Einstellungen!$A$4:$A$40,0)),"?"))</f>
        <v/>
      </c>
      <c r="H746" s="27"/>
      <c r="I746" s="11" t="str">
        <f t="shared" si="35"/>
        <v/>
      </c>
    </row>
    <row r="747" spans="1:9" ht="15" customHeight="1" x14ac:dyDescent="0.25">
      <c r="A747" s="20"/>
      <c r="B747" s="21" t="str">
        <f t="shared" si="33"/>
        <v/>
      </c>
      <c r="C747" s="21" t="str">
        <f t="shared" si="34"/>
        <v/>
      </c>
      <c r="D747" s="22"/>
      <c r="E747" s="22"/>
      <c r="F747" s="23"/>
      <c r="G747" s="24" t="str">
        <f>IF($D747="","",IFERROR(INDEX(Einstellungen!$B$4:$B$40,MATCH($D747,Einstellungen!$A$4:$A$40,0)),"?"))</f>
        <v/>
      </c>
      <c r="H747" s="22"/>
      <c r="I747" s="25" t="str">
        <f t="shared" si="35"/>
        <v/>
      </c>
    </row>
    <row r="748" spans="1:9" ht="15" customHeight="1" x14ac:dyDescent="0.25">
      <c r="A748" s="26"/>
      <c r="B748" s="17" t="str">
        <f t="shared" si="33"/>
        <v/>
      </c>
      <c r="C748" s="17" t="str">
        <f t="shared" si="34"/>
        <v/>
      </c>
      <c r="D748" s="27"/>
      <c r="E748" s="27"/>
      <c r="F748" s="28"/>
      <c r="G748" s="14" t="str">
        <f>IF($D748="","",IFERROR(INDEX(Einstellungen!$B$4:$B$40,MATCH($D748,Einstellungen!$A$4:$A$40,0)),"?"))</f>
        <v/>
      </c>
      <c r="H748" s="27"/>
      <c r="I748" s="11" t="str">
        <f t="shared" si="35"/>
        <v/>
      </c>
    </row>
    <row r="749" spans="1:9" ht="15" customHeight="1" x14ac:dyDescent="0.25">
      <c r="A749" s="20"/>
      <c r="B749" s="21" t="str">
        <f t="shared" si="33"/>
        <v/>
      </c>
      <c r="C749" s="21" t="str">
        <f t="shared" si="34"/>
        <v/>
      </c>
      <c r="D749" s="22"/>
      <c r="E749" s="22"/>
      <c r="F749" s="23"/>
      <c r="G749" s="24" t="str">
        <f>IF($D749="","",IFERROR(INDEX(Einstellungen!$B$4:$B$40,MATCH($D749,Einstellungen!$A$4:$A$40,0)),"?"))</f>
        <v/>
      </c>
      <c r="H749" s="22"/>
      <c r="I749" s="25" t="str">
        <f t="shared" si="35"/>
        <v/>
      </c>
    </row>
    <row r="750" spans="1:9" ht="15" customHeight="1" x14ac:dyDescent="0.25">
      <c r="A750" s="26"/>
      <c r="B750" s="17" t="str">
        <f t="shared" si="33"/>
        <v/>
      </c>
      <c r="C750" s="17" t="str">
        <f t="shared" si="34"/>
        <v/>
      </c>
      <c r="D750" s="27"/>
      <c r="E750" s="27"/>
      <c r="F750" s="28"/>
      <c r="G750" s="14" t="str">
        <f>IF($D750="","",IFERROR(INDEX(Einstellungen!$B$4:$B$40,MATCH($D750,Einstellungen!$A$4:$A$40,0)),"?"))</f>
        <v/>
      </c>
      <c r="H750" s="27"/>
      <c r="I750" s="11" t="str">
        <f t="shared" si="35"/>
        <v/>
      </c>
    </row>
    <row r="751" spans="1:9" ht="15" customHeight="1" x14ac:dyDescent="0.25">
      <c r="A751" s="20"/>
      <c r="B751" s="21" t="str">
        <f t="shared" si="33"/>
        <v/>
      </c>
      <c r="C751" s="21" t="str">
        <f t="shared" si="34"/>
        <v/>
      </c>
      <c r="D751" s="22"/>
      <c r="E751" s="22"/>
      <c r="F751" s="23"/>
      <c r="G751" s="24" t="str">
        <f>IF($D751="","",IFERROR(INDEX(Einstellungen!$B$4:$B$40,MATCH($D751,Einstellungen!$A$4:$A$40,0)),"?"))</f>
        <v/>
      </c>
      <c r="H751" s="22"/>
      <c r="I751" s="25" t="str">
        <f t="shared" si="35"/>
        <v/>
      </c>
    </row>
    <row r="752" spans="1:9" ht="15" customHeight="1" x14ac:dyDescent="0.25">
      <c r="A752" s="26"/>
      <c r="B752" s="17" t="str">
        <f t="shared" si="33"/>
        <v/>
      </c>
      <c r="C752" s="17" t="str">
        <f t="shared" si="34"/>
        <v/>
      </c>
      <c r="D752" s="27"/>
      <c r="E752" s="27"/>
      <c r="F752" s="28"/>
      <c r="G752" s="14" t="str">
        <f>IF($D752="","",IFERROR(INDEX(Einstellungen!$B$4:$B$40,MATCH($D752,Einstellungen!$A$4:$A$40,0)),"?"))</f>
        <v/>
      </c>
      <c r="H752" s="27"/>
      <c r="I752" s="11" t="str">
        <f t="shared" si="35"/>
        <v/>
      </c>
    </row>
    <row r="753" spans="1:9" ht="15" customHeight="1" x14ac:dyDescent="0.25">
      <c r="A753" s="20"/>
      <c r="B753" s="21" t="str">
        <f t="shared" si="33"/>
        <v/>
      </c>
      <c r="C753" s="21" t="str">
        <f t="shared" si="34"/>
        <v/>
      </c>
      <c r="D753" s="22"/>
      <c r="E753" s="22"/>
      <c r="F753" s="23"/>
      <c r="G753" s="24" t="str">
        <f>IF($D753="","",IFERROR(INDEX(Einstellungen!$B$4:$B$40,MATCH($D753,Einstellungen!$A$4:$A$40,0)),"?"))</f>
        <v/>
      </c>
      <c r="H753" s="22"/>
      <c r="I753" s="25" t="str">
        <f t="shared" si="35"/>
        <v/>
      </c>
    </row>
    <row r="754" spans="1:9" ht="15" customHeight="1" x14ac:dyDescent="0.25">
      <c r="A754" s="26"/>
      <c r="B754" s="17" t="str">
        <f t="shared" si="33"/>
        <v/>
      </c>
      <c r="C754" s="17" t="str">
        <f t="shared" si="34"/>
        <v/>
      </c>
      <c r="D754" s="27"/>
      <c r="E754" s="27"/>
      <c r="F754" s="28"/>
      <c r="G754" s="14" t="str">
        <f>IF($D754="","",IFERROR(INDEX(Einstellungen!$B$4:$B$40,MATCH($D754,Einstellungen!$A$4:$A$40,0)),"?"))</f>
        <v/>
      </c>
      <c r="H754" s="27"/>
      <c r="I754" s="11" t="str">
        <f t="shared" si="35"/>
        <v/>
      </c>
    </row>
    <row r="755" spans="1:9" ht="15" customHeight="1" x14ac:dyDescent="0.25">
      <c r="A755" s="20"/>
      <c r="B755" s="21" t="str">
        <f t="shared" si="33"/>
        <v/>
      </c>
      <c r="C755" s="21" t="str">
        <f t="shared" si="34"/>
        <v/>
      </c>
      <c r="D755" s="22"/>
      <c r="E755" s="22"/>
      <c r="F755" s="23"/>
      <c r="G755" s="24" t="str">
        <f>IF($D755="","",IFERROR(INDEX(Einstellungen!$B$4:$B$40,MATCH($D755,Einstellungen!$A$4:$A$40,0)),"?"))</f>
        <v/>
      </c>
      <c r="H755" s="22"/>
      <c r="I755" s="25" t="str">
        <f t="shared" si="35"/>
        <v/>
      </c>
    </row>
    <row r="756" spans="1:9" ht="15" customHeight="1" x14ac:dyDescent="0.25">
      <c r="A756" s="26"/>
      <c r="B756" s="17" t="str">
        <f t="shared" si="33"/>
        <v/>
      </c>
      <c r="C756" s="17" t="str">
        <f t="shared" si="34"/>
        <v/>
      </c>
      <c r="D756" s="27"/>
      <c r="E756" s="27"/>
      <c r="F756" s="28"/>
      <c r="G756" s="14" t="str">
        <f>IF($D756="","",IFERROR(INDEX(Einstellungen!$B$4:$B$40,MATCH($D756,Einstellungen!$A$4:$A$40,0)),"?"))</f>
        <v/>
      </c>
      <c r="H756" s="27"/>
      <c r="I756" s="11" t="str">
        <f t="shared" si="35"/>
        <v/>
      </c>
    </row>
    <row r="757" spans="1:9" ht="15" customHeight="1" x14ac:dyDescent="0.25">
      <c r="A757" s="20"/>
      <c r="B757" s="21" t="str">
        <f t="shared" si="33"/>
        <v/>
      </c>
      <c r="C757" s="21" t="str">
        <f t="shared" si="34"/>
        <v/>
      </c>
      <c r="D757" s="22"/>
      <c r="E757" s="22"/>
      <c r="F757" s="23"/>
      <c r="G757" s="24" t="str">
        <f>IF($D757="","",IFERROR(INDEX(Einstellungen!$B$4:$B$40,MATCH($D757,Einstellungen!$A$4:$A$40,0)),"?"))</f>
        <v/>
      </c>
      <c r="H757" s="22"/>
      <c r="I757" s="25" t="str">
        <f t="shared" si="35"/>
        <v/>
      </c>
    </row>
    <row r="758" spans="1:9" ht="15" customHeight="1" x14ac:dyDescent="0.25">
      <c r="A758" s="26"/>
      <c r="B758" s="17" t="str">
        <f t="shared" si="33"/>
        <v/>
      </c>
      <c r="C758" s="17" t="str">
        <f t="shared" si="34"/>
        <v/>
      </c>
      <c r="D758" s="27"/>
      <c r="E758" s="27"/>
      <c r="F758" s="28"/>
      <c r="G758" s="14" t="str">
        <f>IF($D758="","",IFERROR(INDEX(Einstellungen!$B$4:$B$40,MATCH($D758,Einstellungen!$A$4:$A$40,0)),"?"))</f>
        <v/>
      </c>
      <c r="H758" s="27"/>
      <c r="I758" s="11" t="str">
        <f t="shared" si="35"/>
        <v/>
      </c>
    </row>
    <row r="759" spans="1:9" ht="15" customHeight="1" x14ac:dyDescent="0.25">
      <c r="A759" s="20"/>
      <c r="B759" s="21" t="str">
        <f t="shared" si="33"/>
        <v/>
      </c>
      <c r="C759" s="21" t="str">
        <f t="shared" si="34"/>
        <v/>
      </c>
      <c r="D759" s="22"/>
      <c r="E759" s="22"/>
      <c r="F759" s="23"/>
      <c r="G759" s="24" t="str">
        <f>IF($D759="","",IFERROR(INDEX(Einstellungen!$B$4:$B$40,MATCH($D759,Einstellungen!$A$4:$A$40,0)),"?"))</f>
        <v/>
      </c>
      <c r="H759" s="22"/>
      <c r="I759" s="25" t="str">
        <f t="shared" si="35"/>
        <v/>
      </c>
    </row>
    <row r="760" spans="1:9" ht="15" customHeight="1" x14ac:dyDescent="0.25">
      <c r="A760" s="26"/>
      <c r="B760" s="17" t="str">
        <f t="shared" si="33"/>
        <v/>
      </c>
      <c r="C760" s="17" t="str">
        <f t="shared" si="34"/>
        <v/>
      </c>
      <c r="D760" s="27"/>
      <c r="E760" s="27"/>
      <c r="F760" s="28"/>
      <c r="G760" s="14" t="str">
        <f>IF($D760="","",IFERROR(INDEX(Einstellungen!$B$4:$B$40,MATCH($D760,Einstellungen!$A$4:$A$40,0)),"?"))</f>
        <v/>
      </c>
      <c r="H760" s="27"/>
      <c r="I760" s="11" t="str">
        <f t="shared" si="35"/>
        <v/>
      </c>
    </row>
    <row r="761" spans="1:9" ht="15" customHeight="1" x14ac:dyDescent="0.25">
      <c r="A761" s="20"/>
      <c r="B761" s="21" t="str">
        <f t="shared" si="33"/>
        <v/>
      </c>
      <c r="C761" s="21" t="str">
        <f t="shared" si="34"/>
        <v/>
      </c>
      <c r="D761" s="22"/>
      <c r="E761" s="22"/>
      <c r="F761" s="23"/>
      <c r="G761" s="24" t="str">
        <f>IF($D761="","",IFERROR(INDEX(Einstellungen!$B$4:$B$40,MATCH($D761,Einstellungen!$A$4:$A$40,0)),"?"))</f>
        <v/>
      </c>
      <c r="H761" s="22"/>
      <c r="I761" s="25" t="str">
        <f t="shared" si="35"/>
        <v/>
      </c>
    </row>
    <row r="762" spans="1:9" ht="15" customHeight="1" x14ac:dyDescent="0.25">
      <c r="A762" s="26"/>
      <c r="B762" s="17" t="str">
        <f t="shared" si="33"/>
        <v/>
      </c>
      <c r="C762" s="17" t="str">
        <f t="shared" si="34"/>
        <v/>
      </c>
      <c r="D762" s="27"/>
      <c r="E762" s="27"/>
      <c r="F762" s="28"/>
      <c r="G762" s="14" t="str">
        <f>IF($D762="","",IFERROR(INDEX(Einstellungen!$B$4:$B$40,MATCH($D762,Einstellungen!$A$4:$A$40,0)),"?"))</f>
        <v/>
      </c>
      <c r="H762" s="27"/>
      <c r="I762" s="11" t="str">
        <f t="shared" si="35"/>
        <v/>
      </c>
    </row>
    <row r="763" spans="1:9" ht="15" customHeight="1" x14ac:dyDescent="0.25">
      <c r="A763" s="20"/>
      <c r="B763" s="21" t="str">
        <f t="shared" si="33"/>
        <v/>
      </c>
      <c r="C763" s="21" t="str">
        <f t="shared" si="34"/>
        <v/>
      </c>
      <c r="D763" s="22"/>
      <c r="E763" s="22"/>
      <c r="F763" s="23"/>
      <c r="G763" s="24" t="str">
        <f>IF($D763="","",IFERROR(INDEX(Einstellungen!$B$4:$B$40,MATCH($D763,Einstellungen!$A$4:$A$40,0)),"?"))</f>
        <v/>
      </c>
      <c r="H763" s="22"/>
      <c r="I763" s="25" t="str">
        <f t="shared" si="35"/>
        <v/>
      </c>
    </row>
    <row r="764" spans="1:9" ht="15" customHeight="1" x14ac:dyDescent="0.25">
      <c r="A764" s="26"/>
      <c r="B764" s="17" t="str">
        <f t="shared" si="33"/>
        <v/>
      </c>
      <c r="C764" s="17" t="str">
        <f t="shared" si="34"/>
        <v/>
      </c>
      <c r="D764" s="27"/>
      <c r="E764" s="27"/>
      <c r="F764" s="28"/>
      <c r="G764" s="14" t="str">
        <f>IF($D764="","",IFERROR(INDEX(Einstellungen!$B$4:$B$40,MATCH($D764,Einstellungen!$A$4:$A$40,0)),"?"))</f>
        <v/>
      </c>
      <c r="H764" s="27"/>
      <c r="I764" s="11" t="str">
        <f t="shared" si="35"/>
        <v/>
      </c>
    </row>
    <row r="765" spans="1:9" ht="15" customHeight="1" x14ac:dyDescent="0.25">
      <c r="A765" s="20"/>
      <c r="B765" s="21" t="str">
        <f t="shared" si="33"/>
        <v/>
      </c>
      <c r="C765" s="21" t="str">
        <f t="shared" si="34"/>
        <v/>
      </c>
      <c r="D765" s="22"/>
      <c r="E765" s="22"/>
      <c r="F765" s="23"/>
      <c r="G765" s="24" t="str">
        <f>IF($D765="","",IFERROR(INDEX(Einstellungen!$B$4:$B$40,MATCH($D765,Einstellungen!$A$4:$A$40,0)),"?"))</f>
        <v/>
      </c>
      <c r="H765" s="22"/>
      <c r="I765" s="25" t="str">
        <f t="shared" si="35"/>
        <v/>
      </c>
    </row>
    <row r="766" spans="1:9" ht="15" customHeight="1" x14ac:dyDescent="0.25">
      <c r="A766" s="26"/>
      <c r="B766" s="17" t="str">
        <f t="shared" si="33"/>
        <v/>
      </c>
      <c r="C766" s="17" t="str">
        <f t="shared" si="34"/>
        <v/>
      </c>
      <c r="D766" s="27"/>
      <c r="E766" s="27"/>
      <c r="F766" s="28"/>
      <c r="G766" s="14" t="str">
        <f>IF($D766="","",IFERROR(INDEX(Einstellungen!$B$4:$B$40,MATCH($D766,Einstellungen!$A$4:$A$40,0)),"?"))</f>
        <v/>
      </c>
      <c r="H766" s="27"/>
      <c r="I766" s="11" t="str">
        <f t="shared" si="35"/>
        <v/>
      </c>
    </row>
    <row r="767" spans="1:9" ht="15" customHeight="1" x14ac:dyDescent="0.25">
      <c r="A767" s="20"/>
      <c r="B767" s="21" t="str">
        <f t="shared" si="33"/>
        <v/>
      </c>
      <c r="C767" s="21" t="str">
        <f t="shared" si="34"/>
        <v/>
      </c>
      <c r="D767" s="22"/>
      <c r="E767" s="22"/>
      <c r="F767" s="23"/>
      <c r="G767" s="24" t="str">
        <f>IF($D767="","",IFERROR(INDEX(Einstellungen!$B$4:$B$40,MATCH($D767,Einstellungen!$A$4:$A$40,0)),"?"))</f>
        <v/>
      </c>
      <c r="H767" s="22"/>
      <c r="I767" s="25" t="str">
        <f t="shared" si="35"/>
        <v/>
      </c>
    </row>
    <row r="768" spans="1:9" ht="15" customHeight="1" x14ac:dyDescent="0.25">
      <c r="A768" s="26"/>
      <c r="B768" s="17" t="str">
        <f t="shared" si="33"/>
        <v/>
      </c>
      <c r="C768" s="17" t="str">
        <f t="shared" si="34"/>
        <v/>
      </c>
      <c r="D768" s="27"/>
      <c r="E768" s="27"/>
      <c r="F768" s="28"/>
      <c r="G768" s="14" t="str">
        <f>IF($D768="","",IFERROR(INDEX(Einstellungen!$B$4:$B$40,MATCH($D768,Einstellungen!$A$4:$A$40,0)),"?"))</f>
        <v/>
      </c>
      <c r="H768" s="27"/>
      <c r="I768" s="11" t="str">
        <f t="shared" si="35"/>
        <v/>
      </c>
    </row>
    <row r="769" spans="1:9" ht="15" customHeight="1" x14ac:dyDescent="0.25">
      <c r="A769" s="20"/>
      <c r="B769" s="21" t="str">
        <f t="shared" si="33"/>
        <v/>
      </c>
      <c r="C769" s="21" t="str">
        <f t="shared" si="34"/>
        <v/>
      </c>
      <c r="D769" s="22"/>
      <c r="E769" s="22"/>
      <c r="F769" s="23"/>
      <c r="G769" s="24" t="str">
        <f>IF($D769="","",IFERROR(INDEX(Einstellungen!$B$4:$B$40,MATCH($D769,Einstellungen!$A$4:$A$40,0)),"?"))</f>
        <v/>
      </c>
      <c r="H769" s="22"/>
      <c r="I769" s="25" t="str">
        <f t="shared" si="35"/>
        <v/>
      </c>
    </row>
    <row r="770" spans="1:9" ht="15" customHeight="1" x14ac:dyDescent="0.25">
      <c r="A770" s="26"/>
      <c r="B770" s="17" t="str">
        <f t="shared" si="33"/>
        <v/>
      </c>
      <c r="C770" s="17" t="str">
        <f t="shared" si="34"/>
        <v/>
      </c>
      <c r="D770" s="27"/>
      <c r="E770" s="27"/>
      <c r="F770" s="28"/>
      <c r="G770" s="14" t="str">
        <f>IF($D770="","",IFERROR(INDEX(Einstellungen!$B$4:$B$40,MATCH($D770,Einstellungen!$A$4:$A$40,0)),"?"))</f>
        <v/>
      </c>
      <c r="H770" s="27"/>
      <c r="I770" s="11" t="str">
        <f t="shared" si="35"/>
        <v/>
      </c>
    </row>
    <row r="771" spans="1:9" ht="15" customHeight="1" x14ac:dyDescent="0.25">
      <c r="A771" s="20"/>
      <c r="B771" s="21" t="str">
        <f t="shared" si="33"/>
        <v/>
      </c>
      <c r="C771" s="21" t="str">
        <f t="shared" si="34"/>
        <v/>
      </c>
      <c r="D771" s="22"/>
      <c r="E771" s="22"/>
      <c r="F771" s="23"/>
      <c r="G771" s="24" t="str">
        <f>IF($D771="","",IFERROR(INDEX(Einstellungen!$B$4:$B$40,MATCH($D771,Einstellungen!$A$4:$A$40,0)),"?"))</f>
        <v/>
      </c>
      <c r="H771" s="22"/>
      <c r="I771" s="25" t="str">
        <f t="shared" si="35"/>
        <v/>
      </c>
    </row>
    <row r="772" spans="1:9" ht="15" customHeight="1" x14ac:dyDescent="0.25">
      <c r="A772" s="26"/>
      <c r="B772" s="17" t="str">
        <f t="shared" ref="B772:B835" si="36">IF($A772="","",YEAR($A772))</f>
        <v/>
      </c>
      <c r="C772" s="17" t="str">
        <f t="shared" ref="C772:C835" si="37">IF($A772="","",MONTH($A772))</f>
        <v/>
      </c>
      <c r="D772" s="27"/>
      <c r="E772" s="27"/>
      <c r="F772" s="28"/>
      <c r="G772" s="14" t="str">
        <f>IF($D772="","",IFERROR(INDEX(Einstellungen!$B$4:$B$40,MATCH($D772,Einstellungen!$A$4:$A$40,0)),"?"))</f>
        <v/>
      </c>
      <c r="H772" s="27"/>
      <c r="I772" s="11" t="str">
        <f t="shared" ref="I772:I835" si="38">IF($F772="","",IF($G772="Einnahme",$F772,-$F772))</f>
        <v/>
      </c>
    </row>
    <row r="773" spans="1:9" ht="15" customHeight="1" x14ac:dyDescent="0.25">
      <c r="A773" s="20"/>
      <c r="B773" s="21" t="str">
        <f t="shared" si="36"/>
        <v/>
      </c>
      <c r="C773" s="21" t="str">
        <f t="shared" si="37"/>
        <v/>
      </c>
      <c r="D773" s="22"/>
      <c r="E773" s="22"/>
      <c r="F773" s="23"/>
      <c r="G773" s="24" t="str">
        <f>IF($D773="","",IFERROR(INDEX(Einstellungen!$B$4:$B$40,MATCH($D773,Einstellungen!$A$4:$A$40,0)),"?"))</f>
        <v/>
      </c>
      <c r="H773" s="22"/>
      <c r="I773" s="25" t="str">
        <f t="shared" si="38"/>
        <v/>
      </c>
    </row>
    <row r="774" spans="1:9" ht="15" customHeight="1" x14ac:dyDescent="0.25">
      <c r="A774" s="26"/>
      <c r="B774" s="17" t="str">
        <f t="shared" si="36"/>
        <v/>
      </c>
      <c r="C774" s="17" t="str">
        <f t="shared" si="37"/>
        <v/>
      </c>
      <c r="D774" s="27"/>
      <c r="E774" s="27"/>
      <c r="F774" s="28"/>
      <c r="G774" s="14" t="str">
        <f>IF($D774="","",IFERROR(INDEX(Einstellungen!$B$4:$B$40,MATCH($D774,Einstellungen!$A$4:$A$40,0)),"?"))</f>
        <v/>
      </c>
      <c r="H774" s="27"/>
      <c r="I774" s="11" t="str">
        <f t="shared" si="38"/>
        <v/>
      </c>
    </row>
    <row r="775" spans="1:9" ht="15" customHeight="1" x14ac:dyDescent="0.25">
      <c r="A775" s="20"/>
      <c r="B775" s="21" t="str">
        <f t="shared" si="36"/>
        <v/>
      </c>
      <c r="C775" s="21" t="str">
        <f t="shared" si="37"/>
        <v/>
      </c>
      <c r="D775" s="22"/>
      <c r="E775" s="22"/>
      <c r="F775" s="23"/>
      <c r="G775" s="24" t="str">
        <f>IF($D775="","",IFERROR(INDEX(Einstellungen!$B$4:$B$40,MATCH($D775,Einstellungen!$A$4:$A$40,0)),"?"))</f>
        <v/>
      </c>
      <c r="H775" s="22"/>
      <c r="I775" s="25" t="str">
        <f t="shared" si="38"/>
        <v/>
      </c>
    </row>
    <row r="776" spans="1:9" ht="15" customHeight="1" x14ac:dyDescent="0.25">
      <c r="A776" s="26"/>
      <c r="B776" s="17" t="str">
        <f t="shared" si="36"/>
        <v/>
      </c>
      <c r="C776" s="17" t="str">
        <f t="shared" si="37"/>
        <v/>
      </c>
      <c r="D776" s="27"/>
      <c r="E776" s="27"/>
      <c r="F776" s="28"/>
      <c r="G776" s="14" t="str">
        <f>IF($D776="","",IFERROR(INDEX(Einstellungen!$B$4:$B$40,MATCH($D776,Einstellungen!$A$4:$A$40,0)),"?"))</f>
        <v/>
      </c>
      <c r="H776" s="27"/>
      <c r="I776" s="11" t="str">
        <f t="shared" si="38"/>
        <v/>
      </c>
    </row>
    <row r="777" spans="1:9" ht="15" customHeight="1" x14ac:dyDescent="0.25">
      <c r="A777" s="20"/>
      <c r="B777" s="21" t="str">
        <f t="shared" si="36"/>
        <v/>
      </c>
      <c r="C777" s="21" t="str">
        <f t="shared" si="37"/>
        <v/>
      </c>
      <c r="D777" s="22"/>
      <c r="E777" s="22"/>
      <c r="F777" s="23"/>
      <c r="G777" s="24" t="str">
        <f>IF($D777="","",IFERROR(INDEX(Einstellungen!$B$4:$B$40,MATCH($D777,Einstellungen!$A$4:$A$40,0)),"?"))</f>
        <v/>
      </c>
      <c r="H777" s="22"/>
      <c r="I777" s="25" t="str">
        <f t="shared" si="38"/>
        <v/>
      </c>
    </row>
    <row r="778" spans="1:9" ht="15" customHeight="1" x14ac:dyDescent="0.25">
      <c r="A778" s="26"/>
      <c r="B778" s="17" t="str">
        <f t="shared" si="36"/>
        <v/>
      </c>
      <c r="C778" s="17" t="str">
        <f t="shared" si="37"/>
        <v/>
      </c>
      <c r="D778" s="27"/>
      <c r="E778" s="27"/>
      <c r="F778" s="28"/>
      <c r="G778" s="14" t="str">
        <f>IF($D778="","",IFERROR(INDEX(Einstellungen!$B$4:$B$40,MATCH($D778,Einstellungen!$A$4:$A$40,0)),"?"))</f>
        <v/>
      </c>
      <c r="H778" s="27"/>
      <c r="I778" s="11" t="str">
        <f t="shared" si="38"/>
        <v/>
      </c>
    </row>
    <row r="779" spans="1:9" ht="15" customHeight="1" x14ac:dyDescent="0.25">
      <c r="A779" s="20"/>
      <c r="B779" s="21" t="str">
        <f t="shared" si="36"/>
        <v/>
      </c>
      <c r="C779" s="21" t="str">
        <f t="shared" si="37"/>
        <v/>
      </c>
      <c r="D779" s="22"/>
      <c r="E779" s="22"/>
      <c r="F779" s="23"/>
      <c r="G779" s="24" t="str">
        <f>IF($D779="","",IFERROR(INDEX(Einstellungen!$B$4:$B$40,MATCH($D779,Einstellungen!$A$4:$A$40,0)),"?"))</f>
        <v/>
      </c>
      <c r="H779" s="22"/>
      <c r="I779" s="25" t="str">
        <f t="shared" si="38"/>
        <v/>
      </c>
    </row>
    <row r="780" spans="1:9" ht="15" customHeight="1" x14ac:dyDescent="0.25">
      <c r="A780" s="26"/>
      <c r="B780" s="17" t="str">
        <f t="shared" si="36"/>
        <v/>
      </c>
      <c r="C780" s="17" t="str">
        <f t="shared" si="37"/>
        <v/>
      </c>
      <c r="D780" s="27"/>
      <c r="E780" s="27"/>
      <c r="F780" s="28"/>
      <c r="G780" s="14" t="str">
        <f>IF($D780="","",IFERROR(INDEX(Einstellungen!$B$4:$B$40,MATCH($D780,Einstellungen!$A$4:$A$40,0)),"?"))</f>
        <v/>
      </c>
      <c r="H780" s="27"/>
      <c r="I780" s="11" t="str">
        <f t="shared" si="38"/>
        <v/>
      </c>
    </row>
    <row r="781" spans="1:9" ht="15" customHeight="1" x14ac:dyDescent="0.25">
      <c r="A781" s="20"/>
      <c r="B781" s="21" t="str">
        <f t="shared" si="36"/>
        <v/>
      </c>
      <c r="C781" s="21" t="str">
        <f t="shared" si="37"/>
        <v/>
      </c>
      <c r="D781" s="22"/>
      <c r="E781" s="22"/>
      <c r="F781" s="23"/>
      <c r="G781" s="24" t="str">
        <f>IF($D781="","",IFERROR(INDEX(Einstellungen!$B$4:$B$40,MATCH($D781,Einstellungen!$A$4:$A$40,0)),"?"))</f>
        <v/>
      </c>
      <c r="H781" s="22"/>
      <c r="I781" s="25" t="str">
        <f t="shared" si="38"/>
        <v/>
      </c>
    </row>
    <row r="782" spans="1:9" ht="15" customHeight="1" x14ac:dyDescent="0.25">
      <c r="A782" s="26"/>
      <c r="B782" s="17" t="str">
        <f t="shared" si="36"/>
        <v/>
      </c>
      <c r="C782" s="17" t="str">
        <f t="shared" si="37"/>
        <v/>
      </c>
      <c r="D782" s="27"/>
      <c r="E782" s="27"/>
      <c r="F782" s="28"/>
      <c r="G782" s="14" t="str">
        <f>IF($D782="","",IFERROR(INDEX(Einstellungen!$B$4:$B$40,MATCH($D782,Einstellungen!$A$4:$A$40,0)),"?"))</f>
        <v/>
      </c>
      <c r="H782" s="27"/>
      <c r="I782" s="11" t="str">
        <f t="shared" si="38"/>
        <v/>
      </c>
    </row>
    <row r="783" spans="1:9" ht="15" customHeight="1" x14ac:dyDescent="0.25">
      <c r="A783" s="20"/>
      <c r="B783" s="21" t="str">
        <f t="shared" si="36"/>
        <v/>
      </c>
      <c r="C783" s="21" t="str">
        <f t="shared" si="37"/>
        <v/>
      </c>
      <c r="D783" s="22"/>
      <c r="E783" s="22"/>
      <c r="F783" s="23"/>
      <c r="G783" s="24" t="str">
        <f>IF($D783="","",IFERROR(INDEX(Einstellungen!$B$4:$B$40,MATCH($D783,Einstellungen!$A$4:$A$40,0)),"?"))</f>
        <v/>
      </c>
      <c r="H783" s="22"/>
      <c r="I783" s="25" t="str">
        <f t="shared" si="38"/>
        <v/>
      </c>
    </row>
    <row r="784" spans="1:9" ht="15" customHeight="1" x14ac:dyDescent="0.25">
      <c r="A784" s="26"/>
      <c r="B784" s="17" t="str">
        <f t="shared" si="36"/>
        <v/>
      </c>
      <c r="C784" s="17" t="str">
        <f t="shared" si="37"/>
        <v/>
      </c>
      <c r="D784" s="27"/>
      <c r="E784" s="27"/>
      <c r="F784" s="28"/>
      <c r="G784" s="14" t="str">
        <f>IF($D784="","",IFERROR(INDEX(Einstellungen!$B$4:$B$40,MATCH($D784,Einstellungen!$A$4:$A$40,0)),"?"))</f>
        <v/>
      </c>
      <c r="H784" s="27"/>
      <c r="I784" s="11" t="str">
        <f t="shared" si="38"/>
        <v/>
      </c>
    </row>
    <row r="785" spans="1:9" ht="15" customHeight="1" x14ac:dyDescent="0.25">
      <c r="A785" s="20"/>
      <c r="B785" s="21" t="str">
        <f t="shared" si="36"/>
        <v/>
      </c>
      <c r="C785" s="21" t="str">
        <f t="shared" si="37"/>
        <v/>
      </c>
      <c r="D785" s="22"/>
      <c r="E785" s="22"/>
      <c r="F785" s="23"/>
      <c r="G785" s="24" t="str">
        <f>IF($D785="","",IFERROR(INDEX(Einstellungen!$B$4:$B$40,MATCH($D785,Einstellungen!$A$4:$A$40,0)),"?"))</f>
        <v/>
      </c>
      <c r="H785" s="22"/>
      <c r="I785" s="25" t="str">
        <f t="shared" si="38"/>
        <v/>
      </c>
    </row>
    <row r="786" spans="1:9" ht="15" customHeight="1" x14ac:dyDescent="0.25">
      <c r="A786" s="26"/>
      <c r="B786" s="17" t="str">
        <f t="shared" si="36"/>
        <v/>
      </c>
      <c r="C786" s="17" t="str">
        <f t="shared" si="37"/>
        <v/>
      </c>
      <c r="D786" s="27"/>
      <c r="E786" s="27"/>
      <c r="F786" s="28"/>
      <c r="G786" s="14" t="str">
        <f>IF($D786="","",IFERROR(INDEX(Einstellungen!$B$4:$B$40,MATCH($D786,Einstellungen!$A$4:$A$40,0)),"?"))</f>
        <v/>
      </c>
      <c r="H786" s="27"/>
      <c r="I786" s="11" t="str">
        <f t="shared" si="38"/>
        <v/>
      </c>
    </row>
    <row r="787" spans="1:9" ht="15" customHeight="1" x14ac:dyDescent="0.25">
      <c r="A787" s="20"/>
      <c r="B787" s="21" t="str">
        <f t="shared" si="36"/>
        <v/>
      </c>
      <c r="C787" s="21" t="str">
        <f t="shared" si="37"/>
        <v/>
      </c>
      <c r="D787" s="22"/>
      <c r="E787" s="22"/>
      <c r="F787" s="23"/>
      <c r="G787" s="24" t="str">
        <f>IF($D787="","",IFERROR(INDEX(Einstellungen!$B$4:$B$40,MATCH($D787,Einstellungen!$A$4:$A$40,0)),"?"))</f>
        <v/>
      </c>
      <c r="H787" s="22"/>
      <c r="I787" s="25" t="str">
        <f t="shared" si="38"/>
        <v/>
      </c>
    </row>
    <row r="788" spans="1:9" ht="15" customHeight="1" x14ac:dyDescent="0.25">
      <c r="A788" s="26"/>
      <c r="B788" s="17" t="str">
        <f t="shared" si="36"/>
        <v/>
      </c>
      <c r="C788" s="17" t="str">
        <f t="shared" si="37"/>
        <v/>
      </c>
      <c r="D788" s="27"/>
      <c r="E788" s="27"/>
      <c r="F788" s="28"/>
      <c r="G788" s="14" t="str">
        <f>IF($D788="","",IFERROR(INDEX(Einstellungen!$B$4:$B$40,MATCH($D788,Einstellungen!$A$4:$A$40,0)),"?"))</f>
        <v/>
      </c>
      <c r="H788" s="27"/>
      <c r="I788" s="11" t="str">
        <f t="shared" si="38"/>
        <v/>
      </c>
    </row>
    <row r="789" spans="1:9" ht="15" customHeight="1" x14ac:dyDescent="0.25">
      <c r="A789" s="20"/>
      <c r="B789" s="21" t="str">
        <f t="shared" si="36"/>
        <v/>
      </c>
      <c r="C789" s="21" t="str">
        <f t="shared" si="37"/>
        <v/>
      </c>
      <c r="D789" s="22"/>
      <c r="E789" s="22"/>
      <c r="F789" s="23"/>
      <c r="G789" s="24" t="str">
        <f>IF($D789="","",IFERROR(INDEX(Einstellungen!$B$4:$B$40,MATCH($D789,Einstellungen!$A$4:$A$40,0)),"?"))</f>
        <v/>
      </c>
      <c r="H789" s="22"/>
      <c r="I789" s="25" t="str">
        <f t="shared" si="38"/>
        <v/>
      </c>
    </row>
    <row r="790" spans="1:9" ht="15" customHeight="1" x14ac:dyDescent="0.25">
      <c r="A790" s="26"/>
      <c r="B790" s="17" t="str">
        <f t="shared" si="36"/>
        <v/>
      </c>
      <c r="C790" s="17" t="str">
        <f t="shared" si="37"/>
        <v/>
      </c>
      <c r="D790" s="27"/>
      <c r="E790" s="27"/>
      <c r="F790" s="28"/>
      <c r="G790" s="14" t="str">
        <f>IF($D790="","",IFERROR(INDEX(Einstellungen!$B$4:$B$40,MATCH($D790,Einstellungen!$A$4:$A$40,0)),"?"))</f>
        <v/>
      </c>
      <c r="H790" s="27"/>
      <c r="I790" s="11" t="str">
        <f t="shared" si="38"/>
        <v/>
      </c>
    </row>
    <row r="791" spans="1:9" ht="15" customHeight="1" x14ac:dyDescent="0.25">
      <c r="A791" s="20"/>
      <c r="B791" s="21" t="str">
        <f t="shared" si="36"/>
        <v/>
      </c>
      <c r="C791" s="21" t="str">
        <f t="shared" si="37"/>
        <v/>
      </c>
      <c r="D791" s="22"/>
      <c r="E791" s="22"/>
      <c r="F791" s="23"/>
      <c r="G791" s="24" t="str">
        <f>IF($D791="","",IFERROR(INDEX(Einstellungen!$B$4:$B$40,MATCH($D791,Einstellungen!$A$4:$A$40,0)),"?"))</f>
        <v/>
      </c>
      <c r="H791" s="22"/>
      <c r="I791" s="25" t="str">
        <f t="shared" si="38"/>
        <v/>
      </c>
    </row>
    <row r="792" spans="1:9" ht="15" customHeight="1" x14ac:dyDescent="0.25">
      <c r="A792" s="26"/>
      <c r="B792" s="17" t="str">
        <f t="shared" si="36"/>
        <v/>
      </c>
      <c r="C792" s="17" t="str">
        <f t="shared" si="37"/>
        <v/>
      </c>
      <c r="D792" s="27"/>
      <c r="E792" s="27"/>
      <c r="F792" s="28"/>
      <c r="G792" s="14" t="str">
        <f>IF($D792="","",IFERROR(INDEX(Einstellungen!$B$4:$B$40,MATCH($D792,Einstellungen!$A$4:$A$40,0)),"?"))</f>
        <v/>
      </c>
      <c r="H792" s="27"/>
      <c r="I792" s="11" t="str">
        <f t="shared" si="38"/>
        <v/>
      </c>
    </row>
    <row r="793" spans="1:9" ht="15" customHeight="1" x14ac:dyDescent="0.25">
      <c r="A793" s="20"/>
      <c r="B793" s="21" t="str">
        <f t="shared" si="36"/>
        <v/>
      </c>
      <c r="C793" s="21" t="str">
        <f t="shared" si="37"/>
        <v/>
      </c>
      <c r="D793" s="22"/>
      <c r="E793" s="22"/>
      <c r="F793" s="23"/>
      <c r="G793" s="24" t="str">
        <f>IF($D793="","",IFERROR(INDEX(Einstellungen!$B$4:$B$40,MATCH($D793,Einstellungen!$A$4:$A$40,0)),"?"))</f>
        <v/>
      </c>
      <c r="H793" s="22"/>
      <c r="I793" s="25" t="str">
        <f t="shared" si="38"/>
        <v/>
      </c>
    </row>
    <row r="794" spans="1:9" ht="15" customHeight="1" x14ac:dyDescent="0.25">
      <c r="A794" s="26"/>
      <c r="B794" s="17" t="str">
        <f t="shared" si="36"/>
        <v/>
      </c>
      <c r="C794" s="17" t="str">
        <f t="shared" si="37"/>
        <v/>
      </c>
      <c r="D794" s="27"/>
      <c r="E794" s="27"/>
      <c r="F794" s="28"/>
      <c r="G794" s="14" t="str">
        <f>IF($D794="","",IFERROR(INDEX(Einstellungen!$B$4:$B$40,MATCH($D794,Einstellungen!$A$4:$A$40,0)),"?"))</f>
        <v/>
      </c>
      <c r="H794" s="27"/>
      <c r="I794" s="11" t="str">
        <f t="shared" si="38"/>
        <v/>
      </c>
    </row>
    <row r="795" spans="1:9" ht="15" customHeight="1" x14ac:dyDescent="0.25">
      <c r="A795" s="20"/>
      <c r="B795" s="21" t="str">
        <f t="shared" si="36"/>
        <v/>
      </c>
      <c r="C795" s="21" t="str">
        <f t="shared" si="37"/>
        <v/>
      </c>
      <c r="D795" s="22"/>
      <c r="E795" s="22"/>
      <c r="F795" s="23"/>
      <c r="G795" s="24" t="str">
        <f>IF($D795="","",IFERROR(INDEX(Einstellungen!$B$4:$B$40,MATCH($D795,Einstellungen!$A$4:$A$40,0)),"?"))</f>
        <v/>
      </c>
      <c r="H795" s="22"/>
      <c r="I795" s="25" t="str">
        <f t="shared" si="38"/>
        <v/>
      </c>
    </row>
    <row r="796" spans="1:9" ht="15" customHeight="1" x14ac:dyDescent="0.25">
      <c r="A796" s="26"/>
      <c r="B796" s="17" t="str">
        <f t="shared" si="36"/>
        <v/>
      </c>
      <c r="C796" s="17" t="str">
        <f t="shared" si="37"/>
        <v/>
      </c>
      <c r="D796" s="27"/>
      <c r="E796" s="27"/>
      <c r="F796" s="28"/>
      <c r="G796" s="14" t="str">
        <f>IF($D796="","",IFERROR(INDEX(Einstellungen!$B$4:$B$40,MATCH($D796,Einstellungen!$A$4:$A$40,0)),"?"))</f>
        <v/>
      </c>
      <c r="H796" s="27"/>
      <c r="I796" s="11" t="str">
        <f t="shared" si="38"/>
        <v/>
      </c>
    </row>
    <row r="797" spans="1:9" ht="15" customHeight="1" x14ac:dyDescent="0.25">
      <c r="A797" s="20"/>
      <c r="B797" s="21" t="str">
        <f t="shared" si="36"/>
        <v/>
      </c>
      <c r="C797" s="21" t="str">
        <f t="shared" si="37"/>
        <v/>
      </c>
      <c r="D797" s="22"/>
      <c r="E797" s="22"/>
      <c r="F797" s="23"/>
      <c r="G797" s="24" t="str">
        <f>IF($D797="","",IFERROR(INDEX(Einstellungen!$B$4:$B$40,MATCH($D797,Einstellungen!$A$4:$A$40,0)),"?"))</f>
        <v/>
      </c>
      <c r="H797" s="22"/>
      <c r="I797" s="25" t="str">
        <f t="shared" si="38"/>
        <v/>
      </c>
    </row>
    <row r="798" spans="1:9" ht="15" customHeight="1" x14ac:dyDescent="0.25">
      <c r="A798" s="26"/>
      <c r="B798" s="17" t="str">
        <f t="shared" si="36"/>
        <v/>
      </c>
      <c r="C798" s="17" t="str">
        <f t="shared" si="37"/>
        <v/>
      </c>
      <c r="D798" s="27"/>
      <c r="E798" s="27"/>
      <c r="F798" s="28"/>
      <c r="G798" s="14" t="str">
        <f>IF($D798="","",IFERROR(INDEX(Einstellungen!$B$4:$B$40,MATCH($D798,Einstellungen!$A$4:$A$40,0)),"?"))</f>
        <v/>
      </c>
      <c r="H798" s="27"/>
      <c r="I798" s="11" t="str">
        <f t="shared" si="38"/>
        <v/>
      </c>
    </row>
    <row r="799" spans="1:9" ht="15" customHeight="1" x14ac:dyDescent="0.25">
      <c r="A799" s="20"/>
      <c r="B799" s="21" t="str">
        <f t="shared" si="36"/>
        <v/>
      </c>
      <c r="C799" s="21" t="str">
        <f t="shared" si="37"/>
        <v/>
      </c>
      <c r="D799" s="22"/>
      <c r="E799" s="22"/>
      <c r="F799" s="23"/>
      <c r="G799" s="24" t="str">
        <f>IF($D799="","",IFERROR(INDEX(Einstellungen!$B$4:$B$40,MATCH($D799,Einstellungen!$A$4:$A$40,0)),"?"))</f>
        <v/>
      </c>
      <c r="H799" s="22"/>
      <c r="I799" s="25" t="str">
        <f t="shared" si="38"/>
        <v/>
      </c>
    </row>
    <row r="800" spans="1:9" ht="15" customHeight="1" x14ac:dyDescent="0.25">
      <c r="A800" s="26"/>
      <c r="B800" s="17" t="str">
        <f t="shared" si="36"/>
        <v/>
      </c>
      <c r="C800" s="17" t="str">
        <f t="shared" si="37"/>
        <v/>
      </c>
      <c r="D800" s="27"/>
      <c r="E800" s="27"/>
      <c r="F800" s="28"/>
      <c r="G800" s="14" t="str">
        <f>IF($D800="","",IFERROR(INDEX(Einstellungen!$B$4:$B$40,MATCH($D800,Einstellungen!$A$4:$A$40,0)),"?"))</f>
        <v/>
      </c>
      <c r="H800" s="27"/>
      <c r="I800" s="11" t="str">
        <f t="shared" si="38"/>
        <v/>
      </c>
    </row>
    <row r="801" spans="1:9" ht="15" customHeight="1" x14ac:dyDescent="0.25">
      <c r="A801" s="20"/>
      <c r="B801" s="21" t="str">
        <f t="shared" si="36"/>
        <v/>
      </c>
      <c r="C801" s="21" t="str">
        <f t="shared" si="37"/>
        <v/>
      </c>
      <c r="D801" s="22"/>
      <c r="E801" s="22"/>
      <c r="F801" s="23"/>
      <c r="G801" s="24" t="str">
        <f>IF($D801="","",IFERROR(INDEX(Einstellungen!$B$4:$B$40,MATCH($D801,Einstellungen!$A$4:$A$40,0)),"?"))</f>
        <v/>
      </c>
      <c r="H801" s="22"/>
      <c r="I801" s="25" t="str">
        <f t="shared" si="38"/>
        <v/>
      </c>
    </row>
    <row r="802" spans="1:9" ht="15" customHeight="1" x14ac:dyDescent="0.25">
      <c r="A802" s="26"/>
      <c r="B802" s="17" t="str">
        <f t="shared" si="36"/>
        <v/>
      </c>
      <c r="C802" s="17" t="str">
        <f t="shared" si="37"/>
        <v/>
      </c>
      <c r="D802" s="27"/>
      <c r="E802" s="27"/>
      <c r="F802" s="28"/>
      <c r="G802" s="14" t="str">
        <f>IF($D802="","",IFERROR(INDEX(Einstellungen!$B$4:$B$40,MATCH($D802,Einstellungen!$A$4:$A$40,0)),"?"))</f>
        <v/>
      </c>
      <c r="H802" s="27"/>
      <c r="I802" s="11" t="str">
        <f t="shared" si="38"/>
        <v/>
      </c>
    </row>
    <row r="803" spans="1:9" ht="15" customHeight="1" x14ac:dyDescent="0.25">
      <c r="A803" s="20"/>
      <c r="B803" s="21" t="str">
        <f t="shared" si="36"/>
        <v/>
      </c>
      <c r="C803" s="21" t="str">
        <f t="shared" si="37"/>
        <v/>
      </c>
      <c r="D803" s="22"/>
      <c r="E803" s="22"/>
      <c r="F803" s="23"/>
      <c r="G803" s="24" t="str">
        <f>IF($D803="","",IFERROR(INDEX(Einstellungen!$B$4:$B$40,MATCH($D803,Einstellungen!$A$4:$A$40,0)),"?"))</f>
        <v/>
      </c>
      <c r="H803" s="22"/>
      <c r="I803" s="25" t="str">
        <f t="shared" si="38"/>
        <v/>
      </c>
    </row>
    <row r="804" spans="1:9" ht="15" customHeight="1" x14ac:dyDescent="0.25">
      <c r="A804" s="26"/>
      <c r="B804" s="17" t="str">
        <f t="shared" si="36"/>
        <v/>
      </c>
      <c r="C804" s="17" t="str">
        <f t="shared" si="37"/>
        <v/>
      </c>
      <c r="D804" s="27"/>
      <c r="E804" s="27"/>
      <c r="F804" s="28"/>
      <c r="G804" s="14" t="str">
        <f>IF($D804="","",IFERROR(INDEX(Einstellungen!$B$4:$B$40,MATCH($D804,Einstellungen!$A$4:$A$40,0)),"?"))</f>
        <v/>
      </c>
      <c r="H804" s="27"/>
      <c r="I804" s="11" t="str">
        <f t="shared" si="38"/>
        <v/>
      </c>
    </row>
    <row r="805" spans="1:9" ht="15" customHeight="1" x14ac:dyDescent="0.25">
      <c r="A805" s="20"/>
      <c r="B805" s="21" t="str">
        <f t="shared" si="36"/>
        <v/>
      </c>
      <c r="C805" s="21" t="str">
        <f t="shared" si="37"/>
        <v/>
      </c>
      <c r="D805" s="22"/>
      <c r="E805" s="22"/>
      <c r="F805" s="23"/>
      <c r="G805" s="24" t="str">
        <f>IF($D805="","",IFERROR(INDEX(Einstellungen!$B$4:$B$40,MATCH($D805,Einstellungen!$A$4:$A$40,0)),"?"))</f>
        <v/>
      </c>
      <c r="H805" s="22"/>
      <c r="I805" s="25" t="str">
        <f t="shared" si="38"/>
        <v/>
      </c>
    </row>
    <row r="806" spans="1:9" ht="15" customHeight="1" x14ac:dyDescent="0.25">
      <c r="A806" s="26"/>
      <c r="B806" s="17" t="str">
        <f t="shared" si="36"/>
        <v/>
      </c>
      <c r="C806" s="17" t="str">
        <f t="shared" si="37"/>
        <v/>
      </c>
      <c r="D806" s="27"/>
      <c r="E806" s="27"/>
      <c r="F806" s="28"/>
      <c r="G806" s="14" t="str">
        <f>IF($D806="","",IFERROR(INDEX(Einstellungen!$B$4:$B$40,MATCH($D806,Einstellungen!$A$4:$A$40,0)),"?"))</f>
        <v/>
      </c>
      <c r="H806" s="27"/>
      <c r="I806" s="11" t="str">
        <f t="shared" si="38"/>
        <v/>
      </c>
    </row>
    <row r="807" spans="1:9" ht="15" customHeight="1" x14ac:dyDescent="0.25">
      <c r="A807" s="20"/>
      <c r="B807" s="21" t="str">
        <f t="shared" si="36"/>
        <v/>
      </c>
      <c r="C807" s="21" t="str">
        <f t="shared" si="37"/>
        <v/>
      </c>
      <c r="D807" s="22"/>
      <c r="E807" s="22"/>
      <c r="F807" s="23"/>
      <c r="G807" s="24" t="str">
        <f>IF($D807="","",IFERROR(INDEX(Einstellungen!$B$4:$B$40,MATCH($D807,Einstellungen!$A$4:$A$40,0)),"?"))</f>
        <v/>
      </c>
      <c r="H807" s="22"/>
      <c r="I807" s="25" t="str">
        <f t="shared" si="38"/>
        <v/>
      </c>
    </row>
    <row r="808" spans="1:9" ht="15" customHeight="1" x14ac:dyDescent="0.25">
      <c r="A808" s="26"/>
      <c r="B808" s="17" t="str">
        <f t="shared" si="36"/>
        <v/>
      </c>
      <c r="C808" s="17" t="str">
        <f t="shared" si="37"/>
        <v/>
      </c>
      <c r="D808" s="27"/>
      <c r="E808" s="27"/>
      <c r="F808" s="28"/>
      <c r="G808" s="14" t="str">
        <f>IF($D808="","",IFERROR(INDEX(Einstellungen!$B$4:$B$40,MATCH($D808,Einstellungen!$A$4:$A$40,0)),"?"))</f>
        <v/>
      </c>
      <c r="H808" s="27"/>
      <c r="I808" s="11" t="str">
        <f t="shared" si="38"/>
        <v/>
      </c>
    </row>
    <row r="809" spans="1:9" ht="15" customHeight="1" x14ac:dyDescent="0.25">
      <c r="A809" s="20"/>
      <c r="B809" s="21" t="str">
        <f t="shared" si="36"/>
        <v/>
      </c>
      <c r="C809" s="21" t="str">
        <f t="shared" si="37"/>
        <v/>
      </c>
      <c r="D809" s="22"/>
      <c r="E809" s="22"/>
      <c r="F809" s="23"/>
      <c r="G809" s="24" t="str">
        <f>IF($D809="","",IFERROR(INDEX(Einstellungen!$B$4:$B$40,MATCH($D809,Einstellungen!$A$4:$A$40,0)),"?"))</f>
        <v/>
      </c>
      <c r="H809" s="22"/>
      <c r="I809" s="25" t="str">
        <f t="shared" si="38"/>
        <v/>
      </c>
    </row>
    <row r="810" spans="1:9" ht="15" customHeight="1" x14ac:dyDescent="0.25">
      <c r="A810" s="26"/>
      <c r="B810" s="17" t="str">
        <f t="shared" si="36"/>
        <v/>
      </c>
      <c r="C810" s="17" t="str">
        <f t="shared" si="37"/>
        <v/>
      </c>
      <c r="D810" s="27"/>
      <c r="E810" s="27"/>
      <c r="F810" s="28"/>
      <c r="G810" s="14" t="str">
        <f>IF($D810="","",IFERROR(INDEX(Einstellungen!$B$4:$B$40,MATCH($D810,Einstellungen!$A$4:$A$40,0)),"?"))</f>
        <v/>
      </c>
      <c r="H810" s="27"/>
      <c r="I810" s="11" t="str">
        <f t="shared" si="38"/>
        <v/>
      </c>
    </row>
    <row r="811" spans="1:9" ht="15" customHeight="1" x14ac:dyDescent="0.25">
      <c r="A811" s="20"/>
      <c r="B811" s="21" t="str">
        <f t="shared" si="36"/>
        <v/>
      </c>
      <c r="C811" s="21" t="str">
        <f t="shared" si="37"/>
        <v/>
      </c>
      <c r="D811" s="22"/>
      <c r="E811" s="22"/>
      <c r="F811" s="23"/>
      <c r="G811" s="24" t="str">
        <f>IF($D811="","",IFERROR(INDEX(Einstellungen!$B$4:$B$40,MATCH($D811,Einstellungen!$A$4:$A$40,0)),"?"))</f>
        <v/>
      </c>
      <c r="H811" s="22"/>
      <c r="I811" s="25" t="str">
        <f t="shared" si="38"/>
        <v/>
      </c>
    </row>
    <row r="812" spans="1:9" ht="15" customHeight="1" x14ac:dyDescent="0.25">
      <c r="A812" s="26"/>
      <c r="B812" s="17" t="str">
        <f t="shared" si="36"/>
        <v/>
      </c>
      <c r="C812" s="17" t="str">
        <f t="shared" si="37"/>
        <v/>
      </c>
      <c r="D812" s="27"/>
      <c r="E812" s="27"/>
      <c r="F812" s="28"/>
      <c r="G812" s="14" t="str">
        <f>IF($D812="","",IFERROR(INDEX(Einstellungen!$B$4:$B$40,MATCH($D812,Einstellungen!$A$4:$A$40,0)),"?"))</f>
        <v/>
      </c>
      <c r="H812" s="27"/>
      <c r="I812" s="11" t="str">
        <f t="shared" si="38"/>
        <v/>
      </c>
    </row>
    <row r="813" spans="1:9" ht="15" customHeight="1" x14ac:dyDescent="0.25">
      <c r="A813" s="20"/>
      <c r="B813" s="21" t="str">
        <f t="shared" si="36"/>
        <v/>
      </c>
      <c r="C813" s="21" t="str">
        <f t="shared" si="37"/>
        <v/>
      </c>
      <c r="D813" s="22"/>
      <c r="E813" s="22"/>
      <c r="F813" s="23"/>
      <c r="G813" s="24" t="str">
        <f>IF($D813="","",IFERROR(INDEX(Einstellungen!$B$4:$B$40,MATCH($D813,Einstellungen!$A$4:$A$40,0)),"?"))</f>
        <v/>
      </c>
      <c r="H813" s="22"/>
      <c r="I813" s="25" t="str">
        <f t="shared" si="38"/>
        <v/>
      </c>
    </row>
    <row r="814" spans="1:9" ht="15" customHeight="1" x14ac:dyDescent="0.25">
      <c r="A814" s="26"/>
      <c r="B814" s="17" t="str">
        <f t="shared" si="36"/>
        <v/>
      </c>
      <c r="C814" s="17" t="str">
        <f t="shared" si="37"/>
        <v/>
      </c>
      <c r="D814" s="27"/>
      <c r="E814" s="27"/>
      <c r="F814" s="28"/>
      <c r="G814" s="14" t="str">
        <f>IF($D814="","",IFERROR(INDEX(Einstellungen!$B$4:$B$40,MATCH($D814,Einstellungen!$A$4:$A$40,0)),"?"))</f>
        <v/>
      </c>
      <c r="H814" s="27"/>
      <c r="I814" s="11" t="str">
        <f t="shared" si="38"/>
        <v/>
      </c>
    </row>
    <row r="815" spans="1:9" ht="15" customHeight="1" x14ac:dyDescent="0.25">
      <c r="A815" s="20"/>
      <c r="B815" s="21" t="str">
        <f t="shared" si="36"/>
        <v/>
      </c>
      <c r="C815" s="21" t="str">
        <f t="shared" si="37"/>
        <v/>
      </c>
      <c r="D815" s="22"/>
      <c r="E815" s="22"/>
      <c r="F815" s="23"/>
      <c r="G815" s="24" t="str">
        <f>IF($D815="","",IFERROR(INDEX(Einstellungen!$B$4:$B$40,MATCH($D815,Einstellungen!$A$4:$A$40,0)),"?"))</f>
        <v/>
      </c>
      <c r="H815" s="22"/>
      <c r="I815" s="25" t="str">
        <f t="shared" si="38"/>
        <v/>
      </c>
    </row>
    <row r="816" spans="1:9" ht="15" customHeight="1" x14ac:dyDescent="0.25">
      <c r="A816" s="26"/>
      <c r="B816" s="17" t="str">
        <f t="shared" si="36"/>
        <v/>
      </c>
      <c r="C816" s="17" t="str">
        <f t="shared" si="37"/>
        <v/>
      </c>
      <c r="D816" s="27"/>
      <c r="E816" s="27"/>
      <c r="F816" s="28"/>
      <c r="G816" s="14" t="str">
        <f>IF($D816="","",IFERROR(INDEX(Einstellungen!$B$4:$B$40,MATCH($D816,Einstellungen!$A$4:$A$40,0)),"?"))</f>
        <v/>
      </c>
      <c r="H816" s="27"/>
      <c r="I816" s="11" t="str">
        <f t="shared" si="38"/>
        <v/>
      </c>
    </row>
    <row r="817" spans="1:9" ht="15" customHeight="1" x14ac:dyDescent="0.25">
      <c r="A817" s="20"/>
      <c r="B817" s="21" t="str">
        <f t="shared" si="36"/>
        <v/>
      </c>
      <c r="C817" s="21" t="str">
        <f t="shared" si="37"/>
        <v/>
      </c>
      <c r="D817" s="22"/>
      <c r="E817" s="22"/>
      <c r="F817" s="23"/>
      <c r="G817" s="24" t="str">
        <f>IF($D817="","",IFERROR(INDEX(Einstellungen!$B$4:$B$40,MATCH($D817,Einstellungen!$A$4:$A$40,0)),"?"))</f>
        <v/>
      </c>
      <c r="H817" s="22"/>
      <c r="I817" s="25" t="str">
        <f t="shared" si="38"/>
        <v/>
      </c>
    </row>
    <row r="818" spans="1:9" ht="15" customHeight="1" x14ac:dyDescent="0.25">
      <c r="A818" s="26"/>
      <c r="B818" s="17" t="str">
        <f t="shared" si="36"/>
        <v/>
      </c>
      <c r="C818" s="17" t="str">
        <f t="shared" si="37"/>
        <v/>
      </c>
      <c r="D818" s="27"/>
      <c r="E818" s="27"/>
      <c r="F818" s="28"/>
      <c r="G818" s="14" t="str">
        <f>IF($D818="","",IFERROR(INDEX(Einstellungen!$B$4:$B$40,MATCH($D818,Einstellungen!$A$4:$A$40,0)),"?"))</f>
        <v/>
      </c>
      <c r="H818" s="27"/>
      <c r="I818" s="11" t="str">
        <f t="shared" si="38"/>
        <v/>
      </c>
    </row>
    <row r="819" spans="1:9" ht="15" customHeight="1" x14ac:dyDescent="0.25">
      <c r="A819" s="20"/>
      <c r="B819" s="21" t="str">
        <f t="shared" si="36"/>
        <v/>
      </c>
      <c r="C819" s="21" t="str">
        <f t="shared" si="37"/>
        <v/>
      </c>
      <c r="D819" s="22"/>
      <c r="E819" s="22"/>
      <c r="F819" s="23"/>
      <c r="G819" s="24" t="str">
        <f>IF($D819="","",IFERROR(INDEX(Einstellungen!$B$4:$B$40,MATCH($D819,Einstellungen!$A$4:$A$40,0)),"?"))</f>
        <v/>
      </c>
      <c r="H819" s="22"/>
      <c r="I819" s="25" t="str">
        <f t="shared" si="38"/>
        <v/>
      </c>
    </row>
    <row r="820" spans="1:9" ht="15" customHeight="1" x14ac:dyDescent="0.25">
      <c r="A820" s="26"/>
      <c r="B820" s="17" t="str">
        <f t="shared" si="36"/>
        <v/>
      </c>
      <c r="C820" s="17" t="str">
        <f t="shared" si="37"/>
        <v/>
      </c>
      <c r="D820" s="27"/>
      <c r="E820" s="27"/>
      <c r="F820" s="28"/>
      <c r="G820" s="14" t="str">
        <f>IF($D820="","",IFERROR(INDEX(Einstellungen!$B$4:$B$40,MATCH($D820,Einstellungen!$A$4:$A$40,0)),"?"))</f>
        <v/>
      </c>
      <c r="H820" s="27"/>
      <c r="I820" s="11" t="str">
        <f t="shared" si="38"/>
        <v/>
      </c>
    </row>
    <row r="821" spans="1:9" ht="15" customHeight="1" x14ac:dyDescent="0.25">
      <c r="A821" s="20"/>
      <c r="B821" s="21" t="str">
        <f t="shared" si="36"/>
        <v/>
      </c>
      <c r="C821" s="21" t="str">
        <f t="shared" si="37"/>
        <v/>
      </c>
      <c r="D821" s="22"/>
      <c r="E821" s="22"/>
      <c r="F821" s="23"/>
      <c r="G821" s="24" t="str">
        <f>IF($D821="","",IFERROR(INDEX(Einstellungen!$B$4:$B$40,MATCH($D821,Einstellungen!$A$4:$A$40,0)),"?"))</f>
        <v/>
      </c>
      <c r="H821" s="22"/>
      <c r="I821" s="25" t="str">
        <f t="shared" si="38"/>
        <v/>
      </c>
    </row>
    <row r="822" spans="1:9" ht="15" customHeight="1" x14ac:dyDescent="0.25">
      <c r="A822" s="26"/>
      <c r="B822" s="17" t="str">
        <f t="shared" si="36"/>
        <v/>
      </c>
      <c r="C822" s="17" t="str">
        <f t="shared" si="37"/>
        <v/>
      </c>
      <c r="D822" s="27"/>
      <c r="E822" s="27"/>
      <c r="F822" s="28"/>
      <c r="G822" s="14" t="str">
        <f>IF($D822="","",IFERROR(INDEX(Einstellungen!$B$4:$B$40,MATCH($D822,Einstellungen!$A$4:$A$40,0)),"?"))</f>
        <v/>
      </c>
      <c r="H822" s="27"/>
      <c r="I822" s="11" t="str">
        <f t="shared" si="38"/>
        <v/>
      </c>
    </row>
    <row r="823" spans="1:9" ht="15" customHeight="1" x14ac:dyDescent="0.25">
      <c r="A823" s="20"/>
      <c r="B823" s="21" t="str">
        <f t="shared" si="36"/>
        <v/>
      </c>
      <c r="C823" s="21" t="str">
        <f t="shared" si="37"/>
        <v/>
      </c>
      <c r="D823" s="22"/>
      <c r="E823" s="22"/>
      <c r="F823" s="23"/>
      <c r="G823" s="24" t="str">
        <f>IF($D823="","",IFERROR(INDEX(Einstellungen!$B$4:$B$40,MATCH($D823,Einstellungen!$A$4:$A$40,0)),"?"))</f>
        <v/>
      </c>
      <c r="H823" s="22"/>
      <c r="I823" s="25" t="str">
        <f t="shared" si="38"/>
        <v/>
      </c>
    </row>
    <row r="824" spans="1:9" ht="15" customHeight="1" x14ac:dyDescent="0.25">
      <c r="A824" s="26"/>
      <c r="B824" s="17" t="str">
        <f t="shared" si="36"/>
        <v/>
      </c>
      <c r="C824" s="17" t="str">
        <f t="shared" si="37"/>
        <v/>
      </c>
      <c r="D824" s="27"/>
      <c r="E824" s="27"/>
      <c r="F824" s="28"/>
      <c r="G824" s="14" t="str">
        <f>IF($D824="","",IFERROR(INDEX(Einstellungen!$B$4:$B$40,MATCH($D824,Einstellungen!$A$4:$A$40,0)),"?"))</f>
        <v/>
      </c>
      <c r="H824" s="27"/>
      <c r="I824" s="11" t="str">
        <f t="shared" si="38"/>
        <v/>
      </c>
    </row>
    <row r="825" spans="1:9" ht="15" customHeight="1" x14ac:dyDescent="0.25">
      <c r="A825" s="20"/>
      <c r="B825" s="21" t="str">
        <f t="shared" si="36"/>
        <v/>
      </c>
      <c r="C825" s="21" t="str">
        <f t="shared" si="37"/>
        <v/>
      </c>
      <c r="D825" s="22"/>
      <c r="E825" s="22"/>
      <c r="F825" s="23"/>
      <c r="G825" s="24" t="str">
        <f>IF($D825="","",IFERROR(INDEX(Einstellungen!$B$4:$B$40,MATCH($D825,Einstellungen!$A$4:$A$40,0)),"?"))</f>
        <v/>
      </c>
      <c r="H825" s="22"/>
      <c r="I825" s="25" t="str">
        <f t="shared" si="38"/>
        <v/>
      </c>
    </row>
    <row r="826" spans="1:9" ht="15" customHeight="1" x14ac:dyDescent="0.25">
      <c r="A826" s="26"/>
      <c r="B826" s="17" t="str">
        <f t="shared" si="36"/>
        <v/>
      </c>
      <c r="C826" s="17" t="str">
        <f t="shared" si="37"/>
        <v/>
      </c>
      <c r="D826" s="27"/>
      <c r="E826" s="27"/>
      <c r="F826" s="28"/>
      <c r="G826" s="14" t="str">
        <f>IF($D826="","",IFERROR(INDEX(Einstellungen!$B$4:$B$40,MATCH($D826,Einstellungen!$A$4:$A$40,0)),"?"))</f>
        <v/>
      </c>
      <c r="H826" s="27"/>
      <c r="I826" s="11" t="str">
        <f t="shared" si="38"/>
        <v/>
      </c>
    </row>
    <row r="827" spans="1:9" ht="15" customHeight="1" x14ac:dyDescent="0.25">
      <c r="A827" s="20"/>
      <c r="B827" s="21" t="str">
        <f t="shared" si="36"/>
        <v/>
      </c>
      <c r="C827" s="21" t="str">
        <f t="shared" si="37"/>
        <v/>
      </c>
      <c r="D827" s="22"/>
      <c r="E827" s="22"/>
      <c r="F827" s="23"/>
      <c r="G827" s="24" t="str">
        <f>IF($D827="","",IFERROR(INDEX(Einstellungen!$B$4:$B$40,MATCH($D827,Einstellungen!$A$4:$A$40,0)),"?"))</f>
        <v/>
      </c>
      <c r="H827" s="22"/>
      <c r="I827" s="25" t="str">
        <f t="shared" si="38"/>
        <v/>
      </c>
    </row>
    <row r="828" spans="1:9" ht="15" customHeight="1" x14ac:dyDescent="0.25">
      <c r="A828" s="26"/>
      <c r="B828" s="17" t="str">
        <f t="shared" si="36"/>
        <v/>
      </c>
      <c r="C828" s="17" t="str">
        <f t="shared" si="37"/>
        <v/>
      </c>
      <c r="D828" s="27"/>
      <c r="E828" s="27"/>
      <c r="F828" s="28"/>
      <c r="G828" s="14" t="str">
        <f>IF($D828="","",IFERROR(INDEX(Einstellungen!$B$4:$B$40,MATCH($D828,Einstellungen!$A$4:$A$40,0)),"?"))</f>
        <v/>
      </c>
      <c r="H828" s="27"/>
      <c r="I828" s="11" t="str">
        <f t="shared" si="38"/>
        <v/>
      </c>
    </row>
    <row r="829" spans="1:9" ht="15" customHeight="1" x14ac:dyDescent="0.25">
      <c r="A829" s="20"/>
      <c r="B829" s="21" t="str">
        <f t="shared" si="36"/>
        <v/>
      </c>
      <c r="C829" s="21" t="str">
        <f t="shared" si="37"/>
        <v/>
      </c>
      <c r="D829" s="22"/>
      <c r="E829" s="22"/>
      <c r="F829" s="23"/>
      <c r="G829" s="24" t="str">
        <f>IF($D829="","",IFERROR(INDEX(Einstellungen!$B$4:$B$40,MATCH($D829,Einstellungen!$A$4:$A$40,0)),"?"))</f>
        <v/>
      </c>
      <c r="H829" s="22"/>
      <c r="I829" s="25" t="str">
        <f t="shared" si="38"/>
        <v/>
      </c>
    </row>
    <row r="830" spans="1:9" ht="15" customHeight="1" x14ac:dyDescent="0.25">
      <c r="A830" s="26"/>
      <c r="B830" s="17" t="str">
        <f t="shared" si="36"/>
        <v/>
      </c>
      <c r="C830" s="17" t="str">
        <f t="shared" si="37"/>
        <v/>
      </c>
      <c r="D830" s="27"/>
      <c r="E830" s="27"/>
      <c r="F830" s="28"/>
      <c r="G830" s="14" t="str">
        <f>IF($D830="","",IFERROR(INDEX(Einstellungen!$B$4:$B$40,MATCH($D830,Einstellungen!$A$4:$A$40,0)),"?"))</f>
        <v/>
      </c>
      <c r="H830" s="27"/>
      <c r="I830" s="11" t="str">
        <f t="shared" si="38"/>
        <v/>
      </c>
    </row>
    <row r="831" spans="1:9" ht="15" customHeight="1" x14ac:dyDescent="0.25">
      <c r="A831" s="20"/>
      <c r="B831" s="21" t="str">
        <f t="shared" si="36"/>
        <v/>
      </c>
      <c r="C831" s="21" t="str">
        <f t="shared" si="37"/>
        <v/>
      </c>
      <c r="D831" s="22"/>
      <c r="E831" s="22"/>
      <c r="F831" s="23"/>
      <c r="G831" s="24" t="str">
        <f>IF($D831="","",IFERROR(INDEX(Einstellungen!$B$4:$B$40,MATCH($D831,Einstellungen!$A$4:$A$40,0)),"?"))</f>
        <v/>
      </c>
      <c r="H831" s="22"/>
      <c r="I831" s="25" t="str">
        <f t="shared" si="38"/>
        <v/>
      </c>
    </row>
    <row r="832" spans="1:9" ht="15" customHeight="1" x14ac:dyDescent="0.25">
      <c r="A832" s="26"/>
      <c r="B832" s="17" t="str">
        <f t="shared" si="36"/>
        <v/>
      </c>
      <c r="C832" s="17" t="str">
        <f t="shared" si="37"/>
        <v/>
      </c>
      <c r="D832" s="27"/>
      <c r="E832" s="27"/>
      <c r="F832" s="28"/>
      <c r="G832" s="14" t="str">
        <f>IF($D832="","",IFERROR(INDEX(Einstellungen!$B$4:$B$40,MATCH($D832,Einstellungen!$A$4:$A$40,0)),"?"))</f>
        <v/>
      </c>
      <c r="H832" s="27"/>
      <c r="I832" s="11" t="str">
        <f t="shared" si="38"/>
        <v/>
      </c>
    </row>
    <row r="833" spans="1:9" ht="15" customHeight="1" x14ac:dyDescent="0.25">
      <c r="A833" s="20"/>
      <c r="B833" s="21" t="str">
        <f t="shared" si="36"/>
        <v/>
      </c>
      <c r="C833" s="21" t="str">
        <f t="shared" si="37"/>
        <v/>
      </c>
      <c r="D833" s="22"/>
      <c r="E833" s="22"/>
      <c r="F833" s="23"/>
      <c r="G833" s="24" t="str">
        <f>IF($D833="","",IFERROR(INDEX(Einstellungen!$B$4:$B$40,MATCH($D833,Einstellungen!$A$4:$A$40,0)),"?"))</f>
        <v/>
      </c>
      <c r="H833" s="22"/>
      <c r="I833" s="25" t="str">
        <f t="shared" si="38"/>
        <v/>
      </c>
    </row>
    <row r="834" spans="1:9" ht="15" customHeight="1" x14ac:dyDescent="0.25">
      <c r="A834" s="26"/>
      <c r="B834" s="17" t="str">
        <f t="shared" si="36"/>
        <v/>
      </c>
      <c r="C834" s="17" t="str">
        <f t="shared" si="37"/>
        <v/>
      </c>
      <c r="D834" s="27"/>
      <c r="E834" s="27"/>
      <c r="F834" s="28"/>
      <c r="G834" s="14" t="str">
        <f>IF($D834="","",IFERROR(INDEX(Einstellungen!$B$4:$B$40,MATCH($D834,Einstellungen!$A$4:$A$40,0)),"?"))</f>
        <v/>
      </c>
      <c r="H834" s="27"/>
      <c r="I834" s="11" t="str">
        <f t="shared" si="38"/>
        <v/>
      </c>
    </row>
    <row r="835" spans="1:9" ht="15" customHeight="1" x14ac:dyDescent="0.25">
      <c r="A835" s="20"/>
      <c r="B835" s="21" t="str">
        <f t="shared" si="36"/>
        <v/>
      </c>
      <c r="C835" s="21" t="str">
        <f t="shared" si="37"/>
        <v/>
      </c>
      <c r="D835" s="22"/>
      <c r="E835" s="22"/>
      <c r="F835" s="23"/>
      <c r="G835" s="24" t="str">
        <f>IF($D835="","",IFERROR(INDEX(Einstellungen!$B$4:$B$40,MATCH($D835,Einstellungen!$A$4:$A$40,0)),"?"))</f>
        <v/>
      </c>
      <c r="H835" s="22"/>
      <c r="I835" s="25" t="str">
        <f t="shared" si="38"/>
        <v/>
      </c>
    </row>
    <row r="836" spans="1:9" ht="15" customHeight="1" x14ac:dyDescent="0.25">
      <c r="A836" s="26"/>
      <c r="B836" s="17" t="str">
        <f t="shared" ref="B836:B899" si="39">IF($A836="","",YEAR($A836))</f>
        <v/>
      </c>
      <c r="C836" s="17" t="str">
        <f t="shared" ref="C836:C899" si="40">IF($A836="","",MONTH($A836))</f>
        <v/>
      </c>
      <c r="D836" s="27"/>
      <c r="E836" s="27"/>
      <c r="F836" s="28"/>
      <c r="G836" s="14" t="str">
        <f>IF($D836="","",IFERROR(INDEX(Einstellungen!$B$4:$B$40,MATCH($D836,Einstellungen!$A$4:$A$40,0)),"?"))</f>
        <v/>
      </c>
      <c r="H836" s="27"/>
      <c r="I836" s="11" t="str">
        <f t="shared" ref="I836:I899" si="41">IF($F836="","",IF($G836="Einnahme",$F836,-$F836))</f>
        <v/>
      </c>
    </row>
    <row r="837" spans="1:9" ht="15" customHeight="1" x14ac:dyDescent="0.25">
      <c r="A837" s="20"/>
      <c r="B837" s="21" t="str">
        <f t="shared" si="39"/>
        <v/>
      </c>
      <c r="C837" s="21" t="str">
        <f t="shared" si="40"/>
        <v/>
      </c>
      <c r="D837" s="22"/>
      <c r="E837" s="22"/>
      <c r="F837" s="23"/>
      <c r="G837" s="24" t="str">
        <f>IF($D837="","",IFERROR(INDEX(Einstellungen!$B$4:$B$40,MATCH($D837,Einstellungen!$A$4:$A$40,0)),"?"))</f>
        <v/>
      </c>
      <c r="H837" s="22"/>
      <c r="I837" s="25" t="str">
        <f t="shared" si="41"/>
        <v/>
      </c>
    </row>
    <row r="838" spans="1:9" ht="15" customHeight="1" x14ac:dyDescent="0.25">
      <c r="A838" s="26"/>
      <c r="B838" s="17" t="str">
        <f t="shared" si="39"/>
        <v/>
      </c>
      <c r="C838" s="17" t="str">
        <f t="shared" si="40"/>
        <v/>
      </c>
      <c r="D838" s="27"/>
      <c r="E838" s="27"/>
      <c r="F838" s="28"/>
      <c r="G838" s="14" t="str">
        <f>IF($D838="","",IFERROR(INDEX(Einstellungen!$B$4:$B$40,MATCH($D838,Einstellungen!$A$4:$A$40,0)),"?"))</f>
        <v/>
      </c>
      <c r="H838" s="27"/>
      <c r="I838" s="11" t="str">
        <f t="shared" si="41"/>
        <v/>
      </c>
    </row>
    <row r="839" spans="1:9" ht="15" customHeight="1" x14ac:dyDescent="0.25">
      <c r="A839" s="20"/>
      <c r="B839" s="21" t="str">
        <f t="shared" si="39"/>
        <v/>
      </c>
      <c r="C839" s="21" t="str">
        <f t="shared" si="40"/>
        <v/>
      </c>
      <c r="D839" s="22"/>
      <c r="E839" s="22"/>
      <c r="F839" s="23"/>
      <c r="G839" s="24" t="str">
        <f>IF($D839="","",IFERROR(INDEX(Einstellungen!$B$4:$B$40,MATCH($D839,Einstellungen!$A$4:$A$40,0)),"?"))</f>
        <v/>
      </c>
      <c r="H839" s="22"/>
      <c r="I839" s="25" t="str">
        <f t="shared" si="41"/>
        <v/>
      </c>
    </row>
    <row r="840" spans="1:9" ht="15" customHeight="1" x14ac:dyDescent="0.25">
      <c r="A840" s="26"/>
      <c r="B840" s="17" t="str">
        <f t="shared" si="39"/>
        <v/>
      </c>
      <c r="C840" s="17" t="str">
        <f t="shared" si="40"/>
        <v/>
      </c>
      <c r="D840" s="27"/>
      <c r="E840" s="27"/>
      <c r="F840" s="28"/>
      <c r="G840" s="14" t="str">
        <f>IF($D840="","",IFERROR(INDEX(Einstellungen!$B$4:$B$40,MATCH($D840,Einstellungen!$A$4:$A$40,0)),"?"))</f>
        <v/>
      </c>
      <c r="H840" s="27"/>
      <c r="I840" s="11" t="str">
        <f t="shared" si="41"/>
        <v/>
      </c>
    </row>
    <row r="841" spans="1:9" ht="15" customHeight="1" x14ac:dyDescent="0.25">
      <c r="A841" s="20"/>
      <c r="B841" s="21" t="str">
        <f t="shared" si="39"/>
        <v/>
      </c>
      <c r="C841" s="21" t="str">
        <f t="shared" si="40"/>
        <v/>
      </c>
      <c r="D841" s="22"/>
      <c r="E841" s="22"/>
      <c r="F841" s="23"/>
      <c r="G841" s="24" t="str">
        <f>IF($D841="","",IFERROR(INDEX(Einstellungen!$B$4:$B$40,MATCH($D841,Einstellungen!$A$4:$A$40,0)),"?"))</f>
        <v/>
      </c>
      <c r="H841" s="22"/>
      <c r="I841" s="25" t="str">
        <f t="shared" si="41"/>
        <v/>
      </c>
    </row>
    <row r="842" spans="1:9" ht="15" customHeight="1" x14ac:dyDescent="0.25">
      <c r="A842" s="26"/>
      <c r="B842" s="17" t="str">
        <f t="shared" si="39"/>
        <v/>
      </c>
      <c r="C842" s="17" t="str">
        <f t="shared" si="40"/>
        <v/>
      </c>
      <c r="D842" s="27"/>
      <c r="E842" s="27"/>
      <c r="F842" s="28"/>
      <c r="G842" s="14" t="str">
        <f>IF($D842="","",IFERROR(INDEX(Einstellungen!$B$4:$B$40,MATCH($D842,Einstellungen!$A$4:$A$40,0)),"?"))</f>
        <v/>
      </c>
      <c r="H842" s="27"/>
      <c r="I842" s="11" t="str">
        <f t="shared" si="41"/>
        <v/>
      </c>
    </row>
    <row r="843" spans="1:9" ht="15" customHeight="1" x14ac:dyDescent="0.25">
      <c r="A843" s="20"/>
      <c r="B843" s="21" t="str">
        <f t="shared" si="39"/>
        <v/>
      </c>
      <c r="C843" s="21" t="str">
        <f t="shared" si="40"/>
        <v/>
      </c>
      <c r="D843" s="22"/>
      <c r="E843" s="22"/>
      <c r="F843" s="23"/>
      <c r="G843" s="24" t="str">
        <f>IF($D843="","",IFERROR(INDEX(Einstellungen!$B$4:$B$40,MATCH($D843,Einstellungen!$A$4:$A$40,0)),"?"))</f>
        <v/>
      </c>
      <c r="H843" s="22"/>
      <c r="I843" s="25" t="str">
        <f t="shared" si="41"/>
        <v/>
      </c>
    </row>
    <row r="844" spans="1:9" ht="15" customHeight="1" x14ac:dyDescent="0.25">
      <c r="A844" s="26"/>
      <c r="B844" s="17" t="str">
        <f t="shared" si="39"/>
        <v/>
      </c>
      <c r="C844" s="17" t="str">
        <f t="shared" si="40"/>
        <v/>
      </c>
      <c r="D844" s="27"/>
      <c r="E844" s="27"/>
      <c r="F844" s="28"/>
      <c r="G844" s="14" t="str">
        <f>IF($D844="","",IFERROR(INDEX(Einstellungen!$B$4:$B$40,MATCH($D844,Einstellungen!$A$4:$A$40,0)),"?"))</f>
        <v/>
      </c>
      <c r="H844" s="27"/>
      <c r="I844" s="11" t="str">
        <f t="shared" si="41"/>
        <v/>
      </c>
    </row>
    <row r="845" spans="1:9" ht="15" customHeight="1" x14ac:dyDescent="0.25">
      <c r="A845" s="20"/>
      <c r="B845" s="21" t="str">
        <f t="shared" si="39"/>
        <v/>
      </c>
      <c r="C845" s="21" t="str">
        <f t="shared" si="40"/>
        <v/>
      </c>
      <c r="D845" s="22"/>
      <c r="E845" s="22"/>
      <c r="F845" s="23"/>
      <c r="G845" s="24" t="str">
        <f>IF($D845="","",IFERROR(INDEX(Einstellungen!$B$4:$B$40,MATCH($D845,Einstellungen!$A$4:$A$40,0)),"?"))</f>
        <v/>
      </c>
      <c r="H845" s="22"/>
      <c r="I845" s="25" t="str">
        <f t="shared" si="41"/>
        <v/>
      </c>
    </row>
    <row r="846" spans="1:9" ht="15" customHeight="1" x14ac:dyDescent="0.25">
      <c r="A846" s="26"/>
      <c r="B846" s="17" t="str">
        <f t="shared" si="39"/>
        <v/>
      </c>
      <c r="C846" s="17" t="str">
        <f t="shared" si="40"/>
        <v/>
      </c>
      <c r="D846" s="27"/>
      <c r="E846" s="27"/>
      <c r="F846" s="28"/>
      <c r="G846" s="14" t="str">
        <f>IF($D846="","",IFERROR(INDEX(Einstellungen!$B$4:$B$40,MATCH($D846,Einstellungen!$A$4:$A$40,0)),"?"))</f>
        <v/>
      </c>
      <c r="H846" s="27"/>
      <c r="I846" s="11" t="str">
        <f t="shared" si="41"/>
        <v/>
      </c>
    </row>
    <row r="847" spans="1:9" ht="15" customHeight="1" x14ac:dyDescent="0.25">
      <c r="A847" s="20"/>
      <c r="B847" s="21" t="str">
        <f t="shared" si="39"/>
        <v/>
      </c>
      <c r="C847" s="21" t="str">
        <f t="shared" si="40"/>
        <v/>
      </c>
      <c r="D847" s="22"/>
      <c r="E847" s="22"/>
      <c r="F847" s="23"/>
      <c r="G847" s="24" t="str">
        <f>IF($D847="","",IFERROR(INDEX(Einstellungen!$B$4:$B$40,MATCH($D847,Einstellungen!$A$4:$A$40,0)),"?"))</f>
        <v/>
      </c>
      <c r="H847" s="22"/>
      <c r="I847" s="25" t="str">
        <f t="shared" si="41"/>
        <v/>
      </c>
    </row>
    <row r="848" spans="1:9" ht="15" customHeight="1" x14ac:dyDescent="0.25">
      <c r="A848" s="26"/>
      <c r="B848" s="17" t="str">
        <f t="shared" si="39"/>
        <v/>
      </c>
      <c r="C848" s="17" t="str">
        <f t="shared" si="40"/>
        <v/>
      </c>
      <c r="D848" s="27"/>
      <c r="E848" s="27"/>
      <c r="F848" s="28"/>
      <c r="G848" s="14" t="str">
        <f>IF($D848="","",IFERROR(INDEX(Einstellungen!$B$4:$B$40,MATCH($D848,Einstellungen!$A$4:$A$40,0)),"?"))</f>
        <v/>
      </c>
      <c r="H848" s="27"/>
      <c r="I848" s="11" t="str">
        <f t="shared" si="41"/>
        <v/>
      </c>
    </row>
    <row r="849" spans="1:9" ht="15" customHeight="1" x14ac:dyDescent="0.25">
      <c r="A849" s="20"/>
      <c r="B849" s="21" t="str">
        <f t="shared" si="39"/>
        <v/>
      </c>
      <c r="C849" s="21" t="str">
        <f t="shared" si="40"/>
        <v/>
      </c>
      <c r="D849" s="22"/>
      <c r="E849" s="22"/>
      <c r="F849" s="23"/>
      <c r="G849" s="24" t="str">
        <f>IF($D849="","",IFERROR(INDEX(Einstellungen!$B$4:$B$40,MATCH($D849,Einstellungen!$A$4:$A$40,0)),"?"))</f>
        <v/>
      </c>
      <c r="H849" s="22"/>
      <c r="I849" s="25" t="str">
        <f t="shared" si="41"/>
        <v/>
      </c>
    </row>
    <row r="850" spans="1:9" ht="15" customHeight="1" x14ac:dyDescent="0.25">
      <c r="A850" s="26"/>
      <c r="B850" s="17" t="str">
        <f t="shared" si="39"/>
        <v/>
      </c>
      <c r="C850" s="17" t="str">
        <f t="shared" si="40"/>
        <v/>
      </c>
      <c r="D850" s="27"/>
      <c r="E850" s="27"/>
      <c r="F850" s="28"/>
      <c r="G850" s="14" t="str">
        <f>IF($D850="","",IFERROR(INDEX(Einstellungen!$B$4:$B$40,MATCH($D850,Einstellungen!$A$4:$A$40,0)),"?"))</f>
        <v/>
      </c>
      <c r="H850" s="27"/>
      <c r="I850" s="11" t="str">
        <f t="shared" si="41"/>
        <v/>
      </c>
    </row>
    <row r="851" spans="1:9" ht="15" customHeight="1" x14ac:dyDescent="0.25">
      <c r="A851" s="20"/>
      <c r="B851" s="21" t="str">
        <f t="shared" si="39"/>
        <v/>
      </c>
      <c r="C851" s="21" t="str">
        <f t="shared" si="40"/>
        <v/>
      </c>
      <c r="D851" s="22"/>
      <c r="E851" s="22"/>
      <c r="F851" s="23"/>
      <c r="G851" s="24" t="str">
        <f>IF($D851="","",IFERROR(INDEX(Einstellungen!$B$4:$B$40,MATCH($D851,Einstellungen!$A$4:$A$40,0)),"?"))</f>
        <v/>
      </c>
      <c r="H851" s="22"/>
      <c r="I851" s="25" t="str">
        <f t="shared" si="41"/>
        <v/>
      </c>
    </row>
    <row r="852" spans="1:9" ht="15" customHeight="1" x14ac:dyDescent="0.25">
      <c r="A852" s="26"/>
      <c r="B852" s="17" t="str">
        <f t="shared" si="39"/>
        <v/>
      </c>
      <c r="C852" s="17" t="str">
        <f t="shared" si="40"/>
        <v/>
      </c>
      <c r="D852" s="27"/>
      <c r="E852" s="27"/>
      <c r="F852" s="28"/>
      <c r="G852" s="14" t="str">
        <f>IF($D852="","",IFERROR(INDEX(Einstellungen!$B$4:$B$40,MATCH($D852,Einstellungen!$A$4:$A$40,0)),"?"))</f>
        <v/>
      </c>
      <c r="H852" s="27"/>
      <c r="I852" s="11" t="str">
        <f t="shared" si="41"/>
        <v/>
      </c>
    </row>
    <row r="853" spans="1:9" ht="15" customHeight="1" x14ac:dyDescent="0.25">
      <c r="A853" s="20"/>
      <c r="B853" s="21" t="str">
        <f t="shared" si="39"/>
        <v/>
      </c>
      <c r="C853" s="21" t="str">
        <f t="shared" si="40"/>
        <v/>
      </c>
      <c r="D853" s="22"/>
      <c r="E853" s="22"/>
      <c r="F853" s="23"/>
      <c r="G853" s="24" t="str">
        <f>IF($D853="","",IFERROR(INDEX(Einstellungen!$B$4:$B$40,MATCH($D853,Einstellungen!$A$4:$A$40,0)),"?"))</f>
        <v/>
      </c>
      <c r="H853" s="22"/>
      <c r="I853" s="25" t="str">
        <f t="shared" si="41"/>
        <v/>
      </c>
    </row>
    <row r="854" spans="1:9" ht="15" customHeight="1" x14ac:dyDescent="0.25">
      <c r="A854" s="26"/>
      <c r="B854" s="17" t="str">
        <f t="shared" si="39"/>
        <v/>
      </c>
      <c r="C854" s="17" t="str">
        <f t="shared" si="40"/>
        <v/>
      </c>
      <c r="D854" s="27"/>
      <c r="E854" s="27"/>
      <c r="F854" s="28"/>
      <c r="G854" s="14" t="str">
        <f>IF($D854="","",IFERROR(INDEX(Einstellungen!$B$4:$B$40,MATCH($D854,Einstellungen!$A$4:$A$40,0)),"?"))</f>
        <v/>
      </c>
      <c r="H854" s="27"/>
      <c r="I854" s="11" t="str">
        <f t="shared" si="41"/>
        <v/>
      </c>
    </row>
    <row r="855" spans="1:9" ht="15" customHeight="1" x14ac:dyDescent="0.25">
      <c r="A855" s="20"/>
      <c r="B855" s="21" t="str">
        <f t="shared" si="39"/>
        <v/>
      </c>
      <c r="C855" s="21" t="str">
        <f t="shared" si="40"/>
        <v/>
      </c>
      <c r="D855" s="22"/>
      <c r="E855" s="22"/>
      <c r="F855" s="23"/>
      <c r="G855" s="24" t="str">
        <f>IF($D855="","",IFERROR(INDEX(Einstellungen!$B$4:$B$40,MATCH($D855,Einstellungen!$A$4:$A$40,0)),"?"))</f>
        <v/>
      </c>
      <c r="H855" s="22"/>
      <c r="I855" s="25" t="str">
        <f t="shared" si="41"/>
        <v/>
      </c>
    </row>
    <row r="856" spans="1:9" ht="15" customHeight="1" x14ac:dyDescent="0.25">
      <c r="A856" s="26"/>
      <c r="B856" s="17" t="str">
        <f t="shared" si="39"/>
        <v/>
      </c>
      <c r="C856" s="17" t="str">
        <f t="shared" si="40"/>
        <v/>
      </c>
      <c r="D856" s="27"/>
      <c r="E856" s="27"/>
      <c r="F856" s="28"/>
      <c r="G856" s="14" t="str">
        <f>IF($D856="","",IFERROR(INDEX(Einstellungen!$B$4:$B$40,MATCH($D856,Einstellungen!$A$4:$A$40,0)),"?"))</f>
        <v/>
      </c>
      <c r="H856" s="27"/>
      <c r="I856" s="11" t="str">
        <f t="shared" si="41"/>
        <v/>
      </c>
    </row>
    <row r="857" spans="1:9" ht="15" customHeight="1" x14ac:dyDescent="0.25">
      <c r="A857" s="20"/>
      <c r="B857" s="21" t="str">
        <f t="shared" si="39"/>
        <v/>
      </c>
      <c r="C857" s="21" t="str">
        <f t="shared" si="40"/>
        <v/>
      </c>
      <c r="D857" s="22"/>
      <c r="E857" s="22"/>
      <c r="F857" s="23"/>
      <c r="G857" s="24" t="str">
        <f>IF($D857="","",IFERROR(INDEX(Einstellungen!$B$4:$B$40,MATCH($D857,Einstellungen!$A$4:$A$40,0)),"?"))</f>
        <v/>
      </c>
      <c r="H857" s="22"/>
      <c r="I857" s="25" t="str">
        <f t="shared" si="41"/>
        <v/>
      </c>
    </row>
    <row r="858" spans="1:9" ht="15" customHeight="1" x14ac:dyDescent="0.25">
      <c r="A858" s="26"/>
      <c r="B858" s="17" t="str">
        <f t="shared" si="39"/>
        <v/>
      </c>
      <c r="C858" s="17" t="str">
        <f t="shared" si="40"/>
        <v/>
      </c>
      <c r="D858" s="27"/>
      <c r="E858" s="27"/>
      <c r="F858" s="28"/>
      <c r="G858" s="14" t="str">
        <f>IF($D858="","",IFERROR(INDEX(Einstellungen!$B$4:$B$40,MATCH($D858,Einstellungen!$A$4:$A$40,0)),"?"))</f>
        <v/>
      </c>
      <c r="H858" s="27"/>
      <c r="I858" s="11" t="str">
        <f t="shared" si="41"/>
        <v/>
      </c>
    </row>
    <row r="859" spans="1:9" ht="15" customHeight="1" x14ac:dyDescent="0.25">
      <c r="A859" s="20"/>
      <c r="B859" s="21" t="str">
        <f t="shared" si="39"/>
        <v/>
      </c>
      <c r="C859" s="21" t="str">
        <f t="shared" si="40"/>
        <v/>
      </c>
      <c r="D859" s="22"/>
      <c r="E859" s="22"/>
      <c r="F859" s="23"/>
      <c r="G859" s="24" t="str">
        <f>IF($D859="","",IFERROR(INDEX(Einstellungen!$B$4:$B$40,MATCH($D859,Einstellungen!$A$4:$A$40,0)),"?"))</f>
        <v/>
      </c>
      <c r="H859" s="22"/>
      <c r="I859" s="25" t="str">
        <f t="shared" si="41"/>
        <v/>
      </c>
    </row>
    <row r="860" spans="1:9" ht="15" customHeight="1" x14ac:dyDescent="0.25">
      <c r="A860" s="26"/>
      <c r="B860" s="17" t="str">
        <f t="shared" si="39"/>
        <v/>
      </c>
      <c r="C860" s="17" t="str">
        <f t="shared" si="40"/>
        <v/>
      </c>
      <c r="D860" s="27"/>
      <c r="E860" s="27"/>
      <c r="F860" s="28"/>
      <c r="G860" s="14" t="str">
        <f>IF($D860="","",IFERROR(INDEX(Einstellungen!$B$4:$B$40,MATCH($D860,Einstellungen!$A$4:$A$40,0)),"?"))</f>
        <v/>
      </c>
      <c r="H860" s="27"/>
      <c r="I860" s="11" t="str">
        <f t="shared" si="41"/>
        <v/>
      </c>
    </row>
    <row r="861" spans="1:9" ht="15" customHeight="1" x14ac:dyDescent="0.25">
      <c r="A861" s="20"/>
      <c r="B861" s="21" t="str">
        <f t="shared" si="39"/>
        <v/>
      </c>
      <c r="C861" s="21" t="str">
        <f t="shared" si="40"/>
        <v/>
      </c>
      <c r="D861" s="22"/>
      <c r="E861" s="22"/>
      <c r="F861" s="23"/>
      <c r="G861" s="24" t="str">
        <f>IF($D861="","",IFERROR(INDEX(Einstellungen!$B$4:$B$40,MATCH($D861,Einstellungen!$A$4:$A$40,0)),"?"))</f>
        <v/>
      </c>
      <c r="H861" s="22"/>
      <c r="I861" s="25" t="str">
        <f t="shared" si="41"/>
        <v/>
      </c>
    </row>
    <row r="862" spans="1:9" ht="15" customHeight="1" x14ac:dyDescent="0.25">
      <c r="A862" s="26"/>
      <c r="B862" s="17" t="str">
        <f t="shared" si="39"/>
        <v/>
      </c>
      <c r="C862" s="17" t="str">
        <f t="shared" si="40"/>
        <v/>
      </c>
      <c r="D862" s="27"/>
      <c r="E862" s="27"/>
      <c r="F862" s="28"/>
      <c r="G862" s="14" t="str">
        <f>IF($D862="","",IFERROR(INDEX(Einstellungen!$B$4:$B$40,MATCH($D862,Einstellungen!$A$4:$A$40,0)),"?"))</f>
        <v/>
      </c>
      <c r="H862" s="27"/>
      <c r="I862" s="11" t="str">
        <f t="shared" si="41"/>
        <v/>
      </c>
    </row>
    <row r="863" spans="1:9" ht="15" customHeight="1" x14ac:dyDescent="0.25">
      <c r="A863" s="20"/>
      <c r="B863" s="21" t="str">
        <f t="shared" si="39"/>
        <v/>
      </c>
      <c r="C863" s="21" t="str">
        <f t="shared" si="40"/>
        <v/>
      </c>
      <c r="D863" s="22"/>
      <c r="E863" s="22"/>
      <c r="F863" s="23"/>
      <c r="G863" s="24" t="str">
        <f>IF($D863="","",IFERROR(INDEX(Einstellungen!$B$4:$B$40,MATCH($D863,Einstellungen!$A$4:$A$40,0)),"?"))</f>
        <v/>
      </c>
      <c r="H863" s="22"/>
      <c r="I863" s="25" t="str">
        <f t="shared" si="41"/>
        <v/>
      </c>
    </row>
    <row r="864" spans="1:9" ht="15" customHeight="1" x14ac:dyDescent="0.25">
      <c r="A864" s="26"/>
      <c r="B864" s="17" t="str">
        <f t="shared" si="39"/>
        <v/>
      </c>
      <c r="C864" s="17" t="str">
        <f t="shared" si="40"/>
        <v/>
      </c>
      <c r="D864" s="27"/>
      <c r="E864" s="27"/>
      <c r="F864" s="28"/>
      <c r="G864" s="14" t="str">
        <f>IF($D864="","",IFERROR(INDEX(Einstellungen!$B$4:$B$40,MATCH($D864,Einstellungen!$A$4:$A$40,0)),"?"))</f>
        <v/>
      </c>
      <c r="H864" s="27"/>
      <c r="I864" s="11" t="str">
        <f t="shared" si="41"/>
        <v/>
      </c>
    </row>
    <row r="865" spans="1:9" ht="15" customHeight="1" x14ac:dyDescent="0.25">
      <c r="A865" s="20"/>
      <c r="B865" s="21" t="str">
        <f t="shared" si="39"/>
        <v/>
      </c>
      <c r="C865" s="21" t="str">
        <f t="shared" si="40"/>
        <v/>
      </c>
      <c r="D865" s="22"/>
      <c r="E865" s="22"/>
      <c r="F865" s="23"/>
      <c r="G865" s="24" t="str">
        <f>IF($D865="","",IFERROR(INDEX(Einstellungen!$B$4:$B$40,MATCH($D865,Einstellungen!$A$4:$A$40,0)),"?"))</f>
        <v/>
      </c>
      <c r="H865" s="22"/>
      <c r="I865" s="25" t="str">
        <f t="shared" si="41"/>
        <v/>
      </c>
    </row>
    <row r="866" spans="1:9" ht="15" customHeight="1" x14ac:dyDescent="0.25">
      <c r="A866" s="26"/>
      <c r="B866" s="17" t="str">
        <f t="shared" si="39"/>
        <v/>
      </c>
      <c r="C866" s="17" t="str">
        <f t="shared" si="40"/>
        <v/>
      </c>
      <c r="D866" s="27"/>
      <c r="E866" s="27"/>
      <c r="F866" s="28"/>
      <c r="G866" s="14" t="str">
        <f>IF($D866="","",IFERROR(INDEX(Einstellungen!$B$4:$B$40,MATCH($D866,Einstellungen!$A$4:$A$40,0)),"?"))</f>
        <v/>
      </c>
      <c r="H866" s="27"/>
      <c r="I866" s="11" t="str">
        <f t="shared" si="41"/>
        <v/>
      </c>
    </row>
    <row r="867" spans="1:9" ht="15" customHeight="1" x14ac:dyDescent="0.25">
      <c r="A867" s="20"/>
      <c r="B867" s="21" t="str">
        <f t="shared" si="39"/>
        <v/>
      </c>
      <c r="C867" s="21" t="str">
        <f t="shared" si="40"/>
        <v/>
      </c>
      <c r="D867" s="22"/>
      <c r="E867" s="22"/>
      <c r="F867" s="23"/>
      <c r="G867" s="24" t="str">
        <f>IF($D867="","",IFERROR(INDEX(Einstellungen!$B$4:$B$40,MATCH($D867,Einstellungen!$A$4:$A$40,0)),"?"))</f>
        <v/>
      </c>
      <c r="H867" s="22"/>
      <c r="I867" s="25" t="str">
        <f t="shared" si="41"/>
        <v/>
      </c>
    </row>
    <row r="868" spans="1:9" ht="15" customHeight="1" x14ac:dyDescent="0.25">
      <c r="A868" s="26"/>
      <c r="B868" s="17" t="str">
        <f t="shared" si="39"/>
        <v/>
      </c>
      <c r="C868" s="17" t="str">
        <f t="shared" si="40"/>
        <v/>
      </c>
      <c r="D868" s="27"/>
      <c r="E868" s="27"/>
      <c r="F868" s="28"/>
      <c r="G868" s="14" t="str">
        <f>IF($D868="","",IFERROR(INDEX(Einstellungen!$B$4:$B$40,MATCH($D868,Einstellungen!$A$4:$A$40,0)),"?"))</f>
        <v/>
      </c>
      <c r="H868" s="27"/>
      <c r="I868" s="11" t="str">
        <f t="shared" si="41"/>
        <v/>
      </c>
    </row>
    <row r="869" spans="1:9" ht="15" customHeight="1" x14ac:dyDescent="0.25">
      <c r="A869" s="20"/>
      <c r="B869" s="21" t="str">
        <f t="shared" si="39"/>
        <v/>
      </c>
      <c r="C869" s="21" t="str">
        <f t="shared" si="40"/>
        <v/>
      </c>
      <c r="D869" s="22"/>
      <c r="E869" s="22"/>
      <c r="F869" s="23"/>
      <c r="G869" s="24" t="str">
        <f>IF($D869="","",IFERROR(INDEX(Einstellungen!$B$4:$B$40,MATCH($D869,Einstellungen!$A$4:$A$40,0)),"?"))</f>
        <v/>
      </c>
      <c r="H869" s="22"/>
      <c r="I869" s="25" t="str">
        <f t="shared" si="41"/>
        <v/>
      </c>
    </row>
    <row r="870" spans="1:9" ht="15" customHeight="1" x14ac:dyDescent="0.25">
      <c r="A870" s="26"/>
      <c r="B870" s="17" t="str">
        <f t="shared" si="39"/>
        <v/>
      </c>
      <c r="C870" s="17" t="str">
        <f t="shared" si="40"/>
        <v/>
      </c>
      <c r="D870" s="27"/>
      <c r="E870" s="27"/>
      <c r="F870" s="28"/>
      <c r="G870" s="14" t="str">
        <f>IF($D870="","",IFERROR(INDEX(Einstellungen!$B$4:$B$40,MATCH($D870,Einstellungen!$A$4:$A$40,0)),"?"))</f>
        <v/>
      </c>
      <c r="H870" s="27"/>
      <c r="I870" s="11" t="str">
        <f t="shared" si="41"/>
        <v/>
      </c>
    </row>
    <row r="871" spans="1:9" ht="15" customHeight="1" x14ac:dyDescent="0.25">
      <c r="A871" s="20"/>
      <c r="B871" s="21" t="str">
        <f t="shared" si="39"/>
        <v/>
      </c>
      <c r="C871" s="21" t="str">
        <f t="shared" si="40"/>
        <v/>
      </c>
      <c r="D871" s="22"/>
      <c r="E871" s="22"/>
      <c r="F871" s="23"/>
      <c r="G871" s="24" t="str">
        <f>IF($D871="","",IFERROR(INDEX(Einstellungen!$B$4:$B$40,MATCH($D871,Einstellungen!$A$4:$A$40,0)),"?"))</f>
        <v/>
      </c>
      <c r="H871" s="22"/>
      <c r="I871" s="25" t="str">
        <f t="shared" si="41"/>
        <v/>
      </c>
    </row>
    <row r="872" spans="1:9" ht="15" customHeight="1" x14ac:dyDescent="0.25">
      <c r="A872" s="26"/>
      <c r="B872" s="17" t="str">
        <f t="shared" si="39"/>
        <v/>
      </c>
      <c r="C872" s="17" t="str">
        <f t="shared" si="40"/>
        <v/>
      </c>
      <c r="D872" s="27"/>
      <c r="E872" s="27"/>
      <c r="F872" s="28"/>
      <c r="G872" s="14" t="str">
        <f>IF($D872="","",IFERROR(INDEX(Einstellungen!$B$4:$B$40,MATCH($D872,Einstellungen!$A$4:$A$40,0)),"?"))</f>
        <v/>
      </c>
      <c r="H872" s="27"/>
      <c r="I872" s="11" t="str">
        <f t="shared" si="41"/>
        <v/>
      </c>
    </row>
    <row r="873" spans="1:9" ht="15" customHeight="1" x14ac:dyDescent="0.25">
      <c r="A873" s="20"/>
      <c r="B873" s="21" t="str">
        <f t="shared" si="39"/>
        <v/>
      </c>
      <c r="C873" s="21" t="str">
        <f t="shared" si="40"/>
        <v/>
      </c>
      <c r="D873" s="22"/>
      <c r="E873" s="22"/>
      <c r="F873" s="23"/>
      <c r="G873" s="24" t="str">
        <f>IF($D873="","",IFERROR(INDEX(Einstellungen!$B$4:$B$40,MATCH($D873,Einstellungen!$A$4:$A$40,0)),"?"))</f>
        <v/>
      </c>
      <c r="H873" s="22"/>
      <c r="I873" s="25" t="str">
        <f t="shared" si="41"/>
        <v/>
      </c>
    </row>
    <row r="874" spans="1:9" ht="15" customHeight="1" x14ac:dyDescent="0.25">
      <c r="A874" s="26"/>
      <c r="B874" s="17" t="str">
        <f t="shared" si="39"/>
        <v/>
      </c>
      <c r="C874" s="17" t="str">
        <f t="shared" si="40"/>
        <v/>
      </c>
      <c r="D874" s="27"/>
      <c r="E874" s="27"/>
      <c r="F874" s="28"/>
      <c r="G874" s="14" t="str">
        <f>IF($D874="","",IFERROR(INDEX(Einstellungen!$B$4:$B$40,MATCH($D874,Einstellungen!$A$4:$A$40,0)),"?"))</f>
        <v/>
      </c>
      <c r="H874" s="27"/>
      <c r="I874" s="11" t="str">
        <f t="shared" si="41"/>
        <v/>
      </c>
    </row>
    <row r="875" spans="1:9" ht="15" customHeight="1" x14ac:dyDescent="0.25">
      <c r="A875" s="20"/>
      <c r="B875" s="21" t="str">
        <f t="shared" si="39"/>
        <v/>
      </c>
      <c r="C875" s="21" t="str">
        <f t="shared" si="40"/>
        <v/>
      </c>
      <c r="D875" s="22"/>
      <c r="E875" s="22"/>
      <c r="F875" s="23"/>
      <c r="G875" s="24" t="str">
        <f>IF($D875="","",IFERROR(INDEX(Einstellungen!$B$4:$B$40,MATCH($D875,Einstellungen!$A$4:$A$40,0)),"?"))</f>
        <v/>
      </c>
      <c r="H875" s="22"/>
      <c r="I875" s="25" t="str">
        <f t="shared" si="41"/>
        <v/>
      </c>
    </row>
    <row r="876" spans="1:9" ht="15" customHeight="1" x14ac:dyDescent="0.25">
      <c r="A876" s="26"/>
      <c r="B876" s="17" t="str">
        <f t="shared" si="39"/>
        <v/>
      </c>
      <c r="C876" s="17" t="str">
        <f t="shared" si="40"/>
        <v/>
      </c>
      <c r="D876" s="27"/>
      <c r="E876" s="27"/>
      <c r="F876" s="28"/>
      <c r="G876" s="14" t="str">
        <f>IF($D876="","",IFERROR(INDEX(Einstellungen!$B$4:$B$40,MATCH($D876,Einstellungen!$A$4:$A$40,0)),"?"))</f>
        <v/>
      </c>
      <c r="H876" s="27"/>
      <c r="I876" s="11" t="str">
        <f t="shared" si="41"/>
        <v/>
      </c>
    </row>
    <row r="877" spans="1:9" ht="15" customHeight="1" x14ac:dyDescent="0.25">
      <c r="A877" s="20"/>
      <c r="B877" s="21" t="str">
        <f t="shared" si="39"/>
        <v/>
      </c>
      <c r="C877" s="21" t="str">
        <f t="shared" si="40"/>
        <v/>
      </c>
      <c r="D877" s="22"/>
      <c r="E877" s="22"/>
      <c r="F877" s="23"/>
      <c r="G877" s="24" t="str">
        <f>IF($D877="","",IFERROR(INDEX(Einstellungen!$B$4:$B$40,MATCH($D877,Einstellungen!$A$4:$A$40,0)),"?"))</f>
        <v/>
      </c>
      <c r="H877" s="22"/>
      <c r="I877" s="25" t="str">
        <f t="shared" si="41"/>
        <v/>
      </c>
    </row>
    <row r="878" spans="1:9" ht="15" customHeight="1" x14ac:dyDescent="0.25">
      <c r="A878" s="26"/>
      <c r="B878" s="17" t="str">
        <f t="shared" si="39"/>
        <v/>
      </c>
      <c r="C878" s="17" t="str">
        <f t="shared" si="40"/>
        <v/>
      </c>
      <c r="D878" s="27"/>
      <c r="E878" s="27"/>
      <c r="F878" s="28"/>
      <c r="G878" s="14" t="str">
        <f>IF($D878="","",IFERROR(INDEX(Einstellungen!$B$4:$B$40,MATCH($D878,Einstellungen!$A$4:$A$40,0)),"?"))</f>
        <v/>
      </c>
      <c r="H878" s="27"/>
      <c r="I878" s="11" t="str">
        <f t="shared" si="41"/>
        <v/>
      </c>
    </row>
    <row r="879" spans="1:9" ht="15" customHeight="1" x14ac:dyDescent="0.25">
      <c r="A879" s="20"/>
      <c r="B879" s="21" t="str">
        <f t="shared" si="39"/>
        <v/>
      </c>
      <c r="C879" s="21" t="str">
        <f t="shared" si="40"/>
        <v/>
      </c>
      <c r="D879" s="22"/>
      <c r="E879" s="22"/>
      <c r="F879" s="23"/>
      <c r="G879" s="24" t="str">
        <f>IF($D879="","",IFERROR(INDEX(Einstellungen!$B$4:$B$40,MATCH($D879,Einstellungen!$A$4:$A$40,0)),"?"))</f>
        <v/>
      </c>
      <c r="H879" s="22"/>
      <c r="I879" s="25" t="str">
        <f t="shared" si="41"/>
        <v/>
      </c>
    </row>
    <row r="880" spans="1:9" ht="15" customHeight="1" x14ac:dyDescent="0.25">
      <c r="A880" s="26"/>
      <c r="B880" s="17" t="str">
        <f t="shared" si="39"/>
        <v/>
      </c>
      <c r="C880" s="17" t="str">
        <f t="shared" si="40"/>
        <v/>
      </c>
      <c r="D880" s="27"/>
      <c r="E880" s="27"/>
      <c r="F880" s="28"/>
      <c r="G880" s="14" t="str">
        <f>IF($D880="","",IFERROR(INDEX(Einstellungen!$B$4:$B$40,MATCH($D880,Einstellungen!$A$4:$A$40,0)),"?"))</f>
        <v/>
      </c>
      <c r="H880" s="27"/>
      <c r="I880" s="11" t="str">
        <f t="shared" si="41"/>
        <v/>
      </c>
    </row>
    <row r="881" spans="1:9" ht="15" customHeight="1" x14ac:dyDescent="0.25">
      <c r="A881" s="20"/>
      <c r="B881" s="21" t="str">
        <f t="shared" si="39"/>
        <v/>
      </c>
      <c r="C881" s="21" t="str">
        <f t="shared" si="40"/>
        <v/>
      </c>
      <c r="D881" s="22"/>
      <c r="E881" s="22"/>
      <c r="F881" s="23"/>
      <c r="G881" s="24" t="str">
        <f>IF($D881="","",IFERROR(INDEX(Einstellungen!$B$4:$B$40,MATCH($D881,Einstellungen!$A$4:$A$40,0)),"?"))</f>
        <v/>
      </c>
      <c r="H881" s="22"/>
      <c r="I881" s="25" t="str">
        <f t="shared" si="41"/>
        <v/>
      </c>
    </row>
    <row r="882" spans="1:9" ht="15" customHeight="1" x14ac:dyDescent="0.25">
      <c r="A882" s="26"/>
      <c r="B882" s="17" t="str">
        <f t="shared" si="39"/>
        <v/>
      </c>
      <c r="C882" s="17" t="str">
        <f t="shared" si="40"/>
        <v/>
      </c>
      <c r="D882" s="27"/>
      <c r="E882" s="27"/>
      <c r="F882" s="28"/>
      <c r="G882" s="14" t="str">
        <f>IF($D882="","",IFERROR(INDEX(Einstellungen!$B$4:$B$40,MATCH($D882,Einstellungen!$A$4:$A$40,0)),"?"))</f>
        <v/>
      </c>
      <c r="H882" s="27"/>
      <c r="I882" s="11" t="str">
        <f t="shared" si="41"/>
        <v/>
      </c>
    </row>
    <row r="883" spans="1:9" ht="15" customHeight="1" x14ac:dyDescent="0.25">
      <c r="A883" s="20"/>
      <c r="B883" s="21" t="str">
        <f t="shared" si="39"/>
        <v/>
      </c>
      <c r="C883" s="21" t="str">
        <f t="shared" si="40"/>
        <v/>
      </c>
      <c r="D883" s="22"/>
      <c r="E883" s="22"/>
      <c r="F883" s="23"/>
      <c r="G883" s="24" t="str">
        <f>IF($D883="","",IFERROR(INDEX(Einstellungen!$B$4:$B$40,MATCH($D883,Einstellungen!$A$4:$A$40,0)),"?"))</f>
        <v/>
      </c>
      <c r="H883" s="22"/>
      <c r="I883" s="25" t="str">
        <f t="shared" si="41"/>
        <v/>
      </c>
    </row>
    <row r="884" spans="1:9" ht="15" customHeight="1" x14ac:dyDescent="0.25">
      <c r="A884" s="26"/>
      <c r="B884" s="17" t="str">
        <f t="shared" si="39"/>
        <v/>
      </c>
      <c r="C884" s="17" t="str">
        <f t="shared" si="40"/>
        <v/>
      </c>
      <c r="D884" s="27"/>
      <c r="E884" s="27"/>
      <c r="F884" s="28"/>
      <c r="G884" s="14" t="str">
        <f>IF($D884="","",IFERROR(INDEX(Einstellungen!$B$4:$B$40,MATCH($D884,Einstellungen!$A$4:$A$40,0)),"?"))</f>
        <v/>
      </c>
      <c r="H884" s="27"/>
      <c r="I884" s="11" t="str">
        <f t="shared" si="41"/>
        <v/>
      </c>
    </row>
    <row r="885" spans="1:9" ht="15" customHeight="1" x14ac:dyDescent="0.25">
      <c r="A885" s="20"/>
      <c r="B885" s="21" t="str">
        <f t="shared" si="39"/>
        <v/>
      </c>
      <c r="C885" s="21" t="str">
        <f t="shared" si="40"/>
        <v/>
      </c>
      <c r="D885" s="22"/>
      <c r="E885" s="22"/>
      <c r="F885" s="23"/>
      <c r="G885" s="24" t="str">
        <f>IF($D885="","",IFERROR(INDEX(Einstellungen!$B$4:$B$40,MATCH($D885,Einstellungen!$A$4:$A$40,0)),"?"))</f>
        <v/>
      </c>
      <c r="H885" s="22"/>
      <c r="I885" s="25" t="str">
        <f t="shared" si="41"/>
        <v/>
      </c>
    </row>
    <row r="886" spans="1:9" ht="15" customHeight="1" x14ac:dyDescent="0.25">
      <c r="A886" s="26"/>
      <c r="B886" s="17" t="str">
        <f t="shared" si="39"/>
        <v/>
      </c>
      <c r="C886" s="17" t="str">
        <f t="shared" si="40"/>
        <v/>
      </c>
      <c r="D886" s="27"/>
      <c r="E886" s="27"/>
      <c r="F886" s="28"/>
      <c r="G886" s="14" t="str">
        <f>IF($D886="","",IFERROR(INDEX(Einstellungen!$B$4:$B$40,MATCH($D886,Einstellungen!$A$4:$A$40,0)),"?"))</f>
        <v/>
      </c>
      <c r="H886" s="27"/>
      <c r="I886" s="11" t="str">
        <f t="shared" si="41"/>
        <v/>
      </c>
    </row>
    <row r="887" spans="1:9" ht="15" customHeight="1" x14ac:dyDescent="0.25">
      <c r="A887" s="20"/>
      <c r="B887" s="21" t="str">
        <f t="shared" si="39"/>
        <v/>
      </c>
      <c r="C887" s="21" t="str">
        <f t="shared" si="40"/>
        <v/>
      </c>
      <c r="D887" s="22"/>
      <c r="E887" s="22"/>
      <c r="F887" s="23"/>
      <c r="G887" s="24" t="str">
        <f>IF($D887="","",IFERROR(INDEX(Einstellungen!$B$4:$B$40,MATCH($D887,Einstellungen!$A$4:$A$40,0)),"?"))</f>
        <v/>
      </c>
      <c r="H887" s="22"/>
      <c r="I887" s="25" t="str">
        <f t="shared" si="41"/>
        <v/>
      </c>
    </row>
    <row r="888" spans="1:9" ht="15" customHeight="1" x14ac:dyDescent="0.25">
      <c r="A888" s="26"/>
      <c r="B888" s="17" t="str">
        <f t="shared" si="39"/>
        <v/>
      </c>
      <c r="C888" s="17" t="str">
        <f t="shared" si="40"/>
        <v/>
      </c>
      <c r="D888" s="27"/>
      <c r="E888" s="27"/>
      <c r="F888" s="28"/>
      <c r="G888" s="14" t="str">
        <f>IF($D888="","",IFERROR(INDEX(Einstellungen!$B$4:$B$40,MATCH($D888,Einstellungen!$A$4:$A$40,0)),"?"))</f>
        <v/>
      </c>
      <c r="H888" s="27"/>
      <c r="I888" s="11" t="str">
        <f t="shared" si="41"/>
        <v/>
      </c>
    </row>
    <row r="889" spans="1:9" ht="15" customHeight="1" x14ac:dyDescent="0.25">
      <c r="A889" s="20"/>
      <c r="B889" s="21" t="str">
        <f t="shared" si="39"/>
        <v/>
      </c>
      <c r="C889" s="21" t="str">
        <f t="shared" si="40"/>
        <v/>
      </c>
      <c r="D889" s="22"/>
      <c r="E889" s="22"/>
      <c r="F889" s="23"/>
      <c r="G889" s="24" t="str">
        <f>IF($D889="","",IFERROR(INDEX(Einstellungen!$B$4:$B$40,MATCH($D889,Einstellungen!$A$4:$A$40,0)),"?"))</f>
        <v/>
      </c>
      <c r="H889" s="22"/>
      <c r="I889" s="25" t="str">
        <f t="shared" si="41"/>
        <v/>
      </c>
    </row>
    <row r="890" spans="1:9" ht="15" customHeight="1" x14ac:dyDescent="0.25">
      <c r="A890" s="26"/>
      <c r="B890" s="17" t="str">
        <f t="shared" si="39"/>
        <v/>
      </c>
      <c r="C890" s="17" t="str">
        <f t="shared" si="40"/>
        <v/>
      </c>
      <c r="D890" s="27"/>
      <c r="E890" s="27"/>
      <c r="F890" s="28"/>
      <c r="G890" s="14" t="str">
        <f>IF($D890="","",IFERROR(INDEX(Einstellungen!$B$4:$B$40,MATCH($D890,Einstellungen!$A$4:$A$40,0)),"?"))</f>
        <v/>
      </c>
      <c r="H890" s="27"/>
      <c r="I890" s="11" t="str">
        <f t="shared" si="41"/>
        <v/>
      </c>
    </row>
    <row r="891" spans="1:9" ht="15" customHeight="1" x14ac:dyDescent="0.25">
      <c r="A891" s="20"/>
      <c r="B891" s="21" t="str">
        <f t="shared" si="39"/>
        <v/>
      </c>
      <c r="C891" s="21" t="str">
        <f t="shared" si="40"/>
        <v/>
      </c>
      <c r="D891" s="22"/>
      <c r="E891" s="22"/>
      <c r="F891" s="23"/>
      <c r="G891" s="24" t="str">
        <f>IF($D891="","",IFERROR(INDEX(Einstellungen!$B$4:$B$40,MATCH($D891,Einstellungen!$A$4:$A$40,0)),"?"))</f>
        <v/>
      </c>
      <c r="H891" s="22"/>
      <c r="I891" s="25" t="str">
        <f t="shared" si="41"/>
        <v/>
      </c>
    </row>
    <row r="892" spans="1:9" ht="15" customHeight="1" x14ac:dyDescent="0.25">
      <c r="A892" s="26"/>
      <c r="B892" s="17" t="str">
        <f t="shared" si="39"/>
        <v/>
      </c>
      <c r="C892" s="17" t="str">
        <f t="shared" si="40"/>
        <v/>
      </c>
      <c r="D892" s="27"/>
      <c r="E892" s="27"/>
      <c r="F892" s="28"/>
      <c r="G892" s="14" t="str">
        <f>IF($D892="","",IFERROR(INDEX(Einstellungen!$B$4:$B$40,MATCH($D892,Einstellungen!$A$4:$A$40,0)),"?"))</f>
        <v/>
      </c>
      <c r="H892" s="27"/>
      <c r="I892" s="11" t="str">
        <f t="shared" si="41"/>
        <v/>
      </c>
    </row>
    <row r="893" spans="1:9" ht="15" customHeight="1" x14ac:dyDescent="0.25">
      <c r="A893" s="20"/>
      <c r="B893" s="21" t="str">
        <f t="shared" si="39"/>
        <v/>
      </c>
      <c r="C893" s="21" t="str">
        <f t="shared" si="40"/>
        <v/>
      </c>
      <c r="D893" s="22"/>
      <c r="E893" s="22"/>
      <c r="F893" s="23"/>
      <c r="G893" s="24" t="str">
        <f>IF($D893="","",IFERROR(INDEX(Einstellungen!$B$4:$B$40,MATCH($D893,Einstellungen!$A$4:$A$40,0)),"?"))</f>
        <v/>
      </c>
      <c r="H893" s="22"/>
      <c r="I893" s="25" t="str">
        <f t="shared" si="41"/>
        <v/>
      </c>
    </row>
    <row r="894" spans="1:9" ht="15" customHeight="1" x14ac:dyDescent="0.25">
      <c r="A894" s="26"/>
      <c r="B894" s="17" t="str">
        <f t="shared" si="39"/>
        <v/>
      </c>
      <c r="C894" s="17" t="str">
        <f t="shared" si="40"/>
        <v/>
      </c>
      <c r="D894" s="27"/>
      <c r="E894" s="27"/>
      <c r="F894" s="28"/>
      <c r="G894" s="14" t="str">
        <f>IF($D894="","",IFERROR(INDEX(Einstellungen!$B$4:$B$40,MATCH($D894,Einstellungen!$A$4:$A$40,0)),"?"))</f>
        <v/>
      </c>
      <c r="H894" s="27"/>
      <c r="I894" s="11" t="str">
        <f t="shared" si="41"/>
        <v/>
      </c>
    </row>
    <row r="895" spans="1:9" ht="15" customHeight="1" x14ac:dyDescent="0.25">
      <c r="A895" s="20"/>
      <c r="B895" s="21" t="str">
        <f t="shared" si="39"/>
        <v/>
      </c>
      <c r="C895" s="21" t="str">
        <f t="shared" si="40"/>
        <v/>
      </c>
      <c r="D895" s="22"/>
      <c r="E895" s="22"/>
      <c r="F895" s="23"/>
      <c r="G895" s="24" t="str">
        <f>IF($D895="","",IFERROR(INDEX(Einstellungen!$B$4:$B$40,MATCH($D895,Einstellungen!$A$4:$A$40,0)),"?"))</f>
        <v/>
      </c>
      <c r="H895" s="22"/>
      <c r="I895" s="25" t="str">
        <f t="shared" si="41"/>
        <v/>
      </c>
    </row>
    <row r="896" spans="1:9" ht="15" customHeight="1" x14ac:dyDescent="0.25">
      <c r="A896" s="26"/>
      <c r="B896" s="17" t="str">
        <f t="shared" si="39"/>
        <v/>
      </c>
      <c r="C896" s="17" t="str">
        <f t="shared" si="40"/>
        <v/>
      </c>
      <c r="D896" s="27"/>
      <c r="E896" s="27"/>
      <c r="F896" s="28"/>
      <c r="G896" s="14" t="str">
        <f>IF($D896="","",IFERROR(INDEX(Einstellungen!$B$4:$B$40,MATCH($D896,Einstellungen!$A$4:$A$40,0)),"?"))</f>
        <v/>
      </c>
      <c r="H896" s="27"/>
      <c r="I896" s="11" t="str">
        <f t="shared" si="41"/>
        <v/>
      </c>
    </row>
    <row r="897" spans="1:9" ht="15" customHeight="1" x14ac:dyDescent="0.25">
      <c r="A897" s="20"/>
      <c r="B897" s="21" t="str">
        <f t="shared" si="39"/>
        <v/>
      </c>
      <c r="C897" s="21" t="str">
        <f t="shared" si="40"/>
        <v/>
      </c>
      <c r="D897" s="22"/>
      <c r="E897" s="22"/>
      <c r="F897" s="23"/>
      <c r="G897" s="24" t="str">
        <f>IF($D897="","",IFERROR(INDEX(Einstellungen!$B$4:$B$40,MATCH($D897,Einstellungen!$A$4:$A$40,0)),"?"))</f>
        <v/>
      </c>
      <c r="H897" s="22"/>
      <c r="I897" s="25" t="str">
        <f t="shared" si="41"/>
        <v/>
      </c>
    </row>
    <row r="898" spans="1:9" ht="15" customHeight="1" x14ac:dyDescent="0.25">
      <c r="A898" s="26"/>
      <c r="B898" s="17" t="str">
        <f t="shared" si="39"/>
        <v/>
      </c>
      <c r="C898" s="17" t="str">
        <f t="shared" si="40"/>
        <v/>
      </c>
      <c r="D898" s="27"/>
      <c r="E898" s="27"/>
      <c r="F898" s="28"/>
      <c r="G898" s="14" t="str">
        <f>IF($D898="","",IFERROR(INDEX(Einstellungen!$B$4:$B$40,MATCH($D898,Einstellungen!$A$4:$A$40,0)),"?"))</f>
        <v/>
      </c>
      <c r="H898" s="27"/>
      <c r="I898" s="11" t="str">
        <f t="shared" si="41"/>
        <v/>
      </c>
    </row>
    <row r="899" spans="1:9" ht="15" customHeight="1" x14ac:dyDescent="0.25">
      <c r="A899" s="20"/>
      <c r="B899" s="21" t="str">
        <f t="shared" si="39"/>
        <v/>
      </c>
      <c r="C899" s="21" t="str">
        <f t="shared" si="40"/>
        <v/>
      </c>
      <c r="D899" s="22"/>
      <c r="E899" s="22"/>
      <c r="F899" s="23"/>
      <c r="G899" s="24" t="str">
        <f>IF($D899="","",IFERROR(INDEX(Einstellungen!$B$4:$B$40,MATCH($D899,Einstellungen!$A$4:$A$40,0)),"?"))</f>
        <v/>
      </c>
      <c r="H899" s="22"/>
      <c r="I899" s="25" t="str">
        <f t="shared" si="41"/>
        <v/>
      </c>
    </row>
    <row r="900" spans="1:9" ht="15" customHeight="1" x14ac:dyDescent="0.25">
      <c r="A900" s="26"/>
      <c r="B900" s="17" t="str">
        <f t="shared" ref="B900:B963" si="42">IF($A900="","",YEAR($A900))</f>
        <v/>
      </c>
      <c r="C900" s="17" t="str">
        <f t="shared" ref="C900:C963" si="43">IF($A900="","",MONTH($A900))</f>
        <v/>
      </c>
      <c r="D900" s="27"/>
      <c r="E900" s="27"/>
      <c r="F900" s="28"/>
      <c r="G900" s="14" t="str">
        <f>IF($D900="","",IFERROR(INDEX(Einstellungen!$B$4:$B$40,MATCH($D900,Einstellungen!$A$4:$A$40,0)),"?"))</f>
        <v/>
      </c>
      <c r="H900" s="27"/>
      <c r="I900" s="11" t="str">
        <f t="shared" ref="I900:I963" si="44">IF($F900="","",IF($G900="Einnahme",$F900,-$F900))</f>
        <v/>
      </c>
    </row>
    <row r="901" spans="1:9" ht="15" customHeight="1" x14ac:dyDescent="0.25">
      <c r="A901" s="20"/>
      <c r="B901" s="21" t="str">
        <f t="shared" si="42"/>
        <v/>
      </c>
      <c r="C901" s="21" t="str">
        <f t="shared" si="43"/>
        <v/>
      </c>
      <c r="D901" s="22"/>
      <c r="E901" s="22"/>
      <c r="F901" s="23"/>
      <c r="G901" s="24" t="str">
        <f>IF($D901="","",IFERROR(INDEX(Einstellungen!$B$4:$B$40,MATCH($D901,Einstellungen!$A$4:$A$40,0)),"?"))</f>
        <v/>
      </c>
      <c r="H901" s="22"/>
      <c r="I901" s="25" t="str">
        <f t="shared" si="44"/>
        <v/>
      </c>
    </row>
    <row r="902" spans="1:9" ht="15" customHeight="1" x14ac:dyDescent="0.25">
      <c r="A902" s="26"/>
      <c r="B902" s="17" t="str">
        <f t="shared" si="42"/>
        <v/>
      </c>
      <c r="C902" s="17" t="str">
        <f t="shared" si="43"/>
        <v/>
      </c>
      <c r="D902" s="27"/>
      <c r="E902" s="27"/>
      <c r="F902" s="28"/>
      <c r="G902" s="14" t="str">
        <f>IF($D902="","",IFERROR(INDEX(Einstellungen!$B$4:$B$40,MATCH($D902,Einstellungen!$A$4:$A$40,0)),"?"))</f>
        <v/>
      </c>
      <c r="H902" s="27"/>
      <c r="I902" s="11" t="str">
        <f t="shared" si="44"/>
        <v/>
      </c>
    </row>
    <row r="903" spans="1:9" ht="15" customHeight="1" x14ac:dyDescent="0.25">
      <c r="A903" s="20"/>
      <c r="B903" s="21" t="str">
        <f t="shared" si="42"/>
        <v/>
      </c>
      <c r="C903" s="21" t="str">
        <f t="shared" si="43"/>
        <v/>
      </c>
      <c r="D903" s="22"/>
      <c r="E903" s="22"/>
      <c r="F903" s="23"/>
      <c r="G903" s="24" t="str">
        <f>IF($D903="","",IFERROR(INDEX(Einstellungen!$B$4:$B$40,MATCH($D903,Einstellungen!$A$4:$A$40,0)),"?"))</f>
        <v/>
      </c>
      <c r="H903" s="22"/>
      <c r="I903" s="25" t="str">
        <f t="shared" si="44"/>
        <v/>
      </c>
    </row>
    <row r="904" spans="1:9" ht="15" customHeight="1" x14ac:dyDescent="0.25">
      <c r="A904" s="26"/>
      <c r="B904" s="17" t="str">
        <f t="shared" si="42"/>
        <v/>
      </c>
      <c r="C904" s="17" t="str">
        <f t="shared" si="43"/>
        <v/>
      </c>
      <c r="D904" s="27"/>
      <c r="E904" s="27"/>
      <c r="F904" s="28"/>
      <c r="G904" s="14" t="str">
        <f>IF($D904="","",IFERROR(INDEX(Einstellungen!$B$4:$B$40,MATCH($D904,Einstellungen!$A$4:$A$40,0)),"?"))</f>
        <v/>
      </c>
      <c r="H904" s="27"/>
      <c r="I904" s="11" t="str">
        <f t="shared" si="44"/>
        <v/>
      </c>
    </row>
    <row r="905" spans="1:9" ht="15" customHeight="1" x14ac:dyDescent="0.25">
      <c r="A905" s="20"/>
      <c r="B905" s="21" t="str">
        <f t="shared" si="42"/>
        <v/>
      </c>
      <c r="C905" s="21" t="str">
        <f t="shared" si="43"/>
        <v/>
      </c>
      <c r="D905" s="22"/>
      <c r="E905" s="22"/>
      <c r="F905" s="23"/>
      <c r="G905" s="24" t="str">
        <f>IF($D905="","",IFERROR(INDEX(Einstellungen!$B$4:$B$40,MATCH($D905,Einstellungen!$A$4:$A$40,0)),"?"))</f>
        <v/>
      </c>
      <c r="H905" s="22"/>
      <c r="I905" s="25" t="str">
        <f t="shared" si="44"/>
        <v/>
      </c>
    </row>
    <row r="906" spans="1:9" ht="15" customHeight="1" x14ac:dyDescent="0.25">
      <c r="A906" s="26"/>
      <c r="B906" s="17" t="str">
        <f t="shared" si="42"/>
        <v/>
      </c>
      <c r="C906" s="17" t="str">
        <f t="shared" si="43"/>
        <v/>
      </c>
      <c r="D906" s="27"/>
      <c r="E906" s="27"/>
      <c r="F906" s="28"/>
      <c r="G906" s="14" t="str">
        <f>IF($D906="","",IFERROR(INDEX(Einstellungen!$B$4:$B$40,MATCH($D906,Einstellungen!$A$4:$A$40,0)),"?"))</f>
        <v/>
      </c>
      <c r="H906" s="27"/>
      <c r="I906" s="11" t="str">
        <f t="shared" si="44"/>
        <v/>
      </c>
    </row>
    <row r="907" spans="1:9" ht="15" customHeight="1" x14ac:dyDescent="0.25">
      <c r="A907" s="20"/>
      <c r="B907" s="21" t="str">
        <f t="shared" si="42"/>
        <v/>
      </c>
      <c r="C907" s="21" t="str">
        <f t="shared" si="43"/>
        <v/>
      </c>
      <c r="D907" s="22"/>
      <c r="E907" s="22"/>
      <c r="F907" s="23"/>
      <c r="G907" s="24" t="str">
        <f>IF($D907="","",IFERROR(INDEX(Einstellungen!$B$4:$B$40,MATCH($D907,Einstellungen!$A$4:$A$40,0)),"?"))</f>
        <v/>
      </c>
      <c r="H907" s="22"/>
      <c r="I907" s="25" t="str">
        <f t="shared" si="44"/>
        <v/>
      </c>
    </row>
    <row r="908" spans="1:9" ht="15" customHeight="1" x14ac:dyDescent="0.25">
      <c r="A908" s="26"/>
      <c r="B908" s="17" t="str">
        <f t="shared" si="42"/>
        <v/>
      </c>
      <c r="C908" s="17" t="str">
        <f t="shared" si="43"/>
        <v/>
      </c>
      <c r="D908" s="27"/>
      <c r="E908" s="27"/>
      <c r="F908" s="28"/>
      <c r="G908" s="14" t="str">
        <f>IF($D908="","",IFERROR(INDEX(Einstellungen!$B$4:$B$40,MATCH($D908,Einstellungen!$A$4:$A$40,0)),"?"))</f>
        <v/>
      </c>
      <c r="H908" s="27"/>
      <c r="I908" s="11" t="str">
        <f t="shared" si="44"/>
        <v/>
      </c>
    </row>
    <row r="909" spans="1:9" ht="15" customHeight="1" x14ac:dyDescent="0.25">
      <c r="A909" s="20"/>
      <c r="B909" s="21" t="str">
        <f t="shared" si="42"/>
        <v/>
      </c>
      <c r="C909" s="21" t="str">
        <f t="shared" si="43"/>
        <v/>
      </c>
      <c r="D909" s="22"/>
      <c r="E909" s="22"/>
      <c r="F909" s="23"/>
      <c r="G909" s="24" t="str">
        <f>IF($D909="","",IFERROR(INDEX(Einstellungen!$B$4:$B$40,MATCH($D909,Einstellungen!$A$4:$A$40,0)),"?"))</f>
        <v/>
      </c>
      <c r="H909" s="22"/>
      <c r="I909" s="25" t="str">
        <f t="shared" si="44"/>
        <v/>
      </c>
    </row>
    <row r="910" spans="1:9" ht="15" customHeight="1" x14ac:dyDescent="0.25">
      <c r="A910" s="26"/>
      <c r="B910" s="17" t="str">
        <f t="shared" si="42"/>
        <v/>
      </c>
      <c r="C910" s="17" t="str">
        <f t="shared" si="43"/>
        <v/>
      </c>
      <c r="D910" s="27"/>
      <c r="E910" s="27"/>
      <c r="F910" s="28"/>
      <c r="G910" s="14" t="str">
        <f>IF($D910="","",IFERROR(INDEX(Einstellungen!$B$4:$B$40,MATCH($D910,Einstellungen!$A$4:$A$40,0)),"?"))</f>
        <v/>
      </c>
      <c r="H910" s="27"/>
      <c r="I910" s="11" t="str">
        <f t="shared" si="44"/>
        <v/>
      </c>
    </row>
    <row r="911" spans="1:9" ht="15" customHeight="1" x14ac:dyDescent="0.25">
      <c r="A911" s="20"/>
      <c r="B911" s="21" t="str">
        <f t="shared" si="42"/>
        <v/>
      </c>
      <c r="C911" s="21" t="str">
        <f t="shared" si="43"/>
        <v/>
      </c>
      <c r="D911" s="22"/>
      <c r="E911" s="22"/>
      <c r="F911" s="23"/>
      <c r="G911" s="24" t="str">
        <f>IF($D911="","",IFERROR(INDEX(Einstellungen!$B$4:$B$40,MATCH($D911,Einstellungen!$A$4:$A$40,0)),"?"))</f>
        <v/>
      </c>
      <c r="H911" s="22"/>
      <c r="I911" s="25" t="str">
        <f t="shared" si="44"/>
        <v/>
      </c>
    </row>
    <row r="912" spans="1:9" ht="15" customHeight="1" x14ac:dyDescent="0.25">
      <c r="A912" s="26"/>
      <c r="B912" s="17" t="str">
        <f t="shared" si="42"/>
        <v/>
      </c>
      <c r="C912" s="17" t="str">
        <f t="shared" si="43"/>
        <v/>
      </c>
      <c r="D912" s="27"/>
      <c r="E912" s="27"/>
      <c r="F912" s="28"/>
      <c r="G912" s="14" t="str">
        <f>IF($D912="","",IFERROR(INDEX(Einstellungen!$B$4:$B$40,MATCH($D912,Einstellungen!$A$4:$A$40,0)),"?"))</f>
        <v/>
      </c>
      <c r="H912" s="27"/>
      <c r="I912" s="11" t="str">
        <f t="shared" si="44"/>
        <v/>
      </c>
    </row>
    <row r="913" spans="1:9" ht="15" customHeight="1" x14ac:dyDescent="0.25">
      <c r="A913" s="20"/>
      <c r="B913" s="21" t="str">
        <f t="shared" si="42"/>
        <v/>
      </c>
      <c r="C913" s="21" t="str">
        <f t="shared" si="43"/>
        <v/>
      </c>
      <c r="D913" s="22"/>
      <c r="E913" s="22"/>
      <c r="F913" s="23"/>
      <c r="G913" s="24" t="str">
        <f>IF($D913="","",IFERROR(INDEX(Einstellungen!$B$4:$B$40,MATCH($D913,Einstellungen!$A$4:$A$40,0)),"?"))</f>
        <v/>
      </c>
      <c r="H913" s="22"/>
      <c r="I913" s="25" t="str">
        <f t="shared" si="44"/>
        <v/>
      </c>
    </row>
    <row r="914" spans="1:9" ht="15" customHeight="1" x14ac:dyDescent="0.25">
      <c r="A914" s="26"/>
      <c r="B914" s="17" t="str">
        <f t="shared" si="42"/>
        <v/>
      </c>
      <c r="C914" s="17" t="str">
        <f t="shared" si="43"/>
        <v/>
      </c>
      <c r="D914" s="27"/>
      <c r="E914" s="27"/>
      <c r="F914" s="28"/>
      <c r="G914" s="14" t="str">
        <f>IF($D914="","",IFERROR(INDEX(Einstellungen!$B$4:$B$40,MATCH($D914,Einstellungen!$A$4:$A$40,0)),"?"))</f>
        <v/>
      </c>
      <c r="H914" s="27"/>
      <c r="I914" s="11" t="str">
        <f t="shared" si="44"/>
        <v/>
      </c>
    </row>
    <row r="915" spans="1:9" ht="15" customHeight="1" x14ac:dyDescent="0.25">
      <c r="A915" s="20"/>
      <c r="B915" s="21" t="str">
        <f t="shared" si="42"/>
        <v/>
      </c>
      <c r="C915" s="21" t="str">
        <f t="shared" si="43"/>
        <v/>
      </c>
      <c r="D915" s="22"/>
      <c r="E915" s="22"/>
      <c r="F915" s="23"/>
      <c r="G915" s="24" t="str">
        <f>IF($D915="","",IFERROR(INDEX(Einstellungen!$B$4:$B$40,MATCH($D915,Einstellungen!$A$4:$A$40,0)),"?"))</f>
        <v/>
      </c>
      <c r="H915" s="22"/>
      <c r="I915" s="25" t="str">
        <f t="shared" si="44"/>
        <v/>
      </c>
    </row>
    <row r="916" spans="1:9" ht="15" customHeight="1" x14ac:dyDescent="0.25">
      <c r="A916" s="26"/>
      <c r="B916" s="17" t="str">
        <f t="shared" si="42"/>
        <v/>
      </c>
      <c r="C916" s="17" t="str">
        <f t="shared" si="43"/>
        <v/>
      </c>
      <c r="D916" s="27"/>
      <c r="E916" s="27"/>
      <c r="F916" s="28"/>
      <c r="G916" s="14" t="str">
        <f>IF($D916="","",IFERROR(INDEX(Einstellungen!$B$4:$B$40,MATCH($D916,Einstellungen!$A$4:$A$40,0)),"?"))</f>
        <v/>
      </c>
      <c r="H916" s="27"/>
      <c r="I916" s="11" t="str">
        <f t="shared" si="44"/>
        <v/>
      </c>
    </row>
    <row r="917" spans="1:9" ht="15" customHeight="1" x14ac:dyDescent="0.25">
      <c r="A917" s="20"/>
      <c r="B917" s="21" t="str">
        <f t="shared" si="42"/>
        <v/>
      </c>
      <c r="C917" s="21" t="str">
        <f t="shared" si="43"/>
        <v/>
      </c>
      <c r="D917" s="22"/>
      <c r="E917" s="22"/>
      <c r="F917" s="23"/>
      <c r="G917" s="24" t="str">
        <f>IF($D917="","",IFERROR(INDEX(Einstellungen!$B$4:$B$40,MATCH($D917,Einstellungen!$A$4:$A$40,0)),"?"))</f>
        <v/>
      </c>
      <c r="H917" s="22"/>
      <c r="I917" s="25" t="str">
        <f t="shared" si="44"/>
        <v/>
      </c>
    </row>
    <row r="918" spans="1:9" ht="15" customHeight="1" x14ac:dyDescent="0.25">
      <c r="A918" s="26"/>
      <c r="B918" s="17" t="str">
        <f t="shared" si="42"/>
        <v/>
      </c>
      <c r="C918" s="17" t="str">
        <f t="shared" si="43"/>
        <v/>
      </c>
      <c r="D918" s="27"/>
      <c r="E918" s="27"/>
      <c r="F918" s="28"/>
      <c r="G918" s="14" t="str">
        <f>IF($D918="","",IFERROR(INDEX(Einstellungen!$B$4:$B$40,MATCH($D918,Einstellungen!$A$4:$A$40,0)),"?"))</f>
        <v/>
      </c>
      <c r="H918" s="27"/>
      <c r="I918" s="11" t="str">
        <f t="shared" si="44"/>
        <v/>
      </c>
    </row>
    <row r="919" spans="1:9" ht="15" customHeight="1" x14ac:dyDescent="0.25">
      <c r="A919" s="20"/>
      <c r="B919" s="21" t="str">
        <f t="shared" si="42"/>
        <v/>
      </c>
      <c r="C919" s="21" t="str">
        <f t="shared" si="43"/>
        <v/>
      </c>
      <c r="D919" s="22"/>
      <c r="E919" s="22"/>
      <c r="F919" s="23"/>
      <c r="G919" s="24" t="str">
        <f>IF($D919="","",IFERROR(INDEX(Einstellungen!$B$4:$B$40,MATCH($D919,Einstellungen!$A$4:$A$40,0)),"?"))</f>
        <v/>
      </c>
      <c r="H919" s="22"/>
      <c r="I919" s="25" t="str">
        <f t="shared" si="44"/>
        <v/>
      </c>
    </row>
    <row r="920" spans="1:9" ht="15" customHeight="1" x14ac:dyDescent="0.25">
      <c r="A920" s="26"/>
      <c r="B920" s="17" t="str">
        <f t="shared" si="42"/>
        <v/>
      </c>
      <c r="C920" s="17" t="str">
        <f t="shared" si="43"/>
        <v/>
      </c>
      <c r="D920" s="27"/>
      <c r="E920" s="27"/>
      <c r="F920" s="28"/>
      <c r="G920" s="14" t="str">
        <f>IF($D920="","",IFERROR(INDEX(Einstellungen!$B$4:$B$40,MATCH($D920,Einstellungen!$A$4:$A$40,0)),"?"))</f>
        <v/>
      </c>
      <c r="H920" s="27"/>
      <c r="I920" s="11" t="str">
        <f t="shared" si="44"/>
        <v/>
      </c>
    </row>
    <row r="921" spans="1:9" ht="15" customHeight="1" x14ac:dyDescent="0.25">
      <c r="A921" s="20"/>
      <c r="B921" s="21" t="str">
        <f t="shared" si="42"/>
        <v/>
      </c>
      <c r="C921" s="21" t="str">
        <f t="shared" si="43"/>
        <v/>
      </c>
      <c r="D921" s="22"/>
      <c r="E921" s="22"/>
      <c r="F921" s="23"/>
      <c r="G921" s="24" t="str">
        <f>IF($D921="","",IFERROR(INDEX(Einstellungen!$B$4:$B$40,MATCH($D921,Einstellungen!$A$4:$A$40,0)),"?"))</f>
        <v/>
      </c>
      <c r="H921" s="22"/>
      <c r="I921" s="25" t="str">
        <f t="shared" si="44"/>
        <v/>
      </c>
    </row>
    <row r="922" spans="1:9" ht="15" customHeight="1" x14ac:dyDescent="0.25">
      <c r="A922" s="26"/>
      <c r="B922" s="17" t="str">
        <f t="shared" si="42"/>
        <v/>
      </c>
      <c r="C922" s="17" t="str">
        <f t="shared" si="43"/>
        <v/>
      </c>
      <c r="D922" s="27"/>
      <c r="E922" s="27"/>
      <c r="F922" s="28"/>
      <c r="G922" s="14" t="str">
        <f>IF($D922="","",IFERROR(INDEX(Einstellungen!$B$4:$B$40,MATCH($D922,Einstellungen!$A$4:$A$40,0)),"?"))</f>
        <v/>
      </c>
      <c r="H922" s="27"/>
      <c r="I922" s="11" t="str">
        <f t="shared" si="44"/>
        <v/>
      </c>
    </row>
    <row r="923" spans="1:9" ht="15" customHeight="1" x14ac:dyDescent="0.25">
      <c r="A923" s="20"/>
      <c r="B923" s="21" t="str">
        <f t="shared" si="42"/>
        <v/>
      </c>
      <c r="C923" s="21" t="str">
        <f t="shared" si="43"/>
        <v/>
      </c>
      <c r="D923" s="22"/>
      <c r="E923" s="22"/>
      <c r="F923" s="23"/>
      <c r="G923" s="24" t="str">
        <f>IF($D923="","",IFERROR(INDEX(Einstellungen!$B$4:$B$40,MATCH($D923,Einstellungen!$A$4:$A$40,0)),"?"))</f>
        <v/>
      </c>
      <c r="H923" s="22"/>
      <c r="I923" s="25" t="str">
        <f t="shared" si="44"/>
        <v/>
      </c>
    </row>
    <row r="924" spans="1:9" ht="15" customHeight="1" x14ac:dyDescent="0.25">
      <c r="A924" s="26"/>
      <c r="B924" s="17" t="str">
        <f t="shared" si="42"/>
        <v/>
      </c>
      <c r="C924" s="17" t="str">
        <f t="shared" si="43"/>
        <v/>
      </c>
      <c r="D924" s="27"/>
      <c r="E924" s="27"/>
      <c r="F924" s="28"/>
      <c r="G924" s="14" t="str">
        <f>IF($D924="","",IFERROR(INDEX(Einstellungen!$B$4:$B$40,MATCH($D924,Einstellungen!$A$4:$A$40,0)),"?"))</f>
        <v/>
      </c>
      <c r="H924" s="27"/>
      <c r="I924" s="11" t="str">
        <f t="shared" si="44"/>
        <v/>
      </c>
    </row>
    <row r="925" spans="1:9" ht="15" customHeight="1" x14ac:dyDescent="0.25">
      <c r="A925" s="20"/>
      <c r="B925" s="21" t="str">
        <f t="shared" si="42"/>
        <v/>
      </c>
      <c r="C925" s="21" t="str">
        <f t="shared" si="43"/>
        <v/>
      </c>
      <c r="D925" s="22"/>
      <c r="E925" s="22"/>
      <c r="F925" s="23"/>
      <c r="G925" s="24" t="str">
        <f>IF($D925="","",IFERROR(INDEX(Einstellungen!$B$4:$B$40,MATCH($D925,Einstellungen!$A$4:$A$40,0)),"?"))</f>
        <v/>
      </c>
      <c r="H925" s="22"/>
      <c r="I925" s="25" t="str">
        <f t="shared" si="44"/>
        <v/>
      </c>
    </row>
    <row r="926" spans="1:9" ht="15" customHeight="1" x14ac:dyDescent="0.25">
      <c r="A926" s="26"/>
      <c r="B926" s="17" t="str">
        <f t="shared" si="42"/>
        <v/>
      </c>
      <c r="C926" s="17" t="str">
        <f t="shared" si="43"/>
        <v/>
      </c>
      <c r="D926" s="27"/>
      <c r="E926" s="27"/>
      <c r="F926" s="28"/>
      <c r="G926" s="14" t="str">
        <f>IF($D926="","",IFERROR(INDEX(Einstellungen!$B$4:$B$40,MATCH($D926,Einstellungen!$A$4:$A$40,0)),"?"))</f>
        <v/>
      </c>
      <c r="H926" s="27"/>
      <c r="I926" s="11" t="str">
        <f t="shared" si="44"/>
        <v/>
      </c>
    </row>
    <row r="927" spans="1:9" ht="15" customHeight="1" x14ac:dyDescent="0.25">
      <c r="A927" s="20"/>
      <c r="B927" s="21" t="str">
        <f t="shared" si="42"/>
        <v/>
      </c>
      <c r="C927" s="21" t="str">
        <f t="shared" si="43"/>
        <v/>
      </c>
      <c r="D927" s="22"/>
      <c r="E927" s="22"/>
      <c r="F927" s="23"/>
      <c r="G927" s="24" t="str">
        <f>IF($D927="","",IFERROR(INDEX(Einstellungen!$B$4:$B$40,MATCH($D927,Einstellungen!$A$4:$A$40,0)),"?"))</f>
        <v/>
      </c>
      <c r="H927" s="22"/>
      <c r="I927" s="25" t="str">
        <f t="shared" si="44"/>
        <v/>
      </c>
    </row>
    <row r="928" spans="1:9" ht="15" customHeight="1" x14ac:dyDescent="0.25">
      <c r="A928" s="26"/>
      <c r="B928" s="17" t="str">
        <f t="shared" si="42"/>
        <v/>
      </c>
      <c r="C928" s="17" t="str">
        <f t="shared" si="43"/>
        <v/>
      </c>
      <c r="D928" s="27"/>
      <c r="E928" s="27"/>
      <c r="F928" s="28"/>
      <c r="G928" s="14" t="str">
        <f>IF($D928="","",IFERROR(INDEX(Einstellungen!$B$4:$B$40,MATCH($D928,Einstellungen!$A$4:$A$40,0)),"?"))</f>
        <v/>
      </c>
      <c r="H928" s="27"/>
      <c r="I928" s="11" t="str">
        <f t="shared" si="44"/>
        <v/>
      </c>
    </row>
    <row r="929" spans="1:9" ht="15" customHeight="1" x14ac:dyDescent="0.25">
      <c r="A929" s="20"/>
      <c r="B929" s="21" t="str">
        <f t="shared" si="42"/>
        <v/>
      </c>
      <c r="C929" s="21" t="str">
        <f t="shared" si="43"/>
        <v/>
      </c>
      <c r="D929" s="22"/>
      <c r="E929" s="22"/>
      <c r="F929" s="23"/>
      <c r="G929" s="24" t="str">
        <f>IF($D929="","",IFERROR(INDEX(Einstellungen!$B$4:$B$40,MATCH($D929,Einstellungen!$A$4:$A$40,0)),"?"))</f>
        <v/>
      </c>
      <c r="H929" s="22"/>
      <c r="I929" s="25" t="str">
        <f t="shared" si="44"/>
        <v/>
      </c>
    </row>
    <row r="930" spans="1:9" ht="15" customHeight="1" x14ac:dyDescent="0.25">
      <c r="A930" s="26"/>
      <c r="B930" s="17" t="str">
        <f t="shared" si="42"/>
        <v/>
      </c>
      <c r="C930" s="17" t="str">
        <f t="shared" si="43"/>
        <v/>
      </c>
      <c r="D930" s="27"/>
      <c r="E930" s="27"/>
      <c r="F930" s="28"/>
      <c r="G930" s="14" t="str">
        <f>IF($D930="","",IFERROR(INDEX(Einstellungen!$B$4:$B$40,MATCH($D930,Einstellungen!$A$4:$A$40,0)),"?"))</f>
        <v/>
      </c>
      <c r="H930" s="27"/>
      <c r="I930" s="11" t="str">
        <f t="shared" si="44"/>
        <v/>
      </c>
    </row>
    <row r="931" spans="1:9" ht="15" customHeight="1" x14ac:dyDescent="0.25">
      <c r="A931" s="20"/>
      <c r="B931" s="21" t="str">
        <f t="shared" si="42"/>
        <v/>
      </c>
      <c r="C931" s="21" t="str">
        <f t="shared" si="43"/>
        <v/>
      </c>
      <c r="D931" s="22"/>
      <c r="E931" s="22"/>
      <c r="F931" s="23"/>
      <c r="G931" s="24" t="str">
        <f>IF($D931="","",IFERROR(INDEX(Einstellungen!$B$4:$B$40,MATCH($D931,Einstellungen!$A$4:$A$40,0)),"?"))</f>
        <v/>
      </c>
      <c r="H931" s="22"/>
      <c r="I931" s="25" t="str">
        <f t="shared" si="44"/>
        <v/>
      </c>
    </row>
    <row r="932" spans="1:9" ht="15" customHeight="1" x14ac:dyDescent="0.25">
      <c r="A932" s="26"/>
      <c r="B932" s="17" t="str">
        <f t="shared" si="42"/>
        <v/>
      </c>
      <c r="C932" s="17" t="str">
        <f t="shared" si="43"/>
        <v/>
      </c>
      <c r="D932" s="27"/>
      <c r="E932" s="27"/>
      <c r="F932" s="28"/>
      <c r="G932" s="14" t="str">
        <f>IF($D932="","",IFERROR(INDEX(Einstellungen!$B$4:$B$40,MATCH($D932,Einstellungen!$A$4:$A$40,0)),"?"))</f>
        <v/>
      </c>
      <c r="H932" s="27"/>
      <c r="I932" s="11" t="str">
        <f t="shared" si="44"/>
        <v/>
      </c>
    </row>
    <row r="933" spans="1:9" ht="15" customHeight="1" x14ac:dyDescent="0.25">
      <c r="A933" s="20"/>
      <c r="B933" s="21" t="str">
        <f t="shared" si="42"/>
        <v/>
      </c>
      <c r="C933" s="21" t="str">
        <f t="shared" si="43"/>
        <v/>
      </c>
      <c r="D933" s="22"/>
      <c r="E933" s="22"/>
      <c r="F933" s="23"/>
      <c r="G933" s="24" t="str">
        <f>IF($D933="","",IFERROR(INDEX(Einstellungen!$B$4:$B$40,MATCH($D933,Einstellungen!$A$4:$A$40,0)),"?"))</f>
        <v/>
      </c>
      <c r="H933" s="22"/>
      <c r="I933" s="25" t="str">
        <f t="shared" si="44"/>
        <v/>
      </c>
    </row>
    <row r="934" spans="1:9" ht="15" customHeight="1" x14ac:dyDescent="0.25">
      <c r="A934" s="26"/>
      <c r="B934" s="17" t="str">
        <f t="shared" si="42"/>
        <v/>
      </c>
      <c r="C934" s="17" t="str">
        <f t="shared" si="43"/>
        <v/>
      </c>
      <c r="D934" s="27"/>
      <c r="E934" s="27"/>
      <c r="F934" s="28"/>
      <c r="G934" s="14" t="str">
        <f>IF($D934="","",IFERROR(INDEX(Einstellungen!$B$4:$B$40,MATCH($D934,Einstellungen!$A$4:$A$40,0)),"?"))</f>
        <v/>
      </c>
      <c r="H934" s="27"/>
      <c r="I934" s="11" t="str">
        <f t="shared" si="44"/>
        <v/>
      </c>
    </row>
    <row r="935" spans="1:9" ht="15" customHeight="1" x14ac:dyDescent="0.25">
      <c r="A935" s="20"/>
      <c r="B935" s="21" t="str">
        <f t="shared" si="42"/>
        <v/>
      </c>
      <c r="C935" s="21" t="str">
        <f t="shared" si="43"/>
        <v/>
      </c>
      <c r="D935" s="22"/>
      <c r="E935" s="22"/>
      <c r="F935" s="23"/>
      <c r="G935" s="24" t="str">
        <f>IF($D935="","",IFERROR(INDEX(Einstellungen!$B$4:$B$40,MATCH($D935,Einstellungen!$A$4:$A$40,0)),"?"))</f>
        <v/>
      </c>
      <c r="H935" s="22"/>
      <c r="I935" s="25" t="str">
        <f t="shared" si="44"/>
        <v/>
      </c>
    </row>
    <row r="936" spans="1:9" ht="15" customHeight="1" x14ac:dyDescent="0.25">
      <c r="A936" s="26"/>
      <c r="B936" s="17" t="str">
        <f t="shared" si="42"/>
        <v/>
      </c>
      <c r="C936" s="17" t="str">
        <f t="shared" si="43"/>
        <v/>
      </c>
      <c r="D936" s="27"/>
      <c r="E936" s="27"/>
      <c r="F936" s="28"/>
      <c r="G936" s="14" t="str">
        <f>IF($D936="","",IFERROR(INDEX(Einstellungen!$B$4:$B$40,MATCH($D936,Einstellungen!$A$4:$A$40,0)),"?"))</f>
        <v/>
      </c>
      <c r="H936" s="27"/>
      <c r="I936" s="11" t="str">
        <f t="shared" si="44"/>
        <v/>
      </c>
    </row>
    <row r="937" spans="1:9" ht="15" customHeight="1" x14ac:dyDescent="0.25">
      <c r="A937" s="20"/>
      <c r="B937" s="21" t="str">
        <f t="shared" si="42"/>
        <v/>
      </c>
      <c r="C937" s="21" t="str">
        <f t="shared" si="43"/>
        <v/>
      </c>
      <c r="D937" s="22"/>
      <c r="E937" s="22"/>
      <c r="F937" s="23"/>
      <c r="G937" s="24" t="str">
        <f>IF($D937="","",IFERROR(INDEX(Einstellungen!$B$4:$B$40,MATCH($D937,Einstellungen!$A$4:$A$40,0)),"?"))</f>
        <v/>
      </c>
      <c r="H937" s="22"/>
      <c r="I937" s="25" t="str">
        <f t="shared" si="44"/>
        <v/>
      </c>
    </row>
    <row r="938" spans="1:9" ht="15" customHeight="1" x14ac:dyDescent="0.25">
      <c r="A938" s="26"/>
      <c r="B938" s="17" t="str">
        <f t="shared" si="42"/>
        <v/>
      </c>
      <c r="C938" s="17" t="str">
        <f t="shared" si="43"/>
        <v/>
      </c>
      <c r="D938" s="27"/>
      <c r="E938" s="27"/>
      <c r="F938" s="28"/>
      <c r="G938" s="14" t="str">
        <f>IF($D938="","",IFERROR(INDEX(Einstellungen!$B$4:$B$40,MATCH($D938,Einstellungen!$A$4:$A$40,0)),"?"))</f>
        <v/>
      </c>
      <c r="H938" s="27"/>
      <c r="I938" s="11" t="str">
        <f t="shared" si="44"/>
        <v/>
      </c>
    </row>
    <row r="939" spans="1:9" ht="15" customHeight="1" x14ac:dyDescent="0.25">
      <c r="A939" s="20"/>
      <c r="B939" s="21" t="str">
        <f t="shared" si="42"/>
        <v/>
      </c>
      <c r="C939" s="21" t="str">
        <f t="shared" si="43"/>
        <v/>
      </c>
      <c r="D939" s="22"/>
      <c r="E939" s="22"/>
      <c r="F939" s="23"/>
      <c r="G939" s="24" t="str">
        <f>IF($D939="","",IFERROR(INDEX(Einstellungen!$B$4:$B$40,MATCH($D939,Einstellungen!$A$4:$A$40,0)),"?"))</f>
        <v/>
      </c>
      <c r="H939" s="22"/>
      <c r="I939" s="25" t="str">
        <f t="shared" si="44"/>
        <v/>
      </c>
    </row>
    <row r="940" spans="1:9" ht="15" customHeight="1" x14ac:dyDescent="0.25">
      <c r="A940" s="26"/>
      <c r="B940" s="17" t="str">
        <f t="shared" si="42"/>
        <v/>
      </c>
      <c r="C940" s="17" t="str">
        <f t="shared" si="43"/>
        <v/>
      </c>
      <c r="D940" s="27"/>
      <c r="E940" s="27"/>
      <c r="F940" s="28"/>
      <c r="G940" s="14" t="str">
        <f>IF($D940="","",IFERROR(INDEX(Einstellungen!$B$4:$B$40,MATCH($D940,Einstellungen!$A$4:$A$40,0)),"?"))</f>
        <v/>
      </c>
      <c r="H940" s="27"/>
      <c r="I940" s="11" t="str">
        <f t="shared" si="44"/>
        <v/>
      </c>
    </row>
    <row r="941" spans="1:9" ht="15" customHeight="1" x14ac:dyDescent="0.25">
      <c r="A941" s="20"/>
      <c r="B941" s="21" t="str">
        <f t="shared" si="42"/>
        <v/>
      </c>
      <c r="C941" s="21" t="str">
        <f t="shared" si="43"/>
        <v/>
      </c>
      <c r="D941" s="22"/>
      <c r="E941" s="22"/>
      <c r="F941" s="23"/>
      <c r="G941" s="24" t="str">
        <f>IF($D941="","",IFERROR(INDEX(Einstellungen!$B$4:$B$40,MATCH($D941,Einstellungen!$A$4:$A$40,0)),"?"))</f>
        <v/>
      </c>
      <c r="H941" s="22"/>
      <c r="I941" s="25" t="str">
        <f t="shared" si="44"/>
        <v/>
      </c>
    </row>
    <row r="942" spans="1:9" ht="15" customHeight="1" x14ac:dyDescent="0.25">
      <c r="A942" s="26"/>
      <c r="B942" s="17" t="str">
        <f t="shared" si="42"/>
        <v/>
      </c>
      <c r="C942" s="17" t="str">
        <f t="shared" si="43"/>
        <v/>
      </c>
      <c r="D942" s="27"/>
      <c r="E942" s="27"/>
      <c r="F942" s="28"/>
      <c r="G942" s="14" t="str">
        <f>IF($D942="","",IFERROR(INDEX(Einstellungen!$B$4:$B$40,MATCH($D942,Einstellungen!$A$4:$A$40,0)),"?"))</f>
        <v/>
      </c>
      <c r="H942" s="27"/>
      <c r="I942" s="11" t="str">
        <f t="shared" si="44"/>
        <v/>
      </c>
    </row>
    <row r="943" spans="1:9" ht="15" customHeight="1" x14ac:dyDescent="0.25">
      <c r="A943" s="20"/>
      <c r="B943" s="21" t="str">
        <f t="shared" si="42"/>
        <v/>
      </c>
      <c r="C943" s="21" t="str">
        <f t="shared" si="43"/>
        <v/>
      </c>
      <c r="D943" s="22"/>
      <c r="E943" s="22"/>
      <c r="F943" s="23"/>
      <c r="G943" s="24" t="str">
        <f>IF($D943="","",IFERROR(INDEX(Einstellungen!$B$4:$B$40,MATCH($D943,Einstellungen!$A$4:$A$40,0)),"?"))</f>
        <v/>
      </c>
      <c r="H943" s="22"/>
      <c r="I943" s="25" t="str">
        <f t="shared" si="44"/>
        <v/>
      </c>
    </row>
    <row r="944" spans="1:9" ht="15" customHeight="1" x14ac:dyDescent="0.25">
      <c r="A944" s="26"/>
      <c r="B944" s="17" t="str">
        <f t="shared" si="42"/>
        <v/>
      </c>
      <c r="C944" s="17" t="str">
        <f t="shared" si="43"/>
        <v/>
      </c>
      <c r="D944" s="27"/>
      <c r="E944" s="27"/>
      <c r="F944" s="28"/>
      <c r="G944" s="14" t="str">
        <f>IF($D944="","",IFERROR(INDEX(Einstellungen!$B$4:$B$40,MATCH($D944,Einstellungen!$A$4:$A$40,0)),"?"))</f>
        <v/>
      </c>
      <c r="H944" s="27"/>
      <c r="I944" s="11" t="str">
        <f t="shared" si="44"/>
        <v/>
      </c>
    </row>
    <row r="945" spans="1:9" ht="15" customHeight="1" x14ac:dyDescent="0.25">
      <c r="A945" s="20"/>
      <c r="B945" s="21" t="str">
        <f t="shared" si="42"/>
        <v/>
      </c>
      <c r="C945" s="21" t="str">
        <f t="shared" si="43"/>
        <v/>
      </c>
      <c r="D945" s="22"/>
      <c r="E945" s="22"/>
      <c r="F945" s="23"/>
      <c r="G945" s="24" t="str">
        <f>IF($D945="","",IFERROR(INDEX(Einstellungen!$B$4:$B$40,MATCH($D945,Einstellungen!$A$4:$A$40,0)),"?"))</f>
        <v/>
      </c>
      <c r="H945" s="22"/>
      <c r="I945" s="25" t="str">
        <f t="shared" si="44"/>
        <v/>
      </c>
    </row>
    <row r="946" spans="1:9" ht="15" customHeight="1" x14ac:dyDescent="0.25">
      <c r="A946" s="26"/>
      <c r="B946" s="17" t="str">
        <f t="shared" si="42"/>
        <v/>
      </c>
      <c r="C946" s="17" t="str">
        <f t="shared" si="43"/>
        <v/>
      </c>
      <c r="D946" s="27"/>
      <c r="E946" s="27"/>
      <c r="F946" s="28"/>
      <c r="G946" s="14" t="str">
        <f>IF($D946="","",IFERROR(INDEX(Einstellungen!$B$4:$B$40,MATCH($D946,Einstellungen!$A$4:$A$40,0)),"?"))</f>
        <v/>
      </c>
      <c r="H946" s="27"/>
      <c r="I946" s="11" t="str">
        <f t="shared" si="44"/>
        <v/>
      </c>
    </row>
    <row r="947" spans="1:9" ht="15" customHeight="1" x14ac:dyDescent="0.25">
      <c r="A947" s="20"/>
      <c r="B947" s="21" t="str">
        <f t="shared" si="42"/>
        <v/>
      </c>
      <c r="C947" s="21" t="str">
        <f t="shared" si="43"/>
        <v/>
      </c>
      <c r="D947" s="22"/>
      <c r="E947" s="22"/>
      <c r="F947" s="23"/>
      <c r="G947" s="24" t="str">
        <f>IF($D947="","",IFERROR(INDEX(Einstellungen!$B$4:$B$40,MATCH($D947,Einstellungen!$A$4:$A$40,0)),"?"))</f>
        <v/>
      </c>
      <c r="H947" s="22"/>
      <c r="I947" s="25" t="str">
        <f t="shared" si="44"/>
        <v/>
      </c>
    </row>
    <row r="948" spans="1:9" ht="15" customHeight="1" x14ac:dyDescent="0.25">
      <c r="A948" s="26"/>
      <c r="B948" s="17" t="str">
        <f t="shared" si="42"/>
        <v/>
      </c>
      <c r="C948" s="17" t="str">
        <f t="shared" si="43"/>
        <v/>
      </c>
      <c r="D948" s="27"/>
      <c r="E948" s="27"/>
      <c r="F948" s="28"/>
      <c r="G948" s="14" t="str">
        <f>IF($D948="","",IFERROR(INDEX(Einstellungen!$B$4:$B$40,MATCH($D948,Einstellungen!$A$4:$A$40,0)),"?"))</f>
        <v/>
      </c>
      <c r="H948" s="27"/>
      <c r="I948" s="11" t="str">
        <f t="shared" si="44"/>
        <v/>
      </c>
    </row>
    <row r="949" spans="1:9" ht="15" customHeight="1" x14ac:dyDescent="0.25">
      <c r="A949" s="20"/>
      <c r="B949" s="21" t="str">
        <f t="shared" si="42"/>
        <v/>
      </c>
      <c r="C949" s="21" t="str">
        <f t="shared" si="43"/>
        <v/>
      </c>
      <c r="D949" s="22"/>
      <c r="E949" s="22"/>
      <c r="F949" s="23"/>
      <c r="G949" s="24" t="str">
        <f>IF($D949="","",IFERROR(INDEX(Einstellungen!$B$4:$B$40,MATCH($D949,Einstellungen!$A$4:$A$40,0)),"?"))</f>
        <v/>
      </c>
      <c r="H949" s="22"/>
      <c r="I949" s="25" t="str">
        <f t="shared" si="44"/>
        <v/>
      </c>
    </row>
    <row r="950" spans="1:9" ht="15" customHeight="1" x14ac:dyDescent="0.25">
      <c r="A950" s="26"/>
      <c r="B950" s="17" t="str">
        <f t="shared" si="42"/>
        <v/>
      </c>
      <c r="C950" s="17" t="str">
        <f t="shared" si="43"/>
        <v/>
      </c>
      <c r="D950" s="27"/>
      <c r="E950" s="27"/>
      <c r="F950" s="28"/>
      <c r="G950" s="14" t="str">
        <f>IF($D950="","",IFERROR(INDEX(Einstellungen!$B$4:$B$40,MATCH($D950,Einstellungen!$A$4:$A$40,0)),"?"))</f>
        <v/>
      </c>
      <c r="H950" s="27"/>
      <c r="I950" s="11" t="str">
        <f t="shared" si="44"/>
        <v/>
      </c>
    </row>
    <row r="951" spans="1:9" ht="15" customHeight="1" x14ac:dyDescent="0.25">
      <c r="A951" s="20"/>
      <c r="B951" s="21" t="str">
        <f t="shared" si="42"/>
        <v/>
      </c>
      <c r="C951" s="21" t="str">
        <f t="shared" si="43"/>
        <v/>
      </c>
      <c r="D951" s="22"/>
      <c r="E951" s="22"/>
      <c r="F951" s="23"/>
      <c r="G951" s="24" t="str">
        <f>IF($D951="","",IFERROR(INDEX(Einstellungen!$B$4:$B$40,MATCH($D951,Einstellungen!$A$4:$A$40,0)),"?"))</f>
        <v/>
      </c>
      <c r="H951" s="22"/>
      <c r="I951" s="25" t="str">
        <f t="shared" si="44"/>
        <v/>
      </c>
    </row>
    <row r="952" spans="1:9" ht="15" customHeight="1" x14ac:dyDescent="0.25">
      <c r="A952" s="26"/>
      <c r="B952" s="17" t="str">
        <f t="shared" si="42"/>
        <v/>
      </c>
      <c r="C952" s="17" t="str">
        <f t="shared" si="43"/>
        <v/>
      </c>
      <c r="D952" s="27"/>
      <c r="E952" s="27"/>
      <c r="F952" s="28"/>
      <c r="G952" s="14" t="str">
        <f>IF($D952="","",IFERROR(INDEX(Einstellungen!$B$4:$B$40,MATCH($D952,Einstellungen!$A$4:$A$40,0)),"?"))</f>
        <v/>
      </c>
      <c r="H952" s="27"/>
      <c r="I952" s="11" t="str">
        <f t="shared" si="44"/>
        <v/>
      </c>
    </row>
    <row r="953" spans="1:9" ht="15" customHeight="1" x14ac:dyDescent="0.25">
      <c r="A953" s="20"/>
      <c r="B953" s="21" t="str">
        <f t="shared" si="42"/>
        <v/>
      </c>
      <c r="C953" s="21" t="str">
        <f t="shared" si="43"/>
        <v/>
      </c>
      <c r="D953" s="22"/>
      <c r="E953" s="22"/>
      <c r="F953" s="23"/>
      <c r="G953" s="24" t="str">
        <f>IF($D953="","",IFERROR(INDEX(Einstellungen!$B$4:$B$40,MATCH($D953,Einstellungen!$A$4:$A$40,0)),"?"))</f>
        <v/>
      </c>
      <c r="H953" s="22"/>
      <c r="I953" s="25" t="str">
        <f t="shared" si="44"/>
        <v/>
      </c>
    </row>
    <row r="954" spans="1:9" ht="15" customHeight="1" x14ac:dyDescent="0.25">
      <c r="A954" s="26"/>
      <c r="B954" s="17" t="str">
        <f t="shared" si="42"/>
        <v/>
      </c>
      <c r="C954" s="17" t="str">
        <f t="shared" si="43"/>
        <v/>
      </c>
      <c r="D954" s="27"/>
      <c r="E954" s="27"/>
      <c r="F954" s="28"/>
      <c r="G954" s="14" t="str">
        <f>IF($D954="","",IFERROR(INDEX(Einstellungen!$B$4:$B$40,MATCH($D954,Einstellungen!$A$4:$A$40,0)),"?"))</f>
        <v/>
      </c>
      <c r="H954" s="27"/>
      <c r="I954" s="11" t="str">
        <f t="shared" si="44"/>
        <v/>
      </c>
    </row>
    <row r="955" spans="1:9" ht="15" customHeight="1" x14ac:dyDescent="0.25">
      <c r="A955" s="20"/>
      <c r="B955" s="21" t="str">
        <f t="shared" si="42"/>
        <v/>
      </c>
      <c r="C955" s="21" t="str">
        <f t="shared" si="43"/>
        <v/>
      </c>
      <c r="D955" s="22"/>
      <c r="E955" s="22"/>
      <c r="F955" s="23"/>
      <c r="G955" s="24" t="str">
        <f>IF($D955="","",IFERROR(INDEX(Einstellungen!$B$4:$B$40,MATCH($D955,Einstellungen!$A$4:$A$40,0)),"?"))</f>
        <v/>
      </c>
      <c r="H955" s="22"/>
      <c r="I955" s="25" t="str">
        <f t="shared" si="44"/>
        <v/>
      </c>
    </row>
    <row r="956" spans="1:9" ht="15" customHeight="1" x14ac:dyDescent="0.25">
      <c r="A956" s="26"/>
      <c r="B956" s="17" t="str">
        <f t="shared" si="42"/>
        <v/>
      </c>
      <c r="C956" s="17" t="str">
        <f t="shared" si="43"/>
        <v/>
      </c>
      <c r="D956" s="27"/>
      <c r="E956" s="27"/>
      <c r="F956" s="28"/>
      <c r="G956" s="14" t="str">
        <f>IF($D956="","",IFERROR(INDEX(Einstellungen!$B$4:$B$40,MATCH($D956,Einstellungen!$A$4:$A$40,0)),"?"))</f>
        <v/>
      </c>
      <c r="H956" s="27"/>
      <c r="I956" s="11" t="str">
        <f t="shared" si="44"/>
        <v/>
      </c>
    </row>
    <row r="957" spans="1:9" ht="15" customHeight="1" x14ac:dyDescent="0.25">
      <c r="A957" s="20"/>
      <c r="B957" s="21" t="str">
        <f t="shared" si="42"/>
        <v/>
      </c>
      <c r="C957" s="21" t="str">
        <f t="shared" si="43"/>
        <v/>
      </c>
      <c r="D957" s="22"/>
      <c r="E957" s="22"/>
      <c r="F957" s="23"/>
      <c r="G957" s="24" t="str">
        <f>IF($D957="","",IFERROR(INDEX(Einstellungen!$B$4:$B$40,MATCH($D957,Einstellungen!$A$4:$A$40,0)),"?"))</f>
        <v/>
      </c>
      <c r="H957" s="22"/>
      <c r="I957" s="25" t="str">
        <f t="shared" si="44"/>
        <v/>
      </c>
    </row>
    <row r="958" spans="1:9" ht="15" customHeight="1" x14ac:dyDescent="0.25">
      <c r="A958" s="26"/>
      <c r="B958" s="17" t="str">
        <f t="shared" si="42"/>
        <v/>
      </c>
      <c r="C958" s="17" t="str">
        <f t="shared" si="43"/>
        <v/>
      </c>
      <c r="D958" s="27"/>
      <c r="E958" s="27"/>
      <c r="F958" s="28"/>
      <c r="G958" s="14" t="str">
        <f>IF($D958="","",IFERROR(INDEX(Einstellungen!$B$4:$B$40,MATCH($D958,Einstellungen!$A$4:$A$40,0)),"?"))</f>
        <v/>
      </c>
      <c r="H958" s="27"/>
      <c r="I958" s="11" t="str">
        <f t="shared" si="44"/>
        <v/>
      </c>
    </row>
    <row r="959" spans="1:9" ht="15" customHeight="1" x14ac:dyDescent="0.25">
      <c r="A959" s="20"/>
      <c r="B959" s="21" t="str">
        <f t="shared" si="42"/>
        <v/>
      </c>
      <c r="C959" s="21" t="str">
        <f t="shared" si="43"/>
        <v/>
      </c>
      <c r="D959" s="22"/>
      <c r="E959" s="22"/>
      <c r="F959" s="23"/>
      <c r="G959" s="24" t="str">
        <f>IF($D959="","",IFERROR(INDEX(Einstellungen!$B$4:$B$40,MATCH($D959,Einstellungen!$A$4:$A$40,0)),"?"))</f>
        <v/>
      </c>
      <c r="H959" s="22"/>
      <c r="I959" s="25" t="str">
        <f t="shared" si="44"/>
        <v/>
      </c>
    </row>
    <row r="960" spans="1:9" ht="15" customHeight="1" x14ac:dyDescent="0.25">
      <c r="A960" s="26"/>
      <c r="B960" s="17" t="str">
        <f t="shared" si="42"/>
        <v/>
      </c>
      <c r="C960" s="17" t="str">
        <f t="shared" si="43"/>
        <v/>
      </c>
      <c r="D960" s="27"/>
      <c r="E960" s="27"/>
      <c r="F960" s="28"/>
      <c r="G960" s="14" t="str">
        <f>IF($D960="","",IFERROR(INDEX(Einstellungen!$B$4:$B$40,MATCH($D960,Einstellungen!$A$4:$A$40,0)),"?"))</f>
        <v/>
      </c>
      <c r="H960" s="27"/>
      <c r="I960" s="11" t="str">
        <f t="shared" si="44"/>
        <v/>
      </c>
    </row>
    <row r="961" spans="1:9" ht="15" customHeight="1" x14ac:dyDescent="0.25">
      <c r="A961" s="20"/>
      <c r="B961" s="21" t="str">
        <f t="shared" si="42"/>
        <v/>
      </c>
      <c r="C961" s="21" t="str">
        <f t="shared" si="43"/>
        <v/>
      </c>
      <c r="D961" s="22"/>
      <c r="E961" s="22"/>
      <c r="F961" s="23"/>
      <c r="G961" s="24" t="str">
        <f>IF($D961="","",IFERROR(INDEX(Einstellungen!$B$4:$B$40,MATCH($D961,Einstellungen!$A$4:$A$40,0)),"?"))</f>
        <v/>
      </c>
      <c r="H961" s="22"/>
      <c r="I961" s="25" t="str">
        <f t="shared" si="44"/>
        <v/>
      </c>
    </row>
    <row r="962" spans="1:9" ht="15" customHeight="1" x14ac:dyDescent="0.25">
      <c r="A962" s="26"/>
      <c r="B962" s="17" t="str">
        <f t="shared" si="42"/>
        <v/>
      </c>
      <c r="C962" s="17" t="str">
        <f t="shared" si="43"/>
        <v/>
      </c>
      <c r="D962" s="27"/>
      <c r="E962" s="27"/>
      <c r="F962" s="28"/>
      <c r="G962" s="14" t="str">
        <f>IF($D962="","",IFERROR(INDEX(Einstellungen!$B$4:$B$40,MATCH($D962,Einstellungen!$A$4:$A$40,0)),"?"))</f>
        <v/>
      </c>
      <c r="H962" s="27"/>
      <c r="I962" s="11" t="str">
        <f t="shared" si="44"/>
        <v/>
      </c>
    </row>
    <row r="963" spans="1:9" ht="15" customHeight="1" x14ac:dyDescent="0.25">
      <c r="A963" s="20"/>
      <c r="B963" s="21" t="str">
        <f t="shared" si="42"/>
        <v/>
      </c>
      <c r="C963" s="21" t="str">
        <f t="shared" si="43"/>
        <v/>
      </c>
      <c r="D963" s="22"/>
      <c r="E963" s="22"/>
      <c r="F963" s="23"/>
      <c r="G963" s="24" t="str">
        <f>IF($D963="","",IFERROR(INDEX(Einstellungen!$B$4:$B$40,MATCH($D963,Einstellungen!$A$4:$A$40,0)),"?"))</f>
        <v/>
      </c>
      <c r="H963" s="22"/>
      <c r="I963" s="25" t="str">
        <f t="shared" si="44"/>
        <v/>
      </c>
    </row>
    <row r="964" spans="1:9" ht="15" customHeight="1" x14ac:dyDescent="0.25">
      <c r="A964" s="26"/>
      <c r="B964" s="17" t="str">
        <f t="shared" ref="B964:B1003" si="45">IF($A964="","",YEAR($A964))</f>
        <v/>
      </c>
      <c r="C964" s="17" t="str">
        <f t="shared" ref="C964:C1003" si="46">IF($A964="","",MONTH($A964))</f>
        <v/>
      </c>
      <c r="D964" s="27"/>
      <c r="E964" s="27"/>
      <c r="F964" s="28"/>
      <c r="G964" s="14" t="str">
        <f>IF($D964="","",IFERROR(INDEX(Einstellungen!$B$4:$B$40,MATCH($D964,Einstellungen!$A$4:$A$40,0)),"?"))</f>
        <v/>
      </c>
      <c r="H964" s="27"/>
      <c r="I964" s="11" t="str">
        <f t="shared" ref="I964:I1003" si="47">IF($F964="","",IF($G964="Einnahme",$F964,-$F964))</f>
        <v/>
      </c>
    </row>
    <row r="965" spans="1:9" ht="15" customHeight="1" x14ac:dyDescent="0.25">
      <c r="A965" s="20"/>
      <c r="B965" s="21" t="str">
        <f t="shared" si="45"/>
        <v/>
      </c>
      <c r="C965" s="21" t="str">
        <f t="shared" si="46"/>
        <v/>
      </c>
      <c r="D965" s="22"/>
      <c r="E965" s="22"/>
      <c r="F965" s="23"/>
      <c r="G965" s="24" t="str">
        <f>IF($D965="","",IFERROR(INDEX(Einstellungen!$B$4:$B$40,MATCH($D965,Einstellungen!$A$4:$A$40,0)),"?"))</f>
        <v/>
      </c>
      <c r="H965" s="22"/>
      <c r="I965" s="25" t="str">
        <f t="shared" si="47"/>
        <v/>
      </c>
    </row>
    <row r="966" spans="1:9" ht="15" customHeight="1" x14ac:dyDescent="0.25">
      <c r="A966" s="26"/>
      <c r="B966" s="17" t="str">
        <f t="shared" si="45"/>
        <v/>
      </c>
      <c r="C966" s="17" t="str">
        <f t="shared" si="46"/>
        <v/>
      </c>
      <c r="D966" s="27"/>
      <c r="E966" s="27"/>
      <c r="F966" s="28"/>
      <c r="G966" s="14" t="str">
        <f>IF($D966="","",IFERROR(INDEX(Einstellungen!$B$4:$B$40,MATCH($D966,Einstellungen!$A$4:$A$40,0)),"?"))</f>
        <v/>
      </c>
      <c r="H966" s="27"/>
      <c r="I966" s="11" t="str">
        <f t="shared" si="47"/>
        <v/>
      </c>
    </row>
    <row r="967" spans="1:9" ht="15" customHeight="1" x14ac:dyDescent="0.25">
      <c r="A967" s="20"/>
      <c r="B967" s="21" t="str">
        <f t="shared" si="45"/>
        <v/>
      </c>
      <c r="C967" s="21" t="str">
        <f t="shared" si="46"/>
        <v/>
      </c>
      <c r="D967" s="22"/>
      <c r="E967" s="22"/>
      <c r="F967" s="23"/>
      <c r="G967" s="24" t="str">
        <f>IF($D967="","",IFERROR(INDEX(Einstellungen!$B$4:$B$40,MATCH($D967,Einstellungen!$A$4:$A$40,0)),"?"))</f>
        <v/>
      </c>
      <c r="H967" s="22"/>
      <c r="I967" s="25" t="str">
        <f t="shared" si="47"/>
        <v/>
      </c>
    </row>
    <row r="968" spans="1:9" ht="15" customHeight="1" x14ac:dyDescent="0.25">
      <c r="A968" s="26"/>
      <c r="B968" s="17" t="str">
        <f t="shared" si="45"/>
        <v/>
      </c>
      <c r="C968" s="17" t="str">
        <f t="shared" si="46"/>
        <v/>
      </c>
      <c r="D968" s="27"/>
      <c r="E968" s="27"/>
      <c r="F968" s="28"/>
      <c r="G968" s="14" t="str">
        <f>IF($D968="","",IFERROR(INDEX(Einstellungen!$B$4:$B$40,MATCH($D968,Einstellungen!$A$4:$A$40,0)),"?"))</f>
        <v/>
      </c>
      <c r="H968" s="27"/>
      <c r="I968" s="11" t="str">
        <f t="shared" si="47"/>
        <v/>
      </c>
    </row>
    <row r="969" spans="1:9" ht="15" customHeight="1" x14ac:dyDescent="0.25">
      <c r="A969" s="20"/>
      <c r="B969" s="21" t="str">
        <f t="shared" si="45"/>
        <v/>
      </c>
      <c r="C969" s="21" t="str">
        <f t="shared" si="46"/>
        <v/>
      </c>
      <c r="D969" s="22"/>
      <c r="E969" s="22"/>
      <c r="F969" s="23"/>
      <c r="G969" s="24" t="str">
        <f>IF($D969="","",IFERROR(INDEX(Einstellungen!$B$4:$B$40,MATCH($D969,Einstellungen!$A$4:$A$40,0)),"?"))</f>
        <v/>
      </c>
      <c r="H969" s="22"/>
      <c r="I969" s="25" t="str">
        <f t="shared" si="47"/>
        <v/>
      </c>
    </row>
    <row r="970" spans="1:9" ht="15" customHeight="1" x14ac:dyDescent="0.25">
      <c r="A970" s="26"/>
      <c r="B970" s="17" t="str">
        <f t="shared" si="45"/>
        <v/>
      </c>
      <c r="C970" s="17" t="str">
        <f t="shared" si="46"/>
        <v/>
      </c>
      <c r="D970" s="27"/>
      <c r="E970" s="27"/>
      <c r="F970" s="28"/>
      <c r="G970" s="14" t="str">
        <f>IF($D970="","",IFERROR(INDEX(Einstellungen!$B$4:$B$40,MATCH($D970,Einstellungen!$A$4:$A$40,0)),"?"))</f>
        <v/>
      </c>
      <c r="H970" s="27"/>
      <c r="I970" s="11" t="str">
        <f t="shared" si="47"/>
        <v/>
      </c>
    </row>
    <row r="971" spans="1:9" ht="15" customHeight="1" x14ac:dyDescent="0.25">
      <c r="A971" s="20"/>
      <c r="B971" s="21" t="str">
        <f t="shared" si="45"/>
        <v/>
      </c>
      <c r="C971" s="21" t="str">
        <f t="shared" si="46"/>
        <v/>
      </c>
      <c r="D971" s="22"/>
      <c r="E971" s="22"/>
      <c r="F971" s="23"/>
      <c r="G971" s="24" t="str">
        <f>IF($D971="","",IFERROR(INDEX(Einstellungen!$B$4:$B$40,MATCH($D971,Einstellungen!$A$4:$A$40,0)),"?"))</f>
        <v/>
      </c>
      <c r="H971" s="22"/>
      <c r="I971" s="25" t="str">
        <f t="shared" si="47"/>
        <v/>
      </c>
    </row>
    <row r="972" spans="1:9" ht="15" customHeight="1" x14ac:dyDescent="0.25">
      <c r="A972" s="26"/>
      <c r="B972" s="17" t="str">
        <f t="shared" si="45"/>
        <v/>
      </c>
      <c r="C972" s="17" t="str">
        <f t="shared" si="46"/>
        <v/>
      </c>
      <c r="D972" s="27"/>
      <c r="E972" s="27"/>
      <c r="F972" s="28"/>
      <c r="G972" s="14" t="str">
        <f>IF($D972="","",IFERROR(INDEX(Einstellungen!$B$4:$B$40,MATCH($D972,Einstellungen!$A$4:$A$40,0)),"?"))</f>
        <v/>
      </c>
      <c r="H972" s="27"/>
      <c r="I972" s="11" t="str">
        <f t="shared" si="47"/>
        <v/>
      </c>
    </row>
    <row r="973" spans="1:9" ht="15" customHeight="1" x14ac:dyDescent="0.25">
      <c r="A973" s="20"/>
      <c r="B973" s="21" t="str">
        <f t="shared" si="45"/>
        <v/>
      </c>
      <c r="C973" s="21" t="str">
        <f t="shared" si="46"/>
        <v/>
      </c>
      <c r="D973" s="22"/>
      <c r="E973" s="22"/>
      <c r="F973" s="23"/>
      <c r="G973" s="24" t="str">
        <f>IF($D973="","",IFERROR(INDEX(Einstellungen!$B$4:$B$40,MATCH($D973,Einstellungen!$A$4:$A$40,0)),"?"))</f>
        <v/>
      </c>
      <c r="H973" s="22"/>
      <c r="I973" s="25" t="str">
        <f t="shared" si="47"/>
        <v/>
      </c>
    </row>
    <row r="974" spans="1:9" ht="15" customHeight="1" x14ac:dyDescent="0.25">
      <c r="A974" s="26"/>
      <c r="B974" s="17" t="str">
        <f t="shared" si="45"/>
        <v/>
      </c>
      <c r="C974" s="17" t="str">
        <f t="shared" si="46"/>
        <v/>
      </c>
      <c r="D974" s="27"/>
      <c r="E974" s="27"/>
      <c r="F974" s="28"/>
      <c r="G974" s="14" t="str">
        <f>IF($D974="","",IFERROR(INDEX(Einstellungen!$B$4:$B$40,MATCH($D974,Einstellungen!$A$4:$A$40,0)),"?"))</f>
        <v/>
      </c>
      <c r="H974" s="27"/>
      <c r="I974" s="11" t="str">
        <f t="shared" si="47"/>
        <v/>
      </c>
    </row>
    <row r="975" spans="1:9" ht="15" customHeight="1" x14ac:dyDescent="0.25">
      <c r="A975" s="20"/>
      <c r="B975" s="21" t="str">
        <f t="shared" si="45"/>
        <v/>
      </c>
      <c r="C975" s="21" t="str">
        <f t="shared" si="46"/>
        <v/>
      </c>
      <c r="D975" s="22"/>
      <c r="E975" s="22"/>
      <c r="F975" s="23"/>
      <c r="G975" s="24" t="str">
        <f>IF($D975="","",IFERROR(INDEX(Einstellungen!$B$4:$B$40,MATCH($D975,Einstellungen!$A$4:$A$40,0)),"?"))</f>
        <v/>
      </c>
      <c r="H975" s="22"/>
      <c r="I975" s="25" t="str">
        <f t="shared" si="47"/>
        <v/>
      </c>
    </row>
    <row r="976" spans="1:9" ht="15" customHeight="1" x14ac:dyDescent="0.25">
      <c r="A976" s="26"/>
      <c r="B976" s="17" t="str">
        <f t="shared" si="45"/>
        <v/>
      </c>
      <c r="C976" s="17" t="str">
        <f t="shared" si="46"/>
        <v/>
      </c>
      <c r="D976" s="27"/>
      <c r="E976" s="27"/>
      <c r="F976" s="28"/>
      <c r="G976" s="14" t="str">
        <f>IF($D976="","",IFERROR(INDEX(Einstellungen!$B$4:$B$40,MATCH($D976,Einstellungen!$A$4:$A$40,0)),"?"))</f>
        <v/>
      </c>
      <c r="H976" s="27"/>
      <c r="I976" s="11" t="str">
        <f t="shared" si="47"/>
        <v/>
      </c>
    </row>
    <row r="977" spans="1:9" ht="15" customHeight="1" x14ac:dyDescent="0.25">
      <c r="A977" s="20"/>
      <c r="B977" s="21" t="str">
        <f t="shared" si="45"/>
        <v/>
      </c>
      <c r="C977" s="21" t="str">
        <f t="shared" si="46"/>
        <v/>
      </c>
      <c r="D977" s="22"/>
      <c r="E977" s="22"/>
      <c r="F977" s="23"/>
      <c r="G977" s="24" t="str">
        <f>IF($D977="","",IFERROR(INDEX(Einstellungen!$B$4:$B$40,MATCH($D977,Einstellungen!$A$4:$A$40,0)),"?"))</f>
        <v/>
      </c>
      <c r="H977" s="22"/>
      <c r="I977" s="25" t="str">
        <f t="shared" si="47"/>
        <v/>
      </c>
    </row>
    <row r="978" spans="1:9" ht="15" customHeight="1" x14ac:dyDescent="0.25">
      <c r="A978" s="26"/>
      <c r="B978" s="17" t="str">
        <f t="shared" si="45"/>
        <v/>
      </c>
      <c r="C978" s="17" t="str">
        <f t="shared" si="46"/>
        <v/>
      </c>
      <c r="D978" s="27"/>
      <c r="E978" s="27"/>
      <c r="F978" s="28"/>
      <c r="G978" s="14" t="str">
        <f>IF($D978="","",IFERROR(INDEX(Einstellungen!$B$4:$B$40,MATCH($D978,Einstellungen!$A$4:$A$40,0)),"?"))</f>
        <v/>
      </c>
      <c r="H978" s="27"/>
      <c r="I978" s="11" t="str">
        <f t="shared" si="47"/>
        <v/>
      </c>
    </row>
    <row r="979" spans="1:9" ht="15" customHeight="1" x14ac:dyDescent="0.25">
      <c r="A979" s="20"/>
      <c r="B979" s="21" t="str">
        <f t="shared" si="45"/>
        <v/>
      </c>
      <c r="C979" s="21" t="str">
        <f t="shared" si="46"/>
        <v/>
      </c>
      <c r="D979" s="22"/>
      <c r="E979" s="22"/>
      <c r="F979" s="23"/>
      <c r="G979" s="24" t="str">
        <f>IF($D979="","",IFERROR(INDEX(Einstellungen!$B$4:$B$40,MATCH($D979,Einstellungen!$A$4:$A$40,0)),"?"))</f>
        <v/>
      </c>
      <c r="H979" s="22"/>
      <c r="I979" s="25" t="str">
        <f t="shared" si="47"/>
        <v/>
      </c>
    </row>
    <row r="980" spans="1:9" ht="15" customHeight="1" x14ac:dyDescent="0.25">
      <c r="A980" s="26"/>
      <c r="B980" s="17" t="str">
        <f t="shared" si="45"/>
        <v/>
      </c>
      <c r="C980" s="17" t="str">
        <f t="shared" si="46"/>
        <v/>
      </c>
      <c r="D980" s="27"/>
      <c r="E980" s="27"/>
      <c r="F980" s="28"/>
      <c r="G980" s="14" t="str">
        <f>IF($D980="","",IFERROR(INDEX(Einstellungen!$B$4:$B$40,MATCH($D980,Einstellungen!$A$4:$A$40,0)),"?"))</f>
        <v/>
      </c>
      <c r="H980" s="27"/>
      <c r="I980" s="11" t="str">
        <f t="shared" si="47"/>
        <v/>
      </c>
    </row>
    <row r="981" spans="1:9" ht="15" customHeight="1" x14ac:dyDescent="0.25">
      <c r="A981" s="20"/>
      <c r="B981" s="21" t="str">
        <f t="shared" si="45"/>
        <v/>
      </c>
      <c r="C981" s="21" t="str">
        <f t="shared" si="46"/>
        <v/>
      </c>
      <c r="D981" s="22"/>
      <c r="E981" s="22"/>
      <c r="F981" s="23"/>
      <c r="G981" s="24" t="str">
        <f>IF($D981="","",IFERROR(INDEX(Einstellungen!$B$4:$B$40,MATCH($D981,Einstellungen!$A$4:$A$40,0)),"?"))</f>
        <v/>
      </c>
      <c r="H981" s="22"/>
      <c r="I981" s="25" t="str">
        <f t="shared" si="47"/>
        <v/>
      </c>
    </row>
    <row r="982" spans="1:9" ht="15" customHeight="1" x14ac:dyDescent="0.25">
      <c r="A982" s="26"/>
      <c r="B982" s="17" t="str">
        <f t="shared" si="45"/>
        <v/>
      </c>
      <c r="C982" s="17" t="str">
        <f t="shared" si="46"/>
        <v/>
      </c>
      <c r="D982" s="27"/>
      <c r="E982" s="27"/>
      <c r="F982" s="28"/>
      <c r="G982" s="14" t="str">
        <f>IF($D982="","",IFERROR(INDEX(Einstellungen!$B$4:$B$40,MATCH($D982,Einstellungen!$A$4:$A$40,0)),"?"))</f>
        <v/>
      </c>
      <c r="H982" s="27"/>
      <c r="I982" s="11" t="str">
        <f t="shared" si="47"/>
        <v/>
      </c>
    </row>
    <row r="983" spans="1:9" ht="15" customHeight="1" x14ac:dyDescent="0.25">
      <c r="A983" s="20"/>
      <c r="B983" s="21" t="str">
        <f t="shared" si="45"/>
        <v/>
      </c>
      <c r="C983" s="21" t="str">
        <f t="shared" si="46"/>
        <v/>
      </c>
      <c r="D983" s="22"/>
      <c r="E983" s="22"/>
      <c r="F983" s="23"/>
      <c r="G983" s="24" t="str">
        <f>IF($D983="","",IFERROR(INDEX(Einstellungen!$B$4:$B$40,MATCH($D983,Einstellungen!$A$4:$A$40,0)),"?"))</f>
        <v/>
      </c>
      <c r="H983" s="22"/>
      <c r="I983" s="25" t="str">
        <f t="shared" si="47"/>
        <v/>
      </c>
    </row>
    <row r="984" spans="1:9" ht="15" customHeight="1" x14ac:dyDescent="0.25">
      <c r="A984" s="26"/>
      <c r="B984" s="17" t="str">
        <f t="shared" si="45"/>
        <v/>
      </c>
      <c r="C984" s="17" t="str">
        <f t="shared" si="46"/>
        <v/>
      </c>
      <c r="D984" s="27"/>
      <c r="E984" s="27"/>
      <c r="F984" s="28"/>
      <c r="G984" s="14" t="str">
        <f>IF($D984="","",IFERROR(INDEX(Einstellungen!$B$4:$B$40,MATCH($D984,Einstellungen!$A$4:$A$40,0)),"?"))</f>
        <v/>
      </c>
      <c r="H984" s="27"/>
      <c r="I984" s="11" t="str">
        <f t="shared" si="47"/>
        <v/>
      </c>
    </row>
    <row r="985" spans="1:9" ht="15" customHeight="1" x14ac:dyDescent="0.25">
      <c r="A985" s="20"/>
      <c r="B985" s="21" t="str">
        <f t="shared" si="45"/>
        <v/>
      </c>
      <c r="C985" s="21" t="str">
        <f t="shared" si="46"/>
        <v/>
      </c>
      <c r="D985" s="22"/>
      <c r="E985" s="22"/>
      <c r="F985" s="23"/>
      <c r="G985" s="24" t="str">
        <f>IF($D985="","",IFERROR(INDEX(Einstellungen!$B$4:$B$40,MATCH($D985,Einstellungen!$A$4:$A$40,0)),"?"))</f>
        <v/>
      </c>
      <c r="H985" s="22"/>
      <c r="I985" s="25" t="str">
        <f t="shared" si="47"/>
        <v/>
      </c>
    </row>
    <row r="986" spans="1:9" ht="15" customHeight="1" x14ac:dyDescent="0.25">
      <c r="A986" s="26"/>
      <c r="B986" s="17" t="str">
        <f t="shared" si="45"/>
        <v/>
      </c>
      <c r="C986" s="17" t="str">
        <f t="shared" si="46"/>
        <v/>
      </c>
      <c r="D986" s="27"/>
      <c r="E986" s="27"/>
      <c r="F986" s="28"/>
      <c r="G986" s="14" t="str">
        <f>IF($D986="","",IFERROR(INDEX(Einstellungen!$B$4:$B$40,MATCH($D986,Einstellungen!$A$4:$A$40,0)),"?"))</f>
        <v/>
      </c>
      <c r="H986" s="27"/>
      <c r="I986" s="11" t="str">
        <f t="shared" si="47"/>
        <v/>
      </c>
    </row>
    <row r="987" spans="1:9" ht="15" customHeight="1" x14ac:dyDescent="0.25">
      <c r="A987" s="20"/>
      <c r="B987" s="21" t="str">
        <f t="shared" si="45"/>
        <v/>
      </c>
      <c r="C987" s="21" t="str">
        <f t="shared" si="46"/>
        <v/>
      </c>
      <c r="D987" s="22"/>
      <c r="E987" s="22"/>
      <c r="F987" s="23"/>
      <c r="G987" s="24" t="str">
        <f>IF($D987="","",IFERROR(INDEX(Einstellungen!$B$4:$B$40,MATCH($D987,Einstellungen!$A$4:$A$40,0)),"?"))</f>
        <v/>
      </c>
      <c r="H987" s="22"/>
      <c r="I987" s="25" t="str">
        <f t="shared" si="47"/>
        <v/>
      </c>
    </row>
    <row r="988" spans="1:9" ht="15" customHeight="1" x14ac:dyDescent="0.25">
      <c r="A988" s="26"/>
      <c r="B988" s="17" t="str">
        <f t="shared" si="45"/>
        <v/>
      </c>
      <c r="C988" s="17" t="str">
        <f t="shared" si="46"/>
        <v/>
      </c>
      <c r="D988" s="27"/>
      <c r="E988" s="27"/>
      <c r="F988" s="28"/>
      <c r="G988" s="14" t="str">
        <f>IF($D988="","",IFERROR(INDEX(Einstellungen!$B$4:$B$40,MATCH($D988,Einstellungen!$A$4:$A$40,0)),"?"))</f>
        <v/>
      </c>
      <c r="H988" s="27"/>
      <c r="I988" s="11" t="str">
        <f t="shared" si="47"/>
        <v/>
      </c>
    </row>
    <row r="989" spans="1:9" ht="15" customHeight="1" x14ac:dyDescent="0.25">
      <c r="A989" s="20"/>
      <c r="B989" s="21" t="str">
        <f t="shared" si="45"/>
        <v/>
      </c>
      <c r="C989" s="21" t="str">
        <f t="shared" si="46"/>
        <v/>
      </c>
      <c r="D989" s="22"/>
      <c r="E989" s="22"/>
      <c r="F989" s="23"/>
      <c r="G989" s="24" t="str">
        <f>IF($D989="","",IFERROR(INDEX(Einstellungen!$B$4:$B$40,MATCH($D989,Einstellungen!$A$4:$A$40,0)),"?"))</f>
        <v/>
      </c>
      <c r="H989" s="22"/>
      <c r="I989" s="25" t="str">
        <f t="shared" si="47"/>
        <v/>
      </c>
    </row>
    <row r="990" spans="1:9" ht="15" customHeight="1" x14ac:dyDescent="0.25">
      <c r="A990" s="26"/>
      <c r="B990" s="17" t="str">
        <f t="shared" si="45"/>
        <v/>
      </c>
      <c r="C990" s="17" t="str">
        <f t="shared" si="46"/>
        <v/>
      </c>
      <c r="D990" s="27"/>
      <c r="E990" s="27"/>
      <c r="F990" s="28"/>
      <c r="G990" s="14" t="str">
        <f>IF($D990="","",IFERROR(INDEX(Einstellungen!$B$4:$B$40,MATCH($D990,Einstellungen!$A$4:$A$40,0)),"?"))</f>
        <v/>
      </c>
      <c r="H990" s="27"/>
      <c r="I990" s="11" t="str">
        <f t="shared" si="47"/>
        <v/>
      </c>
    </row>
    <row r="991" spans="1:9" ht="15" customHeight="1" x14ac:dyDescent="0.25">
      <c r="A991" s="20"/>
      <c r="B991" s="21" t="str">
        <f t="shared" si="45"/>
        <v/>
      </c>
      <c r="C991" s="21" t="str">
        <f t="shared" si="46"/>
        <v/>
      </c>
      <c r="D991" s="22"/>
      <c r="E991" s="22"/>
      <c r="F991" s="23"/>
      <c r="G991" s="24" t="str">
        <f>IF($D991="","",IFERROR(INDEX(Einstellungen!$B$4:$B$40,MATCH($D991,Einstellungen!$A$4:$A$40,0)),"?"))</f>
        <v/>
      </c>
      <c r="H991" s="22"/>
      <c r="I991" s="25" t="str">
        <f t="shared" si="47"/>
        <v/>
      </c>
    </row>
    <row r="992" spans="1:9" ht="15" customHeight="1" x14ac:dyDescent="0.25">
      <c r="A992" s="26"/>
      <c r="B992" s="17" t="str">
        <f t="shared" si="45"/>
        <v/>
      </c>
      <c r="C992" s="17" t="str">
        <f t="shared" si="46"/>
        <v/>
      </c>
      <c r="D992" s="27"/>
      <c r="E992" s="27"/>
      <c r="F992" s="28"/>
      <c r="G992" s="14" t="str">
        <f>IF($D992="","",IFERROR(INDEX(Einstellungen!$B$4:$B$40,MATCH($D992,Einstellungen!$A$4:$A$40,0)),"?"))</f>
        <v/>
      </c>
      <c r="H992" s="27"/>
      <c r="I992" s="11" t="str">
        <f t="shared" si="47"/>
        <v/>
      </c>
    </row>
    <row r="993" spans="1:9" ht="15" customHeight="1" x14ac:dyDescent="0.25">
      <c r="A993" s="20"/>
      <c r="B993" s="21" t="str">
        <f t="shared" si="45"/>
        <v/>
      </c>
      <c r="C993" s="21" t="str">
        <f t="shared" si="46"/>
        <v/>
      </c>
      <c r="D993" s="22"/>
      <c r="E993" s="22"/>
      <c r="F993" s="23"/>
      <c r="G993" s="24" t="str">
        <f>IF($D993="","",IFERROR(INDEX(Einstellungen!$B$4:$B$40,MATCH($D993,Einstellungen!$A$4:$A$40,0)),"?"))</f>
        <v/>
      </c>
      <c r="H993" s="22"/>
      <c r="I993" s="25" t="str">
        <f t="shared" si="47"/>
        <v/>
      </c>
    </row>
    <row r="994" spans="1:9" ht="15" customHeight="1" x14ac:dyDescent="0.25">
      <c r="A994" s="26"/>
      <c r="B994" s="17" t="str">
        <f t="shared" si="45"/>
        <v/>
      </c>
      <c r="C994" s="17" t="str">
        <f t="shared" si="46"/>
        <v/>
      </c>
      <c r="D994" s="27"/>
      <c r="E994" s="27"/>
      <c r="F994" s="28"/>
      <c r="G994" s="14" t="str">
        <f>IF($D994="","",IFERROR(INDEX(Einstellungen!$B$4:$B$40,MATCH($D994,Einstellungen!$A$4:$A$40,0)),"?"))</f>
        <v/>
      </c>
      <c r="H994" s="27"/>
      <c r="I994" s="11" t="str">
        <f t="shared" si="47"/>
        <v/>
      </c>
    </row>
    <row r="995" spans="1:9" ht="15" customHeight="1" x14ac:dyDescent="0.25">
      <c r="A995" s="20"/>
      <c r="B995" s="21" t="str">
        <f t="shared" si="45"/>
        <v/>
      </c>
      <c r="C995" s="21" t="str">
        <f t="shared" si="46"/>
        <v/>
      </c>
      <c r="D995" s="22"/>
      <c r="E995" s="22"/>
      <c r="F995" s="23"/>
      <c r="G995" s="24" t="str">
        <f>IF($D995="","",IFERROR(INDEX(Einstellungen!$B$4:$B$40,MATCH($D995,Einstellungen!$A$4:$A$40,0)),"?"))</f>
        <v/>
      </c>
      <c r="H995" s="22"/>
      <c r="I995" s="25" t="str">
        <f t="shared" si="47"/>
        <v/>
      </c>
    </row>
    <row r="996" spans="1:9" ht="15" customHeight="1" x14ac:dyDescent="0.25">
      <c r="A996" s="26"/>
      <c r="B996" s="17" t="str">
        <f t="shared" si="45"/>
        <v/>
      </c>
      <c r="C996" s="17" t="str">
        <f t="shared" si="46"/>
        <v/>
      </c>
      <c r="D996" s="27"/>
      <c r="E996" s="27"/>
      <c r="F996" s="28"/>
      <c r="G996" s="14" t="str">
        <f>IF($D996="","",IFERROR(INDEX(Einstellungen!$B$4:$B$40,MATCH($D996,Einstellungen!$A$4:$A$40,0)),"?"))</f>
        <v/>
      </c>
      <c r="H996" s="27"/>
      <c r="I996" s="11" t="str">
        <f t="shared" si="47"/>
        <v/>
      </c>
    </row>
    <row r="997" spans="1:9" ht="15" customHeight="1" x14ac:dyDescent="0.25">
      <c r="A997" s="20"/>
      <c r="B997" s="21" t="str">
        <f t="shared" si="45"/>
        <v/>
      </c>
      <c r="C997" s="21" t="str">
        <f t="shared" si="46"/>
        <v/>
      </c>
      <c r="D997" s="22"/>
      <c r="E997" s="22"/>
      <c r="F997" s="23"/>
      <c r="G997" s="24" t="str">
        <f>IF($D997="","",IFERROR(INDEX(Einstellungen!$B$4:$B$40,MATCH($D997,Einstellungen!$A$4:$A$40,0)),"?"))</f>
        <v/>
      </c>
      <c r="H997" s="22"/>
      <c r="I997" s="25" t="str">
        <f t="shared" si="47"/>
        <v/>
      </c>
    </row>
    <row r="998" spans="1:9" ht="15" customHeight="1" x14ac:dyDescent="0.25">
      <c r="A998" s="26"/>
      <c r="B998" s="17" t="str">
        <f t="shared" si="45"/>
        <v/>
      </c>
      <c r="C998" s="17" t="str">
        <f t="shared" si="46"/>
        <v/>
      </c>
      <c r="D998" s="27"/>
      <c r="E998" s="27"/>
      <c r="F998" s="28"/>
      <c r="G998" s="14" t="str">
        <f>IF($D998="","",IFERROR(INDEX(Einstellungen!$B$4:$B$40,MATCH($D998,Einstellungen!$A$4:$A$40,0)),"?"))</f>
        <v/>
      </c>
      <c r="H998" s="27"/>
      <c r="I998" s="11" t="str">
        <f t="shared" si="47"/>
        <v/>
      </c>
    </row>
    <row r="999" spans="1:9" ht="15" customHeight="1" x14ac:dyDescent="0.25">
      <c r="A999" s="20"/>
      <c r="B999" s="21" t="str">
        <f t="shared" si="45"/>
        <v/>
      </c>
      <c r="C999" s="21" t="str">
        <f t="shared" si="46"/>
        <v/>
      </c>
      <c r="D999" s="22"/>
      <c r="E999" s="22"/>
      <c r="F999" s="23"/>
      <c r="G999" s="24" t="str">
        <f>IF($D999="","",IFERROR(INDEX(Einstellungen!$B$4:$B$40,MATCH($D999,Einstellungen!$A$4:$A$40,0)),"?"))</f>
        <v/>
      </c>
      <c r="H999" s="22"/>
      <c r="I999" s="25" t="str">
        <f t="shared" si="47"/>
        <v/>
      </c>
    </row>
    <row r="1000" spans="1:9" ht="15" customHeight="1" x14ac:dyDescent="0.25">
      <c r="A1000" s="26"/>
      <c r="B1000" s="17" t="str">
        <f t="shared" si="45"/>
        <v/>
      </c>
      <c r="C1000" s="17" t="str">
        <f t="shared" si="46"/>
        <v/>
      </c>
      <c r="D1000" s="27"/>
      <c r="E1000" s="27"/>
      <c r="F1000" s="28"/>
      <c r="G1000" s="14" t="str">
        <f>IF($D1000="","",IFERROR(INDEX(Einstellungen!$B$4:$B$40,MATCH($D1000,Einstellungen!$A$4:$A$40,0)),"?"))</f>
        <v/>
      </c>
      <c r="H1000" s="27"/>
      <c r="I1000" s="11" t="str">
        <f t="shared" si="47"/>
        <v/>
      </c>
    </row>
    <row r="1001" spans="1:9" ht="15" customHeight="1" x14ac:dyDescent="0.25">
      <c r="A1001" s="20"/>
      <c r="B1001" s="21" t="str">
        <f t="shared" si="45"/>
        <v/>
      </c>
      <c r="C1001" s="21" t="str">
        <f t="shared" si="46"/>
        <v/>
      </c>
      <c r="D1001" s="22"/>
      <c r="E1001" s="22"/>
      <c r="F1001" s="23"/>
      <c r="G1001" s="24" t="str">
        <f>IF($D1001="","",IFERROR(INDEX(Einstellungen!$B$4:$B$40,MATCH($D1001,Einstellungen!$A$4:$A$40,0)),"?"))</f>
        <v/>
      </c>
      <c r="H1001" s="22"/>
      <c r="I1001" s="25" t="str">
        <f t="shared" si="47"/>
        <v/>
      </c>
    </row>
    <row r="1002" spans="1:9" ht="15" customHeight="1" x14ac:dyDescent="0.25">
      <c r="A1002" s="26"/>
      <c r="B1002" s="17" t="str">
        <f t="shared" si="45"/>
        <v/>
      </c>
      <c r="C1002" s="17" t="str">
        <f t="shared" si="46"/>
        <v/>
      </c>
      <c r="D1002" s="27"/>
      <c r="E1002" s="27"/>
      <c r="F1002" s="28"/>
      <c r="G1002" s="14" t="str">
        <f>IF($D1002="","",IFERROR(INDEX(Einstellungen!$B$4:$B$40,MATCH($D1002,Einstellungen!$A$4:$A$40,0)),"?"))</f>
        <v/>
      </c>
      <c r="H1002" s="27"/>
      <c r="I1002" s="11" t="str">
        <f t="shared" si="47"/>
        <v/>
      </c>
    </row>
    <row r="1003" spans="1:9" ht="15" customHeight="1" x14ac:dyDescent="0.25">
      <c r="A1003" s="20"/>
      <c r="B1003" s="21" t="str">
        <f t="shared" si="45"/>
        <v/>
      </c>
      <c r="C1003" s="21" t="str">
        <f t="shared" si="46"/>
        <v/>
      </c>
      <c r="D1003" s="22"/>
      <c r="E1003" s="22"/>
      <c r="F1003" s="23"/>
      <c r="G1003" s="24" t="str">
        <f>IF($D1003="","",IFERROR(INDEX(Einstellungen!$B$4:$B$40,MATCH($D1003,Einstellungen!$A$4:$A$40,0)),"?"))</f>
        <v/>
      </c>
      <c r="H1003" s="22"/>
      <c r="I1003" s="25" t="str">
        <f t="shared" si="47"/>
        <v/>
      </c>
    </row>
  </sheetData>
  <autoFilter ref="A3:I1003" xr:uid="{00000000-0009-0000-0000-000002000000}"/>
  <dataValidations count="2">
    <dataValidation type="list" allowBlank="1" sqref="D4:D1003" xr:uid="{00000000-0002-0000-0200-000000000000}">
      <formula1>KategorienListe</formula1>
      <formula2>0</formula2>
    </dataValidation>
    <dataValidation type="list" allowBlank="1" sqref="H4:H1003" xr:uid="{00000000-0002-0000-0200-000001000000}">
      <formula1>KontenListe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1" width="30" customWidth="1"/>
    <col min="2" max="2" width="26" customWidth="1"/>
    <col min="3" max="3" width="14" customWidth="1"/>
    <col min="4" max="4" width="18" customWidth="1"/>
    <col min="5" max="5" width="14" customWidth="1"/>
    <col min="6" max="7" width="15" customWidth="1"/>
    <col min="8" max="8" width="16" customWidth="1"/>
    <col min="9" max="9" width="20" customWidth="1"/>
    <col min="10" max="10" width="28" customWidth="1"/>
  </cols>
  <sheetData>
    <row r="1" spans="1:10" ht="21.75" customHeight="1" x14ac:dyDescent="0.25">
      <c r="A1" s="1" t="s">
        <v>213</v>
      </c>
    </row>
    <row r="2" spans="1:10" ht="15" customHeight="1" x14ac:dyDescent="0.25">
      <c r="A2" s="2" t="s">
        <v>214</v>
      </c>
    </row>
    <row r="3" spans="1:10" ht="30" customHeight="1" x14ac:dyDescent="0.25">
      <c r="A3" s="15" t="s">
        <v>215</v>
      </c>
      <c r="B3" s="15" t="s">
        <v>55</v>
      </c>
      <c r="C3" s="15" t="s">
        <v>64</v>
      </c>
      <c r="D3" s="15" t="s">
        <v>216</v>
      </c>
      <c r="E3" s="15" t="s">
        <v>217</v>
      </c>
      <c r="F3" s="15" t="s">
        <v>218</v>
      </c>
      <c r="G3" s="15" t="s">
        <v>219</v>
      </c>
      <c r="H3" s="15" t="s">
        <v>220</v>
      </c>
      <c r="I3" s="15" t="s">
        <v>66</v>
      </c>
      <c r="J3" s="15" t="s">
        <v>221</v>
      </c>
    </row>
    <row r="4" spans="1:10" ht="15" customHeight="1" x14ac:dyDescent="0.25">
      <c r="A4" s="18" t="s">
        <v>222</v>
      </c>
      <c r="B4" s="18" t="s">
        <v>200</v>
      </c>
      <c r="C4" s="19">
        <v>520</v>
      </c>
      <c r="D4" s="18" t="s">
        <v>223</v>
      </c>
      <c r="E4" s="17">
        <f t="shared" ref="E4:E33" si="0">IF($D4="","",IF($D4="monatlich",12,IF($D4="vierteljährlich",4,IF($D4="halbjährlich",2,IF($D4="jährlich",1,"")))))</f>
        <v>12</v>
      </c>
      <c r="F4" s="11">
        <f t="shared" ref="F4:F33" si="1">IF($E4="","",$C4*$E4/12)</f>
        <v>520</v>
      </c>
      <c r="G4" s="11">
        <f t="shared" ref="G4:G33" si="2">IF($E4="","",$C4*$E4)</f>
        <v>6240</v>
      </c>
      <c r="H4" s="16">
        <v>46266</v>
      </c>
      <c r="I4" s="18" t="s">
        <v>71</v>
      </c>
      <c r="J4" s="18" t="s">
        <v>224</v>
      </c>
    </row>
    <row r="5" spans="1:10" ht="15" customHeight="1" x14ac:dyDescent="0.25">
      <c r="A5" s="27"/>
      <c r="B5" s="27"/>
      <c r="C5" s="28"/>
      <c r="D5" s="27"/>
      <c r="E5" s="17" t="str">
        <f t="shared" si="0"/>
        <v/>
      </c>
      <c r="F5" s="11" t="str">
        <f t="shared" si="1"/>
        <v/>
      </c>
      <c r="G5" s="11" t="str">
        <f t="shared" si="2"/>
        <v/>
      </c>
      <c r="H5" s="26"/>
      <c r="I5" s="27"/>
      <c r="J5" s="27"/>
    </row>
    <row r="6" spans="1:10" ht="15" customHeight="1" x14ac:dyDescent="0.25">
      <c r="A6" s="27"/>
      <c r="B6" s="27"/>
      <c r="C6" s="28"/>
      <c r="D6" s="27"/>
      <c r="E6" s="17" t="str">
        <f t="shared" si="0"/>
        <v/>
      </c>
      <c r="F6" s="11" t="str">
        <f t="shared" si="1"/>
        <v/>
      </c>
      <c r="G6" s="11" t="str">
        <f t="shared" si="2"/>
        <v/>
      </c>
      <c r="H6" s="26"/>
      <c r="I6" s="27"/>
      <c r="J6" s="27"/>
    </row>
    <row r="7" spans="1:10" ht="15" customHeight="1" x14ac:dyDescent="0.25">
      <c r="A7" s="27"/>
      <c r="B7" s="27"/>
      <c r="C7" s="28"/>
      <c r="D7" s="27"/>
      <c r="E7" s="17" t="str">
        <f t="shared" si="0"/>
        <v/>
      </c>
      <c r="F7" s="11" t="str">
        <f t="shared" si="1"/>
        <v/>
      </c>
      <c r="G7" s="11" t="str">
        <f t="shared" si="2"/>
        <v/>
      </c>
      <c r="H7" s="26"/>
      <c r="I7" s="27"/>
      <c r="J7" s="27"/>
    </row>
    <row r="8" spans="1:10" ht="15" customHeight="1" x14ac:dyDescent="0.25">
      <c r="A8" s="27"/>
      <c r="B8" s="27"/>
      <c r="C8" s="28"/>
      <c r="D8" s="27"/>
      <c r="E8" s="17" t="str">
        <f t="shared" si="0"/>
        <v/>
      </c>
      <c r="F8" s="11" t="str">
        <f t="shared" si="1"/>
        <v/>
      </c>
      <c r="G8" s="11" t="str">
        <f t="shared" si="2"/>
        <v/>
      </c>
      <c r="H8" s="26"/>
      <c r="I8" s="27"/>
      <c r="J8" s="27"/>
    </row>
    <row r="9" spans="1:10" ht="15" customHeight="1" x14ac:dyDescent="0.25">
      <c r="A9" s="27"/>
      <c r="B9" s="27"/>
      <c r="C9" s="28"/>
      <c r="D9" s="27"/>
      <c r="E9" s="17" t="str">
        <f t="shared" si="0"/>
        <v/>
      </c>
      <c r="F9" s="11" t="str">
        <f t="shared" si="1"/>
        <v/>
      </c>
      <c r="G9" s="11" t="str">
        <f t="shared" si="2"/>
        <v/>
      </c>
      <c r="H9" s="26"/>
      <c r="I9" s="27"/>
      <c r="J9" s="27"/>
    </row>
    <row r="10" spans="1:10" ht="15" customHeight="1" x14ac:dyDescent="0.25">
      <c r="A10" s="27"/>
      <c r="B10" s="27"/>
      <c r="C10" s="28"/>
      <c r="D10" s="27"/>
      <c r="E10" s="17" t="str">
        <f t="shared" si="0"/>
        <v/>
      </c>
      <c r="F10" s="11" t="str">
        <f t="shared" si="1"/>
        <v/>
      </c>
      <c r="G10" s="11" t="str">
        <f t="shared" si="2"/>
        <v/>
      </c>
      <c r="H10" s="26"/>
      <c r="I10" s="27"/>
      <c r="J10" s="27"/>
    </row>
    <row r="11" spans="1:10" ht="15" customHeight="1" x14ac:dyDescent="0.25">
      <c r="A11" s="27"/>
      <c r="B11" s="27"/>
      <c r="C11" s="28"/>
      <c r="D11" s="27"/>
      <c r="E11" s="17" t="str">
        <f t="shared" si="0"/>
        <v/>
      </c>
      <c r="F11" s="11" t="str">
        <f t="shared" si="1"/>
        <v/>
      </c>
      <c r="G11" s="11" t="str">
        <f t="shared" si="2"/>
        <v/>
      </c>
      <c r="H11" s="26"/>
      <c r="I11" s="27"/>
      <c r="J11" s="27"/>
    </row>
    <row r="12" spans="1:10" ht="15" customHeight="1" x14ac:dyDescent="0.25">
      <c r="A12" s="27"/>
      <c r="B12" s="27"/>
      <c r="C12" s="28"/>
      <c r="D12" s="27"/>
      <c r="E12" s="17" t="str">
        <f t="shared" si="0"/>
        <v/>
      </c>
      <c r="F12" s="11" t="str">
        <f t="shared" si="1"/>
        <v/>
      </c>
      <c r="G12" s="11" t="str">
        <f t="shared" si="2"/>
        <v/>
      </c>
      <c r="H12" s="26"/>
      <c r="I12" s="27"/>
      <c r="J12" s="27"/>
    </row>
    <row r="13" spans="1:10" ht="15" customHeight="1" x14ac:dyDescent="0.25">
      <c r="A13" s="27"/>
      <c r="B13" s="27"/>
      <c r="C13" s="28"/>
      <c r="D13" s="27"/>
      <c r="E13" s="17" t="str">
        <f t="shared" si="0"/>
        <v/>
      </c>
      <c r="F13" s="11" t="str">
        <f t="shared" si="1"/>
        <v/>
      </c>
      <c r="G13" s="11" t="str">
        <f t="shared" si="2"/>
        <v/>
      </c>
      <c r="H13" s="26"/>
      <c r="I13" s="27"/>
      <c r="J13" s="27"/>
    </row>
    <row r="14" spans="1:10" ht="15" customHeight="1" x14ac:dyDescent="0.25">
      <c r="A14" s="27"/>
      <c r="B14" s="27"/>
      <c r="C14" s="28"/>
      <c r="D14" s="27"/>
      <c r="E14" s="17" t="str">
        <f t="shared" si="0"/>
        <v/>
      </c>
      <c r="F14" s="11" t="str">
        <f t="shared" si="1"/>
        <v/>
      </c>
      <c r="G14" s="11" t="str">
        <f t="shared" si="2"/>
        <v/>
      </c>
      <c r="H14" s="26"/>
      <c r="I14" s="27"/>
      <c r="J14" s="27"/>
    </row>
    <row r="15" spans="1:10" ht="15" customHeight="1" x14ac:dyDescent="0.25">
      <c r="A15" s="27"/>
      <c r="B15" s="27"/>
      <c r="C15" s="28"/>
      <c r="D15" s="27"/>
      <c r="E15" s="17" t="str">
        <f t="shared" si="0"/>
        <v/>
      </c>
      <c r="F15" s="11" t="str">
        <f t="shared" si="1"/>
        <v/>
      </c>
      <c r="G15" s="11" t="str">
        <f t="shared" si="2"/>
        <v/>
      </c>
      <c r="H15" s="26"/>
      <c r="I15" s="27"/>
      <c r="J15" s="27"/>
    </row>
    <row r="16" spans="1:10" ht="15" customHeight="1" x14ac:dyDescent="0.25">
      <c r="A16" s="27"/>
      <c r="B16" s="27"/>
      <c r="C16" s="28"/>
      <c r="D16" s="27"/>
      <c r="E16" s="17" t="str">
        <f t="shared" si="0"/>
        <v/>
      </c>
      <c r="F16" s="11" t="str">
        <f t="shared" si="1"/>
        <v/>
      </c>
      <c r="G16" s="11" t="str">
        <f t="shared" si="2"/>
        <v/>
      </c>
      <c r="H16" s="26"/>
      <c r="I16" s="27"/>
      <c r="J16" s="27"/>
    </row>
    <row r="17" spans="1:10" ht="15" customHeight="1" x14ac:dyDescent="0.25">
      <c r="A17" s="27"/>
      <c r="B17" s="27"/>
      <c r="C17" s="28"/>
      <c r="D17" s="27"/>
      <c r="E17" s="17" t="str">
        <f t="shared" si="0"/>
        <v/>
      </c>
      <c r="F17" s="11" t="str">
        <f t="shared" si="1"/>
        <v/>
      </c>
      <c r="G17" s="11" t="str">
        <f t="shared" si="2"/>
        <v/>
      </c>
      <c r="H17" s="26"/>
      <c r="I17" s="27"/>
      <c r="J17" s="27"/>
    </row>
    <row r="18" spans="1:10" ht="15" customHeight="1" x14ac:dyDescent="0.25">
      <c r="A18" s="27"/>
      <c r="B18" s="27"/>
      <c r="C18" s="28"/>
      <c r="D18" s="27"/>
      <c r="E18" s="17" t="str">
        <f t="shared" si="0"/>
        <v/>
      </c>
      <c r="F18" s="11" t="str">
        <f t="shared" si="1"/>
        <v/>
      </c>
      <c r="G18" s="11" t="str">
        <f t="shared" si="2"/>
        <v/>
      </c>
      <c r="H18" s="26"/>
      <c r="I18" s="27"/>
      <c r="J18" s="27"/>
    </row>
    <row r="19" spans="1:10" ht="15" customHeight="1" x14ac:dyDescent="0.25">
      <c r="A19" s="27"/>
      <c r="B19" s="27"/>
      <c r="C19" s="28"/>
      <c r="D19" s="27"/>
      <c r="E19" s="17" t="str">
        <f t="shared" si="0"/>
        <v/>
      </c>
      <c r="F19" s="11" t="str">
        <f t="shared" si="1"/>
        <v/>
      </c>
      <c r="G19" s="11" t="str">
        <f t="shared" si="2"/>
        <v/>
      </c>
      <c r="H19" s="26"/>
      <c r="I19" s="27"/>
      <c r="J19" s="27"/>
    </row>
    <row r="20" spans="1:10" ht="15" customHeight="1" x14ac:dyDescent="0.25">
      <c r="A20" s="27"/>
      <c r="B20" s="27"/>
      <c r="C20" s="28"/>
      <c r="D20" s="27"/>
      <c r="E20" s="17" t="str">
        <f t="shared" si="0"/>
        <v/>
      </c>
      <c r="F20" s="11" t="str">
        <f t="shared" si="1"/>
        <v/>
      </c>
      <c r="G20" s="11" t="str">
        <f t="shared" si="2"/>
        <v/>
      </c>
      <c r="H20" s="26"/>
      <c r="I20" s="27"/>
      <c r="J20" s="27"/>
    </row>
    <row r="21" spans="1:10" ht="15" customHeight="1" x14ac:dyDescent="0.25">
      <c r="A21" s="27"/>
      <c r="B21" s="27"/>
      <c r="C21" s="28"/>
      <c r="D21" s="27"/>
      <c r="E21" s="17" t="str">
        <f t="shared" si="0"/>
        <v/>
      </c>
      <c r="F21" s="11" t="str">
        <f t="shared" si="1"/>
        <v/>
      </c>
      <c r="G21" s="11" t="str">
        <f t="shared" si="2"/>
        <v/>
      </c>
      <c r="H21" s="26"/>
      <c r="I21" s="27"/>
      <c r="J21" s="27"/>
    </row>
    <row r="22" spans="1:10" ht="15" customHeight="1" x14ac:dyDescent="0.25">
      <c r="A22" s="27"/>
      <c r="B22" s="27"/>
      <c r="C22" s="28"/>
      <c r="D22" s="27"/>
      <c r="E22" s="17" t="str">
        <f t="shared" si="0"/>
        <v/>
      </c>
      <c r="F22" s="11" t="str">
        <f t="shared" si="1"/>
        <v/>
      </c>
      <c r="G22" s="11" t="str">
        <f t="shared" si="2"/>
        <v/>
      </c>
      <c r="H22" s="26"/>
      <c r="I22" s="27"/>
      <c r="J22" s="27"/>
    </row>
    <row r="23" spans="1:10" ht="15" customHeight="1" x14ac:dyDescent="0.25">
      <c r="A23" s="27"/>
      <c r="B23" s="27"/>
      <c r="C23" s="28"/>
      <c r="D23" s="27"/>
      <c r="E23" s="17" t="str">
        <f t="shared" si="0"/>
        <v/>
      </c>
      <c r="F23" s="11" t="str">
        <f t="shared" si="1"/>
        <v/>
      </c>
      <c r="G23" s="11" t="str">
        <f t="shared" si="2"/>
        <v/>
      </c>
      <c r="H23" s="26"/>
      <c r="I23" s="27"/>
      <c r="J23" s="27"/>
    </row>
    <row r="24" spans="1:10" ht="15" customHeight="1" x14ac:dyDescent="0.25">
      <c r="A24" s="27"/>
      <c r="B24" s="27"/>
      <c r="C24" s="28"/>
      <c r="D24" s="27"/>
      <c r="E24" s="17" t="str">
        <f t="shared" si="0"/>
        <v/>
      </c>
      <c r="F24" s="11" t="str">
        <f t="shared" si="1"/>
        <v/>
      </c>
      <c r="G24" s="11" t="str">
        <f t="shared" si="2"/>
        <v/>
      </c>
      <c r="H24" s="26"/>
      <c r="I24" s="27"/>
      <c r="J24" s="27"/>
    </row>
    <row r="25" spans="1:10" ht="15" customHeight="1" x14ac:dyDescent="0.25">
      <c r="A25" s="27"/>
      <c r="B25" s="27"/>
      <c r="C25" s="28"/>
      <c r="D25" s="27"/>
      <c r="E25" s="17" t="str">
        <f t="shared" si="0"/>
        <v/>
      </c>
      <c r="F25" s="11" t="str">
        <f t="shared" si="1"/>
        <v/>
      </c>
      <c r="G25" s="11" t="str">
        <f t="shared" si="2"/>
        <v/>
      </c>
      <c r="H25" s="26"/>
      <c r="I25" s="27"/>
      <c r="J25" s="27"/>
    </row>
    <row r="26" spans="1:10" ht="15" customHeight="1" x14ac:dyDescent="0.25">
      <c r="A26" s="27"/>
      <c r="B26" s="27"/>
      <c r="C26" s="28"/>
      <c r="D26" s="27"/>
      <c r="E26" s="17" t="str">
        <f t="shared" si="0"/>
        <v/>
      </c>
      <c r="F26" s="11" t="str">
        <f t="shared" si="1"/>
        <v/>
      </c>
      <c r="G26" s="11" t="str">
        <f t="shared" si="2"/>
        <v/>
      </c>
      <c r="H26" s="26"/>
      <c r="I26" s="27"/>
      <c r="J26" s="27"/>
    </row>
    <row r="27" spans="1:10" ht="15" customHeight="1" x14ac:dyDescent="0.25">
      <c r="A27" s="27"/>
      <c r="B27" s="27"/>
      <c r="C27" s="28"/>
      <c r="D27" s="27"/>
      <c r="E27" s="17" t="str">
        <f t="shared" si="0"/>
        <v/>
      </c>
      <c r="F27" s="11" t="str">
        <f t="shared" si="1"/>
        <v/>
      </c>
      <c r="G27" s="11" t="str">
        <f t="shared" si="2"/>
        <v/>
      </c>
      <c r="H27" s="26"/>
      <c r="I27" s="27"/>
      <c r="J27" s="27"/>
    </row>
    <row r="28" spans="1:10" ht="15" customHeight="1" x14ac:dyDescent="0.25">
      <c r="A28" s="27"/>
      <c r="B28" s="27"/>
      <c r="C28" s="28"/>
      <c r="D28" s="27"/>
      <c r="E28" s="17" t="str">
        <f t="shared" si="0"/>
        <v/>
      </c>
      <c r="F28" s="11" t="str">
        <f t="shared" si="1"/>
        <v/>
      </c>
      <c r="G28" s="11" t="str">
        <f t="shared" si="2"/>
        <v/>
      </c>
      <c r="H28" s="26"/>
      <c r="I28" s="27"/>
      <c r="J28" s="27"/>
    </row>
    <row r="29" spans="1:10" ht="15" customHeight="1" x14ac:dyDescent="0.25">
      <c r="A29" s="27"/>
      <c r="B29" s="27"/>
      <c r="C29" s="28"/>
      <c r="D29" s="27"/>
      <c r="E29" s="17" t="str">
        <f t="shared" si="0"/>
        <v/>
      </c>
      <c r="F29" s="11" t="str">
        <f t="shared" si="1"/>
        <v/>
      </c>
      <c r="G29" s="11" t="str">
        <f t="shared" si="2"/>
        <v/>
      </c>
      <c r="H29" s="26"/>
      <c r="I29" s="27"/>
      <c r="J29" s="27"/>
    </row>
    <row r="30" spans="1:10" ht="15" customHeight="1" x14ac:dyDescent="0.25">
      <c r="A30" s="27"/>
      <c r="B30" s="27"/>
      <c r="C30" s="28"/>
      <c r="D30" s="27"/>
      <c r="E30" s="17" t="str">
        <f t="shared" si="0"/>
        <v/>
      </c>
      <c r="F30" s="11" t="str">
        <f t="shared" si="1"/>
        <v/>
      </c>
      <c r="G30" s="11" t="str">
        <f t="shared" si="2"/>
        <v/>
      </c>
      <c r="H30" s="26"/>
      <c r="I30" s="27"/>
      <c r="J30" s="27"/>
    </row>
    <row r="31" spans="1:10" ht="15" customHeight="1" x14ac:dyDescent="0.25">
      <c r="A31" s="27"/>
      <c r="B31" s="27"/>
      <c r="C31" s="28"/>
      <c r="D31" s="27"/>
      <c r="E31" s="17" t="str">
        <f t="shared" si="0"/>
        <v/>
      </c>
      <c r="F31" s="11" t="str">
        <f t="shared" si="1"/>
        <v/>
      </c>
      <c r="G31" s="11" t="str">
        <f t="shared" si="2"/>
        <v/>
      </c>
      <c r="H31" s="26"/>
      <c r="I31" s="27"/>
      <c r="J31" s="27"/>
    </row>
    <row r="32" spans="1:10" ht="15" customHeight="1" x14ac:dyDescent="0.25">
      <c r="A32" s="27"/>
      <c r="B32" s="27"/>
      <c r="C32" s="28"/>
      <c r="D32" s="27"/>
      <c r="E32" s="17" t="str">
        <f t="shared" si="0"/>
        <v/>
      </c>
      <c r="F32" s="11" t="str">
        <f t="shared" si="1"/>
        <v/>
      </c>
      <c r="G32" s="11" t="str">
        <f t="shared" si="2"/>
        <v/>
      </c>
      <c r="H32" s="26"/>
      <c r="I32" s="27"/>
      <c r="J32" s="27"/>
    </row>
    <row r="33" spans="1:10" ht="15" customHeight="1" x14ac:dyDescent="0.25">
      <c r="A33" s="27"/>
      <c r="B33" s="27"/>
      <c r="C33" s="28"/>
      <c r="D33" s="27"/>
      <c r="E33" s="17" t="str">
        <f t="shared" si="0"/>
        <v/>
      </c>
      <c r="F33" s="11" t="str">
        <f t="shared" si="1"/>
        <v/>
      </c>
      <c r="G33" s="11" t="str">
        <f t="shared" si="2"/>
        <v/>
      </c>
      <c r="H33" s="26"/>
      <c r="I33" s="27"/>
      <c r="J33" s="27"/>
    </row>
    <row r="35" spans="1:10" ht="15" customHeight="1" x14ac:dyDescent="0.25">
      <c r="A35" s="29" t="s">
        <v>225</v>
      </c>
      <c r="B35" s="30"/>
      <c r="C35" s="30"/>
      <c r="D35" s="30"/>
      <c r="E35" s="30"/>
      <c r="F35" s="31">
        <f>SUM(F4:F33)</f>
        <v>520</v>
      </c>
      <c r="G35" s="31">
        <f>SUM(G4:G33)</f>
        <v>6240</v>
      </c>
      <c r="H35" s="30"/>
      <c r="I35" s="30"/>
      <c r="J35" s="30"/>
    </row>
    <row r="37" spans="1:10" ht="15" customHeight="1" x14ac:dyDescent="0.25">
      <c r="A37" s="2" t="s">
        <v>226</v>
      </c>
    </row>
  </sheetData>
  <dataValidations count="3">
    <dataValidation type="list" allowBlank="1" sqref="B4:B33" xr:uid="{00000000-0002-0000-0300-000000000000}">
      <formula1>KategorienListe</formula1>
      <formula2>0</formula2>
    </dataValidation>
    <dataValidation type="list" allowBlank="1" sqref="D4:D33" xr:uid="{00000000-0002-0000-0300-000001000000}">
      <formula1>RhythmusListe</formula1>
      <formula2>0</formula2>
    </dataValidation>
    <dataValidation type="list" allowBlank="1" sqref="I4:I33" xr:uid="{00000000-0002-0000-0300-000002000000}">
      <formula1>KontenListe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9"/>
  <sheetViews>
    <sheetView showGridLines="0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baseColWidth="10" defaultColWidth="8.7109375" defaultRowHeight="15" x14ac:dyDescent="0.25"/>
  <cols>
    <col min="1" max="1" width="14" customWidth="1"/>
    <col min="2" max="3" width="8" customWidth="1"/>
    <col min="4" max="6" width="15" customWidth="1"/>
    <col min="7" max="7" width="12" customWidth="1"/>
    <col min="8" max="10" width="17" customWidth="1"/>
    <col min="11" max="11" width="15" customWidth="1"/>
    <col min="12" max="12" width="16" customWidth="1"/>
    <col min="13" max="13" width="9" customWidth="1"/>
  </cols>
  <sheetData>
    <row r="1" spans="1:13" ht="21.75" customHeight="1" x14ac:dyDescent="0.25">
      <c r="A1" s="1" t="s">
        <v>227</v>
      </c>
    </row>
    <row r="2" spans="1:13" ht="15" customHeight="1" x14ac:dyDescent="0.25">
      <c r="A2" s="2" t="s">
        <v>228</v>
      </c>
    </row>
    <row r="3" spans="1:13" ht="30" customHeight="1" x14ac:dyDescent="0.25">
      <c r="A3" s="15" t="s">
        <v>62</v>
      </c>
      <c r="B3" s="15" t="s">
        <v>61</v>
      </c>
      <c r="C3" s="15" t="s">
        <v>229</v>
      </c>
      <c r="D3" s="15" t="s">
        <v>230</v>
      </c>
      <c r="E3" s="15" t="s">
        <v>231</v>
      </c>
      <c r="F3" s="15" t="s">
        <v>232</v>
      </c>
      <c r="G3" s="15" t="s">
        <v>46</v>
      </c>
      <c r="H3" s="15" t="s">
        <v>233</v>
      </c>
      <c r="I3" s="15" t="s">
        <v>234</v>
      </c>
      <c r="J3" s="15" t="s">
        <v>235</v>
      </c>
      <c r="K3" s="15" t="s">
        <v>236</v>
      </c>
      <c r="L3" s="15" t="s">
        <v>237</v>
      </c>
      <c r="M3" s="15" t="s">
        <v>238</v>
      </c>
    </row>
    <row r="4" spans="1:13" ht="15" customHeight="1" x14ac:dyDescent="0.25">
      <c r="A4" s="32">
        <v>46023</v>
      </c>
      <c r="B4" s="17">
        <f t="shared" ref="B4:B27" si="0">YEAR($A4)</f>
        <v>2026</v>
      </c>
      <c r="C4" s="17">
        <f t="shared" ref="C4:C27" si="1">MONTH($A4)</f>
        <v>1</v>
      </c>
      <c r="D4" s="11">
        <f>SUMIFS(Buchungen!$F$4:$F$1003,Buchungen!$B$4:$B$1003,$B4,Buchungen!$C$4:$C$1003,$C4,Buchungen!$G$4:$G$1003,"Einnahme")</f>
        <v>0</v>
      </c>
      <c r="E4" s="11">
        <f>SUMIFS(Buchungen!$F$4:$F$1003,Buchungen!$B$4:$B$1003,$B4,Buchungen!$C$4:$C$1003,$C4,Buchungen!$G$4:$G$1003,"Ausgabe")</f>
        <v>42.5</v>
      </c>
      <c r="F4" s="11">
        <f t="shared" ref="F4:F27" si="2">$D4-$E4</f>
        <v>-42.5</v>
      </c>
      <c r="G4" s="12">
        <f t="shared" ref="G4:G27" si="3">IF($D4&lt;=0,0,$F4/$D4)</f>
        <v>0</v>
      </c>
      <c r="H4" s="11">
        <f>$F4</f>
        <v>-42.5</v>
      </c>
      <c r="I4" s="11"/>
      <c r="J4" s="11"/>
      <c r="K4" s="13">
        <f>Einstellungen!$C$42</f>
        <v>0</v>
      </c>
      <c r="L4" s="11">
        <f t="shared" ref="L4:L27" si="4">$K4-$E4</f>
        <v>-42.5</v>
      </c>
      <c r="M4" s="33">
        <v>1</v>
      </c>
    </row>
    <row r="5" spans="1:13" ht="15" customHeight="1" x14ac:dyDescent="0.25">
      <c r="A5" s="32">
        <v>46054</v>
      </c>
      <c r="B5" s="17">
        <f t="shared" si="0"/>
        <v>2026</v>
      </c>
      <c r="C5" s="17">
        <f t="shared" si="1"/>
        <v>2</v>
      </c>
      <c r="D5" s="11">
        <f>SUMIFS(Buchungen!$F$4:$F$1003,Buchungen!$B$4:$B$1003,$B5,Buchungen!$C$4:$C$1003,$C5,Buchungen!$G$4:$G$1003,"Einnahme")</f>
        <v>0</v>
      </c>
      <c r="E5" s="11">
        <f>SUMIFS(Buchungen!$F$4:$F$1003,Buchungen!$B$4:$B$1003,$B5,Buchungen!$C$4:$C$1003,$C5,Buchungen!$G$4:$G$1003,"Ausgabe")</f>
        <v>0</v>
      </c>
      <c r="F5" s="11">
        <f t="shared" si="2"/>
        <v>0</v>
      </c>
      <c r="G5" s="12">
        <f t="shared" si="3"/>
        <v>0</v>
      </c>
      <c r="H5" s="11">
        <f t="shared" ref="H5:H27" si="5">$H4+$F5</f>
        <v>-42.5</v>
      </c>
      <c r="I5" s="11"/>
      <c r="J5" s="11"/>
      <c r="K5" s="13">
        <f>Einstellungen!$C$42</f>
        <v>0</v>
      </c>
      <c r="L5" s="11">
        <f t="shared" si="4"/>
        <v>0</v>
      </c>
      <c r="M5" s="33">
        <v>2</v>
      </c>
    </row>
    <row r="6" spans="1:13" ht="15" customHeight="1" x14ac:dyDescent="0.25">
      <c r="A6" s="32">
        <v>46082</v>
      </c>
      <c r="B6" s="17">
        <f t="shared" si="0"/>
        <v>2026</v>
      </c>
      <c r="C6" s="17">
        <f t="shared" si="1"/>
        <v>3</v>
      </c>
      <c r="D6" s="11">
        <f>SUMIFS(Buchungen!$F$4:$F$1003,Buchungen!$B$4:$B$1003,$B6,Buchungen!$C$4:$C$1003,$C6,Buchungen!$G$4:$G$1003,"Einnahme")</f>
        <v>0</v>
      </c>
      <c r="E6" s="11">
        <f>SUMIFS(Buchungen!$F$4:$F$1003,Buchungen!$B$4:$B$1003,$B6,Buchungen!$C$4:$C$1003,$C6,Buchungen!$G$4:$G$1003,"Ausgabe")</f>
        <v>0</v>
      </c>
      <c r="F6" s="11">
        <f t="shared" si="2"/>
        <v>0</v>
      </c>
      <c r="G6" s="12">
        <f t="shared" si="3"/>
        <v>0</v>
      </c>
      <c r="H6" s="11">
        <f t="shared" si="5"/>
        <v>-42.5</v>
      </c>
      <c r="I6" s="11">
        <f t="shared" ref="I6:I27" si="6">AVERAGE($E4:$E6)</f>
        <v>14.166666666666666</v>
      </c>
      <c r="J6" s="11">
        <f t="shared" ref="J6:J27" si="7">AVERAGE($F4:$F6)</f>
        <v>-14.166666666666666</v>
      </c>
      <c r="K6" s="13">
        <f>Einstellungen!$C$42</f>
        <v>0</v>
      </c>
      <c r="L6" s="11">
        <f t="shared" si="4"/>
        <v>0</v>
      </c>
      <c r="M6" s="33">
        <v>3</v>
      </c>
    </row>
    <row r="7" spans="1:13" ht="15" customHeight="1" x14ac:dyDescent="0.25">
      <c r="A7" s="32">
        <v>46113</v>
      </c>
      <c r="B7" s="17">
        <f t="shared" si="0"/>
        <v>2026</v>
      </c>
      <c r="C7" s="17">
        <f t="shared" si="1"/>
        <v>4</v>
      </c>
      <c r="D7" s="11">
        <f>SUMIFS(Buchungen!$F$4:$F$1003,Buchungen!$B$4:$B$1003,$B7,Buchungen!$C$4:$C$1003,$C7,Buchungen!$G$4:$G$1003,"Einnahme")</f>
        <v>0</v>
      </c>
      <c r="E7" s="11">
        <f>SUMIFS(Buchungen!$F$4:$F$1003,Buchungen!$B$4:$B$1003,$B7,Buchungen!$C$4:$C$1003,$C7,Buchungen!$G$4:$G$1003,"Ausgabe")</f>
        <v>0</v>
      </c>
      <c r="F7" s="11">
        <f t="shared" si="2"/>
        <v>0</v>
      </c>
      <c r="G7" s="12">
        <f t="shared" si="3"/>
        <v>0</v>
      </c>
      <c r="H7" s="11">
        <f t="shared" si="5"/>
        <v>-42.5</v>
      </c>
      <c r="I7" s="11">
        <f t="shared" si="6"/>
        <v>0</v>
      </c>
      <c r="J7" s="11">
        <f t="shared" si="7"/>
        <v>0</v>
      </c>
      <c r="K7" s="13">
        <f>Einstellungen!$C$42</f>
        <v>0</v>
      </c>
      <c r="L7" s="11">
        <f t="shared" si="4"/>
        <v>0</v>
      </c>
      <c r="M7" s="33">
        <v>4</v>
      </c>
    </row>
    <row r="8" spans="1:13" ht="15" customHeight="1" x14ac:dyDescent="0.25">
      <c r="A8" s="32">
        <v>46143</v>
      </c>
      <c r="B8" s="17">
        <f t="shared" si="0"/>
        <v>2026</v>
      </c>
      <c r="C8" s="17">
        <f t="shared" si="1"/>
        <v>5</v>
      </c>
      <c r="D8" s="11">
        <f>SUMIFS(Buchungen!$F$4:$F$1003,Buchungen!$B$4:$B$1003,$B8,Buchungen!$C$4:$C$1003,$C8,Buchungen!$G$4:$G$1003,"Einnahme")</f>
        <v>0</v>
      </c>
      <c r="E8" s="11">
        <f>SUMIFS(Buchungen!$F$4:$F$1003,Buchungen!$B$4:$B$1003,$B8,Buchungen!$C$4:$C$1003,$C8,Buchungen!$G$4:$G$1003,"Ausgabe")</f>
        <v>0</v>
      </c>
      <c r="F8" s="11">
        <f t="shared" si="2"/>
        <v>0</v>
      </c>
      <c r="G8" s="12">
        <f t="shared" si="3"/>
        <v>0</v>
      </c>
      <c r="H8" s="11">
        <f t="shared" si="5"/>
        <v>-42.5</v>
      </c>
      <c r="I8" s="11">
        <f t="shared" si="6"/>
        <v>0</v>
      </c>
      <c r="J8" s="11">
        <f t="shared" si="7"/>
        <v>0</v>
      </c>
      <c r="K8" s="13">
        <f>Einstellungen!$C$42</f>
        <v>0</v>
      </c>
      <c r="L8" s="11">
        <f t="shared" si="4"/>
        <v>0</v>
      </c>
      <c r="M8" s="33">
        <v>5</v>
      </c>
    </row>
    <row r="9" spans="1:13" ht="15" customHeight="1" x14ac:dyDescent="0.25">
      <c r="A9" s="32">
        <v>46174</v>
      </c>
      <c r="B9" s="17">
        <f t="shared" si="0"/>
        <v>2026</v>
      </c>
      <c r="C9" s="17">
        <f t="shared" si="1"/>
        <v>6</v>
      </c>
      <c r="D9" s="11">
        <f>SUMIFS(Buchungen!$F$4:$F$1003,Buchungen!$B$4:$B$1003,$B9,Buchungen!$C$4:$C$1003,$C9,Buchungen!$G$4:$G$1003,"Einnahme")</f>
        <v>0</v>
      </c>
      <c r="E9" s="11">
        <f>SUMIFS(Buchungen!$F$4:$F$1003,Buchungen!$B$4:$B$1003,$B9,Buchungen!$C$4:$C$1003,$C9,Buchungen!$G$4:$G$1003,"Ausgabe")</f>
        <v>0</v>
      </c>
      <c r="F9" s="11">
        <f t="shared" si="2"/>
        <v>0</v>
      </c>
      <c r="G9" s="12">
        <f t="shared" si="3"/>
        <v>0</v>
      </c>
      <c r="H9" s="11">
        <f t="shared" si="5"/>
        <v>-42.5</v>
      </c>
      <c r="I9" s="11">
        <f t="shared" si="6"/>
        <v>0</v>
      </c>
      <c r="J9" s="11">
        <f t="shared" si="7"/>
        <v>0</v>
      </c>
      <c r="K9" s="13">
        <f>Einstellungen!$C$42</f>
        <v>0</v>
      </c>
      <c r="L9" s="11">
        <f t="shared" si="4"/>
        <v>0</v>
      </c>
      <c r="M9" s="33">
        <v>6</v>
      </c>
    </row>
    <row r="10" spans="1:13" ht="15" customHeight="1" x14ac:dyDescent="0.25">
      <c r="A10" s="32">
        <v>46204</v>
      </c>
      <c r="B10" s="17">
        <f t="shared" si="0"/>
        <v>2026</v>
      </c>
      <c r="C10" s="17">
        <f t="shared" si="1"/>
        <v>7</v>
      </c>
      <c r="D10" s="11">
        <f>SUMIFS(Buchungen!$F$4:$F$1003,Buchungen!$B$4:$B$1003,$B10,Buchungen!$C$4:$C$1003,$C10,Buchungen!$G$4:$G$1003,"Einnahme")</f>
        <v>2647.41</v>
      </c>
      <c r="E10" s="11">
        <f>SUMIFS(Buchungen!$F$4:$F$1003,Buchungen!$B$4:$B$1003,$B10,Buchungen!$C$4:$C$1003,$C10,Buchungen!$G$4:$G$1003,"Ausgabe")</f>
        <v>471.49999999999994</v>
      </c>
      <c r="F10" s="11">
        <f t="shared" si="2"/>
        <v>2175.91</v>
      </c>
      <c r="G10" s="12">
        <f t="shared" si="3"/>
        <v>0.82190140552464486</v>
      </c>
      <c r="H10" s="11">
        <f t="shared" si="5"/>
        <v>2133.41</v>
      </c>
      <c r="I10" s="11">
        <f t="shared" si="6"/>
        <v>157.16666666666666</v>
      </c>
      <c r="J10" s="11">
        <f t="shared" si="7"/>
        <v>725.30333333333328</v>
      </c>
      <c r="K10" s="13">
        <f>Einstellungen!$C$42</f>
        <v>0</v>
      </c>
      <c r="L10" s="11">
        <f t="shared" si="4"/>
        <v>-471.49999999999994</v>
      </c>
      <c r="M10" s="33">
        <v>7</v>
      </c>
    </row>
    <row r="11" spans="1:13" ht="15" customHeight="1" x14ac:dyDescent="0.25">
      <c r="A11" s="32">
        <v>46235</v>
      </c>
      <c r="B11" s="17">
        <f t="shared" si="0"/>
        <v>2026</v>
      </c>
      <c r="C11" s="17">
        <f t="shared" si="1"/>
        <v>8</v>
      </c>
      <c r="D11" s="11">
        <f>SUMIFS(Buchungen!$F$4:$F$1003,Buchungen!$B$4:$B$1003,$B11,Buchungen!$C$4:$C$1003,$C11,Buchungen!$G$4:$G$1003,"Einnahme")</f>
        <v>517.66</v>
      </c>
      <c r="E11" s="11">
        <f>SUMIFS(Buchungen!$F$4:$F$1003,Buchungen!$B$4:$B$1003,$B11,Buchungen!$C$4:$C$1003,$C11,Buchungen!$G$4:$G$1003,"Ausgabe")</f>
        <v>2566.9799999999996</v>
      </c>
      <c r="F11" s="11">
        <f t="shared" si="2"/>
        <v>-2049.3199999999997</v>
      </c>
      <c r="G11" s="12">
        <f t="shared" si="3"/>
        <v>-3.9588146659969863</v>
      </c>
      <c r="H11" s="11">
        <f t="shared" si="5"/>
        <v>84.090000000000146</v>
      </c>
      <c r="I11" s="11">
        <f t="shared" si="6"/>
        <v>1012.8266666666665</v>
      </c>
      <c r="J11" s="11">
        <f t="shared" si="7"/>
        <v>42.196666666666715</v>
      </c>
      <c r="K11" s="13">
        <f>Einstellungen!$C$42</f>
        <v>0</v>
      </c>
      <c r="L11" s="11">
        <f t="shared" si="4"/>
        <v>-2566.9799999999996</v>
      </c>
      <c r="M11" s="33">
        <v>8</v>
      </c>
    </row>
    <row r="12" spans="1:13" ht="15" customHeight="1" x14ac:dyDescent="0.25">
      <c r="A12" s="32">
        <v>46266</v>
      </c>
      <c r="B12" s="17">
        <f t="shared" si="0"/>
        <v>2026</v>
      </c>
      <c r="C12" s="17">
        <f t="shared" si="1"/>
        <v>9</v>
      </c>
      <c r="D12" s="11">
        <f>SUMIFS(Buchungen!$F$4:$F$1003,Buchungen!$B$4:$B$1003,$B12,Buchungen!$C$4:$C$1003,$C12,Buchungen!$G$4:$G$1003,"Einnahme")</f>
        <v>0</v>
      </c>
      <c r="E12" s="11">
        <f>SUMIFS(Buchungen!$F$4:$F$1003,Buchungen!$B$4:$B$1003,$B12,Buchungen!$C$4:$C$1003,$C12,Buchungen!$G$4:$G$1003,"Ausgabe")</f>
        <v>0</v>
      </c>
      <c r="F12" s="11">
        <f t="shared" si="2"/>
        <v>0</v>
      </c>
      <c r="G12" s="12">
        <f t="shared" si="3"/>
        <v>0</v>
      </c>
      <c r="H12" s="11">
        <f t="shared" si="5"/>
        <v>84.090000000000146</v>
      </c>
      <c r="I12" s="11">
        <f t="shared" si="6"/>
        <v>1012.8266666666665</v>
      </c>
      <c r="J12" s="11">
        <f t="shared" si="7"/>
        <v>42.196666666666715</v>
      </c>
      <c r="K12" s="13">
        <f>Einstellungen!$C$42</f>
        <v>0</v>
      </c>
      <c r="L12" s="11">
        <f t="shared" si="4"/>
        <v>0</v>
      </c>
      <c r="M12" s="33">
        <v>9</v>
      </c>
    </row>
    <row r="13" spans="1:13" ht="15" customHeight="1" x14ac:dyDescent="0.25">
      <c r="A13" s="32">
        <v>46296</v>
      </c>
      <c r="B13" s="17">
        <f t="shared" si="0"/>
        <v>2026</v>
      </c>
      <c r="C13" s="17">
        <f t="shared" si="1"/>
        <v>10</v>
      </c>
      <c r="D13" s="11">
        <f>SUMIFS(Buchungen!$F$4:$F$1003,Buchungen!$B$4:$B$1003,$B13,Buchungen!$C$4:$C$1003,$C13,Buchungen!$G$4:$G$1003,"Einnahme")</f>
        <v>0</v>
      </c>
      <c r="E13" s="11">
        <f>SUMIFS(Buchungen!$F$4:$F$1003,Buchungen!$B$4:$B$1003,$B13,Buchungen!$C$4:$C$1003,$C13,Buchungen!$G$4:$G$1003,"Ausgabe")</f>
        <v>0</v>
      </c>
      <c r="F13" s="11">
        <f t="shared" si="2"/>
        <v>0</v>
      </c>
      <c r="G13" s="12">
        <f t="shared" si="3"/>
        <v>0</v>
      </c>
      <c r="H13" s="11">
        <f t="shared" si="5"/>
        <v>84.090000000000146</v>
      </c>
      <c r="I13" s="11">
        <f t="shared" si="6"/>
        <v>855.65999999999985</v>
      </c>
      <c r="J13" s="11">
        <f t="shared" si="7"/>
        <v>-683.10666666666657</v>
      </c>
      <c r="K13" s="13">
        <f>Einstellungen!$C$42</f>
        <v>0</v>
      </c>
      <c r="L13" s="11">
        <f t="shared" si="4"/>
        <v>0</v>
      </c>
      <c r="M13" s="33">
        <v>10</v>
      </c>
    </row>
    <row r="14" spans="1:13" ht="15" customHeight="1" x14ac:dyDescent="0.25">
      <c r="A14" s="32">
        <v>46327</v>
      </c>
      <c r="B14" s="17">
        <f t="shared" si="0"/>
        <v>2026</v>
      </c>
      <c r="C14" s="17">
        <f t="shared" si="1"/>
        <v>11</v>
      </c>
      <c r="D14" s="11">
        <f>SUMIFS(Buchungen!$F$4:$F$1003,Buchungen!$B$4:$B$1003,$B14,Buchungen!$C$4:$C$1003,$C14,Buchungen!$G$4:$G$1003,"Einnahme")</f>
        <v>0</v>
      </c>
      <c r="E14" s="11">
        <f>SUMIFS(Buchungen!$F$4:$F$1003,Buchungen!$B$4:$B$1003,$B14,Buchungen!$C$4:$C$1003,$C14,Buchungen!$G$4:$G$1003,"Ausgabe")</f>
        <v>0</v>
      </c>
      <c r="F14" s="11">
        <f t="shared" si="2"/>
        <v>0</v>
      </c>
      <c r="G14" s="12">
        <f t="shared" si="3"/>
        <v>0</v>
      </c>
      <c r="H14" s="11">
        <f t="shared" si="5"/>
        <v>84.090000000000146</v>
      </c>
      <c r="I14" s="11">
        <f t="shared" si="6"/>
        <v>0</v>
      </c>
      <c r="J14" s="11">
        <f t="shared" si="7"/>
        <v>0</v>
      </c>
      <c r="K14" s="13">
        <f>Einstellungen!$C$42</f>
        <v>0</v>
      </c>
      <c r="L14" s="11">
        <f t="shared" si="4"/>
        <v>0</v>
      </c>
      <c r="M14" s="33">
        <v>11</v>
      </c>
    </row>
    <row r="15" spans="1:13" ht="15" customHeight="1" x14ac:dyDescent="0.25">
      <c r="A15" s="32">
        <v>46357</v>
      </c>
      <c r="B15" s="17">
        <f t="shared" si="0"/>
        <v>2026</v>
      </c>
      <c r="C15" s="17">
        <f t="shared" si="1"/>
        <v>12</v>
      </c>
      <c r="D15" s="11">
        <f>SUMIFS(Buchungen!$F$4:$F$1003,Buchungen!$B$4:$B$1003,$B15,Buchungen!$C$4:$C$1003,$C15,Buchungen!$G$4:$G$1003,"Einnahme")</f>
        <v>0</v>
      </c>
      <c r="E15" s="11">
        <f>SUMIFS(Buchungen!$F$4:$F$1003,Buchungen!$B$4:$B$1003,$B15,Buchungen!$C$4:$C$1003,$C15,Buchungen!$G$4:$G$1003,"Ausgabe")</f>
        <v>0</v>
      </c>
      <c r="F15" s="11">
        <f t="shared" si="2"/>
        <v>0</v>
      </c>
      <c r="G15" s="12">
        <f t="shared" si="3"/>
        <v>0</v>
      </c>
      <c r="H15" s="11">
        <f t="shared" si="5"/>
        <v>84.090000000000146</v>
      </c>
      <c r="I15" s="11">
        <f t="shared" si="6"/>
        <v>0</v>
      </c>
      <c r="J15" s="11">
        <f t="shared" si="7"/>
        <v>0</v>
      </c>
      <c r="K15" s="13">
        <f>Einstellungen!$C$42</f>
        <v>0</v>
      </c>
      <c r="L15" s="11">
        <f t="shared" si="4"/>
        <v>0</v>
      </c>
      <c r="M15" s="33">
        <v>12</v>
      </c>
    </row>
    <row r="16" spans="1:13" ht="15" customHeight="1" x14ac:dyDescent="0.25">
      <c r="A16" s="32">
        <v>46388</v>
      </c>
      <c r="B16" s="17">
        <f t="shared" si="0"/>
        <v>2027</v>
      </c>
      <c r="C16" s="17">
        <f t="shared" si="1"/>
        <v>1</v>
      </c>
      <c r="D16" s="11">
        <f>SUMIFS(Buchungen!$F$4:$F$1003,Buchungen!$B$4:$B$1003,$B16,Buchungen!$C$4:$C$1003,$C16,Buchungen!$G$4:$G$1003,"Einnahme")</f>
        <v>0</v>
      </c>
      <c r="E16" s="11">
        <f>SUMIFS(Buchungen!$F$4:$F$1003,Buchungen!$B$4:$B$1003,$B16,Buchungen!$C$4:$C$1003,$C16,Buchungen!$G$4:$G$1003,"Ausgabe")</f>
        <v>0</v>
      </c>
      <c r="F16" s="11">
        <f t="shared" si="2"/>
        <v>0</v>
      </c>
      <c r="G16" s="12">
        <f t="shared" si="3"/>
        <v>0</v>
      </c>
      <c r="H16" s="11">
        <f t="shared" si="5"/>
        <v>84.090000000000146</v>
      </c>
      <c r="I16" s="11">
        <f t="shared" si="6"/>
        <v>0</v>
      </c>
      <c r="J16" s="11">
        <f t="shared" si="7"/>
        <v>0</v>
      </c>
      <c r="K16" s="13">
        <f>Einstellungen!$C$42</f>
        <v>0</v>
      </c>
      <c r="L16" s="11">
        <f t="shared" si="4"/>
        <v>0</v>
      </c>
      <c r="M16" s="33">
        <v>13</v>
      </c>
    </row>
    <row r="17" spans="1:13" ht="15" customHeight="1" x14ac:dyDescent="0.25">
      <c r="A17" s="32">
        <v>46419</v>
      </c>
      <c r="B17" s="17">
        <f t="shared" si="0"/>
        <v>2027</v>
      </c>
      <c r="C17" s="17">
        <f t="shared" si="1"/>
        <v>2</v>
      </c>
      <c r="D17" s="11">
        <f>SUMIFS(Buchungen!$F$4:$F$1003,Buchungen!$B$4:$B$1003,$B17,Buchungen!$C$4:$C$1003,$C17,Buchungen!$G$4:$G$1003,"Einnahme")</f>
        <v>0</v>
      </c>
      <c r="E17" s="11">
        <f>SUMIFS(Buchungen!$F$4:$F$1003,Buchungen!$B$4:$B$1003,$B17,Buchungen!$C$4:$C$1003,$C17,Buchungen!$G$4:$G$1003,"Ausgabe")</f>
        <v>0</v>
      </c>
      <c r="F17" s="11">
        <f t="shared" si="2"/>
        <v>0</v>
      </c>
      <c r="G17" s="12">
        <f t="shared" si="3"/>
        <v>0</v>
      </c>
      <c r="H17" s="11">
        <f t="shared" si="5"/>
        <v>84.090000000000146</v>
      </c>
      <c r="I17" s="11">
        <f t="shared" si="6"/>
        <v>0</v>
      </c>
      <c r="J17" s="11">
        <f t="shared" si="7"/>
        <v>0</v>
      </c>
      <c r="K17" s="13">
        <f>Einstellungen!$C$42</f>
        <v>0</v>
      </c>
      <c r="L17" s="11">
        <f t="shared" si="4"/>
        <v>0</v>
      </c>
      <c r="M17" s="33">
        <v>14</v>
      </c>
    </row>
    <row r="18" spans="1:13" ht="15" customHeight="1" x14ac:dyDescent="0.25">
      <c r="A18" s="32">
        <v>46447</v>
      </c>
      <c r="B18" s="17">
        <f t="shared" si="0"/>
        <v>2027</v>
      </c>
      <c r="C18" s="17">
        <f t="shared" si="1"/>
        <v>3</v>
      </c>
      <c r="D18" s="11">
        <f>SUMIFS(Buchungen!$F$4:$F$1003,Buchungen!$B$4:$B$1003,$B18,Buchungen!$C$4:$C$1003,$C18,Buchungen!$G$4:$G$1003,"Einnahme")</f>
        <v>0</v>
      </c>
      <c r="E18" s="11">
        <f>SUMIFS(Buchungen!$F$4:$F$1003,Buchungen!$B$4:$B$1003,$B18,Buchungen!$C$4:$C$1003,$C18,Buchungen!$G$4:$G$1003,"Ausgabe")</f>
        <v>0</v>
      </c>
      <c r="F18" s="11">
        <f t="shared" si="2"/>
        <v>0</v>
      </c>
      <c r="G18" s="12">
        <f t="shared" si="3"/>
        <v>0</v>
      </c>
      <c r="H18" s="11">
        <f t="shared" si="5"/>
        <v>84.090000000000146</v>
      </c>
      <c r="I18" s="11">
        <f t="shared" si="6"/>
        <v>0</v>
      </c>
      <c r="J18" s="11">
        <f t="shared" si="7"/>
        <v>0</v>
      </c>
      <c r="K18" s="13">
        <f>Einstellungen!$C$42</f>
        <v>0</v>
      </c>
      <c r="L18" s="11">
        <f t="shared" si="4"/>
        <v>0</v>
      </c>
      <c r="M18" s="33">
        <v>15</v>
      </c>
    </row>
    <row r="19" spans="1:13" ht="15" customHeight="1" x14ac:dyDescent="0.25">
      <c r="A19" s="32">
        <v>46478</v>
      </c>
      <c r="B19" s="17">
        <f t="shared" si="0"/>
        <v>2027</v>
      </c>
      <c r="C19" s="17">
        <f t="shared" si="1"/>
        <v>4</v>
      </c>
      <c r="D19" s="11">
        <f>SUMIFS(Buchungen!$F$4:$F$1003,Buchungen!$B$4:$B$1003,$B19,Buchungen!$C$4:$C$1003,$C19,Buchungen!$G$4:$G$1003,"Einnahme")</f>
        <v>0</v>
      </c>
      <c r="E19" s="11">
        <f>SUMIFS(Buchungen!$F$4:$F$1003,Buchungen!$B$4:$B$1003,$B19,Buchungen!$C$4:$C$1003,$C19,Buchungen!$G$4:$G$1003,"Ausgabe")</f>
        <v>0</v>
      </c>
      <c r="F19" s="11">
        <f t="shared" si="2"/>
        <v>0</v>
      </c>
      <c r="G19" s="12">
        <f t="shared" si="3"/>
        <v>0</v>
      </c>
      <c r="H19" s="11">
        <f t="shared" si="5"/>
        <v>84.090000000000146</v>
      </c>
      <c r="I19" s="11">
        <f t="shared" si="6"/>
        <v>0</v>
      </c>
      <c r="J19" s="11">
        <f t="shared" si="7"/>
        <v>0</v>
      </c>
      <c r="K19" s="13">
        <f>Einstellungen!$C$42</f>
        <v>0</v>
      </c>
      <c r="L19" s="11">
        <f t="shared" si="4"/>
        <v>0</v>
      </c>
      <c r="M19" s="33">
        <v>16</v>
      </c>
    </row>
    <row r="20" spans="1:13" ht="15" customHeight="1" x14ac:dyDescent="0.25">
      <c r="A20" s="32">
        <v>46508</v>
      </c>
      <c r="B20" s="17">
        <f t="shared" si="0"/>
        <v>2027</v>
      </c>
      <c r="C20" s="17">
        <f t="shared" si="1"/>
        <v>5</v>
      </c>
      <c r="D20" s="11">
        <f>SUMIFS(Buchungen!$F$4:$F$1003,Buchungen!$B$4:$B$1003,$B20,Buchungen!$C$4:$C$1003,$C20,Buchungen!$G$4:$G$1003,"Einnahme")</f>
        <v>0</v>
      </c>
      <c r="E20" s="11">
        <f>SUMIFS(Buchungen!$F$4:$F$1003,Buchungen!$B$4:$B$1003,$B20,Buchungen!$C$4:$C$1003,$C20,Buchungen!$G$4:$G$1003,"Ausgabe")</f>
        <v>0</v>
      </c>
      <c r="F20" s="11">
        <f t="shared" si="2"/>
        <v>0</v>
      </c>
      <c r="G20" s="12">
        <f t="shared" si="3"/>
        <v>0</v>
      </c>
      <c r="H20" s="11">
        <f t="shared" si="5"/>
        <v>84.090000000000146</v>
      </c>
      <c r="I20" s="11">
        <f t="shared" si="6"/>
        <v>0</v>
      </c>
      <c r="J20" s="11">
        <f t="shared" si="7"/>
        <v>0</v>
      </c>
      <c r="K20" s="13">
        <f>Einstellungen!$C$42</f>
        <v>0</v>
      </c>
      <c r="L20" s="11">
        <f t="shared" si="4"/>
        <v>0</v>
      </c>
      <c r="M20" s="33">
        <v>17</v>
      </c>
    </row>
    <row r="21" spans="1:13" ht="15" customHeight="1" x14ac:dyDescent="0.25">
      <c r="A21" s="32">
        <v>46539</v>
      </c>
      <c r="B21" s="17">
        <f t="shared" si="0"/>
        <v>2027</v>
      </c>
      <c r="C21" s="17">
        <f t="shared" si="1"/>
        <v>6</v>
      </c>
      <c r="D21" s="11">
        <f>SUMIFS(Buchungen!$F$4:$F$1003,Buchungen!$B$4:$B$1003,$B21,Buchungen!$C$4:$C$1003,$C21,Buchungen!$G$4:$G$1003,"Einnahme")</f>
        <v>0</v>
      </c>
      <c r="E21" s="11">
        <f>SUMIFS(Buchungen!$F$4:$F$1003,Buchungen!$B$4:$B$1003,$B21,Buchungen!$C$4:$C$1003,$C21,Buchungen!$G$4:$G$1003,"Ausgabe")</f>
        <v>0</v>
      </c>
      <c r="F21" s="11">
        <f t="shared" si="2"/>
        <v>0</v>
      </c>
      <c r="G21" s="12">
        <f t="shared" si="3"/>
        <v>0</v>
      </c>
      <c r="H21" s="11">
        <f t="shared" si="5"/>
        <v>84.090000000000146</v>
      </c>
      <c r="I21" s="11">
        <f t="shared" si="6"/>
        <v>0</v>
      </c>
      <c r="J21" s="11">
        <f t="shared" si="7"/>
        <v>0</v>
      </c>
      <c r="K21" s="13">
        <f>Einstellungen!$C$42</f>
        <v>0</v>
      </c>
      <c r="L21" s="11">
        <f t="shared" si="4"/>
        <v>0</v>
      </c>
      <c r="M21" s="33">
        <v>18</v>
      </c>
    </row>
    <row r="22" spans="1:13" ht="15" customHeight="1" x14ac:dyDescent="0.25">
      <c r="A22" s="32">
        <v>46569</v>
      </c>
      <c r="B22" s="17">
        <f t="shared" si="0"/>
        <v>2027</v>
      </c>
      <c r="C22" s="17">
        <f t="shared" si="1"/>
        <v>7</v>
      </c>
      <c r="D22" s="11">
        <f>SUMIFS(Buchungen!$F$4:$F$1003,Buchungen!$B$4:$B$1003,$B22,Buchungen!$C$4:$C$1003,$C22,Buchungen!$G$4:$G$1003,"Einnahme")</f>
        <v>0</v>
      </c>
      <c r="E22" s="11">
        <f>SUMIFS(Buchungen!$F$4:$F$1003,Buchungen!$B$4:$B$1003,$B22,Buchungen!$C$4:$C$1003,$C22,Buchungen!$G$4:$G$1003,"Ausgabe")</f>
        <v>0</v>
      </c>
      <c r="F22" s="11">
        <f t="shared" si="2"/>
        <v>0</v>
      </c>
      <c r="G22" s="12">
        <f t="shared" si="3"/>
        <v>0</v>
      </c>
      <c r="H22" s="11">
        <f t="shared" si="5"/>
        <v>84.090000000000146</v>
      </c>
      <c r="I22" s="11">
        <f t="shared" si="6"/>
        <v>0</v>
      </c>
      <c r="J22" s="11">
        <f t="shared" si="7"/>
        <v>0</v>
      </c>
      <c r="K22" s="13">
        <f>Einstellungen!$C$42</f>
        <v>0</v>
      </c>
      <c r="L22" s="11">
        <f t="shared" si="4"/>
        <v>0</v>
      </c>
      <c r="M22" s="33">
        <v>19</v>
      </c>
    </row>
    <row r="23" spans="1:13" ht="15" customHeight="1" x14ac:dyDescent="0.25">
      <c r="A23" s="32">
        <v>46600</v>
      </c>
      <c r="B23" s="17">
        <f t="shared" si="0"/>
        <v>2027</v>
      </c>
      <c r="C23" s="17">
        <f t="shared" si="1"/>
        <v>8</v>
      </c>
      <c r="D23" s="11">
        <f>SUMIFS(Buchungen!$F$4:$F$1003,Buchungen!$B$4:$B$1003,$B23,Buchungen!$C$4:$C$1003,$C23,Buchungen!$G$4:$G$1003,"Einnahme")</f>
        <v>0</v>
      </c>
      <c r="E23" s="11">
        <f>SUMIFS(Buchungen!$F$4:$F$1003,Buchungen!$B$4:$B$1003,$B23,Buchungen!$C$4:$C$1003,$C23,Buchungen!$G$4:$G$1003,"Ausgabe")</f>
        <v>0</v>
      </c>
      <c r="F23" s="11">
        <f t="shared" si="2"/>
        <v>0</v>
      </c>
      <c r="G23" s="12">
        <f t="shared" si="3"/>
        <v>0</v>
      </c>
      <c r="H23" s="11">
        <f t="shared" si="5"/>
        <v>84.090000000000146</v>
      </c>
      <c r="I23" s="11">
        <f t="shared" si="6"/>
        <v>0</v>
      </c>
      <c r="J23" s="11">
        <f t="shared" si="7"/>
        <v>0</v>
      </c>
      <c r="K23" s="13">
        <f>Einstellungen!$C$42</f>
        <v>0</v>
      </c>
      <c r="L23" s="11">
        <f t="shared" si="4"/>
        <v>0</v>
      </c>
      <c r="M23" s="33">
        <v>20</v>
      </c>
    </row>
    <row r="24" spans="1:13" ht="15" customHeight="1" x14ac:dyDescent="0.25">
      <c r="A24" s="32">
        <v>46631</v>
      </c>
      <c r="B24" s="17">
        <f t="shared" si="0"/>
        <v>2027</v>
      </c>
      <c r="C24" s="17">
        <f t="shared" si="1"/>
        <v>9</v>
      </c>
      <c r="D24" s="11">
        <f>SUMIFS(Buchungen!$F$4:$F$1003,Buchungen!$B$4:$B$1003,$B24,Buchungen!$C$4:$C$1003,$C24,Buchungen!$G$4:$G$1003,"Einnahme")</f>
        <v>0</v>
      </c>
      <c r="E24" s="11">
        <f>SUMIFS(Buchungen!$F$4:$F$1003,Buchungen!$B$4:$B$1003,$B24,Buchungen!$C$4:$C$1003,$C24,Buchungen!$G$4:$G$1003,"Ausgabe")</f>
        <v>0</v>
      </c>
      <c r="F24" s="11">
        <f t="shared" si="2"/>
        <v>0</v>
      </c>
      <c r="G24" s="12">
        <f t="shared" si="3"/>
        <v>0</v>
      </c>
      <c r="H24" s="11">
        <f t="shared" si="5"/>
        <v>84.090000000000146</v>
      </c>
      <c r="I24" s="11">
        <f t="shared" si="6"/>
        <v>0</v>
      </c>
      <c r="J24" s="11">
        <f t="shared" si="7"/>
        <v>0</v>
      </c>
      <c r="K24" s="13">
        <f>Einstellungen!$C$42</f>
        <v>0</v>
      </c>
      <c r="L24" s="11">
        <f t="shared" si="4"/>
        <v>0</v>
      </c>
      <c r="M24" s="33">
        <v>21</v>
      </c>
    </row>
    <row r="25" spans="1:13" ht="15" customHeight="1" x14ac:dyDescent="0.25">
      <c r="A25" s="32">
        <v>46661</v>
      </c>
      <c r="B25" s="17">
        <f t="shared" si="0"/>
        <v>2027</v>
      </c>
      <c r="C25" s="17">
        <f t="shared" si="1"/>
        <v>10</v>
      </c>
      <c r="D25" s="11">
        <f>SUMIFS(Buchungen!$F$4:$F$1003,Buchungen!$B$4:$B$1003,$B25,Buchungen!$C$4:$C$1003,$C25,Buchungen!$G$4:$G$1003,"Einnahme")</f>
        <v>0</v>
      </c>
      <c r="E25" s="11">
        <f>SUMIFS(Buchungen!$F$4:$F$1003,Buchungen!$B$4:$B$1003,$B25,Buchungen!$C$4:$C$1003,$C25,Buchungen!$G$4:$G$1003,"Ausgabe")</f>
        <v>0</v>
      </c>
      <c r="F25" s="11">
        <f t="shared" si="2"/>
        <v>0</v>
      </c>
      <c r="G25" s="12">
        <f t="shared" si="3"/>
        <v>0</v>
      </c>
      <c r="H25" s="11">
        <f t="shared" si="5"/>
        <v>84.090000000000146</v>
      </c>
      <c r="I25" s="11">
        <f t="shared" si="6"/>
        <v>0</v>
      </c>
      <c r="J25" s="11">
        <f t="shared" si="7"/>
        <v>0</v>
      </c>
      <c r="K25" s="13">
        <f>Einstellungen!$C$42</f>
        <v>0</v>
      </c>
      <c r="L25" s="11">
        <f t="shared" si="4"/>
        <v>0</v>
      </c>
      <c r="M25" s="33">
        <v>22</v>
      </c>
    </row>
    <row r="26" spans="1:13" ht="15" customHeight="1" x14ac:dyDescent="0.25">
      <c r="A26" s="32">
        <v>46692</v>
      </c>
      <c r="B26" s="17">
        <f t="shared" si="0"/>
        <v>2027</v>
      </c>
      <c r="C26" s="17">
        <f t="shared" si="1"/>
        <v>11</v>
      </c>
      <c r="D26" s="11">
        <f>SUMIFS(Buchungen!$F$4:$F$1003,Buchungen!$B$4:$B$1003,$B26,Buchungen!$C$4:$C$1003,$C26,Buchungen!$G$4:$G$1003,"Einnahme")</f>
        <v>0</v>
      </c>
      <c r="E26" s="11">
        <f>SUMIFS(Buchungen!$F$4:$F$1003,Buchungen!$B$4:$B$1003,$B26,Buchungen!$C$4:$C$1003,$C26,Buchungen!$G$4:$G$1003,"Ausgabe")</f>
        <v>0</v>
      </c>
      <c r="F26" s="11">
        <f t="shared" si="2"/>
        <v>0</v>
      </c>
      <c r="G26" s="12">
        <f t="shared" si="3"/>
        <v>0</v>
      </c>
      <c r="H26" s="11">
        <f t="shared" si="5"/>
        <v>84.090000000000146</v>
      </c>
      <c r="I26" s="11">
        <f t="shared" si="6"/>
        <v>0</v>
      </c>
      <c r="J26" s="11">
        <f t="shared" si="7"/>
        <v>0</v>
      </c>
      <c r="K26" s="13">
        <f>Einstellungen!$C$42</f>
        <v>0</v>
      </c>
      <c r="L26" s="11">
        <f t="shared" si="4"/>
        <v>0</v>
      </c>
      <c r="M26" s="33">
        <v>23</v>
      </c>
    </row>
    <row r="27" spans="1:13" ht="15" customHeight="1" x14ac:dyDescent="0.25">
      <c r="A27" s="32">
        <v>46722</v>
      </c>
      <c r="B27" s="17">
        <f t="shared" si="0"/>
        <v>2027</v>
      </c>
      <c r="C27" s="17">
        <f t="shared" si="1"/>
        <v>12</v>
      </c>
      <c r="D27" s="11">
        <f>SUMIFS(Buchungen!$F$4:$F$1003,Buchungen!$B$4:$B$1003,$B27,Buchungen!$C$4:$C$1003,$C27,Buchungen!$G$4:$G$1003,"Einnahme")</f>
        <v>0</v>
      </c>
      <c r="E27" s="11">
        <f>SUMIFS(Buchungen!$F$4:$F$1003,Buchungen!$B$4:$B$1003,$B27,Buchungen!$C$4:$C$1003,$C27,Buchungen!$G$4:$G$1003,"Ausgabe")</f>
        <v>0</v>
      </c>
      <c r="F27" s="11">
        <f t="shared" si="2"/>
        <v>0</v>
      </c>
      <c r="G27" s="12">
        <f t="shared" si="3"/>
        <v>0</v>
      </c>
      <c r="H27" s="11">
        <f t="shared" si="5"/>
        <v>84.090000000000146</v>
      </c>
      <c r="I27" s="11">
        <f t="shared" si="6"/>
        <v>0</v>
      </c>
      <c r="J27" s="11">
        <f t="shared" si="7"/>
        <v>0</v>
      </c>
      <c r="K27" s="13">
        <f>Einstellungen!$C$42</f>
        <v>0</v>
      </c>
      <c r="L27" s="11">
        <f t="shared" si="4"/>
        <v>0</v>
      </c>
      <c r="M27" s="33">
        <v>24</v>
      </c>
    </row>
    <row r="29" spans="1:13" ht="15" customHeight="1" x14ac:dyDescent="0.25">
      <c r="A29" s="29" t="s">
        <v>239</v>
      </c>
      <c r="B29" s="30"/>
      <c r="C29" s="30"/>
      <c r="D29" s="31">
        <f>SUM(D4:D27)</f>
        <v>3165.0699999999997</v>
      </c>
      <c r="E29" s="31">
        <f>SUM(E4:E27)</f>
        <v>3080.9799999999996</v>
      </c>
      <c r="F29" s="31">
        <f>SUM(F4:F27)</f>
        <v>84.090000000000146</v>
      </c>
      <c r="G29" s="34">
        <f>IF($D29&lt;=0,0,$F29/$D29)</f>
        <v>2.6568132774314676E-2</v>
      </c>
      <c r="H29" s="30"/>
      <c r="I29" s="30"/>
      <c r="J29" s="30"/>
      <c r="K29" s="30"/>
      <c r="L29" s="30"/>
      <c r="M29" s="30"/>
    </row>
  </sheetData>
  <conditionalFormatting sqref="F4:F27">
    <cfRule type="cellIs" dxfId="0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6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7109375" defaultRowHeight="15" x14ac:dyDescent="0.25"/>
  <cols>
    <col min="1" max="1" width="26" customWidth="1"/>
    <col min="2" max="14" width="12" customWidth="1"/>
    <col min="15" max="17" width="14" customWidth="1"/>
    <col min="18" max="18" width="15" customWidth="1"/>
    <col min="19" max="19" width="16" customWidth="1"/>
  </cols>
  <sheetData>
    <row r="1" spans="1:19" ht="21.75" customHeight="1" x14ac:dyDescent="0.25">
      <c r="A1" s="1" t="s">
        <v>240</v>
      </c>
    </row>
    <row r="2" spans="1:19" ht="15" customHeight="1" x14ac:dyDescent="0.25">
      <c r="A2" s="2" t="s">
        <v>241</v>
      </c>
    </row>
    <row r="3" spans="1:19" ht="15" customHeight="1" x14ac:dyDescent="0.25">
      <c r="A3" s="35" t="s">
        <v>242</v>
      </c>
      <c r="B3" s="36">
        <v>2026</v>
      </c>
    </row>
    <row r="4" spans="1:19" ht="15" customHeight="1" x14ac:dyDescent="0.25">
      <c r="A4" s="37" t="s">
        <v>243</v>
      </c>
      <c r="C4" s="38">
        <v>1</v>
      </c>
      <c r="D4" s="38">
        <v>2</v>
      </c>
      <c r="E4" s="38">
        <v>3</v>
      </c>
      <c r="F4" s="38">
        <v>4</v>
      </c>
      <c r="G4" s="38">
        <v>5</v>
      </c>
      <c r="H4" s="38">
        <v>6</v>
      </c>
      <c r="I4" s="38">
        <v>7</v>
      </c>
      <c r="J4" s="38">
        <v>8</v>
      </c>
      <c r="K4" s="38">
        <v>9</v>
      </c>
      <c r="L4" s="38">
        <v>10</v>
      </c>
      <c r="M4" s="38">
        <v>11</v>
      </c>
      <c r="N4" s="38">
        <v>12</v>
      </c>
    </row>
    <row r="5" spans="1:19" ht="30" customHeight="1" x14ac:dyDescent="0.25">
      <c r="A5" s="15" t="s">
        <v>55</v>
      </c>
      <c r="B5" s="15" t="s">
        <v>65</v>
      </c>
      <c r="C5" s="15" t="s">
        <v>244</v>
      </c>
      <c r="D5" s="15" t="s">
        <v>245</v>
      </c>
      <c r="E5" s="15" t="s">
        <v>246</v>
      </c>
      <c r="F5" s="15" t="s">
        <v>247</v>
      </c>
      <c r="G5" s="15" t="s">
        <v>248</v>
      </c>
      <c r="H5" s="15" t="s">
        <v>249</v>
      </c>
      <c r="I5" s="15" t="s">
        <v>250</v>
      </c>
      <c r="J5" s="15" t="s">
        <v>251</v>
      </c>
      <c r="K5" s="15" t="s">
        <v>252</v>
      </c>
      <c r="L5" s="15" t="s">
        <v>253</v>
      </c>
      <c r="M5" s="15" t="s">
        <v>254</v>
      </c>
      <c r="N5" s="15" t="s">
        <v>255</v>
      </c>
      <c r="O5" s="15" t="s">
        <v>256</v>
      </c>
      <c r="P5" s="15" t="s">
        <v>257</v>
      </c>
      <c r="Q5" s="15" t="s">
        <v>258</v>
      </c>
      <c r="R5" s="15" t="s">
        <v>259</v>
      </c>
      <c r="S5" s="15" t="s">
        <v>260</v>
      </c>
    </row>
    <row r="6" spans="1:19" ht="15" customHeight="1" x14ac:dyDescent="0.25">
      <c r="A6" s="14" t="str">
        <f>IF(Einstellungen!$A4="","",Einstellungen!$A4)</f>
        <v>Gehalt Werkstudent</v>
      </c>
      <c r="B6" s="14" t="str">
        <f>IF(Einstellungen!$B4="","",Einstellungen!$B4)</f>
        <v>Einnahme</v>
      </c>
      <c r="C6" s="39">
        <f>IF($A6="",0,SUMIFS(Buchungen!$F$4:$F$1003,Buchungen!$B$4:$B$1003,$B$3,Buchungen!$C$4:$C$1003,C$4,Buchungen!$D$4:$D$1003,$A6))</f>
        <v>0</v>
      </c>
      <c r="D6" s="39">
        <f>IF($A6="",0,SUMIFS(Buchungen!$F$4:$F$1003,Buchungen!$B$4:$B$1003,$B$3,Buchungen!$C$4:$C$1003,D$4,Buchungen!$D$4:$D$1003,$A6))</f>
        <v>0</v>
      </c>
      <c r="E6" s="39">
        <f>IF($A6="",0,SUMIFS(Buchungen!$F$4:$F$1003,Buchungen!$B$4:$B$1003,$B$3,Buchungen!$C$4:$C$1003,E$4,Buchungen!$D$4:$D$1003,$A6))</f>
        <v>0</v>
      </c>
      <c r="F6" s="39">
        <f>IF($A6="",0,SUMIFS(Buchungen!$F$4:$F$1003,Buchungen!$B$4:$B$1003,$B$3,Buchungen!$C$4:$C$1003,F$4,Buchungen!$D$4:$D$1003,$A6))</f>
        <v>0</v>
      </c>
      <c r="G6" s="39">
        <f>IF($A6="",0,SUMIFS(Buchungen!$F$4:$F$1003,Buchungen!$B$4:$B$1003,$B$3,Buchungen!$C$4:$C$1003,G$4,Buchungen!$D$4:$D$1003,$A6))</f>
        <v>0</v>
      </c>
      <c r="H6" s="39">
        <f>IF($A6="",0,SUMIFS(Buchungen!$F$4:$F$1003,Buchungen!$B$4:$B$1003,$B$3,Buchungen!$C$4:$C$1003,H$4,Buchungen!$D$4:$D$1003,$A6))</f>
        <v>0</v>
      </c>
      <c r="I6" s="39">
        <f>IF($A6="",0,SUMIFS(Buchungen!$F$4:$F$1003,Buchungen!$B$4:$B$1003,$B$3,Buchungen!$C$4:$C$1003,I$4,Buchungen!$D$4:$D$1003,$A6))</f>
        <v>0</v>
      </c>
      <c r="J6" s="39">
        <f>IF($A6="",0,SUMIFS(Buchungen!$F$4:$F$1003,Buchungen!$B$4:$B$1003,$B$3,Buchungen!$C$4:$C$1003,J$4,Buchungen!$D$4:$D$1003,$A6))</f>
        <v>0</v>
      </c>
      <c r="K6" s="39">
        <f>IF($A6="",0,SUMIFS(Buchungen!$F$4:$F$1003,Buchungen!$B$4:$B$1003,$B$3,Buchungen!$C$4:$C$1003,K$4,Buchungen!$D$4:$D$1003,$A6))</f>
        <v>0</v>
      </c>
      <c r="L6" s="39">
        <f>IF($A6="",0,SUMIFS(Buchungen!$F$4:$F$1003,Buchungen!$B$4:$B$1003,$B$3,Buchungen!$C$4:$C$1003,L$4,Buchungen!$D$4:$D$1003,$A6))</f>
        <v>0</v>
      </c>
      <c r="M6" s="39">
        <f>IF($A6="",0,SUMIFS(Buchungen!$F$4:$F$1003,Buchungen!$B$4:$B$1003,$B$3,Buchungen!$C$4:$C$1003,M$4,Buchungen!$D$4:$D$1003,$A6))</f>
        <v>0</v>
      </c>
      <c r="N6" s="39">
        <f>IF($A6="",0,SUMIFS(Buchungen!$F$4:$F$1003,Buchungen!$B$4:$B$1003,$B$3,Buchungen!$C$4:$C$1003,N$4,Buchungen!$D$4:$D$1003,$A6))</f>
        <v>0</v>
      </c>
      <c r="O6" s="11">
        <f t="shared" ref="O6:O42" si="0">SUM($C6:$N6)</f>
        <v>0</v>
      </c>
      <c r="P6" s="11">
        <f t="shared" ref="P6:P42" si="1">IFERROR(AVERAGEIF($C6:$N6,"&lt;&gt;0"),0)</f>
        <v>0</v>
      </c>
      <c r="Q6" s="13">
        <f>IF(Einstellungen!$C4="",0,Einstellungen!$C4)</f>
        <v>0</v>
      </c>
      <c r="R6" s="11">
        <f t="shared" ref="R6:R42" si="2">$Q6-$P6</f>
        <v>0</v>
      </c>
      <c r="S6" s="11">
        <f t="shared" ref="S6:S42" si="3">IF($B6="Ausgabe",$O6,0)</f>
        <v>0</v>
      </c>
    </row>
    <row r="7" spans="1:19" ht="15" customHeight="1" x14ac:dyDescent="0.25">
      <c r="A7" s="14" t="str">
        <f>IF(Einstellungen!$A5="","",Einstellungen!$A5)</f>
        <v>Stipendium</v>
      </c>
      <c r="B7" s="14" t="str">
        <f>IF(Einstellungen!$B5="","",Einstellungen!$B5)</f>
        <v>Einnahme</v>
      </c>
      <c r="C7" s="39">
        <f>IF($A7="",0,SUMIFS(Buchungen!$F$4:$F$1003,Buchungen!$B$4:$B$1003,$B$3,Buchungen!$C$4:$C$1003,C$4,Buchungen!$D$4:$D$1003,$A7))</f>
        <v>0</v>
      </c>
      <c r="D7" s="39">
        <f>IF($A7="",0,SUMIFS(Buchungen!$F$4:$F$1003,Buchungen!$B$4:$B$1003,$B$3,Buchungen!$C$4:$C$1003,D$4,Buchungen!$D$4:$D$1003,$A7))</f>
        <v>0</v>
      </c>
      <c r="E7" s="39">
        <f>IF($A7="",0,SUMIFS(Buchungen!$F$4:$F$1003,Buchungen!$B$4:$B$1003,$B$3,Buchungen!$C$4:$C$1003,E$4,Buchungen!$D$4:$D$1003,$A7))</f>
        <v>0</v>
      </c>
      <c r="F7" s="39">
        <f>IF($A7="",0,SUMIFS(Buchungen!$F$4:$F$1003,Buchungen!$B$4:$B$1003,$B$3,Buchungen!$C$4:$C$1003,F$4,Buchungen!$D$4:$D$1003,$A7))</f>
        <v>0</v>
      </c>
      <c r="G7" s="39">
        <f>IF($A7="",0,SUMIFS(Buchungen!$F$4:$F$1003,Buchungen!$B$4:$B$1003,$B$3,Buchungen!$C$4:$C$1003,G$4,Buchungen!$D$4:$D$1003,$A7))</f>
        <v>0</v>
      </c>
      <c r="H7" s="39">
        <f>IF($A7="",0,SUMIFS(Buchungen!$F$4:$F$1003,Buchungen!$B$4:$B$1003,$B$3,Buchungen!$C$4:$C$1003,H$4,Buchungen!$D$4:$D$1003,$A7))</f>
        <v>0</v>
      </c>
      <c r="I7" s="39">
        <f>IF($A7="",0,SUMIFS(Buchungen!$F$4:$F$1003,Buchungen!$B$4:$B$1003,$B$3,Buchungen!$C$4:$C$1003,I$4,Buchungen!$D$4:$D$1003,$A7))</f>
        <v>0</v>
      </c>
      <c r="J7" s="39">
        <f>IF($A7="",0,SUMIFS(Buchungen!$F$4:$F$1003,Buchungen!$B$4:$B$1003,$B$3,Buchungen!$C$4:$C$1003,J$4,Buchungen!$D$4:$D$1003,$A7))</f>
        <v>0</v>
      </c>
      <c r="K7" s="39">
        <f>IF($A7="",0,SUMIFS(Buchungen!$F$4:$F$1003,Buchungen!$B$4:$B$1003,$B$3,Buchungen!$C$4:$C$1003,K$4,Buchungen!$D$4:$D$1003,$A7))</f>
        <v>0</v>
      </c>
      <c r="L7" s="39">
        <f>IF($A7="",0,SUMIFS(Buchungen!$F$4:$F$1003,Buchungen!$B$4:$B$1003,$B$3,Buchungen!$C$4:$C$1003,L$4,Buchungen!$D$4:$D$1003,$A7))</f>
        <v>0</v>
      </c>
      <c r="M7" s="39">
        <f>IF($A7="",0,SUMIFS(Buchungen!$F$4:$F$1003,Buchungen!$B$4:$B$1003,$B$3,Buchungen!$C$4:$C$1003,M$4,Buchungen!$D$4:$D$1003,$A7))</f>
        <v>0</v>
      </c>
      <c r="N7" s="39">
        <f>IF($A7="",0,SUMIFS(Buchungen!$F$4:$F$1003,Buchungen!$B$4:$B$1003,$B$3,Buchungen!$C$4:$C$1003,N$4,Buchungen!$D$4:$D$1003,$A7))</f>
        <v>0</v>
      </c>
      <c r="O7" s="11">
        <f t="shared" si="0"/>
        <v>0</v>
      </c>
      <c r="P7" s="11">
        <f t="shared" si="1"/>
        <v>0</v>
      </c>
      <c r="Q7" s="13">
        <f>IF(Einstellungen!$C5="",0,Einstellungen!$C5)</f>
        <v>0</v>
      </c>
      <c r="R7" s="11">
        <f t="shared" si="2"/>
        <v>0</v>
      </c>
      <c r="S7" s="11">
        <f t="shared" si="3"/>
        <v>0</v>
      </c>
    </row>
    <row r="8" spans="1:19" ht="15" customHeight="1" x14ac:dyDescent="0.25">
      <c r="A8" s="14" t="str">
        <f>IF(Einstellungen!$A6="","",Einstellungen!$A6)</f>
        <v>Sonstige Einnahmen</v>
      </c>
      <c r="B8" s="14" t="str">
        <f>IF(Einstellungen!$B6="","",Einstellungen!$B6)</f>
        <v>Einnahme</v>
      </c>
      <c r="C8" s="39">
        <f>IF($A8="",0,SUMIFS(Buchungen!$F$4:$F$1003,Buchungen!$B$4:$B$1003,$B$3,Buchungen!$C$4:$C$1003,C$4,Buchungen!$D$4:$D$1003,$A8))</f>
        <v>0</v>
      </c>
      <c r="D8" s="39">
        <f>IF($A8="",0,SUMIFS(Buchungen!$F$4:$F$1003,Buchungen!$B$4:$B$1003,$B$3,Buchungen!$C$4:$C$1003,D$4,Buchungen!$D$4:$D$1003,$A8))</f>
        <v>0</v>
      </c>
      <c r="E8" s="39">
        <f>IF($A8="",0,SUMIFS(Buchungen!$F$4:$F$1003,Buchungen!$B$4:$B$1003,$B$3,Buchungen!$C$4:$C$1003,E$4,Buchungen!$D$4:$D$1003,$A8))</f>
        <v>0</v>
      </c>
      <c r="F8" s="39">
        <f>IF($A8="",0,SUMIFS(Buchungen!$F$4:$F$1003,Buchungen!$B$4:$B$1003,$B$3,Buchungen!$C$4:$C$1003,F$4,Buchungen!$D$4:$D$1003,$A8))</f>
        <v>0</v>
      </c>
      <c r="G8" s="39">
        <f>IF($A8="",0,SUMIFS(Buchungen!$F$4:$F$1003,Buchungen!$B$4:$B$1003,$B$3,Buchungen!$C$4:$C$1003,G$4,Buchungen!$D$4:$D$1003,$A8))</f>
        <v>0</v>
      </c>
      <c r="H8" s="39">
        <f>IF($A8="",0,SUMIFS(Buchungen!$F$4:$F$1003,Buchungen!$B$4:$B$1003,$B$3,Buchungen!$C$4:$C$1003,H$4,Buchungen!$D$4:$D$1003,$A8))</f>
        <v>0</v>
      </c>
      <c r="I8" s="39">
        <f>IF($A8="",0,SUMIFS(Buchungen!$F$4:$F$1003,Buchungen!$B$4:$B$1003,$B$3,Buchungen!$C$4:$C$1003,I$4,Buchungen!$D$4:$D$1003,$A8))</f>
        <v>2647.41</v>
      </c>
      <c r="J8" s="39">
        <f>IF($A8="",0,SUMIFS(Buchungen!$F$4:$F$1003,Buchungen!$B$4:$B$1003,$B$3,Buchungen!$C$4:$C$1003,J$4,Buchungen!$D$4:$D$1003,$A8))</f>
        <v>517.66</v>
      </c>
      <c r="K8" s="39">
        <f>IF($A8="",0,SUMIFS(Buchungen!$F$4:$F$1003,Buchungen!$B$4:$B$1003,$B$3,Buchungen!$C$4:$C$1003,K$4,Buchungen!$D$4:$D$1003,$A8))</f>
        <v>0</v>
      </c>
      <c r="L8" s="39">
        <f>IF($A8="",0,SUMIFS(Buchungen!$F$4:$F$1003,Buchungen!$B$4:$B$1003,$B$3,Buchungen!$C$4:$C$1003,L$4,Buchungen!$D$4:$D$1003,$A8))</f>
        <v>0</v>
      </c>
      <c r="M8" s="39">
        <f>IF($A8="",0,SUMIFS(Buchungen!$F$4:$F$1003,Buchungen!$B$4:$B$1003,$B$3,Buchungen!$C$4:$C$1003,M$4,Buchungen!$D$4:$D$1003,$A8))</f>
        <v>0</v>
      </c>
      <c r="N8" s="39">
        <f>IF($A8="",0,SUMIFS(Buchungen!$F$4:$F$1003,Buchungen!$B$4:$B$1003,$B$3,Buchungen!$C$4:$C$1003,N$4,Buchungen!$D$4:$D$1003,$A8))</f>
        <v>0</v>
      </c>
      <c r="O8" s="11">
        <f t="shared" si="0"/>
        <v>3165.0699999999997</v>
      </c>
      <c r="P8" s="11">
        <f t="shared" si="1"/>
        <v>1582.5349999999999</v>
      </c>
      <c r="Q8" s="13">
        <f>IF(Einstellungen!$C6="",0,Einstellungen!$C6)</f>
        <v>0</v>
      </c>
      <c r="R8" s="11">
        <f t="shared" si="2"/>
        <v>-1582.5349999999999</v>
      </c>
      <c r="S8" s="11">
        <f t="shared" si="3"/>
        <v>0</v>
      </c>
    </row>
    <row r="9" spans="1:19" ht="15" customHeight="1" x14ac:dyDescent="0.25">
      <c r="A9" s="14" t="str">
        <f>IF(Einstellungen!$A7="","",Einstellungen!$A7)</f>
        <v>Miete &amp; Nebenkosten</v>
      </c>
      <c r="B9" s="14" t="str">
        <f>IF(Einstellungen!$B7="","",Einstellungen!$B7)</f>
        <v>Ausgabe</v>
      </c>
      <c r="C9" s="39">
        <f>IF($A9="",0,SUMIFS(Buchungen!$F$4:$F$1003,Buchungen!$B$4:$B$1003,$B$3,Buchungen!$C$4:$C$1003,C$4,Buchungen!$D$4:$D$1003,$A9))</f>
        <v>0</v>
      </c>
      <c r="D9" s="39">
        <f>IF($A9="",0,SUMIFS(Buchungen!$F$4:$F$1003,Buchungen!$B$4:$B$1003,$B$3,Buchungen!$C$4:$C$1003,D$4,Buchungen!$D$4:$D$1003,$A9))</f>
        <v>0</v>
      </c>
      <c r="E9" s="39">
        <f>IF($A9="",0,SUMIFS(Buchungen!$F$4:$F$1003,Buchungen!$B$4:$B$1003,$B$3,Buchungen!$C$4:$C$1003,E$4,Buchungen!$D$4:$D$1003,$A9))</f>
        <v>0</v>
      </c>
      <c r="F9" s="39">
        <f>IF($A9="",0,SUMIFS(Buchungen!$F$4:$F$1003,Buchungen!$B$4:$B$1003,$B$3,Buchungen!$C$4:$C$1003,F$4,Buchungen!$D$4:$D$1003,$A9))</f>
        <v>0</v>
      </c>
      <c r="G9" s="39">
        <f>IF($A9="",0,SUMIFS(Buchungen!$F$4:$F$1003,Buchungen!$B$4:$B$1003,$B$3,Buchungen!$C$4:$C$1003,G$4,Buchungen!$D$4:$D$1003,$A9))</f>
        <v>0</v>
      </c>
      <c r="H9" s="39">
        <f>IF($A9="",0,SUMIFS(Buchungen!$F$4:$F$1003,Buchungen!$B$4:$B$1003,$B$3,Buchungen!$C$4:$C$1003,H$4,Buchungen!$D$4:$D$1003,$A9))</f>
        <v>0</v>
      </c>
      <c r="I9" s="39">
        <f>IF($A9="",0,SUMIFS(Buchungen!$F$4:$F$1003,Buchungen!$B$4:$B$1003,$B$3,Buchungen!$C$4:$C$1003,I$4,Buchungen!$D$4:$D$1003,$A9))</f>
        <v>0</v>
      </c>
      <c r="J9" s="39">
        <f>IF($A9="",0,SUMIFS(Buchungen!$F$4:$F$1003,Buchungen!$B$4:$B$1003,$B$3,Buchungen!$C$4:$C$1003,J$4,Buchungen!$D$4:$D$1003,$A9))</f>
        <v>1540</v>
      </c>
      <c r="K9" s="39">
        <f>IF($A9="",0,SUMIFS(Buchungen!$F$4:$F$1003,Buchungen!$B$4:$B$1003,$B$3,Buchungen!$C$4:$C$1003,K$4,Buchungen!$D$4:$D$1003,$A9))</f>
        <v>0</v>
      </c>
      <c r="L9" s="39">
        <f>IF($A9="",0,SUMIFS(Buchungen!$F$4:$F$1003,Buchungen!$B$4:$B$1003,$B$3,Buchungen!$C$4:$C$1003,L$4,Buchungen!$D$4:$D$1003,$A9))</f>
        <v>0</v>
      </c>
      <c r="M9" s="39">
        <f>IF($A9="",0,SUMIFS(Buchungen!$F$4:$F$1003,Buchungen!$B$4:$B$1003,$B$3,Buchungen!$C$4:$C$1003,M$4,Buchungen!$D$4:$D$1003,$A9))</f>
        <v>0</v>
      </c>
      <c r="N9" s="39">
        <f>IF($A9="",0,SUMIFS(Buchungen!$F$4:$F$1003,Buchungen!$B$4:$B$1003,$B$3,Buchungen!$C$4:$C$1003,N$4,Buchungen!$D$4:$D$1003,$A9))</f>
        <v>0</v>
      </c>
      <c r="O9" s="11">
        <f t="shared" si="0"/>
        <v>1540</v>
      </c>
      <c r="P9" s="11">
        <f t="shared" si="1"/>
        <v>1540</v>
      </c>
      <c r="Q9" s="13">
        <f>IF(Einstellungen!$C7="",0,Einstellungen!$C7)</f>
        <v>0</v>
      </c>
      <c r="R9" s="11">
        <f t="shared" si="2"/>
        <v>-1540</v>
      </c>
      <c r="S9" s="11">
        <f t="shared" si="3"/>
        <v>1540</v>
      </c>
    </row>
    <row r="10" spans="1:19" ht="15" customHeight="1" x14ac:dyDescent="0.25">
      <c r="A10" s="14" t="str">
        <f>IF(Einstellungen!$A8="","",Einstellungen!$A8)</f>
        <v>Strom &amp; Internet</v>
      </c>
      <c r="B10" s="14" t="str">
        <f>IF(Einstellungen!$B8="","",Einstellungen!$B8)</f>
        <v>Ausgabe</v>
      </c>
      <c r="C10" s="39">
        <f>IF($A10="",0,SUMIFS(Buchungen!$F$4:$F$1003,Buchungen!$B$4:$B$1003,$B$3,Buchungen!$C$4:$C$1003,C$4,Buchungen!$D$4:$D$1003,$A10))</f>
        <v>0</v>
      </c>
      <c r="D10" s="39">
        <f>IF($A10="",0,SUMIFS(Buchungen!$F$4:$F$1003,Buchungen!$B$4:$B$1003,$B$3,Buchungen!$C$4:$C$1003,D$4,Buchungen!$D$4:$D$1003,$A10))</f>
        <v>0</v>
      </c>
      <c r="E10" s="39">
        <f>IF($A10="",0,SUMIFS(Buchungen!$F$4:$F$1003,Buchungen!$B$4:$B$1003,$B$3,Buchungen!$C$4:$C$1003,E$4,Buchungen!$D$4:$D$1003,$A10))</f>
        <v>0</v>
      </c>
      <c r="F10" s="39">
        <f>IF($A10="",0,SUMIFS(Buchungen!$F$4:$F$1003,Buchungen!$B$4:$B$1003,$B$3,Buchungen!$C$4:$C$1003,F$4,Buchungen!$D$4:$D$1003,$A10))</f>
        <v>0</v>
      </c>
      <c r="G10" s="39">
        <f>IF($A10="",0,SUMIFS(Buchungen!$F$4:$F$1003,Buchungen!$B$4:$B$1003,$B$3,Buchungen!$C$4:$C$1003,G$4,Buchungen!$D$4:$D$1003,$A10))</f>
        <v>0</v>
      </c>
      <c r="H10" s="39">
        <f>IF($A10="",0,SUMIFS(Buchungen!$F$4:$F$1003,Buchungen!$B$4:$B$1003,$B$3,Buchungen!$C$4:$C$1003,H$4,Buchungen!$D$4:$D$1003,$A10))</f>
        <v>0</v>
      </c>
      <c r="I10" s="39">
        <f>IF($A10="",0,SUMIFS(Buchungen!$F$4:$F$1003,Buchungen!$B$4:$B$1003,$B$3,Buchungen!$C$4:$C$1003,I$4,Buchungen!$D$4:$D$1003,$A10))</f>
        <v>300</v>
      </c>
      <c r="J10" s="39">
        <f>IF($A10="",0,SUMIFS(Buchungen!$F$4:$F$1003,Buchungen!$B$4:$B$1003,$B$3,Buchungen!$C$4:$C$1003,J$4,Buchungen!$D$4:$D$1003,$A10))</f>
        <v>237.27</v>
      </c>
      <c r="K10" s="39">
        <f>IF($A10="",0,SUMIFS(Buchungen!$F$4:$F$1003,Buchungen!$B$4:$B$1003,$B$3,Buchungen!$C$4:$C$1003,K$4,Buchungen!$D$4:$D$1003,$A10))</f>
        <v>0</v>
      </c>
      <c r="L10" s="39">
        <f>IF($A10="",0,SUMIFS(Buchungen!$F$4:$F$1003,Buchungen!$B$4:$B$1003,$B$3,Buchungen!$C$4:$C$1003,L$4,Buchungen!$D$4:$D$1003,$A10))</f>
        <v>0</v>
      </c>
      <c r="M10" s="39">
        <f>IF($A10="",0,SUMIFS(Buchungen!$F$4:$F$1003,Buchungen!$B$4:$B$1003,$B$3,Buchungen!$C$4:$C$1003,M$4,Buchungen!$D$4:$D$1003,$A10))</f>
        <v>0</v>
      </c>
      <c r="N10" s="39">
        <f>IF($A10="",0,SUMIFS(Buchungen!$F$4:$F$1003,Buchungen!$B$4:$B$1003,$B$3,Buchungen!$C$4:$C$1003,N$4,Buchungen!$D$4:$D$1003,$A10))</f>
        <v>0</v>
      </c>
      <c r="O10" s="11">
        <f t="shared" si="0"/>
        <v>537.27</v>
      </c>
      <c r="P10" s="11">
        <f t="shared" si="1"/>
        <v>268.63499999999999</v>
      </c>
      <c r="Q10" s="13">
        <f>IF(Einstellungen!$C8="",0,Einstellungen!$C8)</f>
        <v>0</v>
      </c>
      <c r="R10" s="11">
        <f t="shared" si="2"/>
        <v>-268.63499999999999</v>
      </c>
      <c r="S10" s="11">
        <f t="shared" si="3"/>
        <v>537.27</v>
      </c>
    </row>
    <row r="11" spans="1:19" ht="15" customHeight="1" x14ac:dyDescent="0.25">
      <c r="A11" s="14" t="str">
        <f>IF(Einstellungen!$A9="","",Einstellungen!$A9)</f>
        <v>Versicherungen</v>
      </c>
      <c r="B11" s="14" t="str">
        <f>IF(Einstellungen!$B9="","",Einstellungen!$B9)</f>
        <v>Ausgabe</v>
      </c>
      <c r="C11" s="39">
        <f>IF($A11="",0,SUMIFS(Buchungen!$F$4:$F$1003,Buchungen!$B$4:$B$1003,$B$3,Buchungen!$C$4:$C$1003,C$4,Buchungen!$D$4:$D$1003,$A11))</f>
        <v>0</v>
      </c>
      <c r="D11" s="39">
        <f>IF($A11="",0,SUMIFS(Buchungen!$F$4:$F$1003,Buchungen!$B$4:$B$1003,$B$3,Buchungen!$C$4:$C$1003,D$4,Buchungen!$D$4:$D$1003,$A11))</f>
        <v>0</v>
      </c>
      <c r="E11" s="39">
        <f>IF($A11="",0,SUMIFS(Buchungen!$F$4:$F$1003,Buchungen!$B$4:$B$1003,$B$3,Buchungen!$C$4:$C$1003,E$4,Buchungen!$D$4:$D$1003,$A11))</f>
        <v>0</v>
      </c>
      <c r="F11" s="39">
        <f>IF($A11="",0,SUMIFS(Buchungen!$F$4:$F$1003,Buchungen!$B$4:$B$1003,$B$3,Buchungen!$C$4:$C$1003,F$4,Buchungen!$D$4:$D$1003,$A11))</f>
        <v>0</v>
      </c>
      <c r="G11" s="39">
        <f>IF($A11="",0,SUMIFS(Buchungen!$F$4:$F$1003,Buchungen!$B$4:$B$1003,$B$3,Buchungen!$C$4:$C$1003,G$4,Buchungen!$D$4:$D$1003,$A11))</f>
        <v>0</v>
      </c>
      <c r="H11" s="39">
        <f>IF($A11="",0,SUMIFS(Buchungen!$F$4:$F$1003,Buchungen!$B$4:$B$1003,$B$3,Buchungen!$C$4:$C$1003,H$4,Buchungen!$D$4:$D$1003,$A11))</f>
        <v>0</v>
      </c>
      <c r="I11" s="39">
        <f>IF($A11="",0,SUMIFS(Buchungen!$F$4:$F$1003,Buchungen!$B$4:$B$1003,$B$3,Buchungen!$C$4:$C$1003,I$4,Buchungen!$D$4:$D$1003,$A11))</f>
        <v>2.46</v>
      </c>
      <c r="J11" s="39">
        <f>IF($A11="",0,SUMIFS(Buchungen!$F$4:$F$1003,Buchungen!$B$4:$B$1003,$B$3,Buchungen!$C$4:$C$1003,J$4,Buchungen!$D$4:$D$1003,$A11))</f>
        <v>226.42</v>
      </c>
      <c r="K11" s="39">
        <f>IF($A11="",0,SUMIFS(Buchungen!$F$4:$F$1003,Buchungen!$B$4:$B$1003,$B$3,Buchungen!$C$4:$C$1003,K$4,Buchungen!$D$4:$D$1003,$A11))</f>
        <v>0</v>
      </c>
      <c r="L11" s="39">
        <f>IF($A11="",0,SUMIFS(Buchungen!$F$4:$F$1003,Buchungen!$B$4:$B$1003,$B$3,Buchungen!$C$4:$C$1003,L$4,Buchungen!$D$4:$D$1003,$A11))</f>
        <v>0</v>
      </c>
      <c r="M11" s="39">
        <f>IF($A11="",0,SUMIFS(Buchungen!$F$4:$F$1003,Buchungen!$B$4:$B$1003,$B$3,Buchungen!$C$4:$C$1003,M$4,Buchungen!$D$4:$D$1003,$A11))</f>
        <v>0</v>
      </c>
      <c r="N11" s="39">
        <f>IF($A11="",0,SUMIFS(Buchungen!$F$4:$F$1003,Buchungen!$B$4:$B$1003,$B$3,Buchungen!$C$4:$C$1003,N$4,Buchungen!$D$4:$D$1003,$A11))</f>
        <v>0</v>
      </c>
      <c r="O11" s="11">
        <f t="shared" si="0"/>
        <v>228.88</v>
      </c>
      <c r="P11" s="11">
        <f t="shared" si="1"/>
        <v>114.44</v>
      </c>
      <c r="Q11" s="13">
        <f>IF(Einstellungen!$C9="",0,Einstellungen!$C9)</f>
        <v>0</v>
      </c>
      <c r="R11" s="11">
        <f t="shared" si="2"/>
        <v>-114.44</v>
      </c>
      <c r="S11" s="11">
        <f t="shared" si="3"/>
        <v>228.88</v>
      </c>
    </row>
    <row r="12" spans="1:19" ht="15" customHeight="1" x14ac:dyDescent="0.25">
      <c r="A12" s="14" t="str">
        <f>IF(Einstellungen!$A10="","",Einstellungen!$A10)</f>
        <v>Lebensmittel</v>
      </c>
      <c r="B12" s="14" t="str">
        <f>IF(Einstellungen!$B10="","",Einstellungen!$B10)</f>
        <v>Ausgabe</v>
      </c>
      <c r="C12" s="39">
        <f>IF($A12="",0,SUMIFS(Buchungen!$F$4:$F$1003,Buchungen!$B$4:$B$1003,$B$3,Buchungen!$C$4:$C$1003,C$4,Buchungen!$D$4:$D$1003,$A12))</f>
        <v>42.5</v>
      </c>
      <c r="D12" s="39">
        <f>IF($A12="",0,SUMIFS(Buchungen!$F$4:$F$1003,Buchungen!$B$4:$B$1003,$B$3,Buchungen!$C$4:$C$1003,D$4,Buchungen!$D$4:$D$1003,$A12))</f>
        <v>0</v>
      </c>
      <c r="E12" s="39">
        <f>IF($A12="",0,SUMIFS(Buchungen!$F$4:$F$1003,Buchungen!$B$4:$B$1003,$B$3,Buchungen!$C$4:$C$1003,E$4,Buchungen!$D$4:$D$1003,$A12))</f>
        <v>0</v>
      </c>
      <c r="F12" s="39">
        <f>IF($A12="",0,SUMIFS(Buchungen!$F$4:$F$1003,Buchungen!$B$4:$B$1003,$B$3,Buchungen!$C$4:$C$1003,F$4,Buchungen!$D$4:$D$1003,$A12))</f>
        <v>0</v>
      </c>
      <c r="G12" s="39">
        <f>IF($A12="",0,SUMIFS(Buchungen!$F$4:$F$1003,Buchungen!$B$4:$B$1003,$B$3,Buchungen!$C$4:$C$1003,G$4,Buchungen!$D$4:$D$1003,$A12))</f>
        <v>0</v>
      </c>
      <c r="H12" s="39">
        <f>IF($A12="",0,SUMIFS(Buchungen!$F$4:$F$1003,Buchungen!$B$4:$B$1003,$B$3,Buchungen!$C$4:$C$1003,H$4,Buchungen!$D$4:$D$1003,$A12))</f>
        <v>0</v>
      </c>
      <c r="I12" s="39">
        <f>IF($A12="",0,SUMIFS(Buchungen!$F$4:$F$1003,Buchungen!$B$4:$B$1003,$B$3,Buchungen!$C$4:$C$1003,I$4,Buchungen!$D$4:$D$1003,$A12))</f>
        <v>19.87</v>
      </c>
      <c r="J12" s="39">
        <f>IF($A12="",0,SUMIFS(Buchungen!$F$4:$F$1003,Buchungen!$B$4:$B$1003,$B$3,Buchungen!$C$4:$C$1003,J$4,Buchungen!$D$4:$D$1003,$A12))</f>
        <v>29.58</v>
      </c>
      <c r="K12" s="39">
        <f>IF($A12="",0,SUMIFS(Buchungen!$F$4:$F$1003,Buchungen!$B$4:$B$1003,$B$3,Buchungen!$C$4:$C$1003,K$4,Buchungen!$D$4:$D$1003,$A12))</f>
        <v>0</v>
      </c>
      <c r="L12" s="39">
        <f>IF($A12="",0,SUMIFS(Buchungen!$F$4:$F$1003,Buchungen!$B$4:$B$1003,$B$3,Buchungen!$C$4:$C$1003,L$4,Buchungen!$D$4:$D$1003,$A12))</f>
        <v>0</v>
      </c>
      <c r="M12" s="39">
        <f>IF($A12="",0,SUMIFS(Buchungen!$F$4:$F$1003,Buchungen!$B$4:$B$1003,$B$3,Buchungen!$C$4:$C$1003,M$4,Buchungen!$D$4:$D$1003,$A12))</f>
        <v>0</v>
      </c>
      <c r="N12" s="39">
        <f>IF($A12="",0,SUMIFS(Buchungen!$F$4:$F$1003,Buchungen!$B$4:$B$1003,$B$3,Buchungen!$C$4:$C$1003,N$4,Buchungen!$D$4:$D$1003,$A12))</f>
        <v>0</v>
      </c>
      <c r="O12" s="11">
        <f t="shared" si="0"/>
        <v>91.95</v>
      </c>
      <c r="P12" s="11">
        <f t="shared" si="1"/>
        <v>30.650000000000002</v>
      </c>
      <c r="Q12" s="13">
        <f>IF(Einstellungen!$C10="",0,Einstellungen!$C10)</f>
        <v>0</v>
      </c>
      <c r="R12" s="11">
        <f t="shared" si="2"/>
        <v>-30.650000000000002</v>
      </c>
      <c r="S12" s="11">
        <f t="shared" si="3"/>
        <v>91.95</v>
      </c>
    </row>
    <row r="13" spans="1:19" ht="15" customHeight="1" x14ac:dyDescent="0.25">
      <c r="A13" s="14" t="str">
        <f>IF(Einstellungen!$A11="","",Einstellungen!$A11)</f>
        <v>Restaurant &amp; Lieferdienst</v>
      </c>
      <c r="B13" s="14" t="str">
        <f>IF(Einstellungen!$B11="","",Einstellungen!$B11)</f>
        <v>Ausgabe</v>
      </c>
      <c r="C13" s="39">
        <f>IF($A13="",0,SUMIFS(Buchungen!$F$4:$F$1003,Buchungen!$B$4:$B$1003,$B$3,Buchungen!$C$4:$C$1003,C$4,Buchungen!$D$4:$D$1003,$A13))</f>
        <v>0</v>
      </c>
      <c r="D13" s="39">
        <f>IF($A13="",0,SUMIFS(Buchungen!$F$4:$F$1003,Buchungen!$B$4:$B$1003,$B$3,Buchungen!$C$4:$C$1003,D$4,Buchungen!$D$4:$D$1003,$A13))</f>
        <v>0</v>
      </c>
      <c r="E13" s="39">
        <f>IF($A13="",0,SUMIFS(Buchungen!$F$4:$F$1003,Buchungen!$B$4:$B$1003,$B$3,Buchungen!$C$4:$C$1003,E$4,Buchungen!$D$4:$D$1003,$A13))</f>
        <v>0</v>
      </c>
      <c r="F13" s="39">
        <f>IF($A13="",0,SUMIFS(Buchungen!$F$4:$F$1003,Buchungen!$B$4:$B$1003,$B$3,Buchungen!$C$4:$C$1003,F$4,Buchungen!$D$4:$D$1003,$A13))</f>
        <v>0</v>
      </c>
      <c r="G13" s="39">
        <f>IF($A13="",0,SUMIFS(Buchungen!$F$4:$F$1003,Buchungen!$B$4:$B$1003,$B$3,Buchungen!$C$4:$C$1003,G$4,Buchungen!$D$4:$D$1003,$A13))</f>
        <v>0</v>
      </c>
      <c r="H13" s="39">
        <f>IF($A13="",0,SUMIFS(Buchungen!$F$4:$F$1003,Buchungen!$B$4:$B$1003,$B$3,Buchungen!$C$4:$C$1003,H$4,Buchungen!$D$4:$D$1003,$A13))</f>
        <v>0</v>
      </c>
      <c r="I13" s="39">
        <f>IF($A13="",0,SUMIFS(Buchungen!$F$4:$F$1003,Buchungen!$B$4:$B$1003,$B$3,Buchungen!$C$4:$C$1003,I$4,Buchungen!$D$4:$D$1003,$A13))</f>
        <v>146.86999999999998</v>
      </c>
      <c r="J13" s="39">
        <f>IF($A13="",0,SUMIFS(Buchungen!$F$4:$F$1003,Buchungen!$B$4:$B$1003,$B$3,Buchungen!$C$4:$C$1003,J$4,Buchungen!$D$4:$D$1003,$A13))</f>
        <v>23.79</v>
      </c>
      <c r="K13" s="39">
        <f>IF($A13="",0,SUMIFS(Buchungen!$F$4:$F$1003,Buchungen!$B$4:$B$1003,$B$3,Buchungen!$C$4:$C$1003,K$4,Buchungen!$D$4:$D$1003,$A13))</f>
        <v>0</v>
      </c>
      <c r="L13" s="39">
        <f>IF($A13="",0,SUMIFS(Buchungen!$F$4:$F$1003,Buchungen!$B$4:$B$1003,$B$3,Buchungen!$C$4:$C$1003,L$4,Buchungen!$D$4:$D$1003,$A13))</f>
        <v>0</v>
      </c>
      <c r="M13" s="39">
        <f>IF($A13="",0,SUMIFS(Buchungen!$F$4:$F$1003,Buchungen!$B$4:$B$1003,$B$3,Buchungen!$C$4:$C$1003,M$4,Buchungen!$D$4:$D$1003,$A13))</f>
        <v>0</v>
      </c>
      <c r="N13" s="39">
        <f>IF($A13="",0,SUMIFS(Buchungen!$F$4:$F$1003,Buchungen!$B$4:$B$1003,$B$3,Buchungen!$C$4:$C$1003,N$4,Buchungen!$D$4:$D$1003,$A13))</f>
        <v>0</v>
      </c>
      <c r="O13" s="11">
        <f t="shared" si="0"/>
        <v>170.65999999999997</v>
      </c>
      <c r="P13" s="11">
        <f t="shared" si="1"/>
        <v>85.329999999999984</v>
      </c>
      <c r="Q13" s="13">
        <f>IF(Einstellungen!$C11="",0,Einstellungen!$C11)</f>
        <v>0</v>
      </c>
      <c r="R13" s="11">
        <f t="shared" si="2"/>
        <v>-85.329999999999984</v>
      </c>
      <c r="S13" s="11">
        <f t="shared" si="3"/>
        <v>170.65999999999997</v>
      </c>
    </row>
    <row r="14" spans="1:19" ht="15" customHeight="1" x14ac:dyDescent="0.25">
      <c r="A14" s="14" t="str">
        <f>IF(Einstellungen!$A12="","",Einstellungen!$A12)</f>
        <v>Mobilität &amp; Auto</v>
      </c>
      <c r="B14" s="14" t="str">
        <f>IF(Einstellungen!$B12="","",Einstellungen!$B12)</f>
        <v>Ausgabe</v>
      </c>
      <c r="C14" s="39">
        <f>IF($A14="",0,SUMIFS(Buchungen!$F$4:$F$1003,Buchungen!$B$4:$B$1003,$B$3,Buchungen!$C$4:$C$1003,C$4,Buchungen!$D$4:$D$1003,$A14))</f>
        <v>0</v>
      </c>
      <c r="D14" s="39">
        <f>IF($A14="",0,SUMIFS(Buchungen!$F$4:$F$1003,Buchungen!$B$4:$B$1003,$B$3,Buchungen!$C$4:$C$1003,D$4,Buchungen!$D$4:$D$1003,$A14))</f>
        <v>0</v>
      </c>
      <c r="E14" s="39">
        <f>IF($A14="",0,SUMIFS(Buchungen!$F$4:$F$1003,Buchungen!$B$4:$B$1003,$B$3,Buchungen!$C$4:$C$1003,E$4,Buchungen!$D$4:$D$1003,$A14))</f>
        <v>0</v>
      </c>
      <c r="F14" s="39">
        <f>IF($A14="",0,SUMIFS(Buchungen!$F$4:$F$1003,Buchungen!$B$4:$B$1003,$B$3,Buchungen!$C$4:$C$1003,F$4,Buchungen!$D$4:$D$1003,$A14))</f>
        <v>0</v>
      </c>
      <c r="G14" s="39">
        <f>IF($A14="",0,SUMIFS(Buchungen!$F$4:$F$1003,Buchungen!$B$4:$B$1003,$B$3,Buchungen!$C$4:$C$1003,G$4,Buchungen!$D$4:$D$1003,$A14))</f>
        <v>0</v>
      </c>
      <c r="H14" s="39">
        <f>IF($A14="",0,SUMIFS(Buchungen!$F$4:$F$1003,Buchungen!$B$4:$B$1003,$B$3,Buchungen!$C$4:$C$1003,H$4,Buchungen!$D$4:$D$1003,$A14))</f>
        <v>0</v>
      </c>
      <c r="I14" s="39">
        <f>IF($A14="",0,SUMIFS(Buchungen!$F$4:$F$1003,Buchungen!$B$4:$B$1003,$B$3,Buchungen!$C$4:$C$1003,I$4,Buchungen!$D$4:$D$1003,$A14))</f>
        <v>0</v>
      </c>
      <c r="J14" s="39">
        <f>IF($A14="",0,SUMIFS(Buchungen!$F$4:$F$1003,Buchungen!$B$4:$B$1003,$B$3,Buchungen!$C$4:$C$1003,J$4,Buchungen!$D$4:$D$1003,$A14))</f>
        <v>0</v>
      </c>
      <c r="K14" s="39">
        <f>IF($A14="",0,SUMIFS(Buchungen!$F$4:$F$1003,Buchungen!$B$4:$B$1003,$B$3,Buchungen!$C$4:$C$1003,K$4,Buchungen!$D$4:$D$1003,$A14))</f>
        <v>0</v>
      </c>
      <c r="L14" s="39">
        <f>IF($A14="",0,SUMIFS(Buchungen!$F$4:$F$1003,Buchungen!$B$4:$B$1003,$B$3,Buchungen!$C$4:$C$1003,L$4,Buchungen!$D$4:$D$1003,$A14))</f>
        <v>0</v>
      </c>
      <c r="M14" s="39">
        <f>IF($A14="",0,SUMIFS(Buchungen!$F$4:$F$1003,Buchungen!$B$4:$B$1003,$B$3,Buchungen!$C$4:$C$1003,M$4,Buchungen!$D$4:$D$1003,$A14))</f>
        <v>0</v>
      </c>
      <c r="N14" s="39">
        <f>IF($A14="",0,SUMIFS(Buchungen!$F$4:$F$1003,Buchungen!$B$4:$B$1003,$B$3,Buchungen!$C$4:$C$1003,N$4,Buchungen!$D$4:$D$1003,$A14))</f>
        <v>0</v>
      </c>
      <c r="O14" s="11">
        <f t="shared" si="0"/>
        <v>0</v>
      </c>
      <c r="P14" s="11">
        <f t="shared" si="1"/>
        <v>0</v>
      </c>
      <c r="Q14" s="13">
        <f>IF(Einstellungen!$C12="",0,Einstellungen!$C12)</f>
        <v>0</v>
      </c>
      <c r="R14" s="11">
        <f t="shared" si="2"/>
        <v>0</v>
      </c>
      <c r="S14" s="11">
        <f t="shared" si="3"/>
        <v>0</v>
      </c>
    </row>
    <row r="15" spans="1:19" ht="15" customHeight="1" x14ac:dyDescent="0.25">
      <c r="A15" s="14" t="str">
        <f>IF(Einstellungen!$A13="","",Einstellungen!$A13)</f>
        <v>Gesundheit &amp; Drogerie</v>
      </c>
      <c r="B15" s="14" t="str">
        <f>IF(Einstellungen!$B13="","",Einstellungen!$B13)</f>
        <v>Ausgabe</v>
      </c>
      <c r="C15" s="39">
        <f>IF($A15="",0,SUMIFS(Buchungen!$F$4:$F$1003,Buchungen!$B$4:$B$1003,$B$3,Buchungen!$C$4:$C$1003,C$4,Buchungen!$D$4:$D$1003,$A15))</f>
        <v>0</v>
      </c>
      <c r="D15" s="39">
        <f>IF($A15="",0,SUMIFS(Buchungen!$F$4:$F$1003,Buchungen!$B$4:$B$1003,$B$3,Buchungen!$C$4:$C$1003,D$4,Buchungen!$D$4:$D$1003,$A15))</f>
        <v>0</v>
      </c>
      <c r="E15" s="39">
        <f>IF($A15="",0,SUMIFS(Buchungen!$F$4:$F$1003,Buchungen!$B$4:$B$1003,$B$3,Buchungen!$C$4:$C$1003,E$4,Buchungen!$D$4:$D$1003,$A15))</f>
        <v>0</v>
      </c>
      <c r="F15" s="39">
        <f>IF($A15="",0,SUMIFS(Buchungen!$F$4:$F$1003,Buchungen!$B$4:$B$1003,$B$3,Buchungen!$C$4:$C$1003,F$4,Buchungen!$D$4:$D$1003,$A15))</f>
        <v>0</v>
      </c>
      <c r="G15" s="39">
        <f>IF($A15="",0,SUMIFS(Buchungen!$F$4:$F$1003,Buchungen!$B$4:$B$1003,$B$3,Buchungen!$C$4:$C$1003,G$4,Buchungen!$D$4:$D$1003,$A15))</f>
        <v>0</v>
      </c>
      <c r="H15" s="39">
        <f>IF($A15="",0,SUMIFS(Buchungen!$F$4:$F$1003,Buchungen!$B$4:$B$1003,$B$3,Buchungen!$C$4:$C$1003,H$4,Buchungen!$D$4:$D$1003,$A15))</f>
        <v>0</v>
      </c>
      <c r="I15" s="39">
        <f>IF($A15="",0,SUMIFS(Buchungen!$F$4:$F$1003,Buchungen!$B$4:$B$1003,$B$3,Buchungen!$C$4:$C$1003,I$4,Buchungen!$D$4:$D$1003,$A15))</f>
        <v>0</v>
      </c>
      <c r="J15" s="39">
        <f>IF($A15="",0,SUMIFS(Buchungen!$F$4:$F$1003,Buchungen!$B$4:$B$1003,$B$3,Buchungen!$C$4:$C$1003,J$4,Buchungen!$D$4:$D$1003,$A15))</f>
        <v>5</v>
      </c>
      <c r="K15" s="39">
        <f>IF($A15="",0,SUMIFS(Buchungen!$F$4:$F$1003,Buchungen!$B$4:$B$1003,$B$3,Buchungen!$C$4:$C$1003,K$4,Buchungen!$D$4:$D$1003,$A15))</f>
        <v>0</v>
      </c>
      <c r="L15" s="39">
        <f>IF($A15="",0,SUMIFS(Buchungen!$F$4:$F$1003,Buchungen!$B$4:$B$1003,$B$3,Buchungen!$C$4:$C$1003,L$4,Buchungen!$D$4:$D$1003,$A15))</f>
        <v>0</v>
      </c>
      <c r="M15" s="39">
        <f>IF($A15="",0,SUMIFS(Buchungen!$F$4:$F$1003,Buchungen!$B$4:$B$1003,$B$3,Buchungen!$C$4:$C$1003,M$4,Buchungen!$D$4:$D$1003,$A15))</f>
        <v>0</v>
      </c>
      <c r="N15" s="39">
        <f>IF($A15="",0,SUMIFS(Buchungen!$F$4:$F$1003,Buchungen!$B$4:$B$1003,$B$3,Buchungen!$C$4:$C$1003,N$4,Buchungen!$D$4:$D$1003,$A15))</f>
        <v>0</v>
      </c>
      <c r="O15" s="11">
        <f t="shared" si="0"/>
        <v>5</v>
      </c>
      <c r="P15" s="11">
        <f t="shared" si="1"/>
        <v>5</v>
      </c>
      <c r="Q15" s="13">
        <f>IF(Einstellungen!$C13="",0,Einstellungen!$C13)</f>
        <v>0</v>
      </c>
      <c r="R15" s="11">
        <f t="shared" si="2"/>
        <v>-5</v>
      </c>
      <c r="S15" s="11">
        <f t="shared" si="3"/>
        <v>5</v>
      </c>
    </row>
    <row r="16" spans="1:19" ht="15" customHeight="1" x14ac:dyDescent="0.25">
      <c r="A16" s="14" t="str">
        <f>IF(Einstellungen!$A14="","",Einstellungen!$A14)</f>
        <v>Sport &amp; Freizeit</v>
      </c>
      <c r="B16" s="14" t="str">
        <f>IF(Einstellungen!$B14="","",Einstellungen!$B14)</f>
        <v>Ausgabe</v>
      </c>
      <c r="C16" s="39">
        <f>IF($A16="",0,SUMIFS(Buchungen!$F$4:$F$1003,Buchungen!$B$4:$B$1003,$B$3,Buchungen!$C$4:$C$1003,C$4,Buchungen!$D$4:$D$1003,$A16))</f>
        <v>0</v>
      </c>
      <c r="D16" s="39">
        <f>IF($A16="",0,SUMIFS(Buchungen!$F$4:$F$1003,Buchungen!$B$4:$B$1003,$B$3,Buchungen!$C$4:$C$1003,D$4,Buchungen!$D$4:$D$1003,$A16))</f>
        <v>0</v>
      </c>
      <c r="E16" s="39">
        <f>IF($A16="",0,SUMIFS(Buchungen!$F$4:$F$1003,Buchungen!$B$4:$B$1003,$B$3,Buchungen!$C$4:$C$1003,E$4,Buchungen!$D$4:$D$1003,$A16))</f>
        <v>0</v>
      </c>
      <c r="F16" s="39">
        <f>IF($A16="",0,SUMIFS(Buchungen!$F$4:$F$1003,Buchungen!$B$4:$B$1003,$B$3,Buchungen!$C$4:$C$1003,F$4,Buchungen!$D$4:$D$1003,$A16))</f>
        <v>0</v>
      </c>
      <c r="G16" s="39">
        <f>IF($A16="",0,SUMIFS(Buchungen!$F$4:$F$1003,Buchungen!$B$4:$B$1003,$B$3,Buchungen!$C$4:$C$1003,G$4,Buchungen!$D$4:$D$1003,$A16))</f>
        <v>0</v>
      </c>
      <c r="H16" s="39">
        <f>IF($A16="",0,SUMIFS(Buchungen!$F$4:$F$1003,Buchungen!$B$4:$B$1003,$B$3,Buchungen!$C$4:$C$1003,H$4,Buchungen!$D$4:$D$1003,$A16))</f>
        <v>0</v>
      </c>
      <c r="I16" s="39">
        <f>IF($A16="",0,SUMIFS(Buchungen!$F$4:$F$1003,Buchungen!$B$4:$B$1003,$B$3,Buchungen!$C$4:$C$1003,I$4,Buchungen!$D$4:$D$1003,$A16))</f>
        <v>0</v>
      </c>
      <c r="J16" s="39">
        <f>IF($A16="",0,SUMIFS(Buchungen!$F$4:$F$1003,Buchungen!$B$4:$B$1003,$B$3,Buchungen!$C$4:$C$1003,J$4,Buchungen!$D$4:$D$1003,$A16))</f>
        <v>0</v>
      </c>
      <c r="K16" s="39">
        <f>IF($A16="",0,SUMIFS(Buchungen!$F$4:$F$1003,Buchungen!$B$4:$B$1003,$B$3,Buchungen!$C$4:$C$1003,K$4,Buchungen!$D$4:$D$1003,$A16))</f>
        <v>0</v>
      </c>
      <c r="L16" s="39">
        <f>IF($A16="",0,SUMIFS(Buchungen!$F$4:$F$1003,Buchungen!$B$4:$B$1003,$B$3,Buchungen!$C$4:$C$1003,L$4,Buchungen!$D$4:$D$1003,$A16))</f>
        <v>0</v>
      </c>
      <c r="M16" s="39">
        <f>IF($A16="",0,SUMIFS(Buchungen!$F$4:$F$1003,Buchungen!$B$4:$B$1003,$B$3,Buchungen!$C$4:$C$1003,M$4,Buchungen!$D$4:$D$1003,$A16))</f>
        <v>0</v>
      </c>
      <c r="N16" s="39">
        <f>IF($A16="",0,SUMIFS(Buchungen!$F$4:$F$1003,Buchungen!$B$4:$B$1003,$B$3,Buchungen!$C$4:$C$1003,N$4,Buchungen!$D$4:$D$1003,$A16))</f>
        <v>0</v>
      </c>
      <c r="O16" s="11">
        <f t="shared" si="0"/>
        <v>0</v>
      </c>
      <c r="P16" s="11">
        <f t="shared" si="1"/>
        <v>0</v>
      </c>
      <c r="Q16" s="13">
        <f>IF(Einstellungen!$C14="",0,Einstellungen!$C14)</f>
        <v>0</v>
      </c>
      <c r="R16" s="11">
        <f t="shared" si="2"/>
        <v>0</v>
      </c>
      <c r="S16" s="11">
        <f t="shared" si="3"/>
        <v>0</v>
      </c>
    </row>
    <row r="17" spans="1:19" ht="15" customHeight="1" x14ac:dyDescent="0.25">
      <c r="A17" s="14" t="str">
        <f>IF(Einstellungen!$A15="","",Einstellungen!$A15)</f>
        <v>Kleidung</v>
      </c>
      <c r="B17" s="14" t="str">
        <f>IF(Einstellungen!$B15="","",Einstellungen!$B15)</f>
        <v>Ausgabe</v>
      </c>
      <c r="C17" s="39">
        <f>IF($A17="",0,SUMIFS(Buchungen!$F$4:$F$1003,Buchungen!$B$4:$B$1003,$B$3,Buchungen!$C$4:$C$1003,C$4,Buchungen!$D$4:$D$1003,$A17))</f>
        <v>0</v>
      </c>
      <c r="D17" s="39">
        <f>IF($A17="",0,SUMIFS(Buchungen!$F$4:$F$1003,Buchungen!$B$4:$B$1003,$B$3,Buchungen!$C$4:$C$1003,D$4,Buchungen!$D$4:$D$1003,$A17))</f>
        <v>0</v>
      </c>
      <c r="E17" s="39">
        <f>IF($A17="",0,SUMIFS(Buchungen!$F$4:$F$1003,Buchungen!$B$4:$B$1003,$B$3,Buchungen!$C$4:$C$1003,E$4,Buchungen!$D$4:$D$1003,$A17))</f>
        <v>0</v>
      </c>
      <c r="F17" s="39">
        <f>IF($A17="",0,SUMIFS(Buchungen!$F$4:$F$1003,Buchungen!$B$4:$B$1003,$B$3,Buchungen!$C$4:$C$1003,F$4,Buchungen!$D$4:$D$1003,$A17))</f>
        <v>0</v>
      </c>
      <c r="G17" s="39">
        <f>IF($A17="",0,SUMIFS(Buchungen!$F$4:$F$1003,Buchungen!$B$4:$B$1003,$B$3,Buchungen!$C$4:$C$1003,G$4,Buchungen!$D$4:$D$1003,$A17))</f>
        <v>0</v>
      </c>
      <c r="H17" s="39">
        <f>IF($A17="",0,SUMIFS(Buchungen!$F$4:$F$1003,Buchungen!$B$4:$B$1003,$B$3,Buchungen!$C$4:$C$1003,H$4,Buchungen!$D$4:$D$1003,$A17))</f>
        <v>0</v>
      </c>
      <c r="I17" s="39">
        <f>IF($A17="",0,SUMIFS(Buchungen!$F$4:$F$1003,Buchungen!$B$4:$B$1003,$B$3,Buchungen!$C$4:$C$1003,I$4,Buchungen!$D$4:$D$1003,$A17))</f>
        <v>0</v>
      </c>
      <c r="J17" s="39">
        <f>IF($A17="",0,SUMIFS(Buchungen!$F$4:$F$1003,Buchungen!$B$4:$B$1003,$B$3,Buchungen!$C$4:$C$1003,J$4,Buchungen!$D$4:$D$1003,$A17))</f>
        <v>0</v>
      </c>
      <c r="K17" s="39">
        <f>IF($A17="",0,SUMIFS(Buchungen!$F$4:$F$1003,Buchungen!$B$4:$B$1003,$B$3,Buchungen!$C$4:$C$1003,K$4,Buchungen!$D$4:$D$1003,$A17))</f>
        <v>0</v>
      </c>
      <c r="L17" s="39">
        <f>IF($A17="",0,SUMIFS(Buchungen!$F$4:$F$1003,Buchungen!$B$4:$B$1003,$B$3,Buchungen!$C$4:$C$1003,L$4,Buchungen!$D$4:$D$1003,$A17))</f>
        <v>0</v>
      </c>
      <c r="M17" s="39">
        <f>IF($A17="",0,SUMIFS(Buchungen!$F$4:$F$1003,Buchungen!$B$4:$B$1003,$B$3,Buchungen!$C$4:$C$1003,M$4,Buchungen!$D$4:$D$1003,$A17))</f>
        <v>0</v>
      </c>
      <c r="N17" s="39">
        <f>IF($A17="",0,SUMIFS(Buchungen!$F$4:$F$1003,Buchungen!$B$4:$B$1003,$B$3,Buchungen!$C$4:$C$1003,N$4,Buchungen!$D$4:$D$1003,$A17))</f>
        <v>0</v>
      </c>
      <c r="O17" s="11">
        <f t="shared" si="0"/>
        <v>0</v>
      </c>
      <c r="P17" s="11">
        <f t="shared" si="1"/>
        <v>0</v>
      </c>
      <c r="Q17" s="13">
        <f>IF(Einstellungen!$C15="",0,Einstellungen!$C15)</f>
        <v>0</v>
      </c>
      <c r="R17" s="11">
        <f t="shared" si="2"/>
        <v>0</v>
      </c>
      <c r="S17" s="11">
        <f t="shared" si="3"/>
        <v>0</v>
      </c>
    </row>
    <row r="18" spans="1:19" ht="15" customHeight="1" x14ac:dyDescent="0.25">
      <c r="A18" s="14" t="str">
        <f>IF(Einstellungen!$A16="","",Einstellungen!$A16)</f>
        <v>Abos &amp; Software</v>
      </c>
      <c r="B18" s="14" t="str">
        <f>IF(Einstellungen!$B16="","",Einstellungen!$B16)</f>
        <v>Ausgabe</v>
      </c>
      <c r="C18" s="39">
        <f>IF($A18="",0,SUMIFS(Buchungen!$F$4:$F$1003,Buchungen!$B$4:$B$1003,$B$3,Buchungen!$C$4:$C$1003,C$4,Buchungen!$D$4:$D$1003,$A18))</f>
        <v>0</v>
      </c>
      <c r="D18" s="39">
        <f>IF($A18="",0,SUMIFS(Buchungen!$F$4:$F$1003,Buchungen!$B$4:$B$1003,$B$3,Buchungen!$C$4:$C$1003,D$4,Buchungen!$D$4:$D$1003,$A18))</f>
        <v>0</v>
      </c>
      <c r="E18" s="39">
        <f>IF($A18="",0,SUMIFS(Buchungen!$F$4:$F$1003,Buchungen!$B$4:$B$1003,$B$3,Buchungen!$C$4:$C$1003,E$4,Buchungen!$D$4:$D$1003,$A18))</f>
        <v>0</v>
      </c>
      <c r="F18" s="39">
        <f>IF($A18="",0,SUMIFS(Buchungen!$F$4:$F$1003,Buchungen!$B$4:$B$1003,$B$3,Buchungen!$C$4:$C$1003,F$4,Buchungen!$D$4:$D$1003,$A18))</f>
        <v>0</v>
      </c>
      <c r="G18" s="39">
        <f>IF($A18="",0,SUMIFS(Buchungen!$F$4:$F$1003,Buchungen!$B$4:$B$1003,$B$3,Buchungen!$C$4:$C$1003,G$4,Buchungen!$D$4:$D$1003,$A18))</f>
        <v>0</v>
      </c>
      <c r="H18" s="39">
        <f>IF($A18="",0,SUMIFS(Buchungen!$F$4:$F$1003,Buchungen!$B$4:$B$1003,$B$3,Buchungen!$C$4:$C$1003,H$4,Buchungen!$D$4:$D$1003,$A18))</f>
        <v>0</v>
      </c>
      <c r="I18" s="39">
        <f>IF($A18="",0,SUMIFS(Buchungen!$F$4:$F$1003,Buchungen!$B$4:$B$1003,$B$3,Buchungen!$C$4:$C$1003,I$4,Buchungen!$D$4:$D$1003,$A18))</f>
        <v>0</v>
      </c>
      <c r="J18" s="39">
        <f>IF($A18="",0,SUMIFS(Buchungen!$F$4:$F$1003,Buchungen!$B$4:$B$1003,$B$3,Buchungen!$C$4:$C$1003,J$4,Buchungen!$D$4:$D$1003,$A18))</f>
        <v>0</v>
      </c>
      <c r="K18" s="39">
        <f>IF($A18="",0,SUMIFS(Buchungen!$F$4:$F$1003,Buchungen!$B$4:$B$1003,$B$3,Buchungen!$C$4:$C$1003,K$4,Buchungen!$D$4:$D$1003,$A18))</f>
        <v>0</v>
      </c>
      <c r="L18" s="39">
        <f>IF($A18="",0,SUMIFS(Buchungen!$F$4:$F$1003,Buchungen!$B$4:$B$1003,$B$3,Buchungen!$C$4:$C$1003,L$4,Buchungen!$D$4:$D$1003,$A18))</f>
        <v>0</v>
      </c>
      <c r="M18" s="39">
        <f>IF($A18="",0,SUMIFS(Buchungen!$F$4:$F$1003,Buchungen!$B$4:$B$1003,$B$3,Buchungen!$C$4:$C$1003,M$4,Buchungen!$D$4:$D$1003,$A18))</f>
        <v>0</v>
      </c>
      <c r="N18" s="39">
        <f>IF($A18="",0,SUMIFS(Buchungen!$F$4:$F$1003,Buchungen!$B$4:$B$1003,$B$3,Buchungen!$C$4:$C$1003,N$4,Buchungen!$D$4:$D$1003,$A18))</f>
        <v>0</v>
      </c>
      <c r="O18" s="11">
        <f t="shared" si="0"/>
        <v>0</v>
      </c>
      <c r="P18" s="11">
        <f t="shared" si="1"/>
        <v>0</v>
      </c>
      <c r="Q18" s="13">
        <f>IF(Einstellungen!$C16="",0,Einstellungen!$C16)</f>
        <v>0</v>
      </c>
      <c r="R18" s="11">
        <f t="shared" si="2"/>
        <v>0</v>
      </c>
      <c r="S18" s="11">
        <f t="shared" si="3"/>
        <v>0</v>
      </c>
    </row>
    <row r="19" spans="1:19" ht="15" customHeight="1" x14ac:dyDescent="0.25">
      <c r="A19" s="14" t="str">
        <f>IF(Einstellungen!$A17="","",Einstellungen!$A17)</f>
        <v>Studium &amp; Bücher</v>
      </c>
      <c r="B19" s="14" t="str">
        <f>IF(Einstellungen!$B17="","",Einstellungen!$B17)</f>
        <v>Ausgabe</v>
      </c>
      <c r="C19" s="39">
        <f>IF($A19="",0,SUMIFS(Buchungen!$F$4:$F$1003,Buchungen!$B$4:$B$1003,$B$3,Buchungen!$C$4:$C$1003,C$4,Buchungen!$D$4:$D$1003,$A19))</f>
        <v>0</v>
      </c>
      <c r="D19" s="39">
        <f>IF($A19="",0,SUMIFS(Buchungen!$F$4:$F$1003,Buchungen!$B$4:$B$1003,$B$3,Buchungen!$C$4:$C$1003,D$4,Buchungen!$D$4:$D$1003,$A19))</f>
        <v>0</v>
      </c>
      <c r="E19" s="39">
        <f>IF($A19="",0,SUMIFS(Buchungen!$F$4:$F$1003,Buchungen!$B$4:$B$1003,$B$3,Buchungen!$C$4:$C$1003,E$4,Buchungen!$D$4:$D$1003,$A19))</f>
        <v>0</v>
      </c>
      <c r="F19" s="39">
        <f>IF($A19="",0,SUMIFS(Buchungen!$F$4:$F$1003,Buchungen!$B$4:$B$1003,$B$3,Buchungen!$C$4:$C$1003,F$4,Buchungen!$D$4:$D$1003,$A19))</f>
        <v>0</v>
      </c>
      <c r="G19" s="39">
        <f>IF($A19="",0,SUMIFS(Buchungen!$F$4:$F$1003,Buchungen!$B$4:$B$1003,$B$3,Buchungen!$C$4:$C$1003,G$4,Buchungen!$D$4:$D$1003,$A19))</f>
        <v>0</v>
      </c>
      <c r="H19" s="39">
        <f>IF($A19="",0,SUMIFS(Buchungen!$F$4:$F$1003,Buchungen!$B$4:$B$1003,$B$3,Buchungen!$C$4:$C$1003,H$4,Buchungen!$D$4:$D$1003,$A19))</f>
        <v>0</v>
      </c>
      <c r="I19" s="39">
        <f>IF($A19="",0,SUMIFS(Buchungen!$F$4:$F$1003,Buchungen!$B$4:$B$1003,$B$3,Buchungen!$C$4:$C$1003,I$4,Buchungen!$D$4:$D$1003,$A19))</f>
        <v>0</v>
      </c>
      <c r="J19" s="39">
        <f>IF($A19="",0,SUMIFS(Buchungen!$F$4:$F$1003,Buchungen!$B$4:$B$1003,$B$3,Buchungen!$C$4:$C$1003,J$4,Buchungen!$D$4:$D$1003,$A19))</f>
        <v>0</v>
      </c>
      <c r="K19" s="39">
        <f>IF($A19="",0,SUMIFS(Buchungen!$F$4:$F$1003,Buchungen!$B$4:$B$1003,$B$3,Buchungen!$C$4:$C$1003,K$4,Buchungen!$D$4:$D$1003,$A19))</f>
        <v>0</v>
      </c>
      <c r="L19" s="39">
        <f>IF($A19="",0,SUMIFS(Buchungen!$F$4:$F$1003,Buchungen!$B$4:$B$1003,$B$3,Buchungen!$C$4:$C$1003,L$4,Buchungen!$D$4:$D$1003,$A19))</f>
        <v>0</v>
      </c>
      <c r="M19" s="39">
        <f>IF($A19="",0,SUMIFS(Buchungen!$F$4:$F$1003,Buchungen!$B$4:$B$1003,$B$3,Buchungen!$C$4:$C$1003,M$4,Buchungen!$D$4:$D$1003,$A19))</f>
        <v>0</v>
      </c>
      <c r="N19" s="39">
        <f>IF($A19="",0,SUMIFS(Buchungen!$F$4:$F$1003,Buchungen!$B$4:$B$1003,$B$3,Buchungen!$C$4:$C$1003,N$4,Buchungen!$D$4:$D$1003,$A19))</f>
        <v>0</v>
      </c>
      <c r="O19" s="11">
        <f t="shared" si="0"/>
        <v>0</v>
      </c>
      <c r="P19" s="11">
        <f t="shared" si="1"/>
        <v>0</v>
      </c>
      <c r="Q19" s="13">
        <f>IF(Einstellungen!$C17="",0,Einstellungen!$C17)</f>
        <v>0</v>
      </c>
      <c r="R19" s="11">
        <f t="shared" si="2"/>
        <v>0</v>
      </c>
      <c r="S19" s="11">
        <f t="shared" si="3"/>
        <v>0</v>
      </c>
    </row>
    <row r="20" spans="1:19" ht="15" customHeight="1" x14ac:dyDescent="0.25">
      <c r="A20" s="14" t="str">
        <f>IF(Einstellungen!$A18="","",Einstellungen!$A18)</f>
        <v>Urlaub &amp; Reisen</v>
      </c>
      <c r="B20" s="14" t="str">
        <f>IF(Einstellungen!$B18="","",Einstellungen!$B18)</f>
        <v>Ausgabe</v>
      </c>
      <c r="C20" s="39">
        <f>IF($A20="",0,SUMIFS(Buchungen!$F$4:$F$1003,Buchungen!$B$4:$B$1003,$B$3,Buchungen!$C$4:$C$1003,C$4,Buchungen!$D$4:$D$1003,$A20))</f>
        <v>0</v>
      </c>
      <c r="D20" s="39">
        <f>IF($A20="",0,SUMIFS(Buchungen!$F$4:$F$1003,Buchungen!$B$4:$B$1003,$B$3,Buchungen!$C$4:$C$1003,D$4,Buchungen!$D$4:$D$1003,$A20))</f>
        <v>0</v>
      </c>
      <c r="E20" s="39">
        <f>IF($A20="",0,SUMIFS(Buchungen!$F$4:$F$1003,Buchungen!$B$4:$B$1003,$B$3,Buchungen!$C$4:$C$1003,E$4,Buchungen!$D$4:$D$1003,$A20))</f>
        <v>0</v>
      </c>
      <c r="F20" s="39">
        <f>IF($A20="",0,SUMIFS(Buchungen!$F$4:$F$1003,Buchungen!$B$4:$B$1003,$B$3,Buchungen!$C$4:$C$1003,F$4,Buchungen!$D$4:$D$1003,$A20))</f>
        <v>0</v>
      </c>
      <c r="G20" s="39">
        <f>IF($A20="",0,SUMIFS(Buchungen!$F$4:$F$1003,Buchungen!$B$4:$B$1003,$B$3,Buchungen!$C$4:$C$1003,G$4,Buchungen!$D$4:$D$1003,$A20))</f>
        <v>0</v>
      </c>
      <c r="H20" s="39">
        <f>IF($A20="",0,SUMIFS(Buchungen!$F$4:$F$1003,Buchungen!$B$4:$B$1003,$B$3,Buchungen!$C$4:$C$1003,H$4,Buchungen!$D$4:$D$1003,$A20))</f>
        <v>0</v>
      </c>
      <c r="I20" s="39">
        <f>IF($A20="",0,SUMIFS(Buchungen!$F$4:$F$1003,Buchungen!$B$4:$B$1003,$B$3,Buchungen!$C$4:$C$1003,I$4,Buchungen!$D$4:$D$1003,$A20))</f>
        <v>0</v>
      </c>
      <c r="J20" s="39">
        <f>IF($A20="",0,SUMIFS(Buchungen!$F$4:$F$1003,Buchungen!$B$4:$B$1003,$B$3,Buchungen!$C$4:$C$1003,J$4,Buchungen!$D$4:$D$1003,$A20))</f>
        <v>0</v>
      </c>
      <c r="K20" s="39">
        <f>IF($A20="",0,SUMIFS(Buchungen!$F$4:$F$1003,Buchungen!$B$4:$B$1003,$B$3,Buchungen!$C$4:$C$1003,K$4,Buchungen!$D$4:$D$1003,$A20))</f>
        <v>0</v>
      </c>
      <c r="L20" s="39">
        <f>IF($A20="",0,SUMIFS(Buchungen!$F$4:$F$1003,Buchungen!$B$4:$B$1003,$B$3,Buchungen!$C$4:$C$1003,L$4,Buchungen!$D$4:$D$1003,$A20))</f>
        <v>0</v>
      </c>
      <c r="M20" s="39">
        <f>IF($A20="",0,SUMIFS(Buchungen!$F$4:$F$1003,Buchungen!$B$4:$B$1003,$B$3,Buchungen!$C$4:$C$1003,M$4,Buchungen!$D$4:$D$1003,$A20))</f>
        <v>0</v>
      </c>
      <c r="N20" s="39">
        <f>IF($A20="",0,SUMIFS(Buchungen!$F$4:$F$1003,Buchungen!$B$4:$B$1003,$B$3,Buchungen!$C$4:$C$1003,N$4,Buchungen!$D$4:$D$1003,$A20))</f>
        <v>0</v>
      </c>
      <c r="O20" s="11">
        <f t="shared" si="0"/>
        <v>0</v>
      </c>
      <c r="P20" s="11">
        <f t="shared" si="1"/>
        <v>0</v>
      </c>
      <c r="Q20" s="13">
        <f>IF(Einstellungen!$C18="",0,Einstellungen!$C18)</f>
        <v>0</v>
      </c>
      <c r="R20" s="11">
        <f t="shared" si="2"/>
        <v>0</v>
      </c>
      <c r="S20" s="11">
        <f t="shared" si="3"/>
        <v>0</v>
      </c>
    </row>
    <row r="21" spans="1:19" ht="15" customHeight="1" x14ac:dyDescent="0.25">
      <c r="A21" s="14" t="str">
        <f>IF(Einstellungen!$A19="","",Einstellungen!$A19)</f>
        <v>Geschenke</v>
      </c>
      <c r="B21" s="14" t="str">
        <f>IF(Einstellungen!$B19="","",Einstellungen!$B19)</f>
        <v>Ausgabe</v>
      </c>
      <c r="C21" s="39">
        <f>IF($A21="",0,SUMIFS(Buchungen!$F$4:$F$1003,Buchungen!$B$4:$B$1003,$B$3,Buchungen!$C$4:$C$1003,C$4,Buchungen!$D$4:$D$1003,$A21))</f>
        <v>0</v>
      </c>
      <c r="D21" s="39">
        <f>IF($A21="",0,SUMIFS(Buchungen!$F$4:$F$1003,Buchungen!$B$4:$B$1003,$B$3,Buchungen!$C$4:$C$1003,D$4,Buchungen!$D$4:$D$1003,$A21))</f>
        <v>0</v>
      </c>
      <c r="E21" s="39">
        <f>IF($A21="",0,SUMIFS(Buchungen!$F$4:$F$1003,Buchungen!$B$4:$B$1003,$B$3,Buchungen!$C$4:$C$1003,E$4,Buchungen!$D$4:$D$1003,$A21))</f>
        <v>0</v>
      </c>
      <c r="F21" s="39">
        <f>IF($A21="",0,SUMIFS(Buchungen!$F$4:$F$1003,Buchungen!$B$4:$B$1003,$B$3,Buchungen!$C$4:$C$1003,F$4,Buchungen!$D$4:$D$1003,$A21))</f>
        <v>0</v>
      </c>
      <c r="G21" s="39">
        <f>IF($A21="",0,SUMIFS(Buchungen!$F$4:$F$1003,Buchungen!$B$4:$B$1003,$B$3,Buchungen!$C$4:$C$1003,G$4,Buchungen!$D$4:$D$1003,$A21))</f>
        <v>0</v>
      </c>
      <c r="H21" s="39">
        <f>IF($A21="",0,SUMIFS(Buchungen!$F$4:$F$1003,Buchungen!$B$4:$B$1003,$B$3,Buchungen!$C$4:$C$1003,H$4,Buchungen!$D$4:$D$1003,$A21))</f>
        <v>0</v>
      </c>
      <c r="I21" s="39">
        <f>IF($A21="",0,SUMIFS(Buchungen!$F$4:$F$1003,Buchungen!$B$4:$B$1003,$B$3,Buchungen!$C$4:$C$1003,I$4,Buchungen!$D$4:$D$1003,$A21))</f>
        <v>0</v>
      </c>
      <c r="J21" s="39">
        <f>IF($A21="",0,SUMIFS(Buchungen!$F$4:$F$1003,Buchungen!$B$4:$B$1003,$B$3,Buchungen!$C$4:$C$1003,J$4,Buchungen!$D$4:$D$1003,$A21))</f>
        <v>0</v>
      </c>
      <c r="K21" s="39">
        <f>IF($A21="",0,SUMIFS(Buchungen!$F$4:$F$1003,Buchungen!$B$4:$B$1003,$B$3,Buchungen!$C$4:$C$1003,K$4,Buchungen!$D$4:$D$1003,$A21))</f>
        <v>0</v>
      </c>
      <c r="L21" s="39">
        <f>IF($A21="",0,SUMIFS(Buchungen!$F$4:$F$1003,Buchungen!$B$4:$B$1003,$B$3,Buchungen!$C$4:$C$1003,L$4,Buchungen!$D$4:$D$1003,$A21))</f>
        <v>0</v>
      </c>
      <c r="M21" s="39">
        <f>IF($A21="",0,SUMIFS(Buchungen!$F$4:$F$1003,Buchungen!$B$4:$B$1003,$B$3,Buchungen!$C$4:$C$1003,M$4,Buchungen!$D$4:$D$1003,$A21))</f>
        <v>0</v>
      </c>
      <c r="N21" s="39">
        <f>IF($A21="",0,SUMIFS(Buchungen!$F$4:$F$1003,Buchungen!$B$4:$B$1003,$B$3,Buchungen!$C$4:$C$1003,N$4,Buchungen!$D$4:$D$1003,$A21))</f>
        <v>0</v>
      </c>
      <c r="O21" s="11">
        <f t="shared" si="0"/>
        <v>0</v>
      </c>
      <c r="P21" s="11">
        <f t="shared" si="1"/>
        <v>0</v>
      </c>
      <c r="Q21" s="13">
        <f>IF(Einstellungen!$C19="",0,Einstellungen!$C19)</f>
        <v>0</v>
      </c>
      <c r="R21" s="11">
        <f t="shared" si="2"/>
        <v>0</v>
      </c>
      <c r="S21" s="11">
        <f t="shared" si="3"/>
        <v>0</v>
      </c>
    </row>
    <row r="22" spans="1:19" ht="15" customHeight="1" x14ac:dyDescent="0.25">
      <c r="A22" s="14" t="str">
        <f>IF(Einstellungen!$A20="","",Einstellungen!$A20)</f>
        <v>Sonstiges</v>
      </c>
      <c r="B22" s="14" t="str">
        <f>IF(Einstellungen!$B20="","",Einstellungen!$B20)</f>
        <v>Ausgabe</v>
      </c>
      <c r="C22" s="39">
        <f>IF($A22="",0,SUMIFS(Buchungen!$F$4:$F$1003,Buchungen!$B$4:$B$1003,$B$3,Buchungen!$C$4:$C$1003,C$4,Buchungen!$D$4:$D$1003,$A22))</f>
        <v>0</v>
      </c>
      <c r="D22" s="39">
        <f>IF($A22="",0,SUMIFS(Buchungen!$F$4:$F$1003,Buchungen!$B$4:$B$1003,$B$3,Buchungen!$C$4:$C$1003,D$4,Buchungen!$D$4:$D$1003,$A22))</f>
        <v>0</v>
      </c>
      <c r="E22" s="39">
        <f>IF($A22="",0,SUMIFS(Buchungen!$F$4:$F$1003,Buchungen!$B$4:$B$1003,$B$3,Buchungen!$C$4:$C$1003,E$4,Buchungen!$D$4:$D$1003,$A22))</f>
        <v>0</v>
      </c>
      <c r="F22" s="39">
        <f>IF($A22="",0,SUMIFS(Buchungen!$F$4:$F$1003,Buchungen!$B$4:$B$1003,$B$3,Buchungen!$C$4:$C$1003,F$4,Buchungen!$D$4:$D$1003,$A22))</f>
        <v>0</v>
      </c>
      <c r="G22" s="39">
        <f>IF($A22="",0,SUMIFS(Buchungen!$F$4:$F$1003,Buchungen!$B$4:$B$1003,$B$3,Buchungen!$C$4:$C$1003,G$4,Buchungen!$D$4:$D$1003,$A22))</f>
        <v>0</v>
      </c>
      <c r="H22" s="39">
        <f>IF($A22="",0,SUMIFS(Buchungen!$F$4:$F$1003,Buchungen!$B$4:$B$1003,$B$3,Buchungen!$C$4:$C$1003,H$4,Buchungen!$D$4:$D$1003,$A22))</f>
        <v>0</v>
      </c>
      <c r="I22" s="39">
        <f>IF($A22="",0,SUMIFS(Buchungen!$F$4:$F$1003,Buchungen!$B$4:$B$1003,$B$3,Buchungen!$C$4:$C$1003,I$4,Buchungen!$D$4:$D$1003,$A22))</f>
        <v>2.2999999999999998</v>
      </c>
      <c r="J22" s="39">
        <f>IF($A22="",0,SUMIFS(Buchungen!$F$4:$F$1003,Buchungen!$B$4:$B$1003,$B$3,Buchungen!$C$4:$C$1003,J$4,Buchungen!$D$4:$D$1003,$A22))</f>
        <v>504.92000000000007</v>
      </c>
      <c r="K22" s="39">
        <f>IF($A22="",0,SUMIFS(Buchungen!$F$4:$F$1003,Buchungen!$B$4:$B$1003,$B$3,Buchungen!$C$4:$C$1003,K$4,Buchungen!$D$4:$D$1003,$A22))</f>
        <v>0</v>
      </c>
      <c r="L22" s="39">
        <f>IF($A22="",0,SUMIFS(Buchungen!$F$4:$F$1003,Buchungen!$B$4:$B$1003,$B$3,Buchungen!$C$4:$C$1003,L$4,Buchungen!$D$4:$D$1003,$A22))</f>
        <v>0</v>
      </c>
      <c r="M22" s="39">
        <f>IF($A22="",0,SUMIFS(Buchungen!$F$4:$F$1003,Buchungen!$B$4:$B$1003,$B$3,Buchungen!$C$4:$C$1003,M$4,Buchungen!$D$4:$D$1003,$A22))</f>
        <v>0</v>
      </c>
      <c r="N22" s="39">
        <f>IF($A22="",0,SUMIFS(Buchungen!$F$4:$F$1003,Buchungen!$B$4:$B$1003,$B$3,Buchungen!$C$4:$C$1003,N$4,Buchungen!$D$4:$D$1003,$A22))</f>
        <v>0</v>
      </c>
      <c r="O22" s="11">
        <f t="shared" si="0"/>
        <v>507.22000000000008</v>
      </c>
      <c r="P22" s="11">
        <f t="shared" si="1"/>
        <v>253.61000000000004</v>
      </c>
      <c r="Q22" s="13">
        <f>IF(Einstellungen!$C20="",0,Einstellungen!$C20)</f>
        <v>0</v>
      </c>
      <c r="R22" s="11">
        <f t="shared" si="2"/>
        <v>-253.61000000000004</v>
      </c>
      <c r="S22" s="11">
        <f t="shared" si="3"/>
        <v>507.22000000000008</v>
      </c>
    </row>
    <row r="23" spans="1:19" ht="15" customHeight="1" x14ac:dyDescent="0.25">
      <c r="A23" s="14" t="str">
        <f>IF(Einstellungen!$A21="","",Einstellungen!$A21)</f>
        <v/>
      </c>
      <c r="B23" s="14" t="str">
        <f>IF(Einstellungen!$B21="","",Einstellungen!$B21)</f>
        <v/>
      </c>
      <c r="C23" s="39">
        <f>IF($A23="",0,SUMIFS(Buchungen!$F$4:$F$1003,Buchungen!$B$4:$B$1003,$B$3,Buchungen!$C$4:$C$1003,C$4,Buchungen!$D$4:$D$1003,$A23))</f>
        <v>0</v>
      </c>
      <c r="D23" s="39">
        <f>IF($A23="",0,SUMIFS(Buchungen!$F$4:$F$1003,Buchungen!$B$4:$B$1003,$B$3,Buchungen!$C$4:$C$1003,D$4,Buchungen!$D$4:$D$1003,$A23))</f>
        <v>0</v>
      </c>
      <c r="E23" s="39">
        <f>IF($A23="",0,SUMIFS(Buchungen!$F$4:$F$1003,Buchungen!$B$4:$B$1003,$B$3,Buchungen!$C$4:$C$1003,E$4,Buchungen!$D$4:$D$1003,$A23))</f>
        <v>0</v>
      </c>
      <c r="F23" s="39">
        <f>IF($A23="",0,SUMIFS(Buchungen!$F$4:$F$1003,Buchungen!$B$4:$B$1003,$B$3,Buchungen!$C$4:$C$1003,F$4,Buchungen!$D$4:$D$1003,$A23))</f>
        <v>0</v>
      </c>
      <c r="G23" s="39">
        <f>IF($A23="",0,SUMIFS(Buchungen!$F$4:$F$1003,Buchungen!$B$4:$B$1003,$B$3,Buchungen!$C$4:$C$1003,G$4,Buchungen!$D$4:$D$1003,$A23))</f>
        <v>0</v>
      </c>
      <c r="H23" s="39">
        <f>IF($A23="",0,SUMIFS(Buchungen!$F$4:$F$1003,Buchungen!$B$4:$B$1003,$B$3,Buchungen!$C$4:$C$1003,H$4,Buchungen!$D$4:$D$1003,$A23))</f>
        <v>0</v>
      </c>
      <c r="I23" s="39">
        <f>IF($A23="",0,SUMIFS(Buchungen!$F$4:$F$1003,Buchungen!$B$4:$B$1003,$B$3,Buchungen!$C$4:$C$1003,I$4,Buchungen!$D$4:$D$1003,$A23))</f>
        <v>0</v>
      </c>
      <c r="J23" s="39">
        <f>IF($A23="",0,SUMIFS(Buchungen!$F$4:$F$1003,Buchungen!$B$4:$B$1003,$B$3,Buchungen!$C$4:$C$1003,J$4,Buchungen!$D$4:$D$1003,$A23))</f>
        <v>0</v>
      </c>
      <c r="K23" s="39">
        <f>IF($A23="",0,SUMIFS(Buchungen!$F$4:$F$1003,Buchungen!$B$4:$B$1003,$B$3,Buchungen!$C$4:$C$1003,K$4,Buchungen!$D$4:$D$1003,$A23))</f>
        <v>0</v>
      </c>
      <c r="L23" s="39">
        <f>IF($A23="",0,SUMIFS(Buchungen!$F$4:$F$1003,Buchungen!$B$4:$B$1003,$B$3,Buchungen!$C$4:$C$1003,L$4,Buchungen!$D$4:$D$1003,$A23))</f>
        <v>0</v>
      </c>
      <c r="M23" s="39">
        <f>IF($A23="",0,SUMIFS(Buchungen!$F$4:$F$1003,Buchungen!$B$4:$B$1003,$B$3,Buchungen!$C$4:$C$1003,M$4,Buchungen!$D$4:$D$1003,$A23))</f>
        <v>0</v>
      </c>
      <c r="N23" s="39">
        <f>IF($A23="",0,SUMIFS(Buchungen!$F$4:$F$1003,Buchungen!$B$4:$B$1003,$B$3,Buchungen!$C$4:$C$1003,N$4,Buchungen!$D$4:$D$1003,$A23))</f>
        <v>0</v>
      </c>
      <c r="O23" s="11">
        <f t="shared" si="0"/>
        <v>0</v>
      </c>
      <c r="P23" s="11">
        <f t="shared" si="1"/>
        <v>0</v>
      </c>
      <c r="Q23" s="13">
        <f>IF(Einstellungen!$C21="",0,Einstellungen!$C21)</f>
        <v>0</v>
      </c>
      <c r="R23" s="11">
        <f t="shared" si="2"/>
        <v>0</v>
      </c>
      <c r="S23" s="11">
        <f t="shared" si="3"/>
        <v>0</v>
      </c>
    </row>
    <row r="24" spans="1:19" ht="15" customHeight="1" x14ac:dyDescent="0.25">
      <c r="A24" s="14" t="str">
        <f>IF(Einstellungen!$A22="","",Einstellungen!$A22)</f>
        <v/>
      </c>
      <c r="B24" s="14" t="str">
        <f>IF(Einstellungen!$B22="","",Einstellungen!$B22)</f>
        <v/>
      </c>
      <c r="C24" s="39">
        <f>IF($A24="",0,SUMIFS(Buchungen!$F$4:$F$1003,Buchungen!$B$4:$B$1003,$B$3,Buchungen!$C$4:$C$1003,C$4,Buchungen!$D$4:$D$1003,$A24))</f>
        <v>0</v>
      </c>
      <c r="D24" s="39">
        <f>IF($A24="",0,SUMIFS(Buchungen!$F$4:$F$1003,Buchungen!$B$4:$B$1003,$B$3,Buchungen!$C$4:$C$1003,D$4,Buchungen!$D$4:$D$1003,$A24))</f>
        <v>0</v>
      </c>
      <c r="E24" s="39">
        <f>IF($A24="",0,SUMIFS(Buchungen!$F$4:$F$1003,Buchungen!$B$4:$B$1003,$B$3,Buchungen!$C$4:$C$1003,E$4,Buchungen!$D$4:$D$1003,$A24))</f>
        <v>0</v>
      </c>
      <c r="F24" s="39">
        <f>IF($A24="",0,SUMIFS(Buchungen!$F$4:$F$1003,Buchungen!$B$4:$B$1003,$B$3,Buchungen!$C$4:$C$1003,F$4,Buchungen!$D$4:$D$1003,$A24))</f>
        <v>0</v>
      </c>
      <c r="G24" s="39">
        <f>IF($A24="",0,SUMIFS(Buchungen!$F$4:$F$1003,Buchungen!$B$4:$B$1003,$B$3,Buchungen!$C$4:$C$1003,G$4,Buchungen!$D$4:$D$1003,$A24))</f>
        <v>0</v>
      </c>
      <c r="H24" s="39">
        <f>IF($A24="",0,SUMIFS(Buchungen!$F$4:$F$1003,Buchungen!$B$4:$B$1003,$B$3,Buchungen!$C$4:$C$1003,H$4,Buchungen!$D$4:$D$1003,$A24))</f>
        <v>0</v>
      </c>
      <c r="I24" s="39">
        <f>IF($A24="",0,SUMIFS(Buchungen!$F$4:$F$1003,Buchungen!$B$4:$B$1003,$B$3,Buchungen!$C$4:$C$1003,I$4,Buchungen!$D$4:$D$1003,$A24))</f>
        <v>0</v>
      </c>
      <c r="J24" s="39">
        <f>IF($A24="",0,SUMIFS(Buchungen!$F$4:$F$1003,Buchungen!$B$4:$B$1003,$B$3,Buchungen!$C$4:$C$1003,J$4,Buchungen!$D$4:$D$1003,$A24))</f>
        <v>0</v>
      </c>
      <c r="K24" s="39">
        <f>IF($A24="",0,SUMIFS(Buchungen!$F$4:$F$1003,Buchungen!$B$4:$B$1003,$B$3,Buchungen!$C$4:$C$1003,K$4,Buchungen!$D$4:$D$1003,$A24))</f>
        <v>0</v>
      </c>
      <c r="L24" s="39">
        <f>IF($A24="",0,SUMIFS(Buchungen!$F$4:$F$1003,Buchungen!$B$4:$B$1003,$B$3,Buchungen!$C$4:$C$1003,L$4,Buchungen!$D$4:$D$1003,$A24))</f>
        <v>0</v>
      </c>
      <c r="M24" s="39">
        <f>IF($A24="",0,SUMIFS(Buchungen!$F$4:$F$1003,Buchungen!$B$4:$B$1003,$B$3,Buchungen!$C$4:$C$1003,M$4,Buchungen!$D$4:$D$1003,$A24))</f>
        <v>0</v>
      </c>
      <c r="N24" s="39">
        <f>IF($A24="",0,SUMIFS(Buchungen!$F$4:$F$1003,Buchungen!$B$4:$B$1003,$B$3,Buchungen!$C$4:$C$1003,N$4,Buchungen!$D$4:$D$1003,$A24))</f>
        <v>0</v>
      </c>
      <c r="O24" s="11">
        <f t="shared" si="0"/>
        <v>0</v>
      </c>
      <c r="P24" s="11">
        <f t="shared" si="1"/>
        <v>0</v>
      </c>
      <c r="Q24" s="13">
        <f>IF(Einstellungen!$C22="",0,Einstellungen!$C22)</f>
        <v>0</v>
      </c>
      <c r="R24" s="11">
        <f t="shared" si="2"/>
        <v>0</v>
      </c>
      <c r="S24" s="11">
        <f t="shared" si="3"/>
        <v>0</v>
      </c>
    </row>
    <row r="25" spans="1:19" ht="15" customHeight="1" x14ac:dyDescent="0.25">
      <c r="A25" s="14" t="str">
        <f>IF(Einstellungen!$A23="","",Einstellungen!$A23)</f>
        <v/>
      </c>
      <c r="B25" s="14" t="str">
        <f>IF(Einstellungen!$B23="","",Einstellungen!$B23)</f>
        <v/>
      </c>
      <c r="C25" s="39">
        <f>IF($A25="",0,SUMIFS(Buchungen!$F$4:$F$1003,Buchungen!$B$4:$B$1003,$B$3,Buchungen!$C$4:$C$1003,C$4,Buchungen!$D$4:$D$1003,$A25))</f>
        <v>0</v>
      </c>
      <c r="D25" s="39">
        <f>IF($A25="",0,SUMIFS(Buchungen!$F$4:$F$1003,Buchungen!$B$4:$B$1003,$B$3,Buchungen!$C$4:$C$1003,D$4,Buchungen!$D$4:$D$1003,$A25))</f>
        <v>0</v>
      </c>
      <c r="E25" s="39">
        <f>IF($A25="",0,SUMIFS(Buchungen!$F$4:$F$1003,Buchungen!$B$4:$B$1003,$B$3,Buchungen!$C$4:$C$1003,E$4,Buchungen!$D$4:$D$1003,$A25))</f>
        <v>0</v>
      </c>
      <c r="F25" s="39">
        <f>IF($A25="",0,SUMIFS(Buchungen!$F$4:$F$1003,Buchungen!$B$4:$B$1003,$B$3,Buchungen!$C$4:$C$1003,F$4,Buchungen!$D$4:$D$1003,$A25))</f>
        <v>0</v>
      </c>
      <c r="G25" s="39">
        <f>IF($A25="",0,SUMIFS(Buchungen!$F$4:$F$1003,Buchungen!$B$4:$B$1003,$B$3,Buchungen!$C$4:$C$1003,G$4,Buchungen!$D$4:$D$1003,$A25))</f>
        <v>0</v>
      </c>
      <c r="H25" s="39">
        <f>IF($A25="",0,SUMIFS(Buchungen!$F$4:$F$1003,Buchungen!$B$4:$B$1003,$B$3,Buchungen!$C$4:$C$1003,H$4,Buchungen!$D$4:$D$1003,$A25))</f>
        <v>0</v>
      </c>
      <c r="I25" s="39">
        <f>IF($A25="",0,SUMIFS(Buchungen!$F$4:$F$1003,Buchungen!$B$4:$B$1003,$B$3,Buchungen!$C$4:$C$1003,I$4,Buchungen!$D$4:$D$1003,$A25))</f>
        <v>0</v>
      </c>
      <c r="J25" s="39">
        <f>IF($A25="",0,SUMIFS(Buchungen!$F$4:$F$1003,Buchungen!$B$4:$B$1003,$B$3,Buchungen!$C$4:$C$1003,J$4,Buchungen!$D$4:$D$1003,$A25))</f>
        <v>0</v>
      </c>
      <c r="K25" s="39">
        <f>IF($A25="",0,SUMIFS(Buchungen!$F$4:$F$1003,Buchungen!$B$4:$B$1003,$B$3,Buchungen!$C$4:$C$1003,K$4,Buchungen!$D$4:$D$1003,$A25))</f>
        <v>0</v>
      </c>
      <c r="L25" s="39">
        <f>IF($A25="",0,SUMIFS(Buchungen!$F$4:$F$1003,Buchungen!$B$4:$B$1003,$B$3,Buchungen!$C$4:$C$1003,L$4,Buchungen!$D$4:$D$1003,$A25))</f>
        <v>0</v>
      </c>
      <c r="M25" s="39">
        <f>IF($A25="",0,SUMIFS(Buchungen!$F$4:$F$1003,Buchungen!$B$4:$B$1003,$B$3,Buchungen!$C$4:$C$1003,M$4,Buchungen!$D$4:$D$1003,$A25))</f>
        <v>0</v>
      </c>
      <c r="N25" s="39">
        <f>IF($A25="",0,SUMIFS(Buchungen!$F$4:$F$1003,Buchungen!$B$4:$B$1003,$B$3,Buchungen!$C$4:$C$1003,N$4,Buchungen!$D$4:$D$1003,$A25))</f>
        <v>0</v>
      </c>
      <c r="O25" s="11">
        <f t="shared" si="0"/>
        <v>0</v>
      </c>
      <c r="P25" s="11">
        <f t="shared" si="1"/>
        <v>0</v>
      </c>
      <c r="Q25" s="13">
        <f>IF(Einstellungen!$C23="",0,Einstellungen!$C23)</f>
        <v>0</v>
      </c>
      <c r="R25" s="11">
        <f t="shared" si="2"/>
        <v>0</v>
      </c>
      <c r="S25" s="11">
        <f t="shared" si="3"/>
        <v>0</v>
      </c>
    </row>
    <row r="26" spans="1:19" ht="15" customHeight="1" x14ac:dyDescent="0.25">
      <c r="A26" s="14" t="str">
        <f>IF(Einstellungen!$A24="","",Einstellungen!$A24)</f>
        <v/>
      </c>
      <c r="B26" s="14" t="str">
        <f>IF(Einstellungen!$B24="","",Einstellungen!$B24)</f>
        <v/>
      </c>
      <c r="C26" s="39">
        <f>IF($A26="",0,SUMIFS(Buchungen!$F$4:$F$1003,Buchungen!$B$4:$B$1003,$B$3,Buchungen!$C$4:$C$1003,C$4,Buchungen!$D$4:$D$1003,$A26))</f>
        <v>0</v>
      </c>
      <c r="D26" s="39">
        <f>IF($A26="",0,SUMIFS(Buchungen!$F$4:$F$1003,Buchungen!$B$4:$B$1003,$B$3,Buchungen!$C$4:$C$1003,D$4,Buchungen!$D$4:$D$1003,$A26))</f>
        <v>0</v>
      </c>
      <c r="E26" s="39">
        <f>IF($A26="",0,SUMIFS(Buchungen!$F$4:$F$1003,Buchungen!$B$4:$B$1003,$B$3,Buchungen!$C$4:$C$1003,E$4,Buchungen!$D$4:$D$1003,$A26))</f>
        <v>0</v>
      </c>
      <c r="F26" s="39">
        <f>IF($A26="",0,SUMIFS(Buchungen!$F$4:$F$1003,Buchungen!$B$4:$B$1003,$B$3,Buchungen!$C$4:$C$1003,F$4,Buchungen!$D$4:$D$1003,$A26))</f>
        <v>0</v>
      </c>
      <c r="G26" s="39">
        <f>IF($A26="",0,SUMIFS(Buchungen!$F$4:$F$1003,Buchungen!$B$4:$B$1003,$B$3,Buchungen!$C$4:$C$1003,G$4,Buchungen!$D$4:$D$1003,$A26))</f>
        <v>0</v>
      </c>
      <c r="H26" s="39">
        <f>IF($A26="",0,SUMIFS(Buchungen!$F$4:$F$1003,Buchungen!$B$4:$B$1003,$B$3,Buchungen!$C$4:$C$1003,H$4,Buchungen!$D$4:$D$1003,$A26))</f>
        <v>0</v>
      </c>
      <c r="I26" s="39">
        <f>IF($A26="",0,SUMIFS(Buchungen!$F$4:$F$1003,Buchungen!$B$4:$B$1003,$B$3,Buchungen!$C$4:$C$1003,I$4,Buchungen!$D$4:$D$1003,$A26))</f>
        <v>0</v>
      </c>
      <c r="J26" s="39">
        <f>IF($A26="",0,SUMIFS(Buchungen!$F$4:$F$1003,Buchungen!$B$4:$B$1003,$B$3,Buchungen!$C$4:$C$1003,J$4,Buchungen!$D$4:$D$1003,$A26))</f>
        <v>0</v>
      </c>
      <c r="K26" s="39">
        <f>IF($A26="",0,SUMIFS(Buchungen!$F$4:$F$1003,Buchungen!$B$4:$B$1003,$B$3,Buchungen!$C$4:$C$1003,K$4,Buchungen!$D$4:$D$1003,$A26))</f>
        <v>0</v>
      </c>
      <c r="L26" s="39">
        <f>IF($A26="",0,SUMIFS(Buchungen!$F$4:$F$1003,Buchungen!$B$4:$B$1003,$B$3,Buchungen!$C$4:$C$1003,L$4,Buchungen!$D$4:$D$1003,$A26))</f>
        <v>0</v>
      </c>
      <c r="M26" s="39">
        <f>IF($A26="",0,SUMIFS(Buchungen!$F$4:$F$1003,Buchungen!$B$4:$B$1003,$B$3,Buchungen!$C$4:$C$1003,M$4,Buchungen!$D$4:$D$1003,$A26))</f>
        <v>0</v>
      </c>
      <c r="N26" s="39">
        <f>IF($A26="",0,SUMIFS(Buchungen!$F$4:$F$1003,Buchungen!$B$4:$B$1003,$B$3,Buchungen!$C$4:$C$1003,N$4,Buchungen!$D$4:$D$1003,$A26))</f>
        <v>0</v>
      </c>
      <c r="O26" s="11">
        <f t="shared" si="0"/>
        <v>0</v>
      </c>
      <c r="P26" s="11">
        <f t="shared" si="1"/>
        <v>0</v>
      </c>
      <c r="Q26" s="13">
        <f>IF(Einstellungen!$C24="",0,Einstellungen!$C24)</f>
        <v>0</v>
      </c>
      <c r="R26" s="11">
        <f t="shared" si="2"/>
        <v>0</v>
      </c>
      <c r="S26" s="11">
        <f t="shared" si="3"/>
        <v>0</v>
      </c>
    </row>
    <row r="27" spans="1:19" ht="15" customHeight="1" x14ac:dyDescent="0.25">
      <c r="A27" s="14" t="str">
        <f>IF(Einstellungen!$A25="","",Einstellungen!$A25)</f>
        <v/>
      </c>
      <c r="B27" s="14" t="str">
        <f>IF(Einstellungen!$B25="","",Einstellungen!$B25)</f>
        <v/>
      </c>
      <c r="C27" s="39">
        <f>IF($A27="",0,SUMIFS(Buchungen!$F$4:$F$1003,Buchungen!$B$4:$B$1003,$B$3,Buchungen!$C$4:$C$1003,C$4,Buchungen!$D$4:$D$1003,$A27))</f>
        <v>0</v>
      </c>
      <c r="D27" s="39">
        <f>IF($A27="",0,SUMIFS(Buchungen!$F$4:$F$1003,Buchungen!$B$4:$B$1003,$B$3,Buchungen!$C$4:$C$1003,D$4,Buchungen!$D$4:$D$1003,$A27))</f>
        <v>0</v>
      </c>
      <c r="E27" s="39">
        <f>IF($A27="",0,SUMIFS(Buchungen!$F$4:$F$1003,Buchungen!$B$4:$B$1003,$B$3,Buchungen!$C$4:$C$1003,E$4,Buchungen!$D$4:$D$1003,$A27))</f>
        <v>0</v>
      </c>
      <c r="F27" s="39">
        <f>IF($A27="",0,SUMIFS(Buchungen!$F$4:$F$1003,Buchungen!$B$4:$B$1003,$B$3,Buchungen!$C$4:$C$1003,F$4,Buchungen!$D$4:$D$1003,$A27))</f>
        <v>0</v>
      </c>
      <c r="G27" s="39">
        <f>IF($A27="",0,SUMIFS(Buchungen!$F$4:$F$1003,Buchungen!$B$4:$B$1003,$B$3,Buchungen!$C$4:$C$1003,G$4,Buchungen!$D$4:$D$1003,$A27))</f>
        <v>0</v>
      </c>
      <c r="H27" s="39">
        <f>IF($A27="",0,SUMIFS(Buchungen!$F$4:$F$1003,Buchungen!$B$4:$B$1003,$B$3,Buchungen!$C$4:$C$1003,H$4,Buchungen!$D$4:$D$1003,$A27))</f>
        <v>0</v>
      </c>
      <c r="I27" s="39">
        <f>IF($A27="",0,SUMIFS(Buchungen!$F$4:$F$1003,Buchungen!$B$4:$B$1003,$B$3,Buchungen!$C$4:$C$1003,I$4,Buchungen!$D$4:$D$1003,$A27))</f>
        <v>0</v>
      </c>
      <c r="J27" s="39">
        <f>IF($A27="",0,SUMIFS(Buchungen!$F$4:$F$1003,Buchungen!$B$4:$B$1003,$B$3,Buchungen!$C$4:$C$1003,J$4,Buchungen!$D$4:$D$1003,$A27))</f>
        <v>0</v>
      </c>
      <c r="K27" s="39">
        <f>IF($A27="",0,SUMIFS(Buchungen!$F$4:$F$1003,Buchungen!$B$4:$B$1003,$B$3,Buchungen!$C$4:$C$1003,K$4,Buchungen!$D$4:$D$1003,$A27))</f>
        <v>0</v>
      </c>
      <c r="L27" s="39">
        <f>IF($A27="",0,SUMIFS(Buchungen!$F$4:$F$1003,Buchungen!$B$4:$B$1003,$B$3,Buchungen!$C$4:$C$1003,L$4,Buchungen!$D$4:$D$1003,$A27))</f>
        <v>0</v>
      </c>
      <c r="M27" s="39">
        <f>IF($A27="",0,SUMIFS(Buchungen!$F$4:$F$1003,Buchungen!$B$4:$B$1003,$B$3,Buchungen!$C$4:$C$1003,M$4,Buchungen!$D$4:$D$1003,$A27))</f>
        <v>0</v>
      </c>
      <c r="N27" s="39">
        <f>IF($A27="",0,SUMIFS(Buchungen!$F$4:$F$1003,Buchungen!$B$4:$B$1003,$B$3,Buchungen!$C$4:$C$1003,N$4,Buchungen!$D$4:$D$1003,$A27))</f>
        <v>0</v>
      </c>
      <c r="O27" s="11">
        <f t="shared" si="0"/>
        <v>0</v>
      </c>
      <c r="P27" s="11">
        <f t="shared" si="1"/>
        <v>0</v>
      </c>
      <c r="Q27" s="13">
        <f>IF(Einstellungen!$C25="",0,Einstellungen!$C25)</f>
        <v>0</v>
      </c>
      <c r="R27" s="11">
        <f t="shared" si="2"/>
        <v>0</v>
      </c>
      <c r="S27" s="11">
        <f t="shared" si="3"/>
        <v>0</v>
      </c>
    </row>
    <row r="28" spans="1:19" ht="15" customHeight="1" x14ac:dyDescent="0.25">
      <c r="A28" s="14" t="str">
        <f>IF(Einstellungen!$A26="","",Einstellungen!$A26)</f>
        <v/>
      </c>
      <c r="B28" s="14" t="str">
        <f>IF(Einstellungen!$B26="","",Einstellungen!$B26)</f>
        <v/>
      </c>
      <c r="C28" s="39">
        <f>IF($A28="",0,SUMIFS(Buchungen!$F$4:$F$1003,Buchungen!$B$4:$B$1003,$B$3,Buchungen!$C$4:$C$1003,C$4,Buchungen!$D$4:$D$1003,$A28))</f>
        <v>0</v>
      </c>
      <c r="D28" s="39">
        <f>IF($A28="",0,SUMIFS(Buchungen!$F$4:$F$1003,Buchungen!$B$4:$B$1003,$B$3,Buchungen!$C$4:$C$1003,D$4,Buchungen!$D$4:$D$1003,$A28))</f>
        <v>0</v>
      </c>
      <c r="E28" s="39">
        <f>IF($A28="",0,SUMIFS(Buchungen!$F$4:$F$1003,Buchungen!$B$4:$B$1003,$B$3,Buchungen!$C$4:$C$1003,E$4,Buchungen!$D$4:$D$1003,$A28))</f>
        <v>0</v>
      </c>
      <c r="F28" s="39">
        <f>IF($A28="",0,SUMIFS(Buchungen!$F$4:$F$1003,Buchungen!$B$4:$B$1003,$B$3,Buchungen!$C$4:$C$1003,F$4,Buchungen!$D$4:$D$1003,$A28))</f>
        <v>0</v>
      </c>
      <c r="G28" s="39">
        <f>IF($A28="",0,SUMIFS(Buchungen!$F$4:$F$1003,Buchungen!$B$4:$B$1003,$B$3,Buchungen!$C$4:$C$1003,G$4,Buchungen!$D$4:$D$1003,$A28))</f>
        <v>0</v>
      </c>
      <c r="H28" s="39">
        <f>IF($A28="",0,SUMIFS(Buchungen!$F$4:$F$1003,Buchungen!$B$4:$B$1003,$B$3,Buchungen!$C$4:$C$1003,H$4,Buchungen!$D$4:$D$1003,$A28))</f>
        <v>0</v>
      </c>
      <c r="I28" s="39">
        <f>IF($A28="",0,SUMIFS(Buchungen!$F$4:$F$1003,Buchungen!$B$4:$B$1003,$B$3,Buchungen!$C$4:$C$1003,I$4,Buchungen!$D$4:$D$1003,$A28))</f>
        <v>0</v>
      </c>
      <c r="J28" s="39">
        <f>IF($A28="",0,SUMIFS(Buchungen!$F$4:$F$1003,Buchungen!$B$4:$B$1003,$B$3,Buchungen!$C$4:$C$1003,J$4,Buchungen!$D$4:$D$1003,$A28))</f>
        <v>0</v>
      </c>
      <c r="K28" s="39">
        <f>IF($A28="",0,SUMIFS(Buchungen!$F$4:$F$1003,Buchungen!$B$4:$B$1003,$B$3,Buchungen!$C$4:$C$1003,K$4,Buchungen!$D$4:$D$1003,$A28))</f>
        <v>0</v>
      </c>
      <c r="L28" s="39">
        <f>IF($A28="",0,SUMIFS(Buchungen!$F$4:$F$1003,Buchungen!$B$4:$B$1003,$B$3,Buchungen!$C$4:$C$1003,L$4,Buchungen!$D$4:$D$1003,$A28))</f>
        <v>0</v>
      </c>
      <c r="M28" s="39">
        <f>IF($A28="",0,SUMIFS(Buchungen!$F$4:$F$1003,Buchungen!$B$4:$B$1003,$B$3,Buchungen!$C$4:$C$1003,M$4,Buchungen!$D$4:$D$1003,$A28))</f>
        <v>0</v>
      </c>
      <c r="N28" s="39">
        <f>IF($A28="",0,SUMIFS(Buchungen!$F$4:$F$1003,Buchungen!$B$4:$B$1003,$B$3,Buchungen!$C$4:$C$1003,N$4,Buchungen!$D$4:$D$1003,$A28))</f>
        <v>0</v>
      </c>
      <c r="O28" s="11">
        <f t="shared" si="0"/>
        <v>0</v>
      </c>
      <c r="P28" s="11">
        <f t="shared" si="1"/>
        <v>0</v>
      </c>
      <c r="Q28" s="13">
        <f>IF(Einstellungen!$C26="",0,Einstellungen!$C26)</f>
        <v>0</v>
      </c>
      <c r="R28" s="11">
        <f t="shared" si="2"/>
        <v>0</v>
      </c>
      <c r="S28" s="11">
        <f t="shared" si="3"/>
        <v>0</v>
      </c>
    </row>
    <row r="29" spans="1:19" ht="15" customHeight="1" x14ac:dyDescent="0.25">
      <c r="A29" s="14" t="str">
        <f>IF(Einstellungen!$A27="","",Einstellungen!$A27)</f>
        <v/>
      </c>
      <c r="B29" s="14" t="str">
        <f>IF(Einstellungen!$B27="","",Einstellungen!$B27)</f>
        <v/>
      </c>
      <c r="C29" s="39">
        <f>IF($A29="",0,SUMIFS(Buchungen!$F$4:$F$1003,Buchungen!$B$4:$B$1003,$B$3,Buchungen!$C$4:$C$1003,C$4,Buchungen!$D$4:$D$1003,$A29))</f>
        <v>0</v>
      </c>
      <c r="D29" s="39">
        <f>IF($A29="",0,SUMIFS(Buchungen!$F$4:$F$1003,Buchungen!$B$4:$B$1003,$B$3,Buchungen!$C$4:$C$1003,D$4,Buchungen!$D$4:$D$1003,$A29))</f>
        <v>0</v>
      </c>
      <c r="E29" s="39">
        <f>IF($A29="",0,SUMIFS(Buchungen!$F$4:$F$1003,Buchungen!$B$4:$B$1003,$B$3,Buchungen!$C$4:$C$1003,E$4,Buchungen!$D$4:$D$1003,$A29))</f>
        <v>0</v>
      </c>
      <c r="F29" s="39">
        <f>IF($A29="",0,SUMIFS(Buchungen!$F$4:$F$1003,Buchungen!$B$4:$B$1003,$B$3,Buchungen!$C$4:$C$1003,F$4,Buchungen!$D$4:$D$1003,$A29))</f>
        <v>0</v>
      </c>
      <c r="G29" s="39">
        <f>IF($A29="",0,SUMIFS(Buchungen!$F$4:$F$1003,Buchungen!$B$4:$B$1003,$B$3,Buchungen!$C$4:$C$1003,G$4,Buchungen!$D$4:$D$1003,$A29))</f>
        <v>0</v>
      </c>
      <c r="H29" s="39">
        <f>IF($A29="",0,SUMIFS(Buchungen!$F$4:$F$1003,Buchungen!$B$4:$B$1003,$B$3,Buchungen!$C$4:$C$1003,H$4,Buchungen!$D$4:$D$1003,$A29))</f>
        <v>0</v>
      </c>
      <c r="I29" s="39">
        <f>IF($A29="",0,SUMIFS(Buchungen!$F$4:$F$1003,Buchungen!$B$4:$B$1003,$B$3,Buchungen!$C$4:$C$1003,I$4,Buchungen!$D$4:$D$1003,$A29))</f>
        <v>0</v>
      </c>
      <c r="J29" s="39">
        <f>IF($A29="",0,SUMIFS(Buchungen!$F$4:$F$1003,Buchungen!$B$4:$B$1003,$B$3,Buchungen!$C$4:$C$1003,J$4,Buchungen!$D$4:$D$1003,$A29))</f>
        <v>0</v>
      </c>
      <c r="K29" s="39">
        <f>IF($A29="",0,SUMIFS(Buchungen!$F$4:$F$1003,Buchungen!$B$4:$B$1003,$B$3,Buchungen!$C$4:$C$1003,K$4,Buchungen!$D$4:$D$1003,$A29))</f>
        <v>0</v>
      </c>
      <c r="L29" s="39">
        <f>IF($A29="",0,SUMIFS(Buchungen!$F$4:$F$1003,Buchungen!$B$4:$B$1003,$B$3,Buchungen!$C$4:$C$1003,L$4,Buchungen!$D$4:$D$1003,$A29))</f>
        <v>0</v>
      </c>
      <c r="M29" s="39">
        <f>IF($A29="",0,SUMIFS(Buchungen!$F$4:$F$1003,Buchungen!$B$4:$B$1003,$B$3,Buchungen!$C$4:$C$1003,M$4,Buchungen!$D$4:$D$1003,$A29))</f>
        <v>0</v>
      </c>
      <c r="N29" s="39">
        <f>IF($A29="",0,SUMIFS(Buchungen!$F$4:$F$1003,Buchungen!$B$4:$B$1003,$B$3,Buchungen!$C$4:$C$1003,N$4,Buchungen!$D$4:$D$1003,$A29))</f>
        <v>0</v>
      </c>
      <c r="O29" s="11">
        <f t="shared" si="0"/>
        <v>0</v>
      </c>
      <c r="P29" s="11">
        <f t="shared" si="1"/>
        <v>0</v>
      </c>
      <c r="Q29" s="13">
        <f>IF(Einstellungen!$C27="",0,Einstellungen!$C27)</f>
        <v>0</v>
      </c>
      <c r="R29" s="11">
        <f t="shared" si="2"/>
        <v>0</v>
      </c>
      <c r="S29" s="11">
        <f t="shared" si="3"/>
        <v>0</v>
      </c>
    </row>
    <row r="30" spans="1:19" ht="15" customHeight="1" x14ac:dyDescent="0.25">
      <c r="A30" s="14" t="str">
        <f>IF(Einstellungen!$A28="","",Einstellungen!$A28)</f>
        <v/>
      </c>
      <c r="B30" s="14" t="str">
        <f>IF(Einstellungen!$B28="","",Einstellungen!$B28)</f>
        <v/>
      </c>
      <c r="C30" s="39">
        <f>IF($A30="",0,SUMIFS(Buchungen!$F$4:$F$1003,Buchungen!$B$4:$B$1003,$B$3,Buchungen!$C$4:$C$1003,C$4,Buchungen!$D$4:$D$1003,$A30))</f>
        <v>0</v>
      </c>
      <c r="D30" s="39">
        <f>IF($A30="",0,SUMIFS(Buchungen!$F$4:$F$1003,Buchungen!$B$4:$B$1003,$B$3,Buchungen!$C$4:$C$1003,D$4,Buchungen!$D$4:$D$1003,$A30))</f>
        <v>0</v>
      </c>
      <c r="E30" s="39">
        <f>IF($A30="",0,SUMIFS(Buchungen!$F$4:$F$1003,Buchungen!$B$4:$B$1003,$B$3,Buchungen!$C$4:$C$1003,E$4,Buchungen!$D$4:$D$1003,$A30))</f>
        <v>0</v>
      </c>
      <c r="F30" s="39">
        <f>IF($A30="",0,SUMIFS(Buchungen!$F$4:$F$1003,Buchungen!$B$4:$B$1003,$B$3,Buchungen!$C$4:$C$1003,F$4,Buchungen!$D$4:$D$1003,$A30))</f>
        <v>0</v>
      </c>
      <c r="G30" s="39">
        <f>IF($A30="",0,SUMIFS(Buchungen!$F$4:$F$1003,Buchungen!$B$4:$B$1003,$B$3,Buchungen!$C$4:$C$1003,G$4,Buchungen!$D$4:$D$1003,$A30))</f>
        <v>0</v>
      </c>
      <c r="H30" s="39">
        <f>IF($A30="",0,SUMIFS(Buchungen!$F$4:$F$1003,Buchungen!$B$4:$B$1003,$B$3,Buchungen!$C$4:$C$1003,H$4,Buchungen!$D$4:$D$1003,$A30))</f>
        <v>0</v>
      </c>
      <c r="I30" s="39">
        <f>IF($A30="",0,SUMIFS(Buchungen!$F$4:$F$1003,Buchungen!$B$4:$B$1003,$B$3,Buchungen!$C$4:$C$1003,I$4,Buchungen!$D$4:$D$1003,$A30))</f>
        <v>0</v>
      </c>
      <c r="J30" s="39">
        <f>IF($A30="",0,SUMIFS(Buchungen!$F$4:$F$1003,Buchungen!$B$4:$B$1003,$B$3,Buchungen!$C$4:$C$1003,J$4,Buchungen!$D$4:$D$1003,$A30))</f>
        <v>0</v>
      </c>
      <c r="K30" s="39">
        <f>IF($A30="",0,SUMIFS(Buchungen!$F$4:$F$1003,Buchungen!$B$4:$B$1003,$B$3,Buchungen!$C$4:$C$1003,K$4,Buchungen!$D$4:$D$1003,$A30))</f>
        <v>0</v>
      </c>
      <c r="L30" s="39">
        <f>IF($A30="",0,SUMIFS(Buchungen!$F$4:$F$1003,Buchungen!$B$4:$B$1003,$B$3,Buchungen!$C$4:$C$1003,L$4,Buchungen!$D$4:$D$1003,$A30))</f>
        <v>0</v>
      </c>
      <c r="M30" s="39">
        <f>IF($A30="",0,SUMIFS(Buchungen!$F$4:$F$1003,Buchungen!$B$4:$B$1003,$B$3,Buchungen!$C$4:$C$1003,M$4,Buchungen!$D$4:$D$1003,$A30))</f>
        <v>0</v>
      </c>
      <c r="N30" s="39">
        <f>IF($A30="",0,SUMIFS(Buchungen!$F$4:$F$1003,Buchungen!$B$4:$B$1003,$B$3,Buchungen!$C$4:$C$1003,N$4,Buchungen!$D$4:$D$1003,$A30))</f>
        <v>0</v>
      </c>
      <c r="O30" s="11">
        <f t="shared" si="0"/>
        <v>0</v>
      </c>
      <c r="P30" s="11">
        <f t="shared" si="1"/>
        <v>0</v>
      </c>
      <c r="Q30" s="13">
        <f>IF(Einstellungen!$C28="",0,Einstellungen!$C28)</f>
        <v>0</v>
      </c>
      <c r="R30" s="11">
        <f t="shared" si="2"/>
        <v>0</v>
      </c>
      <c r="S30" s="11">
        <f t="shared" si="3"/>
        <v>0</v>
      </c>
    </row>
    <row r="31" spans="1:19" ht="15" customHeight="1" x14ac:dyDescent="0.25">
      <c r="A31" s="14" t="str">
        <f>IF(Einstellungen!$A29="","",Einstellungen!$A29)</f>
        <v/>
      </c>
      <c r="B31" s="14" t="str">
        <f>IF(Einstellungen!$B29="","",Einstellungen!$B29)</f>
        <v/>
      </c>
      <c r="C31" s="39">
        <f>IF($A31="",0,SUMIFS(Buchungen!$F$4:$F$1003,Buchungen!$B$4:$B$1003,$B$3,Buchungen!$C$4:$C$1003,C$4,Buchungen!$D$4:$D$1003,$A31))</f>
        <v>0</v>
      </c>
      <c r="D31" s="39">
        <f>IF($A31="",0,SUMIFS(Buchungen!$F$4:$F$1003,Buchungen!$B$4:$B$1003,$B$3,Buchungen!$C$4:$C$1003,D$4,Buchungen!$D$4:$D$1003,$A31))</f>
        <v>0</v>
      </c>
      <c r="E31" s="39">
        <f>IF($A31="",0,SUMIFS(Buchungen!$F$4:$F$1003,Buchungen!$B$4:$B$1003,$B$3,Buchungen!$C$4:$C$1003,E$4,Buchungen!$D$4:$D$1003,$A31))</f>
        <v>0</v>
      </c>
      <c r="F31" s="39">
        <f>IF($A31="",0,SUMIFS(Buchungen!$F$4:$F$1003,Buchungen!$B$4:$B$1003,$B$3,Buchungen!$C$4:$C$1003,F$4,Buchungen!$D$4:$D$1003,$A31))</f>
        <v>0</v>
      </c>
      <c r="G31" s="39">
        <f>IF($A31="",0,SUMIFS(Buchungen!$F$4:$F$1003,Buchungen!$B$4:$B$1003,$B$3,Buchungen!$C$4:$C$1003,G$4,Buchungen!$D$4:$D$1003,$A31))</f>
        <v>0</v>
      </c>
      <c r="H31" s="39">
        <f>IF($A31="",0,SUMIFS(Buchungen!$F$4:$F$1003,Buchungen!$B$4:$B$1003,$B$3,Buchungen!$C$4:$C$1003,H$4,Buchungen!$D$4:$D$1003,$A31))</f>
        <v>0</v>
      </c>
      <c r="I31" s="39">
        <f>IF($A31="",0,SUMIFS(Buchungen!$F$4:$F$1003,Buchungen!$B$4:$B$1003,$B$3,Buchungen!$C$4:$C$1003,I$4,Buchungen!$D$4:$D$1003,$A31))</f>
        <v>0</v>
      </c>
      <c r="J31" s="39">
        <f>IF($A31="",0,SUMIFS(Buchungen!$F$4:$F$1003,Buchungen!$B$4:$B$1003,$B$3,Buchungen!$C$4:$C$1003,J$4,Buchungen!$D$4:$D$1003,$A31))</f>
        <v>0</v>
      </c>
      <c r="K31" s="39">
        <f>IF($A31="",0,SUMIFS(Buchungen!$F$4:$F$1003,Buchungen!$B$4:$B$1003,$B$3,Buchungen!$C$4:$C$1003,K$4,Buchungen!$D$4:$D$1003,$A31))</f>
        <v>0</v>
      </c>
      <c r="L31" s="39">
        <f>IF($A31="",0,SUMIFS(Buchungen!$F$4:$F$1003,Buchungen!$B$4:$B$1003,$B$3,Buchungen!$C$4:$C$1003,L$4,Buchungen!$D$4:$D$1003,$A31))</f>
        <v>0</v>
      </c>
      <c r="M31" s="39">
        <f>IF($A31="",0,SUMIFS(Buchungen!$F$4:$F$1003,Buchungen!$B$4:$B$1003,$B$3,Buchungen!$C$4:$C$1003,M$4,Buchungen!$D$4:$D$1003,$A31))</f>
        <v>0</v>
      </c>
      <c r="N31" s="39">
        <f>IF($A31="",0,SUMIFS(Buchungen!$F$4:$F$1003,Buchungen!$B$4:$B$1003,$B$3,Buchungen!$C$4:$C$1003,N$4,Buchungen!$D$4:$D$1003,$A31))</f>
        <v>0</v>
      </c>
      <c r="O31" s="11">
        <f t="shared" si="0"/>
        <v>0</v>
      </c>
      <c r="P31" s="11">
        <f t="shared" si="1"/>
        <v>0</v>
      </c>
      <c r="Q31" s="13">
        <f>IF(Einstellungen!$C29="",0,Einstellungen!$C29)</f>
        <v>0</v>
      </c>
      <c r="R31" s="11">
        <f t="shared" si="2"/>
        <v>0</v>
      </c>
      <c r="S31" s="11">
        <f t="shared" si="3"/>
        <v>0</v>
      </c>
    </row>
    <row r="32" spans="1:19" ht="15" customHeight="1" x14ac:dyDescent="0.25">
      <c r="A32" s="14" t="str">
        <f>IF(Einstellungen!$A30="","",Einstellungen!$A30)</f>
        <v/>
      </c>
      <c r="B32" s="14" t="str">
        <f>IF(Einstellungen!$B30="","",Einstellungen!$B30)</f>
        <v/>
      </c>
      <c r="C32" s="39">
        <f>IF($A32="",0,SUMIFS(Buchungen!$F$4:$F$1003,Buchungen!$B$4:$B$1003,$B$3,Buchungen!$C$4:$C$1003,C$4,Buchungen!$D$4:$D$1003,$A32))</f>
        <v>0</v>
      </c>
      <c r="D32" s="39">
        <f>IF($A32="",0,SUMIFS(Buchungen!$F$4:$F$1003,Buchungen!$B$4:$B$1003,$B$3,Buchungen!$C$4:$C$1003,D$4,Buchungen!$D$4:$D$1003,$A32))</f>
        <v>0</v>
      </c>
      <c r="E32" s="39">
        <f>IF($A32="",0,SUMIFS(Buchungen!$F$4:$F$1003,Buchungen!$B$4:$B$1003,$B$3,Buchungen!$C$4:$C$1003,E$4,Buchungen!$D$4:$D$1003,$A32))</f>
        <v>0</v>
      </c>
      <c r="F32" s="39">
        <f>IF($A32="",0,SUMIFS(Buchungen!$F$4:$F$1003,Buchungen!$B$4:$B$1003,$B$3,Buchungen!$C$4:$C$1003,F$4,Buchungen!$D$4:$D$1003,$A32))</f>
        <v>0</v>
      </c>
      <c r="G32" s="39">
        <f>IF($A32="",0,SUMIFS(Buchungen!$F$4:$F$1003,Buchungen!$B$4:$B$1003,$B$3,Buchungen!$C$4:$C$1003,G$4,Buchungen!$D$4:$D$1003,$A32))</f>
        <v>0</v>
      </c>
      <c r="H32" s="39">
        <f>IF($A32="",0,SUMIFS(Buchungen!$F$4:$F$1003,Buchungen!$B$4:$B$1003,$B$3,Buchungen!$C$4:$C$1003,H$4,Buchungen!$D$4:$D$1003,$A32))</f>
        <v>0</v>
      </c>
      <c r="I32" s="39">
        <f>IF($A32="",0,SUMIFS(Buchungen!$F$4:$F$1003,Buchungen!$B$4:$B$1003,$B$3,Buchungen!$C$4:$C$1003,I$4,Buchungen!$D$4:$D$1003,$A32))</f>
        <v>0</v>
      </c>
      <c r="J32" s="39">
        <f>IF($A32="",0,SUMIFS(Buchungen!$F$4:$F$1003,Buchungen!$B$4:$B$1003,$B$3,Buchungen!$C$4:$C$1003,J$4,Buchungen!$D$4:$D$1003,$A32))</f>
        <v>0</v>
      </c>
      <c r="K32" s="39">
        <f>IF($A32="",0,SUMIFS(Buchungen!$F$4:$F$1003,Buchungen!$B$4:$B$1003,$B$3,Buchungen!$C$4:$C$1003,K$4,Buchungen!$D$4:$D$1003,$A32))</f>
        <v>0</v>
      </c>
      <c r="L32" s="39">
        <f>IF($A32="",0,SUMIFS(Buchungen!$F$4:$F$1003,Buchungen!$B$4:$B$1003,$B$3,Buchungen!$C$4:$C$1003,L$4,Buchungen!$D$4:$D$1003,$A32))</f>
        <v>0</v>
      </c>
      <c r="M32" s="39">
        <f>IF($A32="",0,SUMIFS(Buchungen!$F$4:$F$1003,Buchungen!$B$4:$B$1003,$B$3,Buchungen!$C$4:$C$1003,M$4,Buchungen!$D$4:$D$1003,$A32))</f>
        <v>0</v>
      </c>
      <c r="N32" s="39">
        <f>IF($A32="",0,SUMIFS(Buchungen!$F$4:$F$1003,Buchungen!$B$4:$B$1003,$B$3,Buchungen!$C$4:$C$1003,N$4,Buchungen!$D$4:$D$1003,$A32))</f>
        <v>0</v>
      </c>
      <c r="O32" s="11">
        <f t="shared" si="0"/>
        <v>0</v>
      </c>
      <c r="P32" s="11">
        <f t="shared" si="1"/>
        <v>0</v>
      </c>
      <c r="Q32" s="13">
        <f>IF(Einstellungen!$C30="",0,Einstellungen!$C30)</f>
        <v>0</v>
      </c>
      <c r="R32" s="11">
        <f t="shared" si="2"/>
        <v>0</v>
      </c>
      <c r="S32" s="11">
        <f t="shared" si="3"/>
        <v>0</v>
      </c>
    </row>
    <row r="33" spans="1:19" ht="15" customHeight="1" x14ac:dyDescent="0.25">
      <c r="A33" s="14" t="str">
        <f>IF(Einstellungen!$A31="","",Einstellungen!$A31)</f>
        <v/>
      </c>
      <c r="B33" s="14" t="str">
        <f>IF(Einstellungen!$B31="","",Einstellungen!$B31)</f>
        <v/>
      </c>
      <c r="C33" s="39">
        <f>IF($A33="",0,SUMIFS(Buchungen!$F$4:$F$1003,Buchungen!$B$4:$B$1003,$B$3,Buchungen!$C$4:$C$1003,C$4,Buchungen!$D$4:$D$1003,$A33))</f>
        <v>0</v>
      </c>
      <c r="D33" s="39">
        <f>IF($A33="",0,SUMIFS(Buchungen!$F$4:$F$1003,Buchungen!$B$4:$B$1003,$B$3,Buchungen!$C$4:$C$1003,D$4,Buchungen!$D$4:$D$1003,$A33))</f>
        <v>0</v>
      </c>
      <c r="E33" s="39">
        <f>IF($A33="",0,SUMIFS(Buchungen!$F$4:$F$1003,Buchungen!$B$4:$B$1003,$B$3,Buchungen!$C$4:$C$1003,E$4,Buchungen!$D$4:$D$1003,$A33))</f>
        <v>0</v>
      </c>
      <c r="F33" s="39">
        <f>IF($A33="",0,SUMIFS(Buchungen!$F$4:$F$1003,Buchungen!$B$4:$B$1003,$B$3,Buchungen!$C$4:$C$1003,F$4,Buchungen!$D$4:$D$1003,$A33))</f>
        <v>0</v>
      </c>
      <c r="G33" s="39">
        <f>IF($A33="",0,SUMIFS(Buchungen!$F$4:$F$1003,Buchungen!$B$4:$B$1003,$B$3,Buchungen!$C$4:$C$1003,G$4,Buchungen!$D$4:$D$1003,$A33))</f>
        <v>0</v>
      </c>
      <c r="H33" s="39">
        <f>IF($A33="",0,SUMIFS(Buchungen!$F$4:$F$1003,Buchungen!$B$4:$B$1003,$B$3,Buchungen!$C$4:$C$1003,H$4,Buchungen!$D$4:$D$1003,$A33))</f>
        <v>0</v>
      </c>
      <c r="I33" s="39">
        <f>IF($A33="",0,SUMIFS(Buchungen!$F$4:$F$1003,Buchungen!$B$4:$B$1003,$B$3,Buchungen!$C$4:$C$1003,I$4,Buchungen!$D$4:$D$1003,$A33))</f>
        <v>0</v>
      </c>
      <c r="J33" s="39">
        <f>IF($A33="",0,SUMIFS(Buchungen!$F$4:$F$1003,Buchungen!$B$4:$B$1003,$B$3,Buchungen!$C$4:$C$1003,J$4,Buchungen!$D$4:$D$1003,$A33))</f>
        <v>0</v>
      </c>
      <c r="K33" s="39">
        <f>IF($A33="",0,SUMIFS(Buchungen!$F$4:$F$1003,Buchungen!$B$4:$B$1003,$B$3,Buchungen!$C$4:$C$1003,K$4,Buchungen!$D$4:$D$1003,$A33))</f>
        <v>0</v>
      </c>
      <c r="L33" s="39">
        <f>IF($A33="",0,SUMIFS(Buchungen!$F$4:$F$1003,Buchungen!$B$4:$B$1003,$B$3,Buchungen!$C$4:$C$1003,L$4,Buchungen!$D$4:$D$1003,$A33))</f>
        <v>0</v>
      </c>
      <c r="M33" s="39">
        <f>IF($A33="",0,SUMIFS(Buchungen!$F$4:$F$1003,Buchungen!$B$4:$B$1003,$B$3,Buchungen!$C$4:$C$1003,M$4,Buchungen!$D$4:$D$1003,$A33))</f>
        <v>0</v>
      </c>
      <c r="N33" s="39">
        <f>IF($A33="",0,SUMIFS(Buchungen!$F$4:$F$1003,Buchungen!$B$4:$B$1003,$B$3,Buchungen!$C$4:$C$1003,N$4,Buchungen!$D$4:$D$1003,$A33))</f>
        <v>0</v>
      </c>
      <c r="O33" s="11">
        <f t="shared" si="0"/>
        <v>0</v>
      </c>
      <c r="P33" s="11">
        <f t="shared" si="1"/>
        <v>0</v>
      </c>
      <c r="Q33" s="13">
        <f>IF(Einstellungen!$C31="",0,Einstellungen!$C31)</f>
        <v>0</v>
      </c>
      <c r="R33" s="11">
        <f t="shared" si="2"/>
        <v>0</v>
      </c>
      <c r="S33" s="11">
        <f t="shared" si="3"/>
        <v>0</v>
      </c>
    </row>
    <row r="34" spans="1:19" ht="15" customHeight="1" x14ac:dyDescent="0.25">
      <c r="A34" s="14" t="str">
        <f>IF(Einstellungen!$A32="","",Einstellungen!$A32)</f>
        <v/>
      </c>
      <c r="B34" s="14" t="str">
        <f>IF(Einstellungen!$B32="","",Einstellungen!$B32)</f>
        <v/>
      </c>
      <c r="C34" s="39">
        <f>IF($A34="",0,SUMIFS(Buchungen!$F$4:$F$1003,Buchungen!$B$4:$B$1003,$B$3,Buchungen!$C$4:$C$1003,C$4,Buchungen!$D$4:$D$1003,$A34))</f>
        <v>0</v>
      </c>
      <c r="D34" s="39">
        <f>IF($A34="",0,SUMIFS(Buchungen!$F$4:$F$1003,Buchungen!$B$4:$B$1003,$B$3,Buchungen!$C$4:$C$1003,D$4,Buchungen!$D$4:$D$1003,$A34))</f>
        <v>0</v>
      </c>
      <c r="E34" s="39">
        <f>IF($A34="",0,SUMIFS(Buchungen!$F$4:$F$1003,Buchungen!$B$4:$B$1003,$B$3,Buchungen!$C$4:$C$1003,E$4,Buchungen!$D$4:$D$1003,$A34))</f>
        <v>0</v>
      </c>
      <c r="F34" s="39">
        <f>IF($A34="",0,SUMIFS(Buchungen!$F$4:$F$1003,Buchungen!$B$4:$B$1003,$B$3,Buchungen!$C$4:$C$1003,F$4,Buchungen!$D$4:$D$1003,$A34))</f>
        <v>0</v>
      </c>
      <c r="G34" s="39">
        <f>IF($A34="",0,SUMIFS(Buchungen!$F$4:$F$1003,Buchungen!$B$4:$B$1003,$B$3,Buchungen!$C$4:$C$1003,G$4,Buchungen!$D$4:$D$1003,$A34))</f>
        <v>0</v>
      </c>
      <c r="H34" s="39">
        <f>IF($A34="",0,SUMIFS(Buchungen!$F$4:$F$1003,Buchungen!$B$4:$B$1003,$B$3,Buchungen!$C$4:$C$1003,H$4,Buchungen!$D$4:$D$1003,$A34))</f>
        <v>0</v>
      </c>
      <c r="I34" s="39">
        <f>IF($A34="",0,SUMIFS(Buchungen!$F$4:$F$1003,Buchungen!$B$4:$B$1003,$B$3,Buchungen!$C$4:$C$1003,I$4,Buchungen!$D$4:$D$1003,$A34))</f>
        <v>0</v>
      </c>
      <c r="J34" s="39">
        <f>IF($A34="",0,SUMIFS(Buchungen!$F$4:$F$1003,Buchungen!$B$4:$B$1003,$B$3,Buchungen!$C$4:$C$1003,J$4,Buchungen!$D$4:$D$1003,$A34))</f>
        <v>0</v>
      </c>
      <c r="K34" s="39">
        <f>IF($A34="",0,SUMIFS(Buchungen!$F$4:$F$1003,Buchungen!$B$4:$B$1003,$B$3,Buchungen!$C$4:$C$1003,K$4,Buchungen!$D$4:$D$1003,$A34))</f>
        <v>0</v>
      </c>
      <c r="L34" s="39">
        <f>IF($A34="",0,SUMIFS(Buchungen!$F$4:$F$1003,Buchungen!$B$4:$B$1003,$B$3,Buchungen!$C$4:$C$1003,L$4,Buchungen!$D$4:$D$1003,$A34))</f>
        <v>0</v>
      </c>
      <c r="M34" s="39">
        <f>IF($A34="",0,SUMIFS(Buchungen!$F$4:$F$1003,Buchungen!$B$4:$B$1003,$B$3,Buchungen!$C$4:$C$1003,M$4,Buchungen!$D$4:$D$1003,$A34))</f>
        <v>0</v>
      </c>
      <c r="N34" s="39">
        <f>IF($A34="",0,SUMIFS(Buchungen!$F$4:$F$1003,Buchungen!$B$4:$B$1003,$B$3,Buchungen!$C$4:$C$1003,N$4,Buchungen!$D$4:$D$1003,$A34))</f>
        <v>0</v>
      </c>
      <c r="O34" s="11">
        <f t="shared" si="0"/>
        <v>0</v>
      </c>
      <c r="P34" s="11">
        <f t="shared" si="1"/>
        <v>0</v>
      </c>
      <c r="Q34" s="13">
        <f>IF(Einstellungen!$C32="",0,Einstellungen!$C32)</f>
        <v>0</v>
      </c>
      <c r="R34" s="11">
        <f t="shared" si="2"/>
        <v>0</v>
      </c>
      <c r="S34" s="11">
        <f t="shared" si="3"/>
        <v>0</v>
      </c>
    </row>
    <row r="35" spans="1:19" ht="15" customHeight="1" x14ac:dyDescent="0.25">
      <c r="A35" s="14" t="str">
        <f>IF(Einstellungen!$A33="","",Einstellungen!$A33)</f>
        <v/>
      </c>
      <c r="B35" s="14" t="str">
        <f>IF(Einstellungen!$B33="","",Einstellungen!$B33)</f>
        <v/>
      </c>
      <c r="C35" s="39">
        <f>IF($A35="",0,SUMIFS(Buchungen!$F$4:$F$1003,Buchungen!$B$4:$B$1003,$B$3,Buchungen!$C$4:$C$1003,C$4,Buchungen!$D$4:$D$1003,$A35))</f>
        <v>0</v>
      </c>
      <c r="D35" s="39">
        <f>IF($A35="",0,SUMIFS(Buchungen!$F$4:$F$1003,Buchungen!$B$4:$B$1003,$B$3,Buchungen!$C$4:$C$1003,D$4,Buchungen!$D$4:$D$1003,$A35))</f>
        <v>0</v>
      </c>
      <c r="E35" s="39">
        <f>IF($A35="",0,SUMIFS(Buchungen!$F$4:$F$1003,Buchungen!$B$4:$B$1003,$B$3,Buchungen!$C$4:$C$1003,E$4,Buchungen!$D$4:$D$1003,$A35))</f>
        <v>0</v>
      </c>
      <c r="F35" s="39">
        <f>IF($A35="",0,SUMIFS(Buchungen!$F$4:$F$1003,Buchungen!$B$4:$B$1003,$B$3,Buchungen!$C$4:$C$1003,F$4,Buchungen!$D$4:$D$1003,$A35))</f>
        <v>0</v>
      </c>
      <c r="G35" s="39">
        <f>IF($A35="",0,SUMIFS(Buchungen!$F$4:$F$1003,Buchungen!$B$4:$B$1003,$B$3,Buchungen!$C$4:$C$1003,G$4,Buchungen!$D$4:$D$1003,$A35))</f>
        <v>0</v>
      </c>
      <c r="H35" s="39">
        <f>IF($A35="",0,SUMIFS(Buchungen!$F$4:$F$1003,Buchungen!$B$4:$B$1003,$B$3,Buchungen!$C$4:$C$1003,H$4,Buchungen!$D$4:$D$1003,$A35))</f>
        <v>0</v>
      </c>
      <c r="I35" s="39">
        <f>IF($A35="",0,SUMIFS(Buchungen!$F$4:$F$1003,Buchungen!$B$4:$B$1003,$B$3,Buchungen!$C$4:$C$1003,I$4,Buchungen!$D$4:$D$1003,$A35))</f>
        <v>0</v>
      </c>
      <c r="J35" s="39">
        <f>IF($A35="",0,SUMIFS(Buchungen!$F$4:$F$1003,Buchungen!$B$4:$B$1003,$B$3,Buchungen!$C$4:$C$1003,J$4,Buchungen!$D$4:$D$1003,$A35))</f>
        <v>0</v>
      </c>
      <c r="K35" s="39">
        <f>IF($A35="",0,SUMIFS(Buchungen!$F$4:$F$1003,Buchungen!$B$4:$B$1003,$B$3,Buchungen!$C$4:$C$1003,K$4,Buchungen!$D$4:$D$1003,$A35))</f>
        <v>0</v>
      </c>
      <c r="L35" s="39">
        <f>IF($A35="",0,SUMIFS(Buchungen!$F$4:$F$1003,Buchungen!$B$4:$B$1003,$B$3,Buchungen!$C$4:$C$1003,L$4,Buchungen!$D$4:$D$1003,$A35))</f>
        <v>0</v>
      </c>
      <c r="M35" s="39">
        <f>IF($A35="",0,SUMIFS(Buchungen!$F$4:$F$1003,Buchungen!$B$4:$B$1003,$B$3,Buchungen!$C$4:$C$1003,M$4,Buchungen!$D$4:$D$1003,$A35))</f>
        <v>0</v>
      </c>
      <c r="N35" s="39">
        <f>IF($A35="",0,SUMIFS(Buchungen!$F$4:$F$1003,Buchungen!$B$4:$B$1003,$B$3,Buchungen!$C$4:$C$1003,N$4,Buchungen!$D$4:$D$1003,$A35))</f>
        <v>0</v>
      </c>
      <c r="O35" s="11">
        <f t="shared" si="0"/>
        <v>0</v>
      </c>
      <c r="P35" s="11">
        <f t="shared" si="1"/>
        <v>0</v>
      </c>
      <c r="Q35" s="13">
        <f>IF(Einstellungen!$C33="",0,Einstellungen!$C33)</f>
        <v>0</v>
      </c>
      <c r="R35" s="11">
        <f t="shared" si="2"/>
        <v>0</v>
      </c>
      <c r="S35" s="11">
        <f t="shared" si="3"/>
        <v>0</v>
      </c>
    </row>
    <row r="36" spans="1:19" ht="15" customHeight="1" x14ac:dyDescent="0.25">
      <c r="A36" s="14" t="str">
        <f>IF(Einstellungen!$A34="","",Einstellungen!$A34)</f>
        <v/>
      </c>
      <c r="B36" s="14" t="str">
        <f>IF(Einstellungen!$B34="","",Einstellungen!$B34)</f>
        <v/>
      </c>
      <c r="C36" s="39">
        <f>IF($A36="",0,SUMIFS(Buchungen!$F$4:$F$1003,Buchungen!$B$4:$B$1003,$B$3,Buchungen!$C$4:$C$1003,C$4,Buchungen!$D$4:$D$1003,$A36))</f>
        <v>0</v>
      </c>
      <c r="D36" s="39">
        <f>IF($A36="",0,SUMIFS(Buchungen!$F$4:$F$1003,Buchungen!$B$4:$B$1003,$B$3,Buchungen!$C$4:$C$1003,D$4,Buchungen!$D$4:$D$1003,$A36))</f>
        <v>0</v>
      </c>
      <c r="E36" s="39">
        <f>IF($A36="",0,SUMIFS(Buchungen!$F$4:$F$1003,Buchungen!$B$4:$B$1003,$B$3,Buchungen!$C$4:$C$1003,E$4,Buchungen!$D$4:$D$1003,$A36))</f>
        <v>0</v>
      </c>
      <c r="F36" s="39">
        <f>IF($A36="",0,SUMIFS(Buchungen!$F$4:$F$1003,Buchungen!$B$4:$B$1003,$B$3,Buchungen!$C$4:$C$1003,F$4,Buchungen!$D$4:$D$1003,$A36))</f>
        <v>0</v>
      </c>
      <c r="G36" s="39">
        <f>IF($A36="",0,SUMIFS(Buchungen!$F$4:$F$1003,Buchungen!$B$4:$B$1003,$B$3,Buchungen!$C$4:$C$1003,G$4,Buchungen!$D$4:$D$1003,$A36))</f>
        <v>0</v>
      </c>
      <c r="H36" s="39">
        <f>IF($A36="",0,SUMIFS(Buchungen!$F$4:$F$1003,Buchungen!$B$4:$B$1003,$B$3,Buchungen!$C$4:$C$1003,H$4,Buchungen!$D$4:$D$1003,$A36))</f>
        <v>0</v>
      </c>
      <c r="I36" s="39">
        <f>IF($A36="",0,SUMIFS(Buchungen!$F$4:$F$1003,Buchungen!$B$4:$B$1003,$B$3,Buchungen!$C$4:$C$1003,I$4,Buchungen!$D$4:$D$1003,$A36))</f>
        <v>0</v>
      </c>
      <c r="J36" s="39">
        <f>IF($A36="",0,SUMIFS(Buchungen!$F$4:$F$1003,Buchungen!$B$4:$B$1003,$B$3,Buchungen!$C$4:$C$1003,J$4,Buchungen!$D$4:$D$1003,$A36))</f>
        <v>0</v>
      </c>
      <c r="K36" s="39">
        <f>IF($A36="",0,SUMIFS(Buchungen!$F$4:$F$1003,Buchungen!$B$4:$B$1003,$B$3,Buchungen!$C$4:$C$1003,K$4,Buchungen!$D$4:$D$1003,$A36))</f>
        <v>0</v>
      </c>
      <c r="L36" s="39">
        <f>IF($A36="",0,SUMIFS(Buchungen!$F$4:$F$1003,Buchungen!$B$4:$B$1003,$B$3,Buchungen!$C$4:$C$1003,L$4,Buchungen!$D$4:$D$1003,$A36))</f>
        <v>0</v>
      </c>
      <c r="M36" s="39">
        <f>IF($A36="",0,SUMIFS(Buchungen!$F$4:$F$1003,Buchungen!$B$4:$B$1003,$B$3,Buchungen!$C$4:$C$1003,M$4,Buchungen!$D$4:$D$1003,$A36))</f>
        <v>0</v>
      </c>
      <c r="N36" s="39">
        <f>IF($A36="",0,SUMIFS(Buchungen!$F$4:$F$1003,Buchungen!$B$4:$B$1003,$B$3,Buchungen!$C$4:$C$1003,N$4,Buchungen!$D$4:$D$1003,$A36))</f>
        <v>0</v>
      </c>
      <c r="O36" s="11">
        <f t="shared" si="0"/>
        <v>0</v>
      </c>
      <c r="P36" s="11">
        <f t="shared" si="1"/>
        <v>0</v>
      </c>
      <c r="Q36" s="13">
        <f>IF(Einstellungen!$C34="",0,Einstellungen!$C34)</f>
        <v>0</v>
      </c>
      <c r="R36" s="11">
        <f t="shared" si="2"/>
        <v>0</v>
      </c>
      <c r="S36" s="11">
        <f t="shared" si="3"/>
        <v>0</v>
      </c>
    </row>
    <row r="37" spans="1:19" ht="15" customHeight="1" x14ac:dyDescent="0.25">
      <c r="A37" s="14" t="str">
        <f>IF(Einstellungen!$A35="","",Einstellungen!$A35)</f>
        <v/>
      </c>
      <c r="B37" s="14" t="str">
        <f>IF(Einstellungen!$B35="","",Einstellungen!$B35)</f>
        <v/>
      </c>
      <c r="C37" s="39">
        <f>IF($A37="",0,SUMIFS(Buchungen!$F$4:$F$1003,Buchungen!$B$4:$B$1003,$B$3,Buchungen!$C$4:$C$1003,C$4,Buchungen!$D$4:$D$1003,$A37))</f>
        <v>0</v>
      </c>
      <c r="D37" s="39">
        <f>IF($A37="",0,SUMIFS(Buchungen!$F$4:$F$1003,Buchungen!$B$4:$B$1003,$B$3,Buchungen!$C$4:$C$1003,D$4,Buchungen!$D$4:$D$1003,$A37))</f>
        <v>0</v>
      </c>
      <c r="E37" s="39">
        <f>IF($A37="",0,SUMIFS(Buchungen!$F$4:$F$1003,Buchungen!$B$4:$B$1003,$B$3,Buchungen!$C$4:$C$1003,E$4,Buchungen!$D$4:$D$1003,$A37))</f>
        <v>0</v>
      </c>
      <c r="F37" s="39">
        <f>IF($A37="",0,SUMIFS(Buchungen!$F$4:$F$1003,Buchungen!$B$4:$B$1003,$B$3,Buchungen!$C$4:$C$1003,F$4,Buchungen!$D$4:$D$1003,$A37))</f>
        <v>0</v>
      </c>
      <c r="G37" s="39">
        <f>IF($A37="",0,SUMIFS(Buchungen!$F$4:$F$1003,Buchungen!$B$4:$B$1003,$B$3,Buchungen!$C$4:$C$1003,G$4,Buchungen!$D$4:$D$1003,$A37))</f>
        <v>0</v>
      </c>
      <c r="H37" s="39">
        <f>IF($A37="",0,SUMIFS(Buchungen!$F$4:$F$1003,Buchungen!$B$4:$B$1003,$B$3,Buchungen!$C$4:$C$1003,H$4,Buchungen!$D$4:$D$1003,$A37))</f>
        <v>0</v>
      </c>
      <c r="I37" s="39">
        <f>IF($A37="",0,SUMIFS(Buchungen!$F$4:$F$1003,Buchungen!$B$4:$B$1003,$B$3,Buchungen!$C$4:$C$1003,I$4,Buchungen!$D$4:$D$1003,$A37))</f>
        <v>0</v>
      </c>
      <c r="J37" s="39">
        <f>IF($A37="",0,SUMIFS(Buchungen!$F$4:$F$1003,Buchungen!$B$4:$B$1003,$B$3,Buchungen!$C$4:$C$1003,J$4,Buchungen!$D$4:$D$1003,$A37))</f>
        <v>0</v>
      </c>
      <c r="K37" s="39">
        <f>IF($A37="",0,SUMIFS(Buchungen!$F$4:$F$1003,Buchungen!$B$4:$B$1003,$B$3,Buchungen!$C$4:$C$1003,K$4,Buchungen!$D$4:$D$1003,$A37))</f>
        <v>0</v>
      </c>
      <c r="L37" s="39">
        <f>IF($A37="",0,SUMIFS(Buchungen!$F$4:$F$1003,Buchungen!$B$4:$B$1003,$B$3,Buchungen!$C$4:$C$1003,L$4,Buchungen!$D$4:$D$1003,$A37))</f>
        <v>0</v>
      </c>
      <c r="M37" s="39">
        <f>IF($A37="",0,SUMIFS(Buchungen!$F$4:$F$1003,Buchungen!$B$4:$B$1003,$B$3,Buchungen!$C$4:$C$1003,M$4,Buchungen!$D$4:$D$1003,$A37))</f>
        <v>0</v>
      </c>
      <c r="N37" s="39">
        <f>IF($A37="",0,SUMIFS(Buchungen!$F$4:$F$1003,Buchungen!$B$4:$B$1003,$B$3,Buchungen!$C$4:$C$1003,N$4,Buchungen!$D$4:$D$1003,$A37))</f>
        <v>0</v>
      </c>
      <c r="O37" s="11">
        <f t="shared" si="0"/>
        <v>0</v>
      </c>
      <c r="P37" s="11">
        <f t="shared" si="1"/>
        <v>0</v>
      </c>
      <c r="Q37" s="13">
        <f>IF(Einstellungen!$C35="",0,Einstellungen!$C35)</f>
        <v>0</v>
      </c>
      <c r="R37" s="11">
        <f t="shared" si="2"/>
        <v>0</v>
      </c>
      <c r="S37" s="11">
        <f t="shared" si="3"/>
        <v>0</v>
      </c>
    </row>
    <row r="38" spans="1:19" ht="15" customHeight="1" x14ac:dyDescent="0.25">
      <c r="A38" s="14" t="str">
        <f>IF(Einstellungen!$A36="","",Einstellungen!$A36)</f>
        <v/>
      </c>
      <c r="B38" s="14" t="str">
        <f>IF(Einstellungen!$B36="","",Einstellungen!$B36)</f>
        <v/>
      </c>
      <c r="C38" s="39">
        <f>IF($A38="",0,SUMIFS(Buchungen!$F$4:$F$1003,Buchungen!$B$4:$B$1003,$B$3,Buchungen!$C$4:$C$1003,C$4,Buchungen!$D$4:$D$1003,$A38))</f>
        <v>0</v>
      </c>
      <c r="D38" s="39">
        <f>IF($A38="",0,SUMIFS(Buchungen!$F$4:$F$1003,Buchungen!$B$4:$B$1003,$B$3,Buchungen!$C$4:$C$1003,D$4,Buchungen!$D$4:$D$1003,$A38))</f>
        <v>0</v>
      </c>
      <c r="E38" s="39">
        <f>IF($A38="",0,SUMIFS(Buchungen!$F$4:$F$1003,Buchungen!$B$4:$B$1003,$B$3,Buchungen!$C$4:$C$1003,E$4,Buchungen!$D$4:$D$1003,$A38))</f>
        <v>0</v>
      </c>
      <c r="F38" s="39">
        <f>IF($A38="",0,SUMIFS(Buchungen!$F$4:$F$1003,Buchungen!$B$4:$B$1003,$B$3,Buchungen!$C$4:$C$1003,F$4,Buchungen!$D$4:$D$1003,$A38))</f>
        <v>0</v>
      </c>
      <c r="G38" s="39">
        <f>IF($A38="",0,SUMIFS(Buchungen!$F$4:$F$1003,Buchungen!$B$4:$B$1003,$B$3,Buchungen!$C$4:$C$1003,G$4,Buchungen!$D$4:$D$1003,$A38))</f>
        <v>0</v>
      </c>
      <c r="H38" s="39">
        <f>IF($A38="",0,SUMIFS(Buchungen!$F$4:$F$1003,Buchungen!$B$4:$B$1003,$B$3,Buchungen!$C$4:$C$1003,H$4,Buchungen!$D$4:$D$1003,$A38))</f>
        <v>0</v>
      </c>
      <c r="I38" s="39">
        <f>IF($A38="",0,SUMIFS(Buchungen!$F$4:$F$1003,Buchungen!$B$4:$B$1003,$B$3,Buchungen!$C$4:$C$1003,I$4,Buchungen!$D$4:$D$1003,$A38))</f>
        <v>0</v>
      </c>
      <c r="J38" s="39">
        <f>IF($A38="",0,SUMIFS(Buchungen!$F$4:$F$1003,Buchungen!$B$4:$B$1003,$B$3,Buchungen!$C$4:$C$1003,J$4,Buchungen!$D$4:$D$1003,$A38))</f>
        <v>0</v>
      </c>
      <c r="K38" s="39">
        <f>IF($A38="",0,SUMIFS(Buchungen!$F$4:$F$1003,Buchungen!$B$4:$B$1003,$B$3,Buchungen!$C$4:$C$1003,K$4,Buchungen!$D$4:$D$1003,$A38))</f>
        <v>0</v>
      </c>
      <c r="L38" s="39">
        <f>IF($A38="",0,SUMIFS(Buchungen!$F$4:$F$1003,Buchungen!$B$4:$B$1003,$B$3,Buchungen!$C$4:$C$1003,L$4,Buchungen!$D$4:$D$1003,$A38))</f>
        <v>0</v>
      </c>
      <c r="M38" s="39">
        <f>IF($A38="",0,SUMIFS(Buchungen!$F$4:$F$1003,Buchungen!$B$4:$B$1003,$B$3,Buchungen!$C$4:$C$1003,M$4,Buchungen!$D$4:$D$1003,$A38))</f>
        <v>0</v>
      </c>
      <c r="N38" s="39">
        <f>IF($A38="",0,SUMIFS(Buchungen!$F$4:$F$1003,Buchungen!$B$4:$B$1003,$B$3,Buchungen!$C$4:$C$1003,N$4,Buchungen!$D$4:$D$1003,$A38))</f>
        <v>0</v>
      </c>
      <c r="O38" s="11">
        <f t="shared" si="0"/>
        <v>0</v>
      </c>
      <c r="P38" s="11">
        <f t="shared" si="1"/>
        <v>0</v>
      </c>
      <c r="Q38" s="13">
        <f>IF(Einstellungen!$C36="",0,Einstellungen!$C36)</f>
        <v>0</v>
      </c>
      <c r="R38" s="11">
        <f t="shared" si="2"/>
        <v>0</v>
      </c>
      <c r="S38" s="11">
        <f t="shared" si="3"/>
        <v>0</v>
      </c>
    </row>
    <row r="39" spans="1:19" ht="15" customHeight="1" x14ac:dyDescent="0.25">
      <c r="A39" s="14" t="str">
        <f>IF(Einstellungen!$A37="","",Einstellungen!$A37)</f>
        <v/>
      </c>
      <c r="B39" s="14" t="str">
        <f>IF(Einstellungen!$B37="","",Einstellungen!$B37)</f>
        <v/>
      </c>
      <c r="C39" s="39">
        <f>IF($A39="",0,SUMIFS(Buchungen!$F$4:$F$1003,Buchungen!$B$4:$B$1003,$B$3,Buchungen!$C$4:$C$1003,C$4,Buchungen!$D$4:$D$1003,$A39))</f>
        <v>0</v>
      </c>
      <c r="D39" s="39">
        <f>IF($A39="",0,SUMIFS(Buchungen!$F$4:$F$1003,Buchungen!$B$4:$B$1003,$B$3,Buchungen!$C$4:$C$1003,D$4,Buchungen!$D$4:$D$1003,$A39))</f>
        <v>0</v>
      </c>
      <c r="E39" s="39">
        <f>IF($A39="",0,SUMIFS(Buchungen!$F$4:$F$1003,Buchungen!$B$4:$B$1003,$B$3,Buchungen!$C$4:$C$1003,E$4,Buchungen!$D$4:$D$1003,$A39))</f>
        <v>0</v>
      </c>
      <c r="F39" s="39">
        <f>IF($A39="",0,SUMIFS(Buchungen!$F$4:$F$1003,Buchungen!$B$4:$B$1003,$B$3,Buchungen!$C$4:$C$1003,F$4,Buchungen!$D$4:$D$1003,$A39))</f>
        <v>0</v>
      </c>
      <c r="G39" s="39">
        <f>IF($A39="",0,SUMIFS(Buchungen!$F$4:$F$1003,Buchungen!$B$4:$B$1003,$B$3,Buchungen!$C$4:$C$1003,G$4,Buchungen!$D$4:$D$1003,$A39))</f>
        <v>0</v>
      </c>
      <c r="H39" s="39">
        <f>IF($A39="",0,SUMIFS(Buchungen!$F$4:$F$1003,Buchungen!$B$4:$B$1003,$B$3,Buchungen!$C$4:$C$1003,H$4,Buchungen!$D$4:$D$1003,$A39))</f>
        <v>0</v>
      </c>
      <c r="I39" s="39">
        <f>IF($A39="",0,SUMIFS(Buchungen!$F$4:$F$1003,Buchungen!$B$4:$B$1003,$B$3,Buchungen!$C$4:$C$1003,I$4,Buchungen!$D$4:$D$1003,$A39))</f>
        <v>0</v>
      </c>
      <c r="J39" s="39">
        <f>IF($A39="",0,SUMIFS(Buchungen!$F$4:$F$1003,Buchungen!$B$4:$B$1003,$B$3,Buchungen!$C$4:$C$1003,J$4,Buchungen!$D$4:$D$1003,$A39))</f>
        <v>0</v>
      </c>
      <c r="K39" s="39">
        <f>IF($A39="",0,SUMIFS(Buchungen!$F$4:$F$1003,Buchungen!$B$4:$B$1003,$B$3,Buchungen!$C$4:$C$1003,K$4,Buchungen!$D$4:$D$1003,$A39))</f>
        <v>0</v>
      </c>
      <c r="L39" s="39">
        <f>IF($A39="",0,SUMIFS(Buchungen!$F$4:$F$1003,Buchungen!$B$4:$B$1003,$B$3,Buchungen!$C$4:$C$1003,L$4,Buchungen!$D$4:$D$1003,$A39))</f>
        <v>0</v>
      </c>
      <c r="M39" s="39">
        <f>IF($A39="",0,SUMIFS(Buchungen!$F$4:$F$1003,Buchungen!$B$4:$B$1003,$B$3,Buchungen!$C$4:$C$1003,M$4,Buchungen!$D$4:$D$1003,$A39))</f>
        <v>0</v>
      </c>
      <c r="N39" s="39">
        <f>IF($A39="",0,SUMIFS(Buchungen!$F$4:$F$1003,Buchungen!$B$4:$B$1003,$B$3,Buchungen!$C$4:$C$1003,N$4,Buchungen!$D$4:$D$1003,$A39))</f>
        <v>0</v>
      </c>
      <c r="O39" s="11">
        <f t="shared" si="0"/>
        <v>0</v>
      </c>
      <c r="P39" s="11">
        <f t="shared" si="1"/>
        <v>0</v>
      </c>
      <c r="Q39" s="13">
        <f>IF(Einstellungen!$C37="",0,Einstellungen!$C37)</f>
        <v>0</v>
      </c>
      <c r="R39" s="11">
        <f t="shared" si="2"/>
        <v>0</v>
      </c>
      <c r="S39" s="11">
        <f t="shared" si="3"/>
        <v>0</v>
      </c>
    </row>
    <row r="40" spans="1:19" ht="15" customHeight="1" x14ac:dyDescent="0.25">
      <c r="A40" s="14" t="str">
        <f>IF(Einstellungen!$A38="","",Einstellungen!$A38)</f>
        <v/>
      </c>
      <c r="B40" s="14" t="str">
        <f>IF(Einstellungen!$B38="","",Einstellungen!$B38)</f>
        <v/>
      </c>
      <c r="C40" s="39">
        <f>IF($A40="",0,SUMIFS(Buchungen!$F$4:$F$1003,Buchungen!$B$4:$B$1003,$B$3,Buchungen!$C$4:$C$1003,C$4,Buchungen!$D$4:$D$1003,$A40))</f>
        <v>0</v>
      </c>
      <c r="D40" s="39">
        <f>IF($A40="",0,SUMIFS(Buchungen!$F$4:$F$1003,Buchungen!$B$4:$B$1003,$B$3,Buchungen!$C$4:$C$1003,D$4,Buchungen!$D$4:$D$1003,$A40))</f>
        <v>0</v>
      </c>
      <c r="E40" s="39">
        <f>IF($A40="",0,SUMIFS(Buchungen!$F$4:$F$1003,Buchungen!$B$4:$B$1003,$B$3,Buchungen!$C$4:$C$1003,E$4,Buchungen!$D$4:$D$1003,$A40))</f>
        <v>0</v>
      </c>
      <c r="F40" s="39">
        <f>IF($A40="",0,SUMIFS(Buchungen!$F$4:$F$1003,Buchungen!$B$4:$B$1003,$B$3,Buchungen!$C$4:$C$1003,F$4,Buchungen!$D$4:$D$1003,$A40))</f>
        <v>0</v>
      </c>
      <c r="G40" s="39">
        <f>IF($A40="",0,SUMIFS(Buchungen!$F$4:$F$1003,Buchungen!$B$4:$B$1003,$B$3,Buchungen!$C$4:$C$1003,G$4,Buchungen!$D$4:$D$1003,$A40))</f>
        <v>0</v>
      </c>
      <c r="H40" s="39">
        <f>IF($A40="",0,SUMIFS(Buchungen!$F$4:$F$1003,Buchungen!$B$4:$B$1003,$B$3,Buchungen!$C$4:$C$1003,H$4,Buchungen!$D$4:$D$1003,$A40))</f>
        <v>0</v>
      </c>
      <c r="I40" s="39">
        <f>IF($A40="",0,SUMIFS(Buchungen!$F$4:$F$1003,Buchungen!$B$4:$B$1003,$B$3,Buchungen!$C$4:$C$1003,I$4,Buchungen!$D$4:$D$1003,$A40))</f>
        <v>0</v>
      </c>
      <c r="J40" s="39">
        <f>IF($A40="",0,SUMIFS(Buchungen!$F$4:$F$1003,Buchungen!$B$4:$B$1003,$B$3,Buchungen!$C$4:$C$1003,J$4,Buchungen!$D$4:$D$1003,$A40))</f>
        <v>0</v>
      </c>
      <c r="K40" s="39">
        <f>IF($A40="",0,SUMIFS(Buchungen!$F$4:$F$1003,Buchungen!$B$4:$B$1003,$B$3,Buchungen!$C$4:$C$1003,K$4,Buchungen!$D$4:$D$1003,$A40))</f>
        <v>0</v>
      </c>
      <c r="L40" s="39">
        <f>IF($A40="",0,SUMIFS(Buchungen!$F$4:$F$1003,Buchungen!$B$4:$B$1003,$B$3,Buchungen!$C$4:$C$1003,L$4,Buchungen!$D$4:$D$1003,$A40))</f>
        <v>0</v>
      </c>
      <c r="M40" s="39">
        <f>IF($A40="",0,SUMIFS(Buchungen!$F$4:$F$1003,Buchungen!$B$4:$B$1003,$B$3,Buchungen!$C$4:$C$1003,M$4,Buchungen!$D$4:$D$1003,$A40))</f>
        <v>0</v>
      </c>
      <c r="N40" s="39">
        <f>IF($A40="",0,SUMIFS(Buchungen!$F$4:$F$1003,Buchungen!$B$4:$B$1003,$B$3,Buchungen!$C$4:$C$1003,N$4,Buchungen!$D$4:$D$1003,$A40))</f>
        <v>0</v>
      </c>
      <c r="O40" s="11">
        <f t="shared" si="0"/>
        <v>0</v>
      </c>
      <c r="P40" s="11">
        <f t="shared" si="1"/>
        <v>0</v>
      </c>
      <c r="Q40" s="13">
        <f>IF(Einstellungen!$C38="",0,Einstellungen!$C38)</f>
        <v>0</v>
      </c>
      <c r="R40" s="11">
        <f t="shared" si="2"/>
        <v>0</v>
      </c>
      <c r="S40" s="11">
        <f t="shared" si="3"/>
        <v>0</v>
      </c>
    </row>
    <row r="41" spans="1:19" ht="15" customHeight="1" x14ac:dyDescent="0.25">
      <c r="A41" s="14" t="str">
        <f>IF(Einstellungen!$A39="","",Einstellungen!$A39)</f>
        <v/>
      </c>
      <c r="B41" s="14" t="str">
        <f>IF(Einstellungen!$B39="","",Einstellungen!$B39)</f>
        <v/>
      </c>
      <c r="C41" s="39">
        <f>IF($A41="",0,SUMIFS(Buchungen!$F$4:$F$1003,Buchungen!$B$4:$B$1003,$B$3,Buchungen!$C$4:$C$1003,C$4,Buchungen!$D$4:$D$1003,$A41))</f>
        <v>0</v>
      </c>
      <c r="D41" s="39">
        <f>IF($A41="",0,SUMIFS(Buchungen!$F$4:$F$1003,Buchungen!$B$4:$B$1003,$B$3,Buchungen!$C$4:$C$1003,D$4,Buchungen!$D$4:$D$1003,$A41))</f>
        <v>0</v>
      </c>
      <c r="E41" s="39">
        <f>IF($A41="",0,SUMIFS(Buchungen!$F$4:$F$1003,Buchungen!$B$4:$B$1003,$B$3,Buchungen!$C$4:$C$1003,E$4,Buchungen!$D$4:$D$1003,$A41))</f>
        <v>0</v>
      </c>
      <c r="F41" s="39">
        <f>IF($A41="",0,SUMIFS(Buchungen!$F$4:$F$1003,Buchungen!$B$4:$B$1003,$B$3,Buchungen!$C$4:$C$1003,F$4,Buchungen!$D$4:$D$1003,$A41))</f>
        <v>0</v>
      </c>
      <c r="G41" s="39">
        <f>IF($A41="",0,SUMIFS(Buchungen!$F$4:$F$1003,Buchungen!$B$4:$B$1003,$B$3,Buchungen!$C$4:$C$1003,G$4,Buchungen!$D$4:$D$1003,$A41))</f>
        <v>0</v>
      </c>
      <c r="H41" s="39">
        <f>IF($A41="",0,SUMIFS(Buchungen!$F$4:$F$1003,Buchungen!$B$4:$B$1003,$B$3,Buchungen!$C$4:$C$1003,H$4,Buchungen!$D$4:$D$1003,$A41))</f>
        <v>0</v>
      </c>
      <c r="I41" s="39">
        <f>IF($A41="",0,SUMIFS(Buchungen!$F$4:$F$1003,Buchungen!$B$4:$B$1003,$B$3,Buchungen!$C$4:$C$1003,I$4,Buchungen!$D$4:$D$1003,$A41))</f>
        <v>0</v>
      </c>
      <c r="J41" s="39">
        <f>IF($A41="",0,SUMIFS(Buchungen!$F$4:$F$1003,Buchungen!$B$4:$B$1003,$B$3,Buchungen!$C$4:$C$1003,J$4,Buchungen!$D$4:$D$1003,$A41))</f>
        <v>0</v>
      </c>
      <c r="K41" s="39">
        <f>IF($A41="",0,SUMIFS(Buchungen!$F$4:$F$1003,Buchungen!$B$4:$B$1003,$B$3,Buchungen!$C$4:$C$1003,K$4,Buchungen!$D$4:$D$1003,$A41))</f>
        <v>0</v>
      </c>
      <c r="L41" s="39">
        <f>IF($A41="",0,SUMIFS(Buchungen!$F$4:$F$1003,Buchungen!$B$4:$B$1003,$B$3,Buchungen!$C$4:$C$1003,L$4,Buchungen!$D$4:$D$1003,$A41))</f>
        <v>0</v>
      </c>
      <c r="M41" s="39">
        <f>IF($A41="",0,SUMIFS(Buchungen!$F$4:$F$1003,Buchungen!$B$4:$B$1003,$B$3,Buchungen!$C$4:$C$1003,M$4,Buchungen!$D$4:$D$1003,$A41))</f>
        <v>0</v>
      </c>
      <c r="N41" s="39">
        <f>IF($A41="",0,SUMIFS(Buchungen!$F$4:$F$1003,Buchungen!$B$4:$B$1003,$B$3,Buchungen!$C$4:$C$1003,N$4,Buchungen!$D$4:$D$1003,$A41))</f>
        <v>0</v>
      </c>
      <c r="O41" s="11">
        <f t="shared" si="0"/>
        <v>0</v>
      </c>
      <c r="P41" s="11">
        <f t="shared" si="1"/>
        <v>0</v>
      </c>
      <c r="Q41" s="13">
        <f>IF(Einstellungen!$C39="",0,Einstellungen!$C39)</f>
        <v>0</v>
      </c>
      <c r="R41" s="11">
        <f t="shared" si="2"/>
        <v>0</v>
      </c>
      <c r="S41" s="11">
        <f t="shared" si="3"/>
        <v>0</v>
      </c>
    </row>
    <row r="42" spans="1:19" ht="15" customHeight="1" x14ac:dyDescent="0.25">
      <c r="A42" s="14" t="str">
        <f>IF(Einstellungen!$A40="","",Einstellungen!$A40)</f>
        <v/>
      </c>
      <c r="B42" s="14" t="str">
        <f>IF(Einstellungen!$B40="","",Einstellungen!$B40)</f>
        <v/>
      </c>
      <c r="C42" s="39">
        <f>IF($A42="",0,SUMIFS(Buchungen!$F$4:$F$1003,Buchungen!$B$4:$B$1003,$B$3,Buchungen!$C$4:$C$1003,C$4,Buchungen!$D$4:$D$1003,$A42))</f>
        <v>0</v>
      </c>
      <c r="D42" s="39">
        <f>IF($A42="",0,SUMIFS(Buchungen!$F$4:$F$1003,Buchungen!$B$4:$B$1003,$B$3,Buchungen!$C$4:$C$1003,D$4,Buchungen!$D$4:$D$1003,$A42))</f>
        <v>0</v>
      </c>
      <c r="E42" s="39">
        <f>IF($A42="",0,SUMIFS(Buchungen!$F$4:$F$1003,Buchungen!$B$4:$B$1003,$B$3,Buchungen!$C$4:$C$1003,E$4,Buchungen!$D$4:$D$1003,$A42))</f>
        <v>0</v>
      </c>
      <c r="F42" s="39">
        <f>IF($A42="",0,SUMIFS(Buchungen!$F$4:$F$1003,Buchungen!$B$4:$B$1003,$B$3,Buchungen!$C$4:$C$1003,F$4,Buchungen!$D$4:$D$1003,$A42))</f>
        <v>0</v>
      </c>
      <c r="G42" s="39">
        <f>IF($A42="",0,SUMIFS(Buchungen!$F$4:$F$1003,Buchungen!$B$4:$B$1003,$B$3,Buchungen!$C$4:$C$1003,G$4,Buchungen!$D$4:$D$1003,$A42))</f>
        <v>0</v>
      </c>
      <c r="H42" s="39">
        <f>IF($A42="",0,SUMIFS(Buchungen!$F$4:$F$1003,Buchungen!$B$4:$B$1003,$B$3,Buchungen!$C$4:$C$1003,H$4,Buchungen!$D$4:$D$1003,$A42))</f>
        <v>0</v>
      </c>
      <c r="I42" s="39">
        <f>IF($A42="",0,SUMIFS(Buchungen!$F$4:$F$1003,Buchungen!$B$4:$B$1003,$B$3,Buchungen!$C$4:$C$1003,I$4,Buchungen!$D$4:$D$1003,$A42))</f>
        <v>0</v>
      </c>
      <c r="J42" s="39">
        <f>IF($A42="",0,SUMIFS(Buchungen!$F$4:$F$1003,Buchungen!$B$4:$B$1003,$B$3,Buchungen!$C$4:$C$1003,J$4,Buchungen!$D$4:$D$1003,$A42))</f>
        <v>0</v>
      </c>
      <c r="K42" s="39">
        <f>IF($A42="",0,SUMIFS(Buchungen!$F$4:$F$1003,Buchungen!$B$4:$B$1003,$B$3,Buchungen!$C$4:$C$1003,K$4,Buchungen!$D$4:$D$1003,$A42))</f>
        <v>0</v>
      </c>
      <c r="L42" s="39">
        <f>IF($A42="",0,SUMIFS(Buchungen!$F$4:$F$1003,Buchungen!$B$4:$B$1003,$B$3,Buchungen!$C$4:$C$1003,L$4,Buchungen!$D$4:$D$1003,$A42))</f>
        <v>0</v>
      </c>
      <c r="M42" s="39">
        <f>IF($A42="",0,SUMIFS(Buchungen!$F$4:$F$1003,Buchungen!$B$4:$B$1003,$B$3,Buchungen!$C$4:$C$1003,M$4,Buchungen!$D$4:$D$1003,$A42))</f>
        <v>0</v>
      </c>
      <c r="N42" s="39">
        <f>IF($A42="",0,SUMIFS(Buchungen!$F$4:$F$1003,Buchungen!$B$4:$B$1003,$B$3,Buchungen!$C$4:$C$1003,N$4,Buchungen!$D$4:$D$1003,$A42))</f>
        <v>0</v>
      </c>
      <c r="O42" s="11">
        <f t="shared" si="0"/>
        <v>0</v>
      </c>
      <c r="P42" s="11">
        <f t="shared" si="1"/>
        <v>0</v>
      </c>
      <c r="Q42" s="13">
        <f>IF(Einstellungen!$C40="",0,Einstellungen!$C40)</f>
        <v>0</v>
      </c>
      <c r="R42" s="11">
        <f t="shared" si="2"/>
        <v>0</v>
      </c>
      <c r="S42" s="11">
        <f t="shared" si="3"/>
        <v>0</v>
      </c>
    </row>
    <row r="44" spans="1:19" ht="15" customHeight="1" x14ac:dyDescent="0.25">
      <c r="A44" s="29" t="s">
        <v>239</v>
      </c>
      <c r="B44" s="30"/>
      <c r="C44" s="40">
        <f t="shared" ref="C44:O44" si="4">SUM(C6:C42)</f>
        <v>42.5</v>
      </c>
      <c r="D44" s="40">
        <f t="shared" si="4"/>
        <v>0</v>
      </c>
      <c r="E44" s="40">
        <f t="shared" si="4"/>
        <v>0</v>
      </c>
      <c r="F44" s="40">
        <f t="shared" si="4"/>
        <v>0</v>
      </c>
      <c r="G44" s="40">
        <f t="shared" si="4"/>
        <v>0</v>
      </c>
      <c r="H44" s="40">
        <f t="shared" si="4"/>
        <v>0</v>
      </c>
      <c r="I44" s="40">
        <f t="shared" si="4"/>
        <v>3118.91</v>
      </c>
      <c r="J44" s="40">
        <f t="shared" si="4"/>
        <v>3084.64</v>
      </c>
      <c r="K44" s="40">
        <f t="shared" si="4"/>
        <v>0</v>
      </c>
      <c r="L44" s="40">
        <f t="shared" si="4"/>
        <v>0</v>
      </c>
      <c r="M44" s="40">
        <f t="shared" si="4"/>
        <v>0</v>
      </c>
      <c r="N44" s="40">
        <f t="shared" si="4"/>
        <v>0</v>
      </c>
      <c r="O44" s="40">
        <f t="shared" si="4"/>
        <v>6246.05</v>
      </c>
      <c r="P44" s="30"/>
      <c r="Q44" s="30"/>
      <c r="R44" s="30"/>
      <c r="S44" s="30"/>
    </row>
    <row r="46" spans="1:19" ht="15" customHeight="1" x14ac:dyDescent="0.25">
      <c r="A46" s="2" t="s">
        <v>261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8"/>
  <sheetViews>
    <sheetView showGridLines="0" zoomScaleNormal="100" workbookViewId="0"/>
  </sheetViews>
  <sheetFormatPr baseColWidth="10" defaultColWidth="8.7109375" defaultRowHeight="15" x14ac:dyDescent="0.25"/>
  <cols>
    <col min="1" max="1" width="32" customWidth="1"/>
    <col min="2" max="2" width="16" customWidth="1"/>
    <col min="3" max="4" width="18" customWidth="1"/>
    <col min="5" max="7" width="16" customWidth="1"/>
    <col min="8" max="8" width="18" customWidth="1"/>
    <col min="9" max="9" width="30" customWidth="1"/>
  </cols>
  <sheetData>
    <row r="1" spans="1:9" ht="21.75" customHeight="1" x14ac:dyDescent="0.25">
      <c r="A1" s="1" t="s">
        <v>262</v>
      </c>
    </row>
    <row r="2" spans="1:9" ht="15" customHeight="1" x14ac:dyDescent="0.25">
      <c r="A2" s="2" t="s">
        <v>263</v>
      </c>
    </row>
    <row r="3" spans="1:9" ht="30" customHeight="1" x14ac:dyDescent="0.25">
      <c r="A3" s="15" t="s">
        <v>264</v>
      </c>
      <c r="B3" s="15" t="s">
        <v>265</v>
      </c>
      <c r="C3" s="15" t="s">
        <v>266</v>
      </c>
      <c r="D3" s="15" t="s">
        <v>267</v>
      </c>
      <c r="E3" s="15" t="s">
        <v>268</v>
      </c>
      <c r="F3" s="15" t="s">
        <v>269</v>
      </c>
      <c r="G3" s="15" t="s">
        <v>270</v>
      </c>
      <c r="H3" s="15" t="s">
        <v>271</v>
      </c>
      <c r="I3" s="15" t="s">
        <v>221</v>
      </c>
    </row>
    <row r="4" spans="1:9" ht="15" customHeight="1" x14ac:dyDescent="0.25">
      <c r="A4" s="18" t="s">
        <v>272</v>
      </c>
      <c r="B4" s="19">
        <v>4500</v>
      </c>
      <c r="C4" s="19">
        <v>1200</v>
      </c>
      <c r="D4" s="19">
        <v>250</v>
      </c>
      <c r="E4" s="12">
        <f t="shared" ref="E4:E18" si="0">IF(OR($B4="",$B4&lt;=0),"",MIN(1,$C4/$B4))</f>
        <v>0.26666666666666666</v>
      </c>
      <c r="F4" s="11">
        <f t="shared" ref="F4:F18" si="1">IF($B4="","",MAX(0,$B4-$C4))</f>
        <v>3300</v>
      </c>
      <c r="G4" s="17">
        <f t="shared" ref="G4:G18" si="2">IF(OR($D4="",$D4&lt;=0,$B4=""),"",IF($F4&lt;=0,0,ROUNDUP($F4/$D4,0)))</f>
        <v>14</v>
      </c>
      <c r="H4" s="41">
        <f t="shared" ref="H4:H18" ca="1" si="3">IF($G4="","",EDATE(TODAY(),$G4))</f>
        <v>46678</v>
      </c>
      <c r="I4" s="18" t="s">
        <v>224</v>
      </c>
    </row>
    <row r="5" spans="1:9" ht="15" customHeight="1" x14ac:dyDescent="0.25">
      <c r="A5" s="27"/>
      <c r="B5" s="28"/>
      <c r="C5" s="28"/>
      <c r="D5" s="28"/>
      <c r="E5" s="12" t="str">
        <f t="shared" si="0"/>
        <v/>
      </c>
      <c r="F5" s="11" t="str">
        <f t="shared" si="1"/>
        <v/>
      </c>
      <c r="G5" s="17" t="str">
        <f t="shared" si="2"/>
        <v/>
      </c>
      <c r="H5" s="41" t="str">
        <f t="shared" ca="1" si="3"/>
        <v/>
      </c>
      <c r="I5" s="27"/>
    </row>
    <row r="6" spans="1:9" ht="15" customHeight="1" x14ac:dyDescent="0.25">
      <c r="A6" s="27"/>
      <c r="B6" s="28"/>
      <c r="C6" s="28"/>
      <c r="D6" s="28"/>
      <c r="E6" s="12" t="str">
        <f t="shared" si="0"/>
        <v/>
      </c>
      <c r="F6" s="11" t="str">
        <f t="shared" si="1"/>
        <v/>
      </c>
      <c r="G6" s="17" t="str">
        <f t="shared" si="2"/>
        <v/>
      </c>
      <c r="H6" s="41" t="str">
        <f t="shared" ca="1" si="3"/>
        <v/>
      </c>
      <c r="I6" s="27"/>
    </row>
    <row r="7" spans="1:9" ht="15" customHeight="1" x14ac:dyDescent="0.25">
      <c r="A7" s="27"/>
      <c r="B7" s="28"/>
      <c r="C7" s="28"/>
      <c r="D7" s="28"/>
      <c r="E7" s="12" t="str">
        <f t="shared" si="0"/>
        <v/>
      </c>
      <c r="F7" s="11" t="str">
        <f t="shared" si="1"/>
        <v/>
      </c>
      <c r="G7" s="17" t="str">
        <f t="shared" si="2"/>
        <v/>
      </c>
      <c r="H7" s="41" t="str">
        <f t="shared" ca="1" si="3"/>
        <v/>
      </c>
      <c r="I7" s="27"/>
    </row>
    <row r="8" spans="1:9" ht="15" customHeight="1" x14ac:dyDescent="0.25">
      <c r="A8" s="27"/>
      <c r="B8" s="28"/>
      <c r="C8" s="28"/>
      <c r="D8" s="28"/>
      <c r="E8" s="12" t="str">
        <f t="shared" si="0"/>
        <v/>
      </c>
      <c r="F8" s="11" t="str">
        <f t="shared" si="1"/>
        <v/>
      </c>
      <c r="G8" s="17" t="str">
        <f t="shared" si="2"/>
        <v/>
      </c>
      <c r="H8" s="41" t="str">
        <f t="shared" ca="1" si="3"/>
        <v/>
      </c>
      <c r="I8" s="27"/>
    </row>
    <row r="9" spans="1:9" ht="15" customHeight="1" x14ac:dyDescent="0.25">
      <c r="A9" s="27"/>
      <c r="B9" s="28"/>
      <c r="C9" s="28"/>
      <c r="D9" s="28"/>
      <c r="E9" s="12" t="str">
        <f t="shared" si="0"/>
        <v/>
      </c>
      <c r="F9" s="11" t="str">
        <f t="shared" si="1"/>
        <v/>
      </c>
      <c r="G9" s="17" t="str">
        <f t="shared" si="2"/>
        <v/>
      </c>
      <c r="H9" s="41" t="str">
        <f t="shared" ca="1" si="3"/>
        <v/>
      </c>
      <c r="I9" s="27"/>
    </row>
    <row r="10" spans="1:9" ht="15" customHeight="1" x14ac:dyDescent="0.25">
      <c r="A10" s="27"/>
      <c r="B10" s="28"/>
      <c r="C10" s="28"/>
      <c r="D10" s="28"/>
      <c r="E10" s="12" t="str">
        <f t="shared" si="0"/>
        <v/>
      </c>
      <c r="F10" s="11" t="str">
        <f t="shared" si="1"/>
        <v/>
      </c>
      <c r="G10" s="17" t="str">
        <f t="shared" si="2"/>
        <v/>
      </c>
      <c r="H10" s="41" t="str">
        <f t="shared" ca="1" si="3"/>
        <v/>
      </c>
      <c r="I10" s="27"/>
    </row>
    <row r="11" spans="1:9" ht="15" customHeight="1" x14ac:dyDescent="0.25">
      <c r="A11" s="27"/>
      <c r="B11" s="28"/>
      <c r="C11" s="28"/>
      <c r="D11" s="28"/>
      <c r="E11" s="12" t="str">
        <f t="shared" si="0"/>
        <v/>
      </c>
      <c r="F11" s="11" t="str">
        <f t="shared" si="1"/>
        <v/>
      </c>
      <c r="G11" s="17" t="str">
        <f t="shared" si="2"/>
        <v/>
      </c>
      <c r="H11" s="41" t="str">
        <f t="shared" ca="1" si="3"/>
        <v/>
      </c>
      <c r="I11" s="27"/>
    </row>
    <row r="12" spans="1:9" ht="15" customHeight="1" x14ac:dyDescent="0.25">
      <c r="A12" s="27"/>
      <c r="B12" s="28"/>
      <c r="C12" s="28"/>
      <c r="D12" s="28"/>
      <c r="E12" s="12" t="str">
        <f t="shared" si="0"/>
        <v/>
      </c>
      <c r="F12" s="11" t="str">
        <f t="shared" si="1"/>
        <v/>
      </c>
      <c r="G12" s="17" t="str">
        <f t="shared" si="2"/>
        <v/>
      </c>
      <c r="H12" s="41" t="str">
        <f t="shared" ca="1" si="3"/>
        <v/>
      </c>
      <c r="I12" s="27"/>
    </row>
    <row r="13" spans="1:9" ht="15" customHeight="1" x14ac:dyDescent="0.25">
      <c r="A13" s="27"/>
      <c r="B13" s="28"/>
      <c r="C13" s="28"/>
      <c r="D13" s="28"/>
      <c r="E13" s="12" t="str">
        <f t="shared" si="0"/>
        <v/>
      </c>
      <c r="F13" s="11" t="str">
        <f t="shared" si="1"/>
        <v/>
      </c>
      <c r="G13" s="17" t="str">
        <f t="shared" si="2"/>
        <v/>
      </c>
      <c r="H13" s="41" t="str">
        <f t="shared" ca="1" si="3"/>
        <v/>
      </c>
      <c r="I13" s="27"/>
    </row>
    <row r="14" spans="1:9" ht="15" customHeight="1" x14ac:dyDescent="0.25">
      <c r="A14" s="27"/>
      <c r="B14" s="28"/>
      <c r="C14" s="28"/>
      <c r="D14" s="28"/>
      <c r="E14" s="12" t="str">
        <f t="shared" si="0"/>
        <v/>
      </c>
      <c r="F14" s="11" t="str">
        <f t="shared" si="1"/>
        <v/>
      </c>
      <c r="G14" s="17" t="str">
        <f t="shared" si="2"/>
        <v/>
      </c>
      <c r="H14" s="41" t="str">
        <f t="shared" ca="1" si="3"/>
        <v/>
      </c>
      <c r="I14" s="27"/>
    </row>
    <row r="15" spans="1:9" ht="15" customHeight="1" x14ac:dyDescent="0.25">
      <c r="A15" s="27"/>
      <c r="B15" s="28"/>
      <c r="C15" s="28"/>
      <c r="D15" s="28"/>
      <c r="E15" s="12" t="str">
        <f t="shared" si="0"/>
        <v/>
      </c>
      <c r="F15" s="11" t="str">
        <f t="shared" si="1"/>
        <v/>
      </c>
      <c r="G15" s="17" t="str">
        <f t="shared" si="2"/>
        <v/>
      </c>
      <c r="H15" s="41" t="str">
        <f t="shared" ca="1" si="3"/>
        <v/>
      </c>
      <c r="I15" s="27"/>
    </row>
    <row r="16" spans="1:9" ht="15" customHeight="1" x14ac:dyDescent="0.25">
      <c r="A16" s="27"/>
      <c r="B16" s="28"/>
      <c r="C16" s="28"/>
      <c r="D16" s="28"/>
      <c r="E16" s="12" t="str">
        <f t="shared" si="0"/>
        <v/>
      </c>
      <c r="F16" s="11" t="str">
        <f t="shared" si="1"/>
        <v/>
      </c>
      <c r="G16" s="17" t="str">
        <f t="shared" si="2"/>
        <v/>
      </c>
      <c r="H16" s="41" t="str">
        <f t="shared" ca="1" si="3"/>
        <v/>
      </c>
      <c r="I16" s="27"/>
    </row>
    <row r="17" spans="1:9" ht="15" customHeight="1" x14ac:dyDescent="0.25">
      <c r="A17" s="27"/>
      <c r="B17" s="28"/>
      <c r="C17" s="28"/>
      <c r="D17" s="28"/>
      <c r="E17" s="12" t="str">
        <f t="shared" si="0"/>
        <v/>
      </c>
      <c r="F17" s="11" t="str">
        <f t="shared" si="1"/>
        <v/>
      </c>
      <c r="G17" s="17" t="str">
        <f t="shared" si="2"/>
        <v/>
      </c>
      <c r="H17" s="41" t="str">
        <f t="shared" ca="1" si="3"/>
        <v/>
      </c>
      <c r="I17" s="27"/>
    </row>
    <row r="18" spans="1:9" ht="15" customHeight="1" x14ac:dyDescent="0.25">
      <c r="A18" s="27"/>
      <c r="B18" s="28"/>
      <c r="C18" s="28"/>
      <c r="D18" s="28"/>
      <c r="E18" s="12" t="str">
        <f t="shared" si="0"/>
        <v/>
      </c>
      <c r="F18" s="11" t="str">
        <f t="shared" si="1"/>
        <v/>
      </c>
      <c r="G18" s="17" t="str">
        <f t="shared" si="2"/>
        <v/>
      </c>
      <c r="H18" s="41" t="str">
        <f t="shared" ca="1" si="3"/>
        <v/>
      </c>
      <c r="I18" s="27"/>
    </row>
  </sheetData>
  <conditionalFormatting sqref="E4:E18">
    <cfRule type="dataBar" priority="2">
      <dataBar>
        <cfvo type="num" val="0"/>
        <cfvo type="num" val="1"/>
        <color rgb="FF4472C4"/>
      </dataBar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9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7109375" defaultRowHeight="15" x14ac:dyDescent="0.25"/>
  <cols>
    <col min="1" max="1" width="14" customWidth="1"/>
    <col min="2" max="2" width="16" customWidth="1"/>
    <col min="3" max="3" width="20" customWidth="1"/>
    <col min="4" max="4" width="14" customWidth="1"/>
    <col min="5" max="5" width="13" customWidth="1"/>
    <col min="6" max="6" width="14" customWidth="1"/>
    <col min="7" max="7" width="17" customWidth="1"/>
    <col min="8" max="9" width="18" customWidth="1"/>
    <col min="10" max="10" width="16" customWidth="1"/>
    <col min="11" max="11" width="18" customWidth="1"/>
  </cols>
  <sheetData>
    <row r="1" spans="1:11" ht="21.75" customHeight="1" x14ac:dyDescent="0.25">
      <c r="A1" s="1" t="s">
        <v>273</v>
      </c>
    </row>
    <row r="2" spans="1:11" ht="15" customHeight="1" x14ac:dyDescent="0.25">
      <c r="A2" s="2" t="s">
        <v>274</v>
      </c>
    </row>
    <row r="3" spans="1:11" ht="30" customHeight="1" x14ac:dyDescent="0.25">
      <c r="A3" s="15" t="s">
        <v>62</v>
      </c>
      <c r="B3" s="15" t="s">
        <v>275</v>
      </c>
      <c r="C3" s="15" t="s">
        <v>276</v>
      </c>
      <c r="D3" s="15" t="s">
        <v>277</v>
      </c>
      <c r="E3" s="15" t="s">
        <v>278</v>
      </c>
      <c r="F3" s="15" t="s">
        <v>279</v>
      </c>
      <c r="G3" s="15" t="s">
        <v>280</v>
      </c>
      <c r="H3" s="15" t="s">
        <v>281</v>
      </c>
      <c r="I3" s="15" t="s">
        <v>282</v>
      </c>
      <c r="J3" s="15" t="s">
        <v>283</v>
      </c>
      <c r="K3" s="15" t="s">
        <v>284</v>
      </c>
    </row>
    <row r="4" spans="1:11" ht="15" customHeight="1" x14ac:dyDescent="0.25">
      <c r="A4" s="42">
        <f>Monatsübersicht!$A4</f>
        <v>46023</v>
      </c>
      <c r="B4" s="43"/>
      <c r="C4" s="43"/>
      <c r="D4" s="43"/>
      <c r="E4" s="43"/>
      <c r="F4" s="43"/>
      <c r="G4" s="11">
        <f t="shared" ref="G4:G27" si="0">SUM($B4:$F4)</f>
        <v>0</v>
      </c>
      <c r="H4" s="43"/>
      <c r="I4" s="11">
        <f t="shared" ref="I4:I27" si="1">$G4-$H4</f>
        <v>0</v>
      </c>
      <c r="J4" s="11"/>
      <c r="K4" s="11"/>
    </row>
    <row r="5" spans="1:11" ht="15" customHeight="1" x14ac:dyDescent="0.25">
      <c r="A5" s="42">
        <f>Monatsübersicht!$A5</f>
        <v>46054</v>
      </c>
      <c r="B5" s="43"/>
      <c r="C5" s="43"/>
      <c r="D5" s="43"/>
      <c r="E5" s="43"/>
      <c r="F5" s="43"/>
      <c r="G5" s="11">
        <f t="shared" si="0"/>
        <v>0</v>
      </c>
      <c r="H5" s="43"/>
      <c r="I5" s="11">
        <f t="shared" si="1"/>
        <v>0</v>
      </c>
      <c r="J5" s="11">
        <f t="shared" ref="J5:J27" si="2">$I5-$I4</f>
        <v>0</v>
      </c>
      <c r="K5" s="11"/>
    </row>
    <row r="6" spans="1:11" ht="15" customHeight="1" x14ac:dyDescent="0.25">
      <c r="A6" s="42">
        <f>Monatsübersicht!$A6</f>
        <v>46082</v>
      </c>
      <c r="B6" s="43"/>
      <c r="C6" s="43"/>
      <c r="D6" s="43"/>
      <c r="E6" s="43"/>
      <c r="F6" s="43"/>
      <c r="G6" s="11">
        <f t="shared" si="0"/>
        <v>0</v>
      </c>
      <c r="H6" s="43"/>
      <c r="I6" s="11">
        <f t="shared" si="1"/>
        <v>0</v>
      </c>
      <c r="J6" s="11">
        <f t="shared" si="2"/>
        <v>0</v>
      </c>
      <c r="K6" s="11"/>
    </row>
    <row r="7" spans="1:11" ht="15" customHeight="1" x14ac:dyDescent="0.25">
      <c r="A7" s="42">
        <f>Monatsübersicht!$A7</f>
        <v>46113</v>
      </c>
      <c r="B7" s="43"/>
      <c r="C7" s="43"/>
      <c r="D7" s="43"/>
      <c r="E7" s="43"/>
      <c r="F7" s="43"/>
      <c r="G7" s="11">
        <f t="shared" si="0"/>
        <v>0</v>
      </c>
      <c r="H7" s="43"/>
      <c r="I7" s="11">
        <f t="shared" si="1"/>
        <v>0</v>
      </c>
      <c r="J7" s="11">
        <f t="shared" si="2"/>
        <v>0</v>
      </c>
      <c r="K7" s="11">
        <f t="shared" ref="K7:K27" si="3">AVERAGE($J5:$J7)</f>
        <v>0</v>
      </c>
    </row>
    <row r="8" spans="1:11" ht="15" customHeight="1" x14ac:dyDescent="0.25">
      <c r="A8" s="42">
        <f>Monatsübersicht!$A8</f>
        <v>46143</v>
      </c>
      <c r="B8" s="43"/>
      <c r="C8" s="43"/>
      <c r="D8" s="43"/>
      <c r="E8" s="43"/>
      <c r="F8" s="43"/>
      <c r="G8" s="11">
        <f t="shared" si="0"/>
        <v>0</v>
      </c>
      <c r="H8" s="43"/>
      <c r="I8" s="11">
        <f t="shared" si="1"/>
        <v>0</v>
      </c>
      <c r="J8" s="11">
        <f t="shared" si="2"/>
        <v>0</v>
      </c>
      <c r="K8" s="11">
        <f t="shared" si="3"/>
        <v>0</v>
      </c>
    </row>
    <row r="9" spans="1:11" ht="15" customHeight="1" x14ac:dyDescent="0.25">
      <c r="A9" s="42">
        <f>Monatsübersicht!$A9</f>
        <v>46174</v>
      </c>
      <c r="B9" s="43"/>
      <c r="C9" s="43"/>
      <c r="D9" s="43"/>
      <c r="E9" s="43"/>
      <c r="F9" s="43"/>
      <c r="G9" s="11">
        <f t="shared" si="0"/>
        <v>0</v>
      </c>
      <c r="H9" s="43"/>
      <c r="I9" s="11">
        <f t="shared" si="1"/>
        <v>0</v>
      </c>
      <c r="J9" s="11">
        <f t="shared" si="2"/>
        <v>0</v>
      </c>
      <c r="K9" s="11">
        <f t="shared" si="3"/>
        <v>0</v>
      </c>
    </row>
    <row r="10" spans="1:11" ht="15" customHeight="1" x14ac:dyDescent="0.25">
      <c r="A10" s="42">
        <f>Monatsübersicht!$A10</f>
        <v>46204</v>
      </c>
      <c r="B10" s="43"/>
      <c r="C10" s="43"/>
      <c r="D10" s="43"/>
      <c r="E10" s="43"/>
      <c r="F10" s="43"/>
      <c r="G10" s="11">
        <f t="shared" si="0"/>
        <v>0</v>
      </c>
      <c r="H10" s="43"/>
      <c r="I10" s="11">
        <f t="shared" si="1"/>
        <v>0</v>
      </c>
      <c r="J10" s="11">
        <f t="shared" si="2"/>
        <v>0</v>
      </c>
      <c r="K10" s="11">
        <f t="shared" si="3"/>
        <v>0</v>
      </c>
    </row>
    <row r="11" spans="1:11" ht="15" customHeight="1" x14ac:dyDescent="0.25">
      <c r="A11" s="42">
        <f>Monatsübersicht!$A11</f>
        <v>46235</v>
      </c>
      <c r="B11" s="43"/>
      <c r="C11" s="43"/>
      <c r="D11" s="43"/>
      <c r="E11" s="43"/>
      <c r="F11" s="43"/>
      <c r="G11" s="11">
        <f t="shared" si="0"/>
        <v>0</v>
      </c>
      <c r="H11" s="43"/>
      <c r="I11" s="11">
        <f t="shared" si="1"/>
        <v>0</v>
      </c>
      <c r="J11" s="11">
        <f t="shared" si="2"/>
        <v>0</v>
      </c>
      <c r="K11" s="11">
        <f t="shared" si="3"/>
        <v>0</v>
      </c>
    </row>
    <row r="12" spans="1:11" ht="15" customHeight="1" x14ac:dyDescent="0.25">
      <c r="A12" s="42">
        <f>Monatsübersicht!$A12</f>
        <v>46266</v>
      </c>
      <c r="B12" s="43"/>
      <c r="C12" s="43"/>
      <c r="D12" s="43"/>
      <c r="E12" s="43"/>
      <c r="F12" s="43"/>
      <c r="G12" s="11">
        <f t="shared" si="0"/>
        <v>0</v>
      </c>
      <c r="H12" s="43"/>
      <c r="I12" s="11">
        <f t="shared" si="1"/>
        <v>0</v>
      </c>
      <c r="J12" s="11">
        <f t="shared" si="2"/>
        <v>0</v>
      </c>
      <c r="K12" s="11">
        <f t="shared" si="3"/>
        <v>0</v>
      </c>
    </row>
    <row r="13" spans="1:11" ht="15" customHeight="1" x14ac:dyDescent="0.25">
      <c r="A13" s="42">
        <f>Monatsübersicht!$A13</f>
        <v>46296</v>
      </c>
      <c r="B13" s="43"/>
      <c r="C13" s="43"/>
      <c r="D13" s="43"/>
      <c r="E13" s="43"/>
      <c r="F13" s="43"/>
      <c r="G13" s="11">
        <f t="shared" si="0"/>
        <v>0</v>
      </c>
      <c r="H13" s="43"/>
      <c r="I13" s="11">
        <f t="shared" si="1"/>
        <v>0</v>
      </c>
      <c r="J13" s="11">
        <f t="shared" si="2"/>
        <v>0</v>
      </c>
      <c r="K13" s="11">
        <f t="shared" si="3"/>
        <v>0</v>
      </c>
    </row>
    <row r="14" spans="1:11" ht="15" customHeight="1" x14ac:dyDescent="0.25">
      <c r="A14" s="42">
        <f>Monatsübersicht!$A14</f>
        <v>46327</v>
      </c>
      <c r="B14" s="43"/>
      <c r="C14" s="43"/>
      <c r="D14" s="43"/>
      <c r="E14" s="43"/>
      <c r="F14" s="43"/>
      <c r="G14" s="11">
        <f t="shared" si="0"/>
        <v>0</v>
      </c>
      <c r="H14" s="43"/>
      <c r="I14" s="11">
        <f t="shared" si="1"/>
        <v>0</v>
      </c>
      <c r="J14" s="11">
        <f t="shared" si="2"/>
        <v>0</v>
      </c>
      <c r="K14" s="11">
        <f t="shared" si="3"/>
        <v>0</v>
      </c>
    </row>
    <row r="15" spans="1:11" ht="15" customHeight="1" x14ac:dyDescent="0.25">
      <c r="A15" s="42">
        <f>Monatsübersicht!$A15</f>
        <v>46357</v>
      </c>
      <c r="B15" s="43"/>
      <c r="C15" s="43"/>
      <c r="D15" s="43"/>
      <c r="E15" s="43"/>
      <c r="F15" s="43"/>
      <c r="G15" s="11">
        <f t="shared" si="0"/>
        <v>0</v>
      </c>
      <c r="H15" s="43"/>
      <c r="I15" s="11">
        <f t="shared" si="1"/>
        <v>0</v>
      </c>
      <c r="J15" s="11">
        <f t="shared" si="2"/>
        <v>0</v>
      </c>
      <c r="K15" s="11">
        <f t="shared" si="3"/>
        <v>0</v>
      </c>
    </row>
    <row r="16" spans="1:11" ht="15" customHeight="1" x14ac:dyDescent="0.25">
      <c r="A16" s="42">
        <f>Monatsübersicht!$A16</f>
        <v>46388</v>
      </c>
      <c r="B16" s="43"/>
      <c r="C16" s="43"/>
      <c r="D16" s="43"/>
      <c r="E16" s="43"/>
      <c r="F16" s="43"/>
      <c r="G16" s="11">
        <f t="shared" si="0"/>
        <v>0</v>
      </c>
      <c r="H16" s="43"/>
      <c r="I16" s="11">
        <f t="shared" si="1"/>
        <v>0</v>
      </c>
      <c r="J16" s="11">
        <f t="shared" si="2"/>
        <v>0</v>
      </c>
      <c r="K16" s="11">
        <f t="shared" si="3"/>
        <v>0</v>
      </c>
    </row>
    <row r="17" spans="1:11" ht="15" customHeight="1" x14ac:dyDescent="0.25">
      <c r="A17" s="42">
        <f>Monatsübersicht!$A17</f>
        <v>46419</v>
      </c>
      <c r="B17" s="43"/>
      <c r="C17" s="43"/>
      <c r="D17" s="43"/>
      <c r="E17" s="43"/>
      <c r="F17" s="43"/>
      <c r="G17" s="11">
        <f t="shared" si="0"/>
        <v>0</v>
      </c>
      <c r="H17" s="43"/>
      <c r="I17" s="11">
        <f t="shared" si="1"/>
        <v>0</v>
      </c>
      <c r="J17" s="11">
        <f t="shared" si="2"/>
        <v>0</v>
      </c>
      <c r="K17" s="11">
        <f t="shared" si="3"/>
        <v>0</v>
      </c>
    </row>
    <row r="18" spans="1:11" ht="15" customHeight="1" x14ac:dyDescent="0.25">
      <c r="A18" s="42">
        <f>Monatsübersicht!$A18</f>
        <v>46447</v>
      </c>
      <c r="B18" s="43"/>
      <c r="C18" s="43"/>
      <c r="D18" s="43"/>
      <c r="E18" s="43"/>
      <c r="F18" s="43"/>
      <c r="G18" s="11">
        <f t="shared" si="0"/>
        <v>0</v>
      </c>
      <c r="H18" s="43"/>
      <c r="I18" s="11">
        <f t="shared" si="1"/>
        <v>0</v>
      </c>
      <c r="J18" s="11">
        <f t="shared" si="2"/>
        <v>0</v>
      </c>
      <c r="K18" s="11">
        <f t="shared" si="3"/>
        <v>0</v>
      </c>
    </row>
    <row r="19" spans="1:11" ht="15" customHeight="1" x14ac:dyDescent="0.25">
      <c r="A19" s="42">
        <f>Monatsübersicht!$A19</f>
        <v>46478</v>
      </c>
      <c r="B19" s="43"/>
      <c r="C19" s="43"/>
      <c r="D19" s="43"/>
      <c r="E19" s="43"/>
      <c r="F19" s="43"/>
      <c r="G19" s="11">
        <f t="shared" si="0"/>
        <v>0</v>
      </c>
      <c r="H19" s="43"/>
      <c r="I19" s="11">
        <f t="shared" si="1"/>
        <v>0</v>
      </c>
      <c r="J19" s="11">
        <f t="shared" si="2"/>
        <v>0</v>
      </c>
      <c r="K19" s="11">
        <f t="shared" si="3"/>
        <v>0</v>
      </c>
    </row>
    <row r="20" spans="1:11" ht="15" customHeight="1" x14ac:dyDescent="0.25">
      <c r="A20" s="42">
        <f>Monatsübersicht!$A20</f>
        <v>46508</v>
      </c>
      <c r="B20" s="43"/>
      <c r="C20" s="43"/>
      <c r="D20" s="43"/>
      <c r="E20" s="43"/>
      <c r="F20" s="43"/>
      <c r="G20" s="11">
        <f t="shared" si="0"/>
        <v>0</v>
      </c>
      <c r="H20" s="43"/>
      <c r="I20" s="11">
        <f t="shared" si="1"/>
        <v>0</v>
      </c>
      <c r="J20" s="11">
        <f t="shared" si="2"/>
        <v>0</v>
      </c>
      <c r="K20" s="11">
        <f t="shared" si="3"/>
        <v>0</v>
      </c>
    </row>
    <row r="21" spans="1:11" ht="15" customHeight="1" x14ac:dyDescent="0.25">
      <c r="A21" s="42">
        <f>Monatsübersicht!$A21</f>
        <v>46539</v>
      </c>
      <c r="B21" s="43"/>
      <c r="C21" s="43"/>
      <c r="D21" s="43"/>
      <c r="E21" s="43"/>
      <c r="F21" s="43"/>
      <c r="G21" s="11">
        <f t="shared" si="0"/>
        <v>0</v>
      </c>
      <c r="H21" s="43"/>
      <c r="I21" s="11">
        <f t="shared" si="1"/>
        <v>0</v>
      </c>
      <c r="J21" s="11">
        <f t="shared" si="2"/>
        <v>0</v>
      </c>
      <c r="K21" s="11">
        <f t="shared" si="3"/>
        <v>0</v>
      </c>
    </row>
    <row r="22" spans="1:11" ht="15" customHeight="1" x14ac:dyDescent="0.25">
      <c r="A22" s="42">
        <f>Monatsübersicht!$A22</f>
        <v>46569</v>
      </c>
      <c r="B22" s="43"/>
      <c r="C22" s="43"/>
      <c r="D22" s="43"/>
      <c r="E22" s="43"/>
      <c r="F22" s="43"/>
      <c r="G22" s="11">
        <f t="shared" si="0"/>
        <v>0</v>
      </c>
      <c r="H22" s="43"/>
      <c r="I22" s="11">
        <f t="shared" si="1"/>
        <v>0</v>
      </c>
      <c r="J22" s="11">
        <f t="shared" si="2"/>
        <v>0</v>
      </c>
      <c r="K22" s="11">
        <f t="shared" si="3"/>
        <v>0</v>
      </c>
    </row>
    <row r="23" spans="1:11" ht="15" customHeight="1" x14ac:dyDescent="0.25">
      <c r="A23" s="42">
        <f>Monatsübersicht!$A23</f>
        <v>46600</v>
      </c>
      <c r="B23" s="43"/>
      <c r="C23" s="43"/>
      <c r="D23" s="43"/>
      <c r="E23" s="43"/>
      <c r="F23" s="43"/>
      <c r="G23" s="11">
        <f t="shared" si="0"/>
        <v>0</v>
      </c>
      <c r="H23" s="43"/>
      <c r="I23" s="11">
        <f t="shared" si="1"/>
        <v>0</v>
      </c>
      <c r="J23" s="11">
        <f t="shared" si="2"/>
        <v>0</v>
      </c>
      <c r="K23" s="11">
        <f t="shared" si="3"/>
        <v>0</v>
      </c>
    </row>
    <row r="24" spans="1:11" ht="15" customHeight="1" x14ac:dyDescent="0.25">
      <c r="A24" s="42">
        <f>Monatsübersicht!$A24</f>
        <v>46631</v>
      </c>
      <c r="B24" s="43"/>
      <c r="C24" s="43"/>
      <c r="D24" s="43"/>
      <c r="E24" s="43"/>
      <c r="F24" s="43"/>
      <c r="G24" s="11">
        <f t="shared" si="0"/>
        <v>0</v>
      </c>
      <c r="H24" s="43"/>
      <c r="I24" s="11">
        <f t="shared" si="1"/>
        <v>0</v>
      </c>
      <c r="J24" s="11">
        <f t="shared" si="2"/>
        <v>0</v>
      </c>
      <c r="K24" s="11">
        <f t="shared" si="3"/>
        <v>0</v>
      </c>
    </row>
    <row r="25" spans="1:11" ht="15" customHeight="1" x14ac:dyDescent="0.25">
      <c r="A25" s="42">
        <f>Monatsübersicht!$A25</f>
        <v>46661</v>
      </c>
      <c r="B25" s="43"/>
      <c r="C25" s="43"/>
      <c r="D25" s="43"/>
      <c r="E25" s="43"/>
      <c r="F25" s="43"/>
      <c r="G25" s="11">
        <f t="shared" si="0"/>
        <v>0</v>
      </c>
      <c r="H25" s="43"/>
      <c r="I25" s="11">
        <f t="shared" si="1"/>
        <v>0</v>
      </c>
      <c r="J25" s="11">
        <f t="shared" si="2"/>
        <v>0</v>
      </c>
      <c r="K25" s="11">
        <f t="shared" si="3"/>
        <v>0</v>
      </c>
    </row>
    <row r="26" spans="1:11" ht="15" customHeight="1" x14ac:dyDescent="0.25">
      <c r="A26" s="42">
        <f>Monatsübersicht!$A26</f>
        <v>46692</v>
      </c>
      <c r="B26" s="43"/>
      <c r="C26" s="43"/>
      <c r="D26" s="43"/>
      <c r="E26" s="43"/>
      <c r="F26" s="43"/>
      <c r="G26" s="11">
        <f t="shared" si="0"/>
        <v>0</v>
      </c>
      <c r="H26" s="43"/>
      <c r="I26" s="11">
        <f t="shared" si="1"/>
        <v>0</v>
      </c>
      <c r="J26" s="11">
        <f t="shared" si="2"/>
        <v>0</v>
      </c>
      <c r="K26" s="11">
        <f t="shared" si="3"/>
        <v>0</v>
      </c>
    </row>
    <row r="27" spans="1:11" ht="15" customHeight="1" x14ac:dyDescent="0.25">
      <c r="A27" s="42">
        <f>Monatsübersicht!$A27</f>
        <v>46722</v>
      </c>
      <c r="B27" s="43"/>
      <c r="C27" s="43"/>
      <c r="D27" s="43"/>
      <c r="E27" s="43"/>
      <c r="F27" s="43"/>
      <c r="G27" s="11">
        <f t="shared" si="0"/>
        <v>0</v>
      </c>
      <c r="H27" s="43"/>
      <c r="I27" s="11">
        <f t="shared" si="1"/>
        <v>0</v>
      </c>
      <c r="J27" s="11">
        <f t="shared" si="2"/>
        <v>0</v>
      </c>
      <c r="K27" s="11">
        <f t="shared" si="3"/>
        <v>0</v>
      </c>
    </row>
    <row r="29" spans="1:11" ht="15" customHeight="1" x14ac:dyDescent="0.25">
      <c r="A29" s="2" t="s">
        <v>285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4"/>
  <sheetViews>
    <sheetView showGridLines="0" zoomScaleNormal="100" workbookViewId="0"/>
  </sheetViews>
  <sheetFormatPr baseColWidth="10" defaultColWidth="8.7109375" defaultRowHeight="15" x14ac:dyDescent="0.25"/>
  <cols>
    <col min="1" max="1" width="34" customWidth="1"/>
    <col min="2" max="2" width="20" customWidth="1"/>
    <col min="3" max="4" width="24" customWidth="1"/>
    <col min="5" max="5" width="3" customWidth="1"/>
    <col min="6" max="6" width="60" customWidth="1"/>
  </cols>
  <sheetData>
    <row r="1" spans="1:6" ht="21.75" customHeight="1" x14ac:dyDescent="0.25">
      <c r="A1" s="1" t="s">
        <v>286</v>
      </c>
    </row>
    <row r="2" spans="1:6" ht="15" customHeight="1" x14ac:dyDescent="0.25">
      <c r="A2" s="2" t="s">
        <v>287</v>
      </c>
    </row>
    <row r="4" spans="1:6" ht="15" customHeight="1" x14ac:dyDescent="0.25">
      <c r="A4" s="3" t="s">
        <v>288</v>
      </c>
    </row>
    <row r="5" spans="1:6" ht="15" customHeight="1" x14ac:dyDescent="0.25">
      <c r="A5" s="9" t="s">
        <v>289</v>
      </c>
      <c r="B5" s="13">
        <f>IFERROR(LOOKUP(9.99999999999999E+307,Vermögen!$I$4:$I$27),0)</f>
        <v>0</v>
      </c>
    </row>
    <row r="6" spans="1:6" ht="15" customHeight="1" x14ac:dyDescent="0.25">
      <c r="A6" s="9" t="s">
        <v>290</v>
      </c>
      <c r="B6" s="13">
        <f>IFERROR(AVERAGEIF(Monatsübersicht!$F$4:$F$27,"&lt;&gt;0"),0)</f>
        <v>28.030000000000047</v>
      </c>
    </row>
    <row r="7" spans="1:6" ht="15" customHeight="1" x14ac:dyDescent="0.25">
      <c r="A7" s="9" t="s">
        <v>291</v>
      </c>
      <c r="B7" s="13">
        <f>IFERROR(AVERAGEIF(Monatsübersicht!$E$4:$E$27,"&lt;&gt;0"),0)</f>
        <v>1026.9933333333331</v>
      </c>
    </row>
    <row r="8" spans="1:6" ht="15" customHeight="1" x14ac:dyDescent="0.25">
      <c r="A8" s="9" t="s">
        <v>292</v>
      </c>
      <c r="B8" s="13">
        <f>IFERROR(SLOPE(Monatsübersicht!$E$4:$E$27,Monatsübersicht!$M$4:$M$27),0)</f>
        <v>-12.724704347826085</v>
      </c>
    </row>
    <row r="10" spans="1:6" ht="15" customHeight="1" x14ac:dyDescent="0.25">
      <c r="A10" s="3" t="s">
        <v>293</v>
      </c>
    </row>
    <row r="11" spans="1:6" ht="23.85" customHeight="1" x14ac:dyDescent="0.25">
      <c r="A11" s="9" t="s">
        <v>294</v>
      </c>
      <c r="B11" s="44">
        <v>0.02</v>
      </c>
      <c r="F11" s="45" t="s">
        <v>295</v>
      </c>
    </row>
    <row r="12" spans="1:6" ht="15" customHeight="1" x14ac:dyDescent="0.25">
      <c r="A12" s="9" t="s">
        <v>296</v>
      </c>
      <c r="B12" s="43">
        <v>0</v>
      </c>
    </row>
    <row r="13" spans="1:6" ht="15" customHeight="1" x14ac:dyDescent="0.25">
      <c r="A13" s="9" t="s">
        <v>297</v>
      </c>
      <c r="B13" s="31">
        <f>$B$6+$B$12</f>
        <v>28.030000000000047</v>
      </c>
    </row>
    <row r="16" spans="1:6" ht="30" customHeight="1" x14ac:dyDescent="0.25">
      <c r="A16" s="15" t="s">
        <v>298</v>
      </c>
      <c r="B16" s="15" t="s">
        <v>60</v>
      </c>
      <c r="C16" s="15" t="s">
        <v>299</v>
      </c>
      <c r="D16" s="15" t="s">
        <v>300</v>
      </c>
    </row>
    <row r="17" spans="1:4" ht="15" customHeight="1" x14ac:dyDescent="0.25">
      <c r="A17" s="33">
        <v>0</v>
      </c>
      <c r="B17" s="10">
        <f t="shared" ref="B17:B29" ca="1" si="0">EDATE(TODAY(),$A17)</f>
        <v>46252</v>
      </c>
      <c r="C17" s="11">
        <f t="shared" ref="C17:C29" si="1">IF($B$11=0,$B$5+$B$13*$A17,$B$5*(1+$B$11/12)^$A17+$B$13*(((1+$B$11/12)^$A17-1)/($B$11/12)))</f>
        <v>0</v>
      </c>
      <c r="D17" s="11">
        <f t="shared" ref="D17:D29" si="2">MAX(0,$B$7+$B$8*$A17)</f>
        <v>1026.9933333333331</v>
      </c>
    </row>
    <row r="18" spans="1:4" ht="15" customHeight="1" x14ac:dyDescent="0.25">
      <c r="A18" s="33">
        <v>1</v>
      </c>
      <c r="B18" s="10">
        <f t="shared" ca="1" si="0"/>
        <v>46283</v>
      </c>
      <c r="C18" s="11">
        <f t="shared" si="1"/>
        <v>28.030000000000694</v>
      </c>
      <c r="D18" s="11">
        <f t="shared" si="2"/>
        <v>1014.268628985507</v>
      </c>
    </row>
    <row r="19" spans="1:4" ht="15" customHeight="1" x14ac:dyDescent="0.25">
      <c r="A19" s="33">
        <v>2</v>
      </c>
      <c r="B19" s="10">
        <f t="shared" ca="1" si="0"/>
        <v>46313</v>
      </c>
      <c r="C19" s="11">
        <f t="shared" si="1"/>
        <v>56.106716666668362</v>
      </c>
      <c r="D19" s="11">
        <f t="shared" si="2"/>
        <v>1001.5439246376809</v>
      </c>
    </row>
    <row r="20" spans="1:4" ht="15" customHeight="1" x14ac:dyDescent="0.25">
      <c r="A20" s="33">
        <v>3</v>
      </c>
      <c r="B20" s="10">
        <f t="shared" ca="1" si="0"/>
        <v>46344</v>
      </c>
      <c r="C20" s="11">
        <f t="shared" si="1"/>
        <v>84.230227861113093</v>
      </c>
      <c r="D20" s="11">
        <f t="shared" si="2"/>
        <v>988.81922028985491</v>
      </c>
    </row>
    <row r="21" spans="1:4" ht="15" customHeight="1" x14ac:dyDescent="0.25">
      <c r="A21" s="33">
        <v>4</v>
      </c>
      <c r="B21" s="10">
        <f t="shared" ca="1" si="0"/>
        <v>46374</v>
      </c>
      <c r="C21" s="11">
        <f t="shared" si="1"/>
        <v>112.40061157421722</v>
      </c>
      <c r="D21" s="11">
        <f t="shared" si="2"/>
        <v>976.09451594202881</v>
      </c>
    </row>
    <row r="22" spans="1:4" ht="15" customHeight="1" x14ac:dyDescent="0.25">
      <c r="A22" s="33">
        <v>5</v>
      </c>
      <c r="B22" s="10">
        <f t="shared" ca="1" si="0"/>
        <v>46405</v>
      </c>
      <c r="C22" s="11">
        <f t="shared" si="1"/>
        <v>140.61794592684075</v>
      </c>
      <c r="D22" s="11">
        <f t="shared" si="2"/>
        <v>963.3698115942027</v>
      </c>
    </row>
    <row r="23" spans="1:4" ht="15" customHeight="1" x14ac:dyDescent="0.25">
      <c r="A23" s="33">
        <v>6</v>
      </c>
      <c r="B23" s="10">
        <f t="shared" ca="1" si="0"/>
        <v>46436</v>
      </c>
      <c r="C23" s="11">
        <f t="shared" si="1"/>
        <v>168.88230917005288</v>
      </c>
      <c r="D23" s="11">
        <f t="shared" si="2"/>
        <v>950.6451072463766</v>
      </c>
    </row>
    <row r="24" spans="1:4" ht="15" customHeight="1" x14ac:dyDescent="0.25">
      <c r="A24" s="33">
        <v>7</v>
      </c>
      <c r="B24" s="10">
        <f t="shared" ca="1" si="0"/>
        <v>46464</v>
      </c>
      <c r="C24" s="11">
        <f t="shared" si="1"/>
        <v>197.19377968533732</v>
      </c>
      <c r="D24" s="11">
        <f t="shared" si="2"/>
        <v>937.92040289855049</v>
      </c>
    </row>
    <row r="25" spans="1:4" ht="15" customHeight="1" x14ac:dyDescent="0.25">
      <c r="A25" s="33">
        <v>8</v>
      </c>
      <c r="B25" s="10">
        <f t="shared" ca="1" si="0"/>
        <v>46495</v>
      </c>
      <c r="C25" s="11">
        <f t="shared" si="1"/>
        <v>225.55243598481655</v>
      </c>
      <c r="D25" s="11">
        <f t="shared" si="2"/>
        <v>925.19569855072439</v>
      </c>
    </row>
    <row r="26" spans="1:4" ht="15" customHeight="1" x14ac:dyDescent="0.25">
      <c r="A26" s="33">
        <v>9</v>
      </c>
      <c r="B26" s="10">
        <f t="shared" ca="1" si="0"/>
        <v>46525</v>
      </c>
      <c r="C26" s="11">
        <f t="shared" si="1"/>
        <v>253.9583567114569</v>
      </c>
      <c r="D26" s="11">
        <f t="shared" si="2"/>
        <v>912.47099420289828</v>
      </c>
    </row>
    <row r="27" spans="1:4" ht="15" customHeight="1" x14ac:dyDescent="0.25">
      <c r="A27" s="33">
        <v>10</v>
      </c>
      <c r="B27" s="10">
        <f t="shared" ca="1" si="0"/>
        <v>46556</v>
      </c>
      <c r="C27" s="11">
        <f t="shared" si="1"/>
        <v>282.41162063931154</v>
      </c>
      <c r="D27" s="11">
        <f t="shared" si="2"/>
        <v>899.74628985507229</v>
      </c>
    </row>
    <row r="28" spans="1:4" ht="15" customHeight="1" x14ac:dyDescent="0.25">
      <c r="A28" s="33">
        <v>11</v>
      </c>
      <c r="B28" s="10">
        <f t="shared" ca="1" si="0"/>
        <v>46586</v>
      </c>
      <c r="C28" s="11">
        <f t="shared" si="1"/>
        <v>310.91230667371082</v>
      </c>
      <c r="D28" s="11">
        <f t="shared" si="2"/>
        <v>887.02158550724619</v>
      </c>
    </row>
    <row r="29" spans="1:4" ht="15" customHeight="1" x14ac:dyDescent="0.25">
      <c r="A29" s="33">
        <v>12</v>
      </c>
      <c r="B29" s="10">
        <f t="shared" ca="1" si="0"/>
        <v>46617</v>
      </c>
      <c r="C29" s="11">
        <f t="shared" si="1"/>
        <v>339.46049385150138</v>
      </c>
      <c r="D29" s="11">
        <f t="shared" si="2"/>
        <v>874.29688115942008</v>
      </c>
    </row>
    <row r="32" spans="1:4" ht="15" customHeight="1" x14ac:dyDescent="0.25">
      <c r="A32" s="51" t="s">
        <v>301</v>
      </c>
      <c r="B32" s="52"/>
      <c r="C32" s="52"/>
      <c r="D32" s="52"/>
    </row>
    <row r="33" spans="1:4" ht="15" customHeight="1" x14ac:dyDescent="0.25">
      <c r="A33" s="52"/>
      <c r="B33" s="52"/>
      <c r="C33" s="52"/>
      <c r="D33" s="52"/>
    </row>
    <row r="34" spans="1:4" ht="15" customHeight="1" x14ac:dyDescent="0.25">
      <c r="A34" s="52"/>
      <c r="B34" s="52"/>
      <c r="C34" s="52"/>
      <c r="D34" s="52"/>
    </row>
  </sheetData>
  <mergeCells count="1">
    <mergeCell ref="A32:D34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44"/>
  <sheetViews>
    <sheetView showGridLines="0" zoomScaleNormal="100" workbookViewId="0"/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34" customWidth="1"/>
    <col min="5" max="5" width="3" customWidth="1"/>
    <col min="6" max="6" width="26" customWidth="1"/>
    <col min="7" max="7" width="3" customWidth="1"/>
    <col min="8" max="8" width="20" customWidth="1"/>
  </cols>
  <sheetData>
    <row r="1" spans="1:8" ht="21.75" customHeight="1" x14ac:dyDescent="0.25">
      <c r="A1" s="1" t="s">
        <v>302</v>
      </c>
    </row>
    <row r="2" spans="1:8" ht="15" customHeight="1" x14ac:dyDescent="0.25">
      <c r="A2" s="2" t="s">
        <v>303</v>
      </c>
    </row>
    <row r="3" spans="1:8" ht="30" customHeight="1" x14ac:dyDescent="0.25">
      <c r="A3" s="15" t="s">
        <v>55</v>
      </c>
      <c r="B3" s="15" t="s">
        <v>65</v>
      </c>
      <c r="C3" s="15" t="s">
        <v>304</v>
      </c>
      <c r="D3" s="15" t="s">
        <v>221</v>
      </c>
      <c r="F3" s="15" t="s">
        <v>305</v>
      </c>
      <c r="H3" s="15" t="s">
        <v>306</v>
      </c>
    </row>
    <row r="4" spans="1:8" ht="15" customHeight="1" x14ac:dyDescent="0.25">
      <c r="A4" s="46" t="s">
        <v>307</v>
      </c>
      <c r="B4" s="46" t="s">
        <v>308</v>
      </c>
      <c r="C4" s="43">
        <v>0</v>
      </c>
      <c r="D4" s="27"/>
      <c r="F4" s="46" t="s">
        <v>71</v>
      </c>
      <c r="H4" s="33" t="s">
        <v>223</v>
      </c>
    </row>
    <row r="5" spans="1:8" ht="15" customHeight="1" x14ac:dyDescent="0.25">
      <c r="A5" s="46" t="s">
        <v>309</v>
      </c>
      <c r="B5" s="46" t="s">
        <v>308</v>
      </c>
      <c r="C5" s="43">
        <v>0</v>
      </c>
      <c r="D5" s="27"/>
      <c r="F5" s="46" t="s">
        <v>310</v>
      </c>
      <c r="H5" s="33" t="s">
        <v>311</v>
      </c>
    </row>
    <row r="6" spans="1:8" ht="15" customHeight="1" x14ac:dyDescent="0.25">
      <c r="A6" s="46" t="s">
        <v>80</v>
      </c>
      <c r="B6" s="46" t="s">
        <v>308</v>
      </c>
      <c r="C6" s="43">
        <v>0</v>
      </c>
      <c r="D6" s="27"/>
      <c r="F6" s="46" t="s">
        <v>312</v>
      </c>
      <c r="H6" s="33" t="s">
        <v>313</v>
      </c>
    </row>
    <row r="7" spans="1:8" ht="15" customHeight="1" x14ac:dyDescent="0.25">
      <c r="A7" s="46" t="s">
        <v>200</v>
      </c>
      <c r="B7" s="46" t="s">
        <v>314</v>
      </c>
      <c r="C7" s="43">
        <v>0</v>
      </c>
      <c r="D7" s="27"/>
      <c r="F7" s="46" t="s">
        <v>315</v>
      </c>
      <c r="H7" s="33" t="s">
        <v>316</v>
      </c>
    </row>
    <row r="8" spans="1:8" ht="15" customHeight="1" x14ac:dyDescent="0.25">
      <c r="A8" s="46" t="s">
        <v>85</v>
      </c>
      <c r="B8" s="46" t="s">
        <v>314</v>
      </c>
      <c r="C8" s="43">
        <v>0</v>
      </c>
      <c r="D8" s="27"/>
      <c r="F8" s="46" t="s">
        <v>317</v>
      </c>
    </row>
    <row r="9" spans="1:8" ht="15" customHeight="1" x14ac:dyDescent="0.25">
      <c r="A9" s="46" t="s">
        <v>119</v>
      </c>
      <c r="B9" s="46" t="s">
        <v>314</v>
      </c>
      <c r="C9" s="43">
        <v>0</v>
      </c>
      <c r="D9" s="27"/>
      <c r="F9" s="46" t="s">
        <v>318</v>
      </c>
    </row>
    <row r="10" spans="1:8" ht="15" customHeight="1" x14ac:dyDescent="0.25">
      <c r="A10" s="46" t="s">
        <v>69</v>
      </c>
      <c r="B10" s="46" t="s">
        <v>314</v>
      </c>
      <c r="C10" s="43">
        <v>0</v>
      </c>
      <c r="D10" s="27"/>
      <c r="F10" s="46"/>
    </row>
    <row r="11" spans="1:8" ht="15" customHeight="1" x14ac:dyDescent="0.25">
      <c r="A11" s="46" t="s">
        <v>75</v>
      </c>
      <c r="B11" s="46" t="s">
        <v>314</v>
      </c>
      <c r="C11" s="43">
        <v>0</v>
      </c>
      <c r="D11" s="27"/>
      <c r="F11" s="46"/>
    </row>
    <row r="12" spans="1:8" ht="15" customHeight="1" x14ac:dyDescent="0.25">
      <c r="A12" s="46" t="s">
        <v>319</v>
      </c>
      <c r="B12" s="46" t="s">
        <v>314</v>
      </c>
      <c r="C12" s="43">
        <v>0</v>
      </c>
      <c r="D12" s="27"/>
      <c r="F12" s="46"/>
    </row>
    <row r="13" spans="1:8" ht="15" customHeight="1" x14ac:dyDescent="0.25">
      <c r="A13" s="46" t="s">
        <v>98</v>
      </c>
      <c r="B13" s="46" t="s">
        <v>314</v>
      </c>
      <c r="C13" s="43">
        <v>0</v>
      </c>
      <c r="D13" s="27"/>
      <c r="F13" s="46"/>
    </row>
    <row r="14" spans="1:8" ht="15" customHeight="1" x14ac:dyDescent="0.25">
      <c r="A14" s="46" t="s">
        <v>320</v>
      </c>
      <c r="B14" s="46" t="s">
        <v>314</v>
      </c>
      <c r="C14" s="43">
        <v>0</v>
      </c>
      <c r="D14" s="27"/>
      <c r="F14" s="46"/>
    </row>
    <row r="15" spans="1:8" ht="15" customHeight="1" x14ac:dyDescent="0.25">
      <c r="A15" s="46" t="s">
        <v>321</v>
      </c>
      <c r="B15" s="46" t="s">
        <v>314</v>
      </c>
      <c r="C15" s="43">
        <v>0</v>
      </c>
      <c r="D15" s="27"/>
      <c r="F15" s="46"/>
    </row>
    <row r="16" spans="1:8" ht="15" customHeight="1" x14ac:dyDescent="0.25">
      <c r="A16" s="46" t="s">
        <v>322</v>
      </c>
      <c r="B16" s="46" t="s">
        <v>314</v>
      </c>
      <c r="C16" s="43">
        <v>0</v>
      </c>
      <c r="D16" s="27"/>
    </row>
    <row r="17" spans="1:4" ht="15" customHeight="1" x14ac:dyDescent="0.25">
      <c r="A17" s="46" t="s">
        <v>323</v>
      </c>
      <c r="B17" s="46" t="s">
        <v>314</v>
      </c>
      <c r="C17" s="43">
        <v>0</v>
      </c>
      <c r="D17" s="27"/>
    </row>
    <row r="18" spans="1:4" ht="15" customHeight="1" x14ac:dyDescent="0.25">
      <c r="A18" s="46" t="s">
        <v>324</v>
      </c>
      <c r="B18" s="46" t="s">
        <v>314</v>
      </c>
      <c r="C18" s="43">
        <v>0</v>
      </c>
      <c r="D18" s="27"/>
    </row>
    <row r="19" spans="1:4" ht="15" customHeight="1" x14ac:dyDescent="0.25">
      <c r="A19" s="46" t="s">
        <v>325</v>
      </c>
      <c r="B19" s="46" t="s">
        <v>314</v>
      </c>
      <c r="C19" s="43">
        <v>0</v>
      </c>
      <c r="D19" s="27"/>
    </row>
    <row r="20" spans="1:4" ht="15" customHeight="1" x14ac:dyDescent="0.25">
      <c r="A20" s="46" t="s">
        <v>72</v>
      </c>
      <c r="B20" s="46" t="s">
        <v>314</v>
      </c>
      <c r="C20" s="43">
        <v>0</v>
      </c>
      <c r="D20" s="27"/>
    </row>
    <row r="21" spans="1:4" ht="15" customHeight="1" x14ac:dyDescent="0.25">
      <c r="A21" s="46"/>
      <c r="B21" s="46"/>
      <c r="C21" s="43"/>
      <c r="D21" s="27"/>
    </row>
    <row r="22" spans="1:4" ht="15" customHeight="1" x14ac:dyDescent="0.25">
      <c r="A22" s="46"/>
      <c r="B22" s="46"/>
      <c r="C22" s="43"/>
      <c r="D22" s="27"/>
    </row>
    <row r="23" spans="1:4" ht="15" customHeight="1" x14ac:dyDescent="0.25">
      <c r="A23" s="46"/>
      <c r="B23" s="46"/>
      <c r="C23" s="43"/>
      <c r="D23" s="27"/>
    </row>
    <row r="24" spans="1:4" ht="15" customHeight="1" x14ac:dyDescent="0.25">
      <c r="A24" s="46"/>
      <c r="B24" s="46"/>
      <c r="C24" s="43"/>
      <c r="D24" s="27"/>
    </row>
    <row r="25" spans="1:4" ht="15" customHeight="1" x14ac:dyDescent="0.25">
      <c r="A25" s="46"/>
      <c r="B25" s="46"/>
      <c r="C25" s="43"/>
      <c r="D25" s="27"/>
    </row>
    <row r="26" spans="1:4" ht="15" customHeight="1" x14ac:dyDescent="0.25">
      <c r="A26" s="46"/>
      <c r="B26" s="46"/>
      <c r="C26" s="43"/>
      <c r="D26" s="27"/>
    </row>
    <row r="27" spans="1:4" ht="15" customHeight="1" x14ac:dyDescent="0.25">
      <c r="A27" s="46"/>
      <c r="B27" s="46"/>
      <c r="C27" s="43"/>
      <c r="D27" s="27"/>
    </row>
    <row r="28" spans="1:4" ht="15" customHeight="1" x14ac:dyDescent="0.25">
      <c r="A28" s="46"/>
      <c r="B28" s="46"/>
      <c r="C28" s="43"/>
      <c r="D28" s="27"/>
    </row>
    <row r="29" spans="1:4" ht="15" customHeight="1" x14ac:dyDescent="0.25">
      <c r="A29" s="46"/>
      <c r="B29" s="46"/>
      <c r="C29" s="43"/>
      <c r="D29" s="27"/>
    </row>
    <row r="30" spans="1:4" ht="15" customHeight="1" x14ac:dyDescent="0.25">
      <c r="A30" s="46"/>
      <c r="B30" s="46"/>
      <c r="C30" s="43"/>
      <c r="D30" s="27"/>
    </row>
    <row r="31" spans="1:4" ht="15" customHeight="1" x14ac:dyDescent="0.25">
      <c r="A31" s="46"/>
      <c r="B31" s="46"/>
      <c r="C31" s="43"/>
      <c r="D31" s="27"/>
    </row>
    <row r="32" spans="1:4" ht="15" customHeight="1" x14ac:dyDescent="0.25">
      <c r="A32" s="46"/>
      <c r="B32" s="46"/>
      <c r="C32" s="43"/>
      <c r="D32" s="27"/>
    </row>
    <row r="33" spans="1:4" ht="15" customHeight="1" x14ac:dyDescent="0.25">
      <c r="A33" s="46"/>
      <c r="B33" s="46"/>
      <c r="C33" s="43"/>
      <c r="D33" s="27"/>
    </row>
    <row r="34" spans="1:4" ht="15" customHeight="1" x14ac:dyDescent="0.25">
      <c r="A34" s="46"/>
      <c r="B34" s="46"/>
      <c r="C34" s="43"/>
      <c r="D34" s="27"/>
    </row>
    <row r="35" spans="1:4" ht="15" customHeight="1" x14ac:dyDescent="0.25">
      <c r="A35" s="46"/>
      <c r="B35" s="46"/>
      <c r="C35" s="43"/>
      <c r="D35" s="27"/>
    </row>
    <row r="36" spans="1:4" ht="15" customHeight="1" x14ac:dyDescent="0.25">
      <c r="A36" s="46"/>
      <c r="B36" s="46"/>
      <c r="C36" s="43"/>
      <c r="D36" s="27"/>
    </row>
    <row r="37" spans="1:4" ht="15" customHeight="1" x14ac:dyDescent="0.25">
      <c r="A37" s="46"/>
      <c r="B37" s="46"/>
      <c r="C37" s="43"/>
      <c r="D37" s="27"/>
    </row>
    <row r="38" spans="1:4" ht="15" customHeight="1" x14ac:dyDescent="0.25">
      <c r="A38" s="46"/>
      <c r="B38" s="46"/>
      <c r="C38" s="43"/>
      <c r="D38" s="27"/>
    </row>
    <row r="39" spans="1:4" ht="15" customHeight="1" x14ac:dyDescent="0.25">
      <c r="A39" s="46"/>
      <c r="B39" s="46"/>
      <c r="C39" s="43"/>
      <c r="D39" s="27"/>
    </row>
    <row r="40" spans="1:4" ht="15" customHeight="1" x14ac:dyDescent="0.25">
      <c r="A40" s="46"/>
      <c r="B40" s="46"/>
      <c r="C40" s="43"/>
      <c r="D40" s="27"/>
    </row>
    <row r="42" spans="1:4" ht="15" customHeight="1" x14ac:dyDescent="0.25">
      <c r="A42" s="47" t="s">
        <v>326</v>
      </c>
      <c r="B42" s="48"/>
      <c r="C42" s="49">
        <f>SUMIF($B$4:$B$40,"Ausgabe",$C$4:$C$40)</f>
        <v>0</v>
      </c>
    </row>
    <row r="44" spans="1:4" ht="15" customHeight="1" x14ac:dyDescent="0.25">
      <c r="A44" s="2" t="s">
        <v>327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10</vt:i4>
      </vt:variant>
      <vt:variant>
        <vt:lpstr>Benannte Bereiche</vt:lpstr>
      </vt:variant>
      <vt:variant>
        <vt:i4>3</vt:i4>
      </vt:variant>
    </vt:vector>
  </HeadingPairs>
  <TitlesOfParts>
    <vt:vector size="13" baseType="lpstr">
      <vt:lpstr>Anleitung</vt:lpstr>
      <vt:lpstr>Dashboard</vt:lpstr>
      <vt:lpstr>Buchungen</vt:lpstr>
      <vt:lpstr>Fixkosten</vt:lpstr>
      <vt:lpstr>Monatsübersicht</vt:lpstr>
      <vt:lpstr>Kategorien</vt:lpstr>
      <vt:lpstr>Sparziele</vt:lpstr>
      <vt:lpstr>Vermögen</vt:lpstr>
      <vt:lpstr>Prognose</vt:lpstr>
      <vt:lpstr>Einstellungen</vt:lpstr>
      <vt:lpstr>KategorienListe</vt:lpstr>
      <vt:lpstr>KontenListe</vt:lpstr>
      <vt:lpstr>RhythmusListe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Maxara (smaxara)</cp:lastModifiedBy>
  <cp:revision>1</cp:revision>
  <dcterms:created xsi:type="dcterms:W3CDTF">2026-08-18T17:03:00Z</dcterms:created>
  <dcterms:modified xsi:type="dcterms:W3CDTF">2026-08-18T18:18:13Z</dcterms:modified>
  <dc:language>en-US</dc:language>
</cp:coreProperties>
</file>