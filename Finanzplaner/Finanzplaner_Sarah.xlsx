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uchungen" sheetId="3" state="visible" r:id="rId3"/>
    <sheet xmlns:r="http://schemas.openxmlformats.org/officeDocument/2006/relationships" name="Fixkosten" sheetId="4" state="visible" r:id="rId4"/>
    <sheet xmlns:r="http://schemas.openxmlformats.org/officeDocument/2006/relationships" name="Monatsübersicht" sheetId="5" state="visible" r:id="rId5"/>
    <sheet xmlns:r="http://schemas.openxmlformats.org/officeDocument/2006/relationships" name="Kategorien" sheetId="6" state="visible" r:id="rId6"/>
    <sheet xmlns:r="http://schemas.openxmlformats.org/officeDocument/2006/relationships" name="Sparziele" sheetId="7" state="visible" r:id="rId7"/>
    <sheet xmlns:r="http://schemas.openxmlformats.org/officeDocument/2006/relationships" name="Vermögen" sheetId="8" state="visible" r:id="rId8"/>
    <sheet xmlns:r="http://schemas.openxmlformats.org/officeDocument/2006/relationships" name="Prognose" sheetId="9" state="visible" r:id="rId9"/>
    <sheet xmlns:r="http://schemas.openxmlformats.org/officeDocument/2006/relationships" name="Einstellungen" sheetId="10" state="visible" r:id="rId10"/>
  </sheets>
  <definedNames>
    <definedName name="KategorienListe">Einstellungen!$A$4:$A$40</definedName>
    <definedName name="KontenListe">Einstellungen!$F$4:$F$15</definedName>
    <definedName name="RhythmusListe">Einstellungen!$H$4:$H$7</definedName>
    <definedName name="_xlnm._FilterDatabase" localSheetId="2" hidden="1">'Buchungen'!$A$3:$I$1003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mmm\ yyyy"/>
    <numFmt numFmtId="165" formatCode="#,##0.00&quot; €&quot;;[Red]\-#,##0.00&quot; €&quot;"/>
    <numFmt numFmtId="166" formatCode="0.0%"/>
    <numFmt numFmtId="167" formatCode="dd\.mm\.yyyy"/>
    <numFmt numFmtId="168" formatCode="#,##0&quot; €&quot;;[Red]\-#,##0&quot; €&quot;"/>
    <numFmt numFmtId="169" formatCode="#,##0.00&quot; €&quot;;[RED]\-#,##0.00&quot; €&quot;"/>
  </numFmts>
  <fonts count="24">
    <font>
      <name val="Calibri"/>
      <charset val="1"/>
      <family val="2"/>
      <color theme="1"/>
      <sz val="11"/>
    </font>
    <font>
      <name val="Arial"/>
      <charset val="1"/>
      <b val="1"/>
      <color rgb="FF1F3864"/>
      <sz val="14"/>
    </font>
    <font>
      <name val="Arial"/>
      <charset val="1"/>
      <i val="1"/>
      <color rgb="FF595959"/>
      <sz val="10"/>
    </font>
    <font>
      <name val="Arial"/>
      <charset val="1"/>
      <b val="1"/>
      <color rgb="FF1F3864"/>
      <sz val="11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color rgb="FF0000FF"/>
      <sz val="10"/>
    </font>
    <font>
      <name val="Arial"/>
      <charset val="1"/>
      <b val="1"/>
      <color rgb="FF008000"/>
      <sz val="10"/>
    </font>
    <font>
      <name val="Arial"/>
      <charset val="1"/>
      <color rgb="FF000000"/>
      <sz val="10"/>
    </font>
    <font>
      <name val="Arial"/>
      <charset val="1"/>
      <color rgb="FF008000"/>
      <sz val="10"/>
    </font>
    <font>
      <name val="Arial"/>
      <charset val="1"/>
      <b val="1"/>
      <color rgb="FFFFFFFF"/>
      <sz val="10"/>
    </font>
    <font>
      <name val="Arial"/>
      <charset val="1"/>
      <i val="1"/>
      <color rgb="FF808080"/>
      <sz val="10"/>
    </font>
    <font>
      <name val="Arial"/>
      <charset val="1"/>
      <color rgb="FF0000FF"/>
      <sz val="10"/>
    </font>
    <font>
      <name val="Arial"/>
      <charset val="1"/>
      <color rgb="FFA6A6A6"/>
      <sz val="8"/>
    </font>
    <font>
      <name val="Arial"/>
      <color rgb="FFA6A6A6"/>
      <sz val="8"/>
    </font>
    <font>
      <name val="Arial"/>
      <b val="1"/>
      <color rgb="001F3864"/>
      <sz val="14"/>
    </font>
    <font>
      <name val="Arial"/>
      <color rgb="00595959"/>
      <sz val="10"/>
    </font>
    <font>
      <name val="Arial"/>
      <b val="1"/>
      <color rgb="001F3864"/>
      <sz val="11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D9D9D9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4" fillId="2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5" fillId="0" borderId="0" pivotButton="0" quotePrefix="0" xfId="0"/>
    <xf numFmtId="164" fontId="8" fillId="0" borderId="1" pivotButton="0" quotePrefix="0" xfId="0"/>
    <xf numFmtId="165" fontId="8" fillId="0" borderId="1" pivotButton="0" quotePrefix="0" xfId="0"/>
    <xf numFmtId="166" fontId="8" fillId="0" borderId="1" pivotButton="0" quotePrefix="0" xfId="0"/>
    <xf numFmtId="165" fontId="9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horizontal="center" vertical="center" wrapText="1"/>
    </xf>
    <xf numFmtId="167" fontId="11" fillId="0" borderId="1" pivotButton="0" quotePrefix="0" xfId="0"/>
    <xf numFmtId="0" fontId="8" fillId="0" borderId="1" pivotButton="0" quotePrefix="0" xfId="0"/>
    <xf numFmtId="0" fontId="11" fillId="0" borderId="1" pivotButton="0" quotePrefix="0" xfId="0"/>
    <xf numFmtId="165" fontId="11" fillId="0" borderId="1" pivotButton="0" quotePrefix="0" xfId="0"/>
    <xf numFmtId="167" fontId="12" fillId="4" borderId="1" pivotButton="0" quotePrefix="0" xfId="0"/>
    <xf numFmtId="0" fontId="8" fillId="4" borderId="1" pivotButton="0" quotePrefix="0" xfId="0"/>
    <xf numFmtId="0" fontId="12" fillId="4" borderId="1" pivotButton="0" quotePrefix="0" xfId="0"/>
    <xf numFmtId="165" fontId="12" fillId="4" borderId="1" pivotButton="0" quotePrefix="0" xfId="0"/>
    <xf numFmtId="0" fontId="9" fillId="4" borderId="1" pivotButton="0" quotePrefix="0" xfId="0"/>
    <xf numFmtId="165" fontId="8" fillId="4" borderId="1" pivotButton="0" quotePrefix="0" xfId="0"/>
    <xf numFmtId="167" fontId="12" fillId="0" borderId="1" pivotButton="0" quotePrefix="0" xfId="0"/>
    <xf numFmtId="0" fontId="12" fillId="0" borderId="1" pivotButton="0" quotePrefix="0" xfId="0"/>
    <xf numFmtId="165" fontId="12" fillId="0" borderId="1" pivotButton="0" quotePrefix="0" xfId="0"/>
    <xf numFmtId="0" fontId="4" fillId="5" borderId="1" pivotButton="0" quotePrefix="0" xfId="0"/>
    <xf numFmtId="0" fontId="0" fillId="5" borderId="1" pivotButton="0" quotePrefix="0" xfId="0"/>
    <xf numFmtId="165" fontId="4" fillId="5" borderId="1" pivotButton="0" quotePrefix="0" xfId="0"/>
    <xf numFmtId="164" fontId="12" fillId="0" borderId="1" pivotButton="0" quotePrefix="0" xfId="0"/>
    <xf numFmtId="0" fontId="5" fillId="0" borderId="1" pivotButton="0" quotePrefix="0" xfId="0"/>
    <xf numFmtId="166" fontId="4" fillId="5" borderId="1" pivotButton="0" quotePrefix="0" xfId="0"/>
    <xf numFmtId="0" fontId="4" fillId="0" borderId="0" pivotButton="0" quotePrefix="0" xfId="0"/>
    <xf numFmtId="1" fontId="12" fillId="2" borderId="1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168" fontId="8" fillId="0" borderId="1" pivotButton="0" quotePrefix="0" xfId="0"/>
    <xf numFmtId="168" fontId="4" fillId="5" borderId="1" pivotButton="0" quotePrefix="0" xfId="0"/>
    <xf numFmtId="167" fontId="8" fillId="0" borderId="1" pivotButton="0" quotePrefix="0" xfId="0"/>
    <xf numFmtId="164" fontId="9" fillId="0" borderId="1" pivotButton="0" quotePrefix="0" xfId="0"/>
    <xf numFmtId="165" fontId="12" fillId="2" borderId="1" pivotButton="0" quotePrefix="0" xfId="0"/>
    <xf numFmtId="166" fontId="12" fillId="2" borderId="1" pivotButton="0" quotePrefix="0" xfId="0"/>
    <xf numFmtId="0" fontId="2" fillId="0" borderId="0" applyAlignment="1" pivotButton="0" quotePrefix="0" xfId="0">
      <alignment vertical="top" wrapText="1"/>
    </xf>
    <xf numFmtId="0" fontId="12" fillId="2" borderId="1" pivotButton="0" quotePrefix="0" xfId="0"/>
    <xf numFmtId="0" fontId="4" fillId="5" borderId="0" pivotButton="0" quotePrefix="0" xfId="0"/>
    <xf numFmtId="0" fontId="0" fillId="5" borderId="0" pivotButton="0" quotePrefix="0" xfId="0"/>
    <xf numFmtId="165" fontId="4" fillId="5" borderId="0" pivotButton="0" quotePrefix="0" xfId="0"/>
    <xf numFmtId="0" fontId="14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6" borderId="0" pivotButton="0" quotePrefix="0" xfId="0"/>
    <xf numFmtId="0" fontId="20" fillId="0" borderId="2" pivotButton="0" quotePrefix="0" xfId="0"/>
    <xf numFmtId="169" fontId="20" fillId="0" borderId="2" pivotButton="0" quotePrefix="0" xfId="0"/>
    <xf numFmtId="0" fontId="21" fillId="0" borderId="2" pivotButton="0" quotePrefix="0" xfId="0"/>
    <xf numFmtId="0" fontId="0" fillId="0" borderId="2" pivotButton="0" quotePrefix="0" xfId="0"/>
    <xf numFmtId="169" fontId="21" fillId="0" borderId="2" pivotButton="0" quotePrefix="0" xfId="0"/>
    <xf numFmtId="0" fontId="21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22" fillId="0" borderId="0" pivotButton="0" quotePrefix="0" xfId="0"/>
    <xf numFmtId="0" fontId="20" fillId="7" borderId="0" pivotButton="0" quotePrefix="0" xfId="0"/>
    <xf numFmtId="0" fontId="20" fillId="0" borderId="0" pivotButton="0" quotePrefix="0" xfId="0"/>
    <xf numFmtId="0" fontId="23" fillId="0" borderId="0" pivotButton="0" quotePrefix="0" xfId="0"/>
    <xf numFmtId="0" fontId="18" fillId="0" borderId="0" pivotButton="0" quotePrefix="0" xfId="0"/>
    <xf numFmtId="169" fontId="20" fillId="0" borderId="0" pivotButton="0" quotePrefix="0" xfId="0"/>
    <xf numFmtId="0" fontId="21" fillId="0" borderId="0" pivotButton="0" quotePrefix="0" xfId="0"/>
    <xf numFmtId="169" fontId="21" fillId="0" borderId="0" pivotButton="0" quotePrefix="0" xfId="0"/>
    <xf numFmtId="169" fontId="22" fillId="7" borderId="1" pivotButton="0" quotePrefix="0" xfId="0"/>
  </cellXfs>
  <cellStyles count="1">
    <cellStyle name="Standard" xfId="0" builtinId="0"/>
  </cellStyles>
  <dxfs count="1">
    <dxf>
      <font>
        <name val="Arial"/>
        <charset val="1"/>
        <b val="1"/>
        <color rgb="FFC00000"/>
        <sz val="1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Einnahmen und Ausgaben je Monat (€)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'Monatsübersicht'!D3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'Monatsübersicht'!$A$4:$A$11</f>
            </numRef>
          </cat>
          <val>
            <numRef>
              <f>'Monatsübersicht'!$D$4:$D$11</f>
            </numRef>
          </val>
        </ser>
        <ser>
          <idx val="1"/>
          <order val="1"/>
          <tx>
            <strRef>
              <f>'Monatsübersicht'!E3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'Monatsübersicht'!$A$4:$A$11</f>
            </numRef>
          </cat>
          <val>
            <numRef>
              <f>'Monatsübersicht'!$E$4:$E$11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Kontostände je Konto (€)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'Dashboard'!$A$28:$A$31</f>
            </numRef>
          </cat>
          <val>
            <numRef>
              <f>'Dashboard'!$B$28:$B$31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Kumulierter Saldo seit Januar (€)</a:t>
            </a:r>
          </a:p>
        </rich>
      </tx>
    </title>
    <plotArea>
      <lineChart>
        <grouping val="standard"/>
        <ser>
          <idx val="0"/>
          <order val="0"/>
          <tx>
            <strRef>
              <f>'Monatsübersicht'!H3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'Monatsübersicht'!$A$4:$A$11</f>
            </numRef>
          </cat>
          <val>
            <numRef>
              <f>'Monatsübersicht'!$H$4:$H$11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Ausgaben je Kategorie im gewählten Jahr (€)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'Kategorien'!S5</f>
            </strRef>
          </tx>
          <spPr>
            <a:ln xmlns:a="http://schemas.openxmlformats.org/drawingml/2006/main">
              <a:prstDash val="solid"/>
            </a:ln>
          </spPr>
          <cat>
            <numRef>
              <f>'Kategorien'!$A$6:$A$22</f>
            </numRef>
          </cat>
          <val>
            <numRef>
              <f>'Kategorien'!$S$6:$S$22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Prognose Nettovermögen, 12 Monate (€)</a:t>
            </a:r>
          </a:p>
        </rich>
      </tx>
    </title>
    <plotArea>
      <lineChart>
        <grouping val="standard"/>
        <ser>
          <idx val="0"/>
          <order val="0"/>
          <tx>
            <strRef>
              <f>'Prognose'!C16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'Prognose'!$B$17:$B$29</f>
            </numRef>
          </cat>
          <val>
            <numRef>
              <f>'Prognose'!$C$17:$C$29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E4" authorId="0" shapeId="0">
      <text>
        <t>Beispielwerte von Claude eingetragen, damit das Format klar ist. Einfach überschreiben.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72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4</row>
      <rowOff>0</rowOff>
    </from>
    <ext cx="72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24</row>
      <rowOff>0</rowOff>
    </from>
    <ext cx="720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44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15</col>
      <colOff>0</colOff>
      <row>44</row>
      <rowOff>0</rowOff>
    </from>
    <ext cx="7200000" cy="30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26" customWidth="1" style="52" min="1" max="1"/>
    <col width="24" customWidth="1" style="52" min="2" max="2"/>
    <col width="28" customWidth="1" style="52" min="3" max="3"/>
    <col width="15" customWidth="1" style="52" min="4" max="4"/>
    <col width="26" customWidth="1" style="52" min="5" max="5"/>
  </cols>
  <sheetData>
    <row r="1">
      <c r="A1" s="53" t="inlineStr">
        <is>
          <t>Finanzplaner – Anleitung</t>
        </is>
      </c>
    </row>
    <row r="2">
      <c r="A2" s="54" t="inlineStr">
        <is>
          <t>Erstellt für Sarah · Alle Beträge in Euro (€)</t>
        </is>
      </c>
    </row>
    <row r="4">
      <c r="A4" s="55" t="inlineStr">
        <is>
          <t>Deine Konten und Karten</t>
        </is>
      </c>
    </row>
    <row r="5" ht="28" customHeight="1" s="52">
      <c r="A5" s="56" t="inlineStr">
        <is>
          <t>Stand 18.08.2026. Die Salden holt sich die Tabelle aus dem Blatt Vermögen – trag dort einmal im Monat die Kontostände ein, dann bleibt diese Übersicht aktuell.</t>
        </is>
      </c>
    </row>
    <row r="6">
      <c r="A6" s="57" t="inlineStr">
        <is>
          <t>Konto</t>
        </is>
      </c>
      <c r="B6" s="57" t="inlineStr">
        <is>
          <t>Inhaber</t>
        </is>
      </c>
      <c r="C6" s="57" t="inlineStr">
        <is>
          <t>IBAN / Kartennummer</t>
        </is>
      </c>
      <c r="D6" s="57" t="inlineStr">
        <is>
          <t>Saldo (€)</t>
        </is>
      </c>
      <c r="E6" s="57" t="inlineStr">
        <is>
          <t>Import: --konto "…"</t>
        </is>
      </c>
    </row>
    <row r="7">
      <c r="A7" s="58" t="inlineStr">
        <is>
          <t>S-POOL light+</t>
        </is>
      </c>
      <c r="B7" s="58" t="inlineStr">
        <is>
          <t>Sarah Maxara</t>
        </is>
      </c>
      <c r="C7" s="58" t="inlineStr">
        <is>
          <t>DE25 3055 0000 1005 4402 90</t>
        </is>
      </c>
      <c r="D7" s="59">
        <f>IFERROR(LOOKUP(9.99999999999999E+307,Vermögen!$B$4:$B$27),0)</f>
        <v/>
      </c>
      <c r="E7" s="58" t="inlineStr">
        <is>
          <t>Girokonto</t>
        </is>
      </c>
    </row>
    <row r="8">
      <c r="A8" s="58" t="inlineStr">
        <is>
          <t>Giro Express Plus</t>
        </is>
      </c>
      <c r="B8" s="58" t="inlineStr">
        <is>
          <t>Marvin Liskatin, Sarah Maxara</t>
        </is>
      </c>
      <c r="C8" s="58" t="inlineStr">
        <is>
          <t>DE77 3055 0000 1005 4403 24</t>
        </is>
      </c>
      <c r="D8" s="59">
        <f>IFERROR(LOOKUP(9.99999999999999E+307,Vermögen!$F$4:$F$27),0)</f>
        <v/>
      </c>
      <c r="E8" s="58" t="inlineStr">
        <is>
          <t>Gemeinschaftskonto</t>
        </is>
      </c>
    </row>
    <row r="9">
      <c r="A9" s="58" t="inlineStr">
        <is>
          <t>Tagesgeldkonto+</t>
        </is>
      </c>
      <c r="B9" s="58" t="inlineStr">
        <is>
          <t>Sarah Maxara</t>
        </is>
      </c>
      <c r="C9" s="58" t="inlineStr">
        <is>
          <t>DE59 3055 0000 1005 4403 57</t>
        </is>
      </c>
      <c r="D9" s="59">
        <f>IFERROR(LOOKUP(9.99999999999999E+307,Vermögen!$C$4:$C$27),0)</f>
        <v/>
      </c>
      <c r="E9" s="58" t="inlineStr">
        <is>
          <t>Tagesgeld / Sparkonto</t>
        </is>
      </c>
    </row>
    <row r="10">
      <c r="A10" s="58" t="inlineStr">
        <is>
          <t>Gold Privat (Kreditkarte)</t>
        </is>
      </c>
      <c r="B10" s="58" t="inlineStr">
        <is>
          <t>Sarah Maxara</t>
        </is>
      </c>
      <c r="C10" s="58" t="inlineStr">
        <is>
          <t>5232 **** **** 6059</t>
        </is>
      </c>
      <c r="D10" s="59">
        <f>-IFERROR(LOOKUP(9.99999999999999E+307,Vermögen!$H$4:$H$27),0)</f>
        <v/>
      </c>
      <c r="E10" s="58" t="inlineStr">
        <is>
          <t>Kreditkarte</t>
        </is>
      </c>
    </row>
    <row r="11">
      <c r="A11" s="60" t="inlineStr">
        <is>
          <t>Nettovermögen (Summe)</t>
        </is>
      </c>
      <c r="B11" s="61" t="n"/>
      <c r="C11" s="61" t="n"/>
      <c r="D11" s="62">
        <f>SUM(D7:D10)</f>
        <v/>
      </c>
      <c r="E11" s="61" t="n"/>
    </row>
    <row r="12" ht="28" customHeight="1" s="52">
      <c r="A12" s="56" t="inlineStr">
        <is>
          <t>Hinweis: Das Giro Express Plus führst du gemeinsam mit Marvin – hier zählt es voll als dein Guthaben. Willst du nur die Hälfte rechnen, trag im Blatt Vermögen entsprechend den halben Betrag ein.</t>
        </is>
      </c>
    </row>
    <row r="14">
      <c r="A14" s="55" t="inlineStr">
        <is>
          <t>In drei Schritten aktuell halten</t>
        </is>
      </c>
    </row>
    <row r="15" ht="30" customHeight="1" s="52">
      <c r="A15" s="63" t="inlineStr">
        <is>
          <t>1. Exportieren</t>
        </is>
      </c>
      <c r="B15" s="64" t="inlineStr">
        <is>
          <t>Für jedes der vier Konten im Online-Banking die Umsätze als CSV herunterladen und in denselben Ordner legen wie diese Datei.</t>
        </is>
      </c>
    </row>
    <row r="16" ht="42" customHeight="1" s="52">
      <c r="A16" s="63" t="inlineStr">
        <is>
          <t>2. Importieren</t>
        </is>
      </c>
      <c r="B16" s="64" t="inlineStr">
        <is>
          <t>Diese Datei schließen. Dann im Terminal je CSV einmal aufrufen, z. B.:  python import_umsaetze.py umsaetze.CSV --konto "Girokonto"   – den passenden Namen findest du oben in der letzten Spalte.</t>
        </is>
      </c>
    </row>
    <row r="17" ht="30" customHeight="1" s="52">
      <c r="A17" s="63" t="inlineStr">
        <is>
          <t>3. Öffnen</t>
        </is>
      </c>
      <c r="B17" s="64" t="inlineStr">
        <is>
          <t>Datei wieder öffnen. Monatsübersicht, Kategorien, Dashboard und alle Diagramme haben sich automatisch neu berechnet – nichts abtippen.</t>
        </is>
      </c>
    </row>
    <row r="18" ht="42" customHeight="1" s="52">
      <c r="A18" s="63" t="inlineStr">
        <is>
          <t>Gut zu wissen</t>
        </is>
      </c>
      <c r="B18" s="64" t="inlineStr">
        <is>
          <t>Ein Import kann nichts doppelt eintragen: bereits vorhandene Buchungen werden an der Import-ID in Spalte J erkannt und übersprungen. Mit --dry-run siehst du vorab, was passieren würde, ohne dass etwas geschrieben wird.</t>
        </is>
      </c>
    </row>
    <row r="20">
      <c r="A20" s="55" t="inlineStr">
        <is>
          <t>Die Blätter der Datei</t>
        </is>
      </c>
    </row>
    <row r="21" ht="30" customHeight="1" s="52">
      <c r="A21" s="63" t="inlineStr">
        <is>
          <t>Dashboard</t>
        </is>
      </c>
      <c r="B21" s="64" t="inlineStr">
        <is>
          <t>Startseite: Kennzahlen des laufenden Monats, deine Kontostände und die fünf Diagramme. Über jedem Diagramm steht, was es zeigt.</t>
        </is>
      </c>
    </row>
    <row r="22" ht="30" customHeight="1" s="52">
      <c r="A22" s="63" t="inlineStr">
        <is>
          <t>Buchungen</t>
        </is>
      </c>
      <c r="B22" s="64" t="inlineStr">
        <is>
          <t>Das Herzstück – jede Einnahme und Ausgabe als eigene Zeile. Füllt normalerweise das Import-Skript; du kannst aber jederzeit von Hand korrigieren, vor allem die Kategorie in Spalte D.</t>
        </is>
      </c>
    </row>
    <row r="23" ht="30" customHeight="1" s="52">
      <c r="A23" s="63" t="inlineStr">
        <is>
          <t>Einstellungen</t>
        </is>
      </c>
      <c r="B23" s="64" t="inlineStr">
        <is>
          <t>Deine Kategorien, das Monatsbudget je Kategorie und die Liste der Konten. Neue Kategorie? Einfach in eine freie Zeile schreiben.</t>
        </is>
      </c>
    </row>
    <row r="24" ht="30" customHeight="1" s="52">
      <c r="A24" s="63" t="inlineStr">
        <is>
          <t>Fixkosten</t>
        </is>
      </c>
      <c r="B24" s="64" t="inlineStr">
        <is>
          <t>Wiederkehrende Kosten mit Rhythmus. Jährliche und vierteljährliche Beträge werden auf den Monat umgerechnet.</t>
        </is>
      </c>
    </row>
    <row r="25" ht="30" customHeight="1" s="52">
      <c r="A25" s="63" t="inlineStr">
        <is>
          <t>Monatsübersicht</t>
        </is>
      </c>
      <c r="B25" s="64" t="inlineStr">
        <is>
          <t>Pro Monat: Einnahmen, Ausgaben, Saldo, Sparquote und der kumulierte Verlauf. Rechnet sich vollständig selbst.</t>
        </is>
      </c>
    </row>
    <row r="26" ht="30" customHeight="1" s="52">
      <c r="A26" s="63" t="inlineStr">
        <is>
          <t>Kategorien</t>
        </is>
      </c>
      <c r="B26" s="64" t="inlineStr">
        <is>
          <t>Kreuztabelle Kategorie × Monat für ein Jahr, mit Vergleich gegen dein Budget. Das Jahr stellst du oben in B3 ein.</t>
        </is>
      </c>
    </row>
    <row r="27" ht="30" customHeight="1" s="52">
      <c r="A27" s="63" t="inlineStr">
        <is>
          <t>Sparziele</t>
        </is>
      </c>
      <c r="B27" s="64" t="inlineStr">
        <is>
          <t>Ziele mit Zielbetrag und Monatsrate, dazu Fortschritt und voraussichtliches Zieldatum.</t>
        </is>
      </c>
    </row>
    <row r="28" ht="30" customHeight="1" s="52">
      <c r="A28" s="63" t="inlineStr">
        <is>
          <t>Vermögen</t>
        </is>
      </c>
      <c r="B28" s="64" t="inlineStr">
        <is>
          <t>Einmal im Monat die Kontostände eintragen. Daraus entstehen Nettovermögen, Veränderung und die Konten-Übersicht ganz oben.</t>
        </is>
      </c>
    </row>
    <row r="29" ht="30" customHeight="1" s="52">
      <c r="A29" s="63" t="inlineStr">
        <is>
          <t>Prognose</t>
        </is>
      </c>
      <c r="B29" s="64" t="inlineStr">
        <is>
          <t>Hochrechnung deines Vermögens für 12 Monate auf Basis deiner tatsächlichen Sparrate.</t>
        </is>
      </c>
    </row>
    <row r="31">
      <c r="A31" s="55" t="inlineStr">
        <is>
          <t>Farblegende</t>
        </is>
      </c>
    </row>
    <row r="32">
      <c r="A32" s="65" t="inlineStr">
        <is>
          <t>Blaue Schrift</t>
        </is>
      </c>
      <c r="B32" s="64" t="inlineStr">
        <is>
          <t>Fest eingetragener Wert – hier darfst du tippen.</t>
        </is>
      </c>
    </row>
    <row r="33">
      <c r="A33" s="66" t="inlineStr">
        <is>
          <t>Gelb hinterlegt</t>
        </is>
      </c>
      <c r="B33" s="64" t="inlineStr">
        <is>
          <t>Zellen, die du ausfüllen bzw. anpassen solltest.</t>
        </is>
      </c>
    </row>
    <row r="34">
      <c r="A34" s="67" t="inlineStr">
        <is>
          <t>Schwarze Schrift</t>
        </is>
      </c>
      <c r="B34" s="64" t="inlineStr">
        <is>
          <t>Berechnete Formel – bitte nicht überschreiben.</t>
        </is>
      </c>
    </row>
    <row r="35">
      <c r="A35" s="67" t="inlineStr">
        <is>
          <t>Grüne Schrift</t>
        </is>
      </c>
      <c r="B35" s="64" t="inlineStr">
        <is>
          <t>Verweis auf ein anderes Blatt – ebenfalls Formel.</t>
        </is>
      </c>
    </row>
    <row r="37">
      <c r="A37" s="55" t="inlineStr">
        <is>
          <t>Wichtige Hinweise</t>
        </is>
      </c>
    </row>
    <row r="38" ht="42" customHeight="1" s="52">
      <c r="A38" s="63" t="inlineStr">
        <is>
          <t>Beispielzeilen</t>
        </is>
      </c>
      <c r="B38" s="64" t="inlineStr">
        <is>
          <t>In Buchungen, Fixkosten und Sparziele steht je eine graue BEISPIEL-Zeile als Formatvorlage. Einfach überschreiben oder leeren.</t>
        </is>
      </c>
    </row>
    <row r="39" ht="42" customHeight="1" s="52">
      <c r="A39" s="63" t="inlineStr">
        <is>
          <t>Zeitraum</t>
        </is>
      </c>
      <c r="B39" s="64" t="inlineStr">
        <is>
          <t>Monatsübersicht, Vermögen und Prognose laufen von Januar 2026 bis Dezember 2027. Das Blatt Buchungen fasst 1.000 Zeilen.</t>
        </is>
      </c>
    </row>
    <row r="40" ht="42" customHeight="1" s="52">
      <c r="A40" s="63" t="inlineStr">
        <is>
          <t>Sparen ist keine Ausgabe</t>
        </is>
      </c>
      <c r="B40" s="64" t="inlineStr">
        <is>
          <t>Überweisungen auf dein Tagesgeld sind keine Ausgabe – sonst zählt die Sparquote doppelt. Solche Umbuchungen am besten aus den Buchungen löschen und nur im Blatt Vermögen abbilden.</t>
        </is>
      </c>
    </row>
    <row r="41" ht="42" customHeight="1" s="52">
      <c r="A41" s="63" t="inlineStr">
        <is>
          <t>Eigene Diagramme</t>
        </is>
      </c>
      <c r="B41" s="64" t="inlineStr">
        <is>
          <t>Das Import-Skript baut die Diagramme auf dem Dashboard bei jedem Lauf neu. Eigene Grafiken deshalb lieber auf einem separaten Blatt anlegen, sonst sind sie nach dem nächsten Import weg.</t>
        </is>
      </c>
    </row>
  </sheetData>
  <mergeCells count="23">
    <mergeCell ref="B40:E40"/>
    <mergeCell ref="B15:E15"/>
    <mergeCell ref="B33:E33"/>
    <mergeCell ref="B24:E24"/>
    <mergeCell ref="B32:E32"/>
    <mergeCell ref="B26:E26"/>
    <mergeCell ref="B41:E41"/>
    <mergeCell ref="B35:E35"/>
    <mergeCell ref="B16:E16"/>
    <mergeCell ref="B25:E25"/>
    <mergeCell ref="B22:E22"/>
    <mergeCell ref="A12:E12"/>
    <mergeCell ref="B18:E18"/>
    <mergeCell ref="B27:E27"/>
    <mergeCell ref="B21:E21"/>
    <mergeCell ref="B39:E39"/>
    <mergeCell ref="A5:E5"/>
    <mergeCell ref="B17:E17"/>
    <mergeCell ref="B23:E23"/>
    <mergeCell ref="B38:E38"/>
    <mergeCell ref="B29:E29"/>
    <mergeCell ref="B34:E34"/>
    <mergeCell ref="B28:E28"/>
  </mergeCells>
  <conditionalFormatting sqref="D7:D10">
    <cfRule type="dataBar" priority="1">
      <dataBar showValue="1">
        <cfvo type="num" val="-600"/>
        <cfvo type="num" val="600"/>
        <color rgb="004472C4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abSelected="1" zoomScale="85" zoomScaleNormal="85" workbookViewId="0">
      <selection activeCell="A1" sqref="A1"/>
    </sheetView>
  </sheetViews>
  <sheetFormatPr baseColWidth="10" defaultColWidth="8.7109375" defaultRowHeight="15"/>
  <cols>
    <col width="34" customWidth="1" style="52" min="1" max="1"/>
    <col width="20" customWidth="1" style="52" min="2" max="2"/>
    <col width="4" customWidth="1" style="52" min="3" max="3"/>
  </cols>
  <sheetData>
    <row r="1" ht="21.75" customHeight="1" s="52">
      <c r="A1" s="1" t="inlineStr">
        <is>
          <t>Dashboard</t>
        </is>
      </c>
    </row>
    <row r="2" ht="15" customHeight="1" s="52">
      <c r="A2" s="2" t="inlineStr">
        <is>
          <t>Kennzahlen des laufenden Monats · alles automatisch berechnet</t>
        </is>
      </c>
    </row>
    <row r="3">
      <c r="D3" s="68" t="inlineStr">
        <is>
          <t>Einnahmen und Ausgaben je Monat</t>
        </is>
      </c>
      <c r="P3" s="68" t="inlineStr">
        <is>
          <t>Kontostände je Konto</t>
        </is>
      </c>
    </row>
    <row r="4" ht="15" customHeight="1" s="52">
      <c r="A4" s="3" t="inlineStr">
        <is>
          <t>Laufender Monat</t>
        </is>
      </c>
      <c r="D4" s="69" t="inlineStr">
        <is>
          <t>Zwei Balken pro Monat: was reingekommen ist und was rausgegangen ist. Ist der rechte Balken höher, war der Monat im Minus.</t>
        </is>
      </c>
      <c r="P4" s="69" t="inlineStr">
        <is>
          <t>Der zuletzt im Blatt Vermögen eingetragene Stand deiner drei Konten und der Kreditkarte. Die Kreditkarte zeigt nach unten, weil sie Schulden sind.</t>
        </is>
      </c>
    </row>
    <row r="5" ht="15" customHeight="1" s="52">
      <c r="A5" s="9" t="inlineStr">
        <is>
          <t>Aktueller Monat</t>
        </is>
      </c>
      <c r="B5" s="10">
        <f>TODAY()</f>
        <v/>
      </c>
    </row>
    <row r="6" ht="15" customHeight="1" s="52">
      <c r="A6" s="9" t="inlineStr">
        <is>
          <t>Einnahmen</t>
        </is>
      </c>
      <c r="B6" s="11">
        <f>SUMIFS(Buchungen!$F$4:$F$1003,Buchungen!$B$4:$B$1003,YEAR(TODAY()),Buchungen!$C$4:$C$1003,MONTH(TODAY()),Buchungen!$G$4:$G$1003,"Einnahme")</f>
        <v/>
      </c>
    </row>
    <row r="7" ht="15" customHeight="1" s="52">
      <c r="A7" s="9" t="inlineStr">
        <is>
          <t>Ausgaben</t>
        </is>
      </c>
      <c r="B7" s="11">
        <f>SUMIFS(Buchungen!$F$4:$F$1003,Buchungen!$B$4:$B$1003,YEAR(TODAY()),Buchungen!$C$4:$C$1003,MONTH(TODAY()),Buchungen!$G$4:$G$1003,"Ausgabe")</f>
        <v/>
      </c>
    </row>
    <row r="8" ht="15" customHeight="1" s="52">
      <c r="A8" s="9" t="inlineStr">
        <is>
          <t>Saldo</t>
        </is>
      </c>
      <c r="B8" s="11">
        <f>$B$6-$B$7</f>
        <v/>
      </c>
    </row>
    <row r="9" ht="15" customHeight="1" s="52">
      <c r="A9" s="9" t="inlineStr">
        <is>
          <t>Sparquote</t>
        </is>
      </c>
      <c r="B9" s="12">
        <f>IF($B$6&lt;=0,0,$B$8/$B$6)</f>
        <v/>
      </c>
    </row>
    <row r="11" ht="15" customHeight="1" s="52">
      <c r="A11" s="3" t="inlineStr">
        <is>
          <t>Struktur &amp; Durchschnitte</t>
        </is>
      </c>
    </row>
    <row r="12" ht="15" customHeight="1" s="52">
      <c r="A12" s="9" t="inlineStr">
        <is>
          <t>Fixkosten pro Monat</t>
        </is>
      </c>
      <c r="B12" s="13">
        <f>Fixkosten!$F$35</f>
        <v/>
      </c>
    </row>
    <row r="13" ht="15" customHeight="1" s="52">
      <c r="A13" s="9" t="inlineStr">
        <is>
          <t>Budget gesamt pro Monat</t>
        </is>
      </c>
      <c r="B13" s="13">
        <f>Einstellungen!$C$42</f>
        <v/>
      </c>
    </row>
    <row r="14" ht="15" customHeight="1" s="52">
      <c r="A14" s="9" t="inlineStr">
        <is>
          <t>Ø Ausgaben (Monate mit Daten)</t>
        </is>
      </c>
      <c r="B14" s="13">
        <f>IFERROR(AVERAGEIF(Monatsübersicht!$E$4:$E$27,"&lt;&gt;0"),0)</f>
        <v/>
      </c>
    </row>
    <row r="15" ht="15" customHeight="1" s="52">
      <c r="A15" s="9" t="inlineStr">
        <is>
          <t>Ø Sparrate (Monate mit Daten)</t>
        </is>
      </c>
      <c r="B15" s="13">
        <f>IFERROR(AVERAGEIF(Monatsübersicht!$F$4:$F$27,"&lt;&gt;0"),0)</f>
        <v/>
      </c>
    </row>
    <row r="16" ht="15" customHeight="1" s="52">
      <c r="A16" s="9" t="inlineStr">
        <is>
          <t>Nettovermögen aktuell</t>
        </is>
      </c>
      <c r="B16" s="13">
        <f>Prognose!$B$5</f>
        <v/>
      </c>
    </row>
    <row r="17" ht="15" customHeight="1" s="52">
      <c r="A17" s="9" t="inlineStr">
        <is>
          <t>Prognose Vermögen in 12 Monaten</t>
        </is>
      </c>
      <c r="B17" s="13">
        <f>Prognose!$C$29</f>
        <v/>
      </c>
    </row>
    <row r="19" ht="15" customHeight="1" s="52">
      <c r="A19" s="3" t="inlineStr">
        <is>
          <t>Top-Ausgabenkategorie (Jahr laut Blatt Kategorien)</t>
        </is>
      </c>
    </row>
    <row r="20" ht="15" customHeight="1" s="52">
      <c r="A20" s="9" t="inlineStr">
        <is>
          <t>Kategorie</t>
        </is>
      </c>
      <c r="B20" s="14">
        <f>IFERROR(INDEX(Kategorien!$A$6:$A$42,MATCH(MAX(Kategorien!$S$6:$S$42),Kategorien!$S$6:$S$42,0)),"–")</f>
        <v/>
      </c>
    </row>
    <row r="21" ht="15" customHeight="1" s="52">
      <c r="A21" s="9" t="inlineStr">
        <is>
          <t>Betrag</t>
        </is>
      </c>
      <c r="B21" s="13">
        <f>MAX(Kategorien!$S$6:$S$42)</f>
        <v/>
      </c>
    </row>
    <row r="23">
      <c r="D23" s="68" t="inlineStr">
        <is>
          <t>Kumulierter Saldo seit Januar</t>
        </is>
      </c>
      <c r="P23" s="68" t="inlineStr">
        <is>
          <t>Nettovermögen im Zeitverlauf</t>
        </is>
      </c>
    </row>
    <row r="24" ht="15" customHeight="1" s="52">
      <c r="A24" s="2" t="inlineStr">
        <is>
          <t>Alle Zahlen aktualisieren sich, sobald du im Blatt Buchungen neue Zeilen erfasst.</t>
        </is>
      </c>
      <c r="D24" s="69" t="inlineStr">
        <is>
          <t>Alle Monatssalden aufaddiert. Steigt die Linie, hast du unterm Strich gespart; fällt sie, hast du mehr ausgegeben als eingenommen.</t>
        </is>
      </c>
      <c r="P24" s="69" t="inlineStr">
        <is>
          <t>Hier entsteht eine Kurve, sobald im Blatt Vermögen mindestens zwei Monate mit Kontoständen stehen. Aktuell ist erst einer erfasst.</t>
        </is>
      </c>
    </row>
    <row r="26">
      <c r="A26" s="55" t="inlineStr">
        <is>
          <t>Kontostände (letzter Eintrag im Blatt Vermögen)</t>
        </is>
      </c>
    </row>
    <row r="27">
      <c r="A27" s="57" t="inlineStr">
        <is>
          <t>Konto</t>
        </is>
      </c>
      <c r="B27" s="57" t="inlineStr">
        <is>
          <t>Saldo (€)</t>
        </is>
      </c>
    </row>
    <row r="28">
      <c r="A28" s="67" t="inlineStr">
        <is>
          <t>S-POOL light+</t>
        </is>
      </c>
      <c r="B28" s="70">
        <f>IFERROR(LOOKUP(9.99999999999999E+307,Vermögen!$B$4:$B$27),0)</f>
        <v/>
      </c>
    </row>
    <row r="29">
      <c r="A29" s="67" t="inlineStr">
        <is>
          <t>Giro Express Plus</t>
        </is>
      </c>
      <c r="B29" s="70">
        <f>IFERROR(LOOKUP(9.99999999999999E+307,Vermögen!$F$4:$F$27),0)</f>
        <v/>
      </c>
    </row>
    <row r="30">
      <c r="A30" s="67" t="inlineStr">
        <is>
          <t>Tagesgeldkonto+</t>
        </is>
      </c>
      <c r="B30" s="70">
        <f>IFERROR(LOOKUP(9.99999999999999E+307,Vermögen!$C$4:$C$27),0)</f>
        <v/>
      </c>
    </row>
    <row r="31">
      <c r="A31" s="67" t="inlineStr">
        <is>
          <t>Gold Privat (Kreditkarte)</t>
        </is>
      </c>
      <c r="B31" s="70">
        <f>-IFERROR(LOOKUP(9.99999999999999E+307,Vermögen!$H$4:$H$27),0)</f>
        <v/>
      </c>
    </row>
    <row r="32">
      <c r="A32" s="71" t="inlineStr">
        <is>
          <t>Summe</t>
        </is>
      </c>
      <c r="B32" s="72">
        <f>SUM(B28:B31)</f>
        <v/>
      </c>
    </row>
    <row r="43">
      <c r="D43" s="68" t="inlineStr">
        <is>
          <t>Ausgaben je Kategorie</t>
        </is>
      </c>
      <c r="P43" s="68" t="inlineStr">
        <is>
          <t>Prognose der nächsten 12 Monate</t>
        </is>
      </c>
    </row>
    <row r="44">
      <c r="D44" s="69" t="inlineStr">
        <is>
          <t>Womit ist im Jahr aus dem Blatt Kategorien das Geld weggegangen? Der längste Balken ist dein größter Posten.</t>
        </is>
      </c>
      <c r="P44" s="69" t="inlineStr">
        <is>
          <t>Fortschreibung deines Nettovermögens mit deiner bisherigen Sparrate. Die Annahmen dazu stehen im Blatt Prognose.</t>
        </is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3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10" defaultColWidth="8.7109375" defaultRowHeight="15"/>
  <cols>
    <col width="13" customWidth="1" style="52" min="1" max="1"/>
    <col width="8" customWidth="1" style="52" min="2" max="3"/>
    <col width="26" customWidth="1" style="52" min="4" max="4"/>
    <col width="38" customWidth="1" style="52" min="5" max="5"/>
    <col width="15" customWidth="1" style="52" min="6" max="6"/>
    <col width="12" customWidth="1" style="52" min="7" max="7"/>
    <col width="22" customWidth="1" style="52" min="8" max="8"/>
    <col width="15" customWidth="1" style="52" min="9" max="9"/>
  </cols>
  <sheetData>
    <row r="1" ht="21.75" customHeight="1" s="52">
      <c r="A1" s="1" t="inlineStr">
        <is>
          <t>Buchungen</t>
        </is>
      </c>
    </row>
    <row r="2" ht="15" customHeight="1" s="52">
      <c r="A2" s="2" t="inlineStr">
        <is>
          <t>Jede Einnahme und Ausgabe als eigene Zeile · Beträge immer positiv eintragen</t>
        </is>
      </c>
    </row>
    <row r="3" ht="30" customHeight="1" s="52">
      <c r="A3" s="15" t="inlineStr">
        <is>
          <t>Datum</t>
        </is>
      </c>
      <c r="B3" s="15" t="inlineStr">
        <is>
          <t>Jahr</t>
        </is>
      </c>
      <c r="C3" s="15" t="inlineStr">
        <is>
          <t>Monat</t>
        </is>
      </c>
      <c r="D3" s="15" t="inlineStr">
        <is>
          <t>Kategorie</t>
        </is>
      </c>
      <c r="E3" s="15" t="inlineStr">
        <is>
          <t>Beschreibung</t>
        </is>
      </c>
      <c r="F3" s="15" t="inlineStr">
        <is>
          <t>Betrag (€)</t>
        </is>
      </c>
      <c r="G3" s="15" t="inlineStr">
        <is>
          <t>Typ</t>
        </is>
      </c>
      <c r="H3" s="15" t="inlineStr">
        <is>
          <t>Konto</t>
        </is>
      </c>
      <c r="I3" s="15" t="inlineStr">
        <is>
          <t>Wirkung (€)</t>
        </is>
      </c>
      <c r="J3" s="50" t="inlineStr">
        <is>
          <t>Import-ID</t>
        </is>
      </c>
    </row>
    <row r="4" ht="15" customHeight="1" s="52">
      <c r="A4" s="16" t="n">
        <v>46025</v>
      </c>
      <c r="B4" s="17">
        <f>IF($A4="","",YEAR($A4))</f>
        <v/>
      </c>
      <c r="C4" s="17">
        <f>IF($A4="","",MONTH($A4))</f>
        <v/>
      </c>
      <c r="D4" s="18" t="inlineStr">
        <is>
          <t>Lebensmittel</t>
        </is>
      </c>
      <c r="E4" s="18" t="inlineStr">
        <is>
          <t>BEISPIEL – Zeile überschreiben oder Inhalt löschen</t>
        </is>
      </c>
      <c r="F4" s="19" t="n">
        <v>42.5</v>
      </c>
      <c r="G4" s="14">
        <f>IF($D4="","",IFERROR(INDEX(Einstellungen!$B$4:$B$40,MATCH($D4,Einstellungen!$A$4:$A$40,0)),"?"))</f>
        <v/>
      </c>
      <c r="H4" s="18" t="inlineStr">
        <is>
          <t>Girokonto</t>
        </is>
      </c>
      <c r="I4" s="11">
        <f>IF($F4="","",IF($G4="Einnahme",$F4,-$F4))</f>
        <v/>
      </c>
    </row>
    <row r="5" ht="15" customHeight="1" s="52">
      <c r="A5" s="20" t="n">
        <v>46204</v>
      </c>
      <c r="B5" s="21">
        <f>IF($A5="","",YEAR($A5))</f>
        <v/>
      </c>
      <c r="C5" s="21">
        <f>IF($A5="","",MONTH($A5))</f>
        <v/>
      </c>
      <c r="D5" s="22" t="inlineStr">
        <is>
          <t>Sonstiges</t>
        </is>
      </c>
      <c r="E5" s="22" t="inlineStr">
        <is>
          <t>Entgeltabrechnung siehe Anlage Abrechnung 30.06.2026 Information zur Abrechnung Entgelte vom 26.06.2026 bis 30.06.2026 0,48- Grundpreis (Kontoführung) 0,48- Abrechnung 30.06.2026 0,48- Es handelt sich</t>
        </is>
      </c>
      <c r="F5" s="23" t="n">
        <v>0.48</v>
      </c>
      <c r="G5" s="24">
        <f>IF($D5="","",IFERROR(INDEX(Einstellungen!$B$4:$B$40,MATCH($D5,Einstellungen!$A$4:$A$40,0)),"?"))</f>
        <v/>
      </c>
      <c r="H5" s="22" t="inlineStr">
        <is>
          <t>Girokonto</t>
        </is>
      </c>
      <c r="I5" s="25">
        <f>IF($F5="","",IF($G5="Einnahme",$F5,-$F5))</f>
        <v/>
      </c>
      <c r="J5" s="50" t="inlineStr">
        <is>
          <t>59b57f954c8fd10b</t>
        </is>
      </c>
    </row>
    <row r="6" ht="15" customHeight="1" s="52">
      <c r="A6" s="26" t="n">
        <v>46216</v>
      </c>
      <c r="B6" s="17">
        <f>IF($A6="","",YEAR($A6))</f>
        <v/>
      </c>
      <c r="C6" s="17">
        <f>IF($A6="","",MONTH($A6))</f>
        <v/>
      </c>
      <c r="D6" s="27" t="inlineStr">
        <is>
          <t>Restaurant &amp; Lieferdienst</t>
        </is>
      </c>
      <c r="E6" s="27" t="inlineStr">
        <is>
          <t>Lieferando.de lieferse/Oosterdoksstraat 80/Amsterdam/NL/1 – 2026-07-11T13:52 Debitk.10 2030-12 Zahl.System DebitMastercard</t>
        </is>
      </c>
      <c r="F6" s="28" t="n">
        <v>39.22</v>
      </c>
      <c r="G6" s="14">
        <f>IF($D6="","",IFERROR(INDEX(Einstellungen!$B$4:$B$40,MATCH($D6,Einstellungen!$A$4:$A$40,0)),"?"))</f>
        <v/>
      </c>
      <c r="H6" s="27" t="inlineStr">
        <is>
          <t>Girokonto</t>
        </is>
      </c>
      <c r="I6" s="11">
        <f>IF($F6="","",IF($G6="Einnahme",$F6,-$F6))</f>
        <v/>
      </c>
      <c r="J6" s="50" t="inlineStr">
        <is>
          <t>c758ba4c1bd191bd</t>
        </is>
      </c>
    </row>
    <row r="7" ht="15" customHeight="1" s="52">
      <c r="A7" s="20" t="n">
        <v>46217</v>
      </c>
      <c r="B7" s="21">
        <f>IF($A7="","",YEAR($A7))</f>
        <v/>
      </c>
      <c r="C7" s="21">
        <f>IF($A7="","",MONTH($A7))</f>
        <v/>
      </c>
      <c r="D7" s="22" t="inlineStr">
        <is>
          <t>Restaurant &amp; Lieferdienst</t>
        </is>
      </c>
      <c r="E7" s="22" t="inlineStr">
        <is>
          <t>Lieferando.de/Oosterdoksstraat 80/Amsterdam/NL – 2026-07-13T21:25 Debitk.10 2030-12</t>
        </is>
      </c>
      <c r="F7" s="23" t="n">
        <v>52.23</v>
      </c>
      <c r="G7" s="24">
        <f>IF($D7="","",IFERROR(INDEX(Einstellungen!$B$4:$B$40,MATCH($D7,Einstellungen!$A$4:$A$40,0)),"?"))</f>
        <v/>
      </c>
      <c r="H7" s="22" t="inlineStr">
        <is>
          <t>Girokonto</t>
        </is>
      </c>
      <c r="I7" s="25">
        <f>IF($F7="","",IF($G7="Einnahme",$F7,-$F7))</f>
        <v/>
      </c>
      <c r="J7" s="50" t="inlineStr">
        <is>
          <t>4b7ba1a15f3261de</t>
        </is>
      </c>
    </row>
    <row r="8" ht="15" customHeight="1" s="52">
      <c r="A8" s="26" t="n">
        <v>46230</v>
      </c>
      <c r="B8" s="17">
        <f>IF($A8="","",YEAR($A8))</f>
        <v/>
      </c>
      <c r="C8" s="17">
        <f>IF($A8="","",MONTH($A8))</f>
        <v/>
      </c>
      <c r="D8" s="27" t="inlineStr">
        <is>
          <t>Sonstige Einnahmen</t>
        </is>
      </c>
      <c r="E8" s="27" t="inlineStr">
        <is>
          <t>Sarah-Luise Maxara</t>
        </is>
      </c>
      <c r="F8" s="28" t="n">
        <v>100</v>
      </c>
      <c r="G8" s="14">
        <f>IF($D8="","",IFERROR(INDEX(Einstellungen!$B$4:$B$40,MATCH($D8,Einstellungen!$A$4:$A$40,0)),"?"))</f>
        <v/>
      </c>
      <c r="H8" s="27" t="inlineStr">
        <is>
          <t>Girokonto</t>
        </is>
      </c>
      <c r="I8" s="11">
        <f>IF($F8="","",IF($G8="Einnahme",$F8,-$F8))</f>
        <v/>
      </c>
      <c r="J8" s="50" t="inlineStr">
        <is>
          <t>5272ed3d5f242ea9</t>
        </is>
      </c>
    </row>
    <row r="9" ht="15" customHeight="1" s="52">
      <c r="A9" s="20" t="n">
        <v>46231</v>
      </c>
      <c r="B9" s="21">
        <f>IF($A9="","",YEAR($A9))</f>
        <v/>
      </c>
      <c r="C9" s="21">
        <f>IF($A9="","",MONTH($A9))</f>
        <v/>
      </c>
      <c r="D9" s="22" t="inlineStr">
        <is>
          <t>Sonstige Einnahmen</t>
        </is>
      </c>
      <c r="E9" s="22" t="inlineStr">
        <is>
          <t>Sarah-Luise Maxara – Konto 146387097 Ausgleich des Kontosaldos wegen Kontoauflösung</t>
        </is>
      </c>
      <c r="F9" s="23" t="n">
        <v>417.41</v>
      </c>
      <c r="G9" s="24">
        <f>IF($D9="","",IFERROR(INDEX(Einstellungen!$B$4:$B$40,MATCH($D9,Einstellungen!$A$4:$A$40,0)),"?"))</f>
        <v/>
      </c>
      <c r="H9" s="22" t="inlineStr">
        <is>
          <t>Girokonto</t>
        </is>
      </c>
      <c r="I9" s="25">
        <f>IF($F9="","",IF($G9="Einnahme",$F9,-$F9))</f>
        <v/>
      </c>
      <c r="J9" s="50" t="inlineStr">
        <is>
          <t>8133c60b7c9b8cc5</t>
        </is>
      </c>
    </row>
    <row r="10" ht="15" customHeight="1" s="52">
      <c r="A10" s="26" t="n">
        <v>46233</v>
      </c>
      <c r="B10" s="17">
        <f>IF($A10="","",YEAR($A10))</f>
        <v/>
      </c>
      <c r="C10" s="17">
        <f>IF($A10="","",MONTH($A10))</f>
        <v/>
      </c>
      <c r="D10" s="27" t="inlineStr">
        <is>
          <t>Strom &amp; Internet</t>
        </is>
      </c>
      <c r="E10" s="27" t="inlineStr">
        <is>
          <t>MARVIN LISKATIN UND SARAH M AXARA – DATUM 30.07.2026, 11.23 UHR</t>
        </is>
      </c>
      <c r="F10" s="28" t="n">
        <v>300</v>
      </c>
      <c r="G10" s="14">
        <f>IF($D10="","",IFERROR(INDEX(Einstellungen!$B$4:$B$40,MATCH($D10,Einstellungen!$A$4:$A$40,0)),"?"))</f>
        <v/>
      </c>
      <c r="H10" s="27" t="inlineStr">
        <is>
          <t>Girokonto</t>
        </is>
      </c>
      <c r="I10" s="11">
        <f>IF($F10="","",IF($G10="Einnahme",$F10,-$F10))</f>
        <v/>
      </c>
      <c r="J10" s="50" t="inlineStr">
        <is>
          <t>e4d39054a67ebdca</t>
        </is>
      </c>
    </row>
    <row r="11" ht="15" customHeight="1" s="52">
      <c r="A11" s="20" t="n">
        <v>46233</v>
      </c>
      <c r="B11" s="21">
        <f>IF($A11="","",YEAR($A11))</f>
        <v/>
      </c>
      <c r="C11" s="21">
        <f>IF($A11="","",MONTH($A11))</f>
        <v/>
      </c>
      <c r="D11" s="22" t="inlineStr">
        <is>
          <t>Restaurant &amp; Lieferdienst</t>
        </is>
      </c>
      <c r="E11" s="22" t="inlineStr">
        <is>
          <t>01044 MCDONALDS//DUESSELDORF/DE – 2026-07-29T23:06 Debitk.10 2030-12</t>
        </is>
      </c>
      <c r="F11" s="23" t="n">
        <v>30.27</v>
      </c>
      <c r="G11" s="24">
        <f>IF($D11="","",IFERROR(INDEX(Einstellungen!$B$4:$B$40,MATCH($D11,Einstellungen!$A$4:$A$40,0)),"?"))</f>
        <v/>
      </c>
      <c r="H11" s="22" t="inlineStr">
        <is>
          <t>Girokonto</t>
        </is>
      </c>
      <c r="I11" s="25">
        <f>IF($F11="","",IF($G11="Einnahme",$F11,-$F11))</f>
        <v/>
      </c>
      <c r="J11" s="50" t="inlineStr">
        <is>
          <t>9477000bb0038ab8</t>
        </is>
      </c>
    </row>
    <row r="12" ht="15" customHeight="1" s="52">
      <c r="A12" s="26" t="n">
        <v>46234</v>
      </c>
      <c r="B12" s="17">
        <f>IF($A12="","",YEAR($A12))</f>
        <v/>
      </c>
      <c r="C12" s="17">
        <f>IF($A12="","",MONTH($A12))</f>
        <v/>
      </c>
      <c r="D12" s="27" t="inlineStr">
        <is>
          <t>Sonstige Einnahmen</t>
        </is>
      </c>
      <c r="E12" s="27" t="inlineStr">
        <is>
          <t>Barbara Maxara – Mtl Auto und Semesterbeitrag</t>
        </is>
      </c>
      <c r="F12" s="28" t="n">
        <v>300</v>
      </c>
      <c r="G12" s="14">
        <f>IF($D12="","",IFERROR(INDEX(Einstellungen!$B$4:$B$40,MATCH($D12,Einstellungen!$A$4:$A$40,0)),"?"))</f>
        <v/>
      </c>
      <c r="H12" s="27" t="inlineStr">
        <is>
          <t>Girokonto</t>
        </is>
      </c>
      <c r="I12" s="11">
        <f>IF($F12="","",IF($G12="Einnahme",$F12,-$F12))</f>
        <v/>
      </c>
      <c r="J12" s="50" t="inlineStr">
        <is>
          <t>35b94d6e6ec7f9af</t>
        </is>
      </c>
    </row>
    <row r="13" ht="15" customHeight="1" s="52">
      <c r="A13" s="20" t="n">
        <v>46234</v>
      </c>
      <c r="B13" s="21">
        <f>IF($A13="","",YEAR($A13))</f>
        <v/>
      </c>
      <c r="C13" s="21">
        <f>IF($A13="","",MONTH($A13))</f>
        <v/>
      </c>
      <c r="D13" s="22" t="inlineStr">
        <is>
          <t>Restaurant &amp; Lieferdienst</t>
        </is>
      </c>
      <c r="E13" s="22" t="inlineStr">
        <is>
          <t>Lieferando.de/Oosterdoksstraat 80/Amsterdam/NL – 2026-07-30T20:55 Debitk.10 2030-12</t>
        </is>
      </c>
      <c r="F13" s="23" t="n">
        <v>25.15</v>
      </c>
      <c r="G13" s="24">
        <f>IF($D13="","",IFERROR(INDEX(Einstellungen!$B$4:$B$40,MATCH($D13,Einstellungen!$A$4:$A$40,0)),"?"))</f>
        <v/>
      </c>
      <c r="H13" s="22" t="inlineStr">
        <is>
          <t>Girokonto</t>
        </is>
      </c>
      <c r="I13" s="25">
        <f>IF($F13="","",IF($G13="Einnahme",$F13,-$F13))</f>
        <v/>
      </c>
      <c r="J13" s="50" t="inlineStr">
        <is>
          <t>b384d6a4f23a5ef9</t>
        </is>
      </c>
    </row>
    <row r="14" ht="15" customHeight="1" s="52">
      <c r="A14" s="26" t="n">
        <v>46234</v>
      </c>
      <c r="B14" s="17">
        <f>IF($A14="","",YEAR($A14))</f>
        <v/>
      </c>
      <c r="C14" s="17">
        <f>IF($A14="","",MONTH($A14))</f>
        <v/>
      </c>
      <c r="D14" s="27" t="inlineStr">
        <is>
          <t>Lebensmittel</t>
        </is>
      </c>
      <c r="E14" s="27" t="inlineStr">
        <is>
          <t>NETTO MARKEN-DISCOU/DORFSTR. 26/MEERBUSCH/DE – 2026-07-30T16:58 Debitk.0 2030-12</t>
        </is>
      </c>
      <c r="F14" s="28" t="n">
        <v>19.87</v>
      </c>
      <c r="G14" s="14">
        <f>IF($D14="","",IFERROR(INDEX(Einstellungen!$B$4:$B$40,MATCH($D14,Einstellungen!$A$4:$A$40,0)),"?"))</f>
        <v/>
      </c>
      <c r="H14" s="27" t="inlineStr">
        <is>
          <t>Girokonto</t>
        </is>
      </c>
      <c r="I14" s="11">
        <f>IF($F14="","",IF($G14="Einnahme",$F14,-$F14))</f>
        <v/>
      </c>
      <c r="J14" s="50" t="inlineStr">
        <is>
          <t>66d68658b603bbe8</t>
        </is>
      </c>
    </row>
    <row r="15" ht="15" customHeight="1" s="52">
      <c r="A15" s="20" t="n">
        <v>46234</v>
      </c>
      <c r="B15" s="21">
        <f>IF($A15="","",YEAR($A15))</f>
        <v/>
      </c>
      <c r="C15" s="21">
        <f>IF($A15="","",MONTH($A15))</f>
        <v/>
      </c>
      <c r="D15" s="22" t="inlineStr">
        <is>
          <t>Sonstige Einnahmen</t>
        </is>
      </c>
      <c r="E15" s="22" t="inlineStr">
        <is>
          <t>Marvin Liskatin – Döner</t>
        </is>
      </c>
      <c r="F15" s="23" t="n">
        <v>30</v>
      </c>
      <c r="G15" s="24">
        <f>IF($D15="","",IFERROR(INDEX(Einstellungen!$B$4:$B$40,MATCH($D15,Einstellungen!$A$4:$A$40,0)),"?"))</f>
        <v/>
      </c>
      <c r="H15" s="22" t="inlineStr">
        <is>
          <t>Girokonto</t>
        </is>
      </c>
      <c r="I15" s="25">
        <f>IF($F15="","",IF($G15="Einnahme",$F15,-$F15))</f>
        <v/>
      </c>
      <c r="J15" s="50" t="inlineStr">
        <is>
          <t>635443a001368929</t>
        </is>
      </c>
    </row>
    <row r="16" ht="15" customHeight="1" s="52">
      <c r="A16" s="26" t="n">
        <v>46237</v>
      </c>
      <c r="B16" s="17">
        <f>IF($A16="","",YEAR($A16))</f>
        <v/>
      </c>
      <c r="C16" s="17">
        <f>IF($A16="","",MONTH($A16))</f>
        <v/>
      </c>
      <c r="D16" s="27" t="inlineStr">
        <is>
          <t>Gesundheit &amp; Drogerie</t>
        </is>
      </c>
      <c r="E16" s="27" t="inlineStr">
        <is>
          <t>MAURITIUS-APOTHEKE//MEERBUSCH/DE – 2026-07-31T10:35 Debitk.0 2030-12</t>
        </is>
      </c>
      <c r="F16" s="28" t="n">
        <v>5</v>
      </c>
      <c r="G16" s="14">
        <f>IF($D16="","",IFERROR(INDEX(Einstellungen!$B$4:$B$40,MATCH($D16,Einstellungen!$A$4:$A$40,0)),"?"))</f>
        <v/>
      </c>
      <c r="H16" s="27" t="inlineStr">
        <is>
          <t>Girokonto</t>
        </is>
      </c>
      <c r="I16" s="11">
        <f>IF($F16="","",IF($G16="Einnahme",$F16,-$F16))</f>
        <v/>
      </c>
      <c r="J16" s="50" t="inlineStr">
        <is>
          <t>12fd6bb9bfa2f49a</t>
        </is>
      </c>
    </row>
    <row r="17" ht="15" customHeight="1" s="52">
      <c r="A17" s="20" t="n">
        <v>46237</v>
      </c>
      <c r="B17" s="21">
        <f>IF($A17="","",YEAR($A17))</f>
        <v/>
      </c>
      <c r="C17" s="21">
        <f>IF($A17="","",MONTH($A17))</f>
        <v/>
      </c>
      <c r="D17" s="22" t="inlineStr">
        <is>
          <t>Sonstiges</t>
        </is>
      </c>
      <c r="E17" s="22" t="inlineStr">
        <is>
          <t>Entgeltabrechnung siehe Anlage Abrechnung 31.07.2026 Information zur Abrechnung Entgelte vom 01.07.2026 bis 31.07.2026 2,90- Grundpreis (Kontoführung) 2,90- Abrechnung 31.07.2026 2,90- Es handelt sich</t>
        </is>
      </c>
      <c r="F17" s="23" t="n">
        <v>2.9</v>
      </c>
      <c r="G17" s="24">
        <f>IF($D17="","",IFERROR(INDEX(Einstellungen!$B$4:$B$40,MATCH($D17,Einstellungen!$A$4:$A$40,0)),"?"))</f>
        <v/>
      </c>
      <c r="H17" s="22" t="inlineStr">
        <is>
          <t>Girokonto</t>
        </is>
      </c>
      <c r="I17" s="25">
        <f>IF($F17="","",IF($G17="Einnahme",$F17,-$F17))</f>
        <v/>
      </c>
      <c r="J17" s="50" t="inlineStr">
        <is>
          <t>2ecb082e57dc8599</t>
        </is>
      </c>
    </row>
    <row r="18" ht="15" customHeight="1" s="52">
      <c r="A18" s="26" t="n">
        <v>46238</v>
      </c>
      <c r="B18" s="17">
        <f>IF($A18="","",YEAR($A18))</f>
        <v/>
      </c>
      <c r="C18" s="17">
        <f>IF($A18="","",MONTH($A18))</f>
        <v/>
      </c>
      <c r="D18" s="27" t="inlineStr">
        <is>
          <t>Sonstiges</t>
        </is>
      </c>
      <c r="E18" s="27" t="inlineStr">
        <is>
          <t>PayPal Europe S.a.r.l. et Cie S.C.A – 1052111042219/ADD TO BALANCE</t>
        </is>
      </c>
      <c r="F18" s="28" t="n">
        <v>16.99</v>
      </c>
      <c r="G18" s="14">
        <f>IF($D18="","",IFERROR(INDEX(Einstellungen!$B$4:$B$40,MATCH($D18,Einstellungen!$A$4:$A$40,0)),"?"))</f>
        <v/>
      </c>
      <c r="H18" s="27" t="inlineStr">
        <is>
          <t>Girokonto</t>
        </is>
      </c>
      <c r="I18" s="11">
        <f>IF($F18="","",IF($G18="Einnahme",$F18,-$F18))</f>
        <v/>
      </c>
      <c r="J18" s="50" t="inlineStr">
        <is>
          <t>c80871e39e7dec19</t>
        </is>
      </c>
    </row>
    <row r="19" ht="15" customHeight="1" s="52">
      <c r="A19" s="20" t="n">
        <v>46238</v>
      </c>
      <c r="B19" s="21">
        <f>IF($A19="","",YEAR($A19))</f>
        <v/>
      </c>
      <c r="C19" s="21">
        <f>IF($A19="","",MONTH($A19))</f>
        <v/>
      </c>
      <c r="D19" s="22" t="inlineStr">
        <is>
          <t>Sonstiges</t>
        </is>
      </c>
      <c r="E19" s="22" t="inlineStr">
        <is>
          <t>PayPal Europe S.a.r.l. et Cie S.C.A – 1052102161441/. Uber, Ihr Einkauf bei Uber</t>
        </is>
      </c>
      <c r="F19" s="23" t="n">
        <v>41.04</v>
      </c>
      <c r="G19" s="24">
        <f>IF($D19="","",IFERROR(INDEX(Einstellungen!$B$4:$B$40,MATCH($D19,Einstellungen!$A$4:$A$40,0)),"?"))</f>
        <v/>
      </c>
      <c r="H19" s="22" t="inlineStr">
        <is>
          <t>Girokonto</t>
        </is>
      </c>
      <c r="I19" s="25">
        <f>IF($F19="","",IF($G19="Einnahme",$F19,-$F19))</f>
        <v/>
      </c>
      <c r="J19" s="50" t="inlineStr">
        <is>
          <t>2e347f47106008f3</t>
        </is>
      </c>
    </row>
    <row r="20" ht="15" customHeight="1" s="52">
      <c r="A20" s="26" t="n">
        <v>46238</v>
      </c>
      <c r="B20" s="17">
        <f>IF($A20="","",YEAR($A20))</f>
        <v/>
      </c>
      <c r="C20" s="17">
        <f>IF($A20="","",MONTH($A20))</f>
        <v/>
      </c>
      <c r="D20" s="27" t="inlineStr">
        <is>
          <t>Sonstiges</t>
        </is>
      </c>
      <c r="E20" s="27" t="inlineStr">
        <is>
          <t>PayPal Europe S.a.r.l. et Cie S.C.A – 1052076370269/PP.8864.PP/. TicketPAY Europe GmbH, Ihr Einkauf bei TicketPAY Europe GmbH</t>
        </is>
      </c>
      <c r="F20" s="28" t="n">
        <v>38</v>
      </c>
      <c r="G20" s="14">
        <f>IF($D20="","",IFERROR(INDEX(Einstellungen!$B$4:$B$40,MATCH($D20,Einstellungen!$A$4:$A$40,0)),"?"))</f>
        <v/>
      </c>
      <c r="H20" s="27" t="inlineStr">
        <is>
          <t>Girokonto</t>
        </is>
      </c>
      <c r="I20" s="11">
        <f>IF($F20="","",IF($G20="Einnahme",$F20,-$F20))</f>
        <v/>
      </c>
      <c r="J20" s="50" t="inlineStr">
        <is>
          <t>0e335dec2de13a33</t>
        </is>
      </c>
    </row>
    <row r="21" ht="15" customHeight="1" s="52">
      <c r="A21" s="20" t="n">
        <v>46239</v>
      </c>
      <c r="B21" s="21">
        <f>IF($A21="","",YEAR($A21))</f>
        <v/>
      </c>
      <c r="C21" s="21">
        <f>IF($A21="","",MONTH($A21))</f>
        <v/>
      </c>
      <c r="D21" s="22" t="inlineStr">
        <is>
          <t>Lebensmittel</t>
        </is>
      </c>
      <c r="E21" s="22" t="inlineStr">
        <is>
          <t>EDEKA RATH//MEERBUSCH/DE – 2026-08-04T20:15 Debitk.10 2030-12</t>
        </is>
      </c>
      <c r="F21" s="23" t="n">
        <v>23.7</v>
      </c>
      <c r="G21" s="24">
        <f>IF($D21="","",IFERROR(INDEX(Einstellungen!$B$4:$B$40,MATCH($D21,Einstellungen!$A$4:$A$40,0)),"?"))</f>
        <v/>
      </c>
      <c r="H21" s="22" t="inlineStr">
        <is>
          <t>Girokonto</t>
        </is>
      </c>
      <c r="I21" s="25">
        <f>IF($F21="","",IF($G21="Einnahme",$F21,-$F21))</f>
        <v/>
      </c>
      <c r="J21" s="50" t="inlineStr">
        <is>
          <t>8350657f3ef825f2</t>
        </is>
      </c>
    </row>
    <row r="22" ht="15" customHeight="1" s="52">
      <c r="A22" s="26" t="n">
        <v>46239</v>
      </c>
      <c r="B22" s="17">
        <f>IF($A22="","",YEAR($A22))</f>
        <v/>
      </c>
      <c r="C22" s="17">
        <f>IF($A22="","",MONTH($A22))</f>
        <v/>
      </c>
      <c r="D22" s="27" t="inlineStr">
        <is>
          <t>Lebensmittel</t>
        </is>
      </c>
      <c r="E22" s="27" t="inlineStr">
        <is>
          <t>NETTO MARKEN-DISCOU/DORFSTR. 26/MEERBUSCH/DE – 2026-08-04T20:09 Debitk.10 2030-12</t>
        </is>
      </c>
      <c r="F22" s="28" t="n">
        <v>5.88</v>
      </c>
      <c r="G22" s="14">
        <f>IF($D22="","",IFERROR(INDEX(Einstellungen!$B$4:$B$40,MATCH($D22,Einstellungen!$A$4:$A$40,0)),"?"))</f>
        <v/>
      </c>
      <c r="H22" s="27" t="inlineStr">
        <is>
          <t>Girokonto</t>
        </is>
      </c>
      <c r="I22" s="11">
        <f>IF($F22="","",IF($G22="Einnahme",$F22,-$F22))</f>
        <v/>
      </c>
      <c r="J22" s="50" t="inlineStr">
        <is>
          <t>15bf2f56bffbbf9e</t>
        </is>
      </c>
    </row>
    <row r="23" ht="15" customHeight="1" s="52">
      <c r="A23" s="20" t="n">
        <v>46240</v>
      </c>
      <c r="B23" s="21">
        <f>IF($A23="","",YEAR($A23))</f>
        <v/>
      </c>
      <c r="C23" s="21">
        <f>IF($A23="","",MONTH($A23))</f>
        <v/>
      </c>
      <c r="D23" s="22" t="inlineStr">
        <is>
          <t>Sonstiges</t>
        </is>
      </c>
      <c r="E23" s="22" t="inlineStr">
        <is>
          <t>ELAN Service Station//MEERBUSCH/DE – 2026-08-05T08:47 Debitk.10 2030-12</t>
        </is>
      </c>
      <c r="F23" s="23" t="n">
        <v>50.6</v>
      </c>
      <c r="G23" s="24">
        <f>IF($D23="","",IFERROR(INDEX(Einstellungen!$B$4:$B$40,MATCH($D23,Einstellungen!$A$4:$A$40,0)),"?"))</f>
        <v/>
      </c>
      <c r="H23" s="22" t="inlineStr">
        <is>
          <t>Girokonto</t>
        </is>
      </c>
      <c r="I23" s="25">
        <f>IF($F23="","",IF($G23="Einnahme",$F23,-$F23))</f>
        <v/>
      </c>
      <c r="J23" s="50" t="inlineStr">
        <is>
          <t>555db4f91f8d3f59</t>
        </is>
      </c>
    </row>
    <row r="24" ht="15" customHeight="1" s="52">
      <c r="A24" s="26" t="n">
        <v>46240</v>
      </c>
      <c r="B24" s="17">
        <f>IF($A24="","",YEAR($A24))</f>
        <v/>
      </c>
      <c r="C24" s="17">
        <f>IF($A24="","",MONTH($A24))</f>
        <v/>
      </c>
      <c r="D24" s="27" t="inlineStr">
        <is>
          <t>Sonstiges</t>
        </is>
      </c>
      <c r="E24" s="27" t="inlineStr">
        <is>
          <t>AMAZON PAYMENTS EUROPE S.C.A. – 302-5923538-5493165 AMZN Mktp DE 7JDBS6LO4HSVQ8WV</t>
        </is>
      </c>
      <c r="F24" s="28" t="n">
        <v>9.99</v>
      </c>
      <c r="G24" s="14">
        <f>IF($D24="","",IFERROR(INDEX(Einstellungen!$B$4:$B$40,MATCH($D24,Einstellungen!$A$4:$A$40,0)),"?"))</f>
        <v/>
      </c>
      <c r="H24" s="27" t="inlineStr">
        <is>
          <t>Girokonto</t>
        </is>
      </c>
      <c r="I24" s="11">
        <f>IF($F24="","",IF($G24="Einnahme",$F24,-$F24))</f>
        <v/>
      </c>
      <c r="J24" s="50" t="inlineStr">
        <is>
          <t>5918d53fb2826b48</t>
        </is>
      </c>
    </row>
    <row r="25" ht="15" customHeight="1" s="52">
      <c r="A25" s="20" t="n">
        <v>46240</v>
      </c>
      <c r="B25" s="21">
        <f>IF($A25="","",YEAR($A25))</f>
        <v/>
      </c>
      <c r="C25" s="21">
        <f>IF($A25="","",MONTH($A25))</f>
        <v/>
      </c>
      <c r="D25" s="22" t="inlineStr">
        <is>
          <t>Sonstiges</t>
        </is>
      </c>
      <c r="E25" s="22" t="inlineStr">
        <is>
          <t>AMAZON PAYMENTS EUROPE S.C.A. – 302-8406191-1204311 AMZN Mktp DE 1K8G0XEQL1NNFFQK</t>
        </is>
      </c>
      <c r="F25" s="23" t="n">
        <v>18.98</v>
      </c>
      <c r="G25" s="24">
        <f>IF($D25="","",IFERROR(INDEX(Einstellungen!$B$4:$B$40,MATCH($D25,Einstellungen!$A$4:$A$40,0)),"?"))</f>
        <v/>
      </c>
      <c r="H25" s="22" t="inlineStr">
        <is>
          <t>Girokonto</t>
        </is>
      </c>
      <c r="I25" s="25">
        <f>IF($F25="","",IF($G25="Einnahme",$F25,-$F25))</f>
        <v/>
      </c>
      <c r="J25" s="50" t="inlineStr">
        <is>
          <t>0beb58d716dc60d6</t>
        </is>
      </c>
    </row>
    <row r="26" ht="15" customHeight="1" s="52">
      <c r="A26" s="26" t="n">
        <v>46240</v>
      </c>
      <c r="B26" s="17">
        <f>IF($A26="","",YEAR($A26))</f>
        <v/>
      </c>
      <c r="C26" s="17">
        <f>IF($A26="","",MONTH($A26))</f>
        <v/>
      </c>
      <c r="D26" s="27" t="inlineStr">
        <is>
          <t>Versicherungen</t>
        </is>
      </c>
      <c r="E26" s="27" t="inlineStr">
        <is>
          <t>BARMER – R539331365 Sarah-Luise Maxara</t>
        </is>
      </c>
      <c r="F26" s="28" t="n">
        <v>166.42</v>
      </c>
      <c r="G26" s="14">
        <f>IF($D26="","",IFERROR(INDEX(Einstellungen!$B$4:$B$40,MATCH($D26,Einstellungen!$A$4:$A$40,0)),"?"))</f>
        <v/>
      </c>
      <c r="H26" s="27" t="inlineStr">
        <is>
          <t>Girokonto</t>
        </is>
      </c>
      <c r="I26" s="11">
        <f>IF($F26="","",IF($G26="Einnahme",$F26,-$F26))</f>
        <v/>
      </c>
      <c r="J26" s="50" t="inlineStr">
        <is>
          <t>a1ee1eb474285d7a</t>
        </is>
      </c>
    </row>
    <row r="27" ht="15" customHeight="1" s="52">
      <c r="A27" s="20" t="n">
        <v>46240</v>
      </c>
      <c r="B27" s="21">
        <f>IF($A27="","",YEAR($A27))</f>
        <v/>
      </c>
      <c r="C27" s="21">
        <f>IF($A27="","",MONTH($A27))</f>
        <v/>
      </c>
      <c r="D27" s="22" t="inlineStr">
        <is>
          <t>Sonstiges</t>
        </is>
      </c>
      <c r="E27" s="22" t="inlineStr">
        <is>
          <t>PayPal (Europe) S.a r.l. et Cie, S.C.A. – 1052151943749 PP.8864.PP . PayPal (Europe) S.a r.l. et Cie, SCA, Ihr Einkauf bei PayPal (Europe) S.a r.l. et Cie, SCA</t>
        </is>
      </c>
      <c r="F27" s="23" t="n">
        <v>30.43</v>
      </c>
      <c r="G27" s="24">
        <f>IF($D27="","",IFERROR(INDEX(Einstellungen!$B$4:$B$40,MATCH($D27,Einstellungen!$A$4:$A$40,0)),"?"))</f>
        <v/>
      </c>
      <c r="H27" s="22" t="inlineStr">
        <is>
          <t>Girokonto</t>
        </is>
      </c>
      <c r="I27" s="25">
        <f>IF($F27="","",IF($G27="Einnahme",$F27,-$F27))</f>
        <v/>
      </c>
      <c r="J27" s="50" t="inlineStr">
        <is>
          <t>03de1496b893bede</t>
        </is>
      </c>
    </row>
    <row r="28" ht="15" customHeight="1" s="52">
      <c r="A28" s="26" t="n">
        <v>46241</v>
      </c>
      <c r="B28" s="17">
        <f>IF($A28="","",YEAR($A28))</f>
        <v/>
      </c>
      <c r="C28" s="17">
        <f>IF($A28="","",MONTH($A28))</f>
        <v/>
      </c>
      <c r="D28" s="27" t="inlineStr">
        <is>
          <t>Restaurant &amp; Lieferdienst</t>
        </is>
      </c>
      <c r="E28" s="27" t="inlineStr">
        <is>
          <t>Lieferando.de/Oosterdoksstraat 80/Amsterdam/NL – 2026-08-06T15:53 Debitk.10 2030-12</t>
        </is>
      </c>
      <c r="F28" s="28" t="n">
        <v>23.79</v>
      </c>
      <c r="G28" s="14">
        <f>IF($D28="","",IFERROR(INDEX(Einstellungen!$B$4:$B$40,MATCH($D28,Einstellungen!$A$4:$A$40,0)),"?"))</f>
        <v/>
      </c>
      <c r="H28" s="27" t="inlineStr">
        <is>
          <t>Girokonto</t>
        </is>
      </c>
      <c r="I28" s="11">
        <f>IF($F28="","",IF($G28="Einnahme",$F28,-$F28))</f>
        <v/>
      </c>
      <c r="J28" s="50" t="inlineStr">
        <is>
          <t>c386aa2ad13be636</t>
        </is>
      </c>
    </row>
    <row r="29" ht="15" customHeight="1" s="52">
      <c r="A29" s="20" t="n">
        <v>46244</v>
      </c>
      <c r="B29" s="21">
        <f>IF($A29="","",YEAR($A29))</f>
        <v/>
      </c>
      <c r="C29" s="21">
        <f>IF($A29="","",MONTH($A29))</f>
        <v/>
      </c>
      <c r="D29" s="22" t="inlineStr">
        <is>
          <t>Sonstiges</t>
        </is>
      </c>
      <c r="E29" s="22" t="inlineStr">
        <is>
          <t>IS24/Andreasstr. 10/Berlin/DE/0 – 2026-08-08T04:02 Debitk.10 2030-12 Zahl.System DebitMastercard</t>
        </is>
      </c>
      <c r="F29" s="23" t="n">
        <v>4.99</v>
      </c>
      <c r="G29" s="24">
        <f>IF($D29="","",IFERROR(INDEX(Einstellungen!$B$4:$B$40,MATCH($D29,Einstellungen!$A$4:$A$40,0)),"?"))</f>
        <v/>
      </c>
      <c r="H29" s="22" t="inlineStr">
        <is>
          <t>Girokonto</t>
        </is>
      </c>
      <c r="I29" s="25">
        <f>IF($F29="","",IF($G29="Einnahme",$F29,-$F29))</f>
        <v/>
      </c>
      <c r="J29" s="50" t="inlineStr">
        <is>
          <t>2a9f30f5ef160a4d</t>
        </is>
      </c>
    </row>
    <row r="30" ht="15" customHeight="1" s="52">
      <c r="A30" s="26" t="n">
        <v>46244</v>
      </c>
      <c r="B30" s="17">
        <f>IF($A30="","",YEAR($A30))</f>
        <v/>
      </c>
      <c r="C30" s="17">
        <f>IF($A30="","",MONTH($A30))</f>
        <v/>
      </c>
      <c r="D30" s="27" t="inlineStr">
        <is>
          <t>Sonstiges</t>
        </is>
      </c>
      <c r="E30" s="27" t="inlineStr">
        <is>
          <t>IS24/Andreasstr. 10/Berlin/DE/0 – 2026-08-08T04:02 Debitk.10 2030-12 Zahl.System DebitMastercard</t>
        </is>
      </c>
      <c r="F30" s="28" t="n">
        <v>6.99</v>
      </c>
      <c r="G30" s="14">
        <f>IF($D30="","",IFERROR(INDEX(Einstellungen!$B$4:$B$40,MATCH($D30,Einstellungen!$A$4:$A$40,0)),"?"))</f>
        <v/>
      </c>
      <c r="H30" s="27" t="inlineStr">
        <is>
          <t>Girokonto</t>
        </is>
      </c>
      <c r="I30" s="11">
        <f>IF($F30="","",IF($G30="Einnahme",$F30,-$F30))</f>
        <v/>
      </c>
      <c r="J30" s="50" t="inlineStr">
        <is>
          <t>eabca850aea00b59</t>
        </is>
      </c>
    </row>
    <row r="31" ht="15" customHeight="1" s="52">
      <c r="A31" s="20" t="n">
        <v>46244</v>
      </c>
      <c r="B31" s="21">
        <f>IF($A31="","",YEAR($A31))</f>
        <v/>
      </c>
      <c r="C31" s="21">
        <f>IF($A31="","",MONTH($A31))</f>
        <v/>
      </c>
      <c r="D31" s="22" t="inlineStr">
        <is>
          <t>Sonstiges</t>
        </is>
      </c>
      <c r="E31" s="22" t="inlineStr">
        <is>
          <t>IS24/Andreasstr. 10/Berlin/DE/0 – 2026-08-08T04:02 Debitk.10 2030-12 Zahl.System DebitMastercard</t>
        </is>
      </c>
      <c r="F31" s="23" t="n">
        <v>29.99</v>
      </c>
      <c r="G31" s="24">
        <f>IF($D31="","",IFERROR(INDEX(Einstellungen!$B$4:$B$40,MATCH($D31,Einstellungen!$A$4:$A$40,0)),"?"))</f>
        <v/>
      </c>
      <c r="H31" s="22" t="inlineStr">
        <is>
          <t>Girokonto</t>
        </is>
      </c>
      <c r="I31" s="25">
        <f>IF($F31="","",IF($G31="Einnahme",$F31,-$F31))</f>
        <v/>
      </c>
      <c r="J31" s="50" t="inlineStr">
        <is>
          <t>d1e8c93817b2cd0a</t>
        </is>
      </c>
    </row>
    <row r="32" ht="15" customHeight="1" s="52">
      <c r="A32" s="26" t="n">
        <v>46245</v>
      </c>
      <c r="B32" s="17">
        <f>IF($A32="","",YEAR($A32))</f>
        <v/>
      </c>
      <c r="C32" s="17">
        <f>IF($A32="","",MONTH($A32))</f>
        <v/>
      </c>
      <c r="D32" s="27" t="inlineStr">
        <is>
          <t>Sonstiges</t>
        </is>
      </c>
      <c r="E32" s="27" t="inlineStr">
        <is>
          <t>PayPal Europe S.a.r.l. et Cie S.C.A – 1052267752841/PP.8864.PP/. Apple Services, Ihr Einkauf bei Apple Services</t>
        </is>
      </c>
      <c r="F32" s="28" t="n">
        <v>4.99</v>
      </c>
      <c r="G32" s="14">
        <f>IF($D32="","",IFERROR(INDEX(Einstellungen!$B$4:$B$40,MATCH($D32,Einstellungen!$A$4:$A$40,0)),"?"))</f>
        <v/>
      </c>
      <c r="H32" s="27" t="inlineStr">
        <is>
          <t>Girokonto</t>
        </is>
      </c>
      <c r="I32" s="11">
        <f>IF($F32="","",IF($G32="Einnahme",$F32,-$F32))</f>
        <v/>
      </c>
      <c r="J32" s="50" t="inlineStr">
        <is>
          <t>db7f357878a16fc6</t>
        </is>
      </c>
    </row>
    <row r="33" ht="15" customHeight="1" s="52">
      <c r="A33" s="20" t="n">
        <v>46245</v>
      </c>
      <c r="B33" s="21">
        <f>IF($A33="","",YEAR($A33))</f>
        <v/>
      </c>
      <c r="C33" s="21">
        <f>IF($A33="","",MONTH($A33))</f>
        <v/>
      </c>
      <c r="D33" s="22" t="inlineStr">
        <is>
          <t>Sonstiges</t>
        </is>
      </c>
      <c r="E33" s="22" t="inlineStr">
        <is>
          <t>AMAZON EU S.A R.L., NIEDERLASSUNG DEUTSCHLAND – D01-1915392-5131826 AMZNPrime DE 6MKZBXA67367QM4J</t>
        </is>
      </c>
      <c r="F33" s="23" t="n">
        <v>8.99</v>
      </c>
      <c r="G33" s="24">
        <f>IF($D33="","",IFERROR(INDEX(Einstellungen!$B$4:$B$40,MATCH($D33,Einstellungen!$A$4:$A$40,0)),"?"))</f>
        <v/>
      </c>
      <c r="H33" s="22" t="inlineStr">
        <is>
          <t>Girokonto</t>
        </is>
      </c>
      <c r="I33" s="25">
        <f>IF($F33="","",IF($G33="Einnahme",$F33,-$F33))</f>
        <v/>
      </c>
      <c r="J33" s="50" t="inlineStr">
        <is>
          <t>5019a8cd07b8ce07</t>
        </is>
      </c>
    </row>
    <row r="34" ht="15" customHeight="1" s="52">
      <c r="A34" s="26" t="n">
        <v>46245</v>
      </c>
      <c r="B34" s="17">
        <f>IF($A34="","",YEAR($A34))</f>
        <v/>
      </c>
      <c r="C34" s="17">
        <f>IF($A34="","",MONTH($A34))</f>
        <v/>
      </c>
      <c r="D34" s="27" t="inlineStr">
        <is>
          <t>Sonstiges</t>
        </is>
      </c>
      <c r="E34" s="27" t="inlineStr">
        <is>
          <t>AMAZON EU S.A R.L., NIEDERLASSUNG DEUTSCHLAND – 302-7341732-7320338 Amazon.de 3JPVTU5JHLQ24ZQ5</t>
        </is>
      </c>
      <c r="F34" s="28" t="n">
        <v>4.68</v>
      </c>
      <c r="G34" s="14">
        <f>IF($D34="","",IFERROR(INDEX(Einstellungen!$B$4:$B$40,MATCH($D34,Einstellungen!$A$4:$A$40,0)),"?"))</f>
        <v/>
      </c>
      <c r="H34" s="27" t="inlineStr">
        <is>
          <t>Girokonto</t>
        </is>
      </c>
      <c r="I34" s="11">
        <f>IF($F34="","",IF($G34="Einnahme",$F34,-$F34))</f>
        <v/>
      </c>
      <c r="J34" s="50" t="inlineStr">
        <is>
          <t>11a61e70778cc5bb</t>
        </is>
      </c>
    </row>
    <row r="35" ht="15" customHeight="1" s="52">
      <c r="A35" s="20" t="n">
        <v>46245</v>
      </c>
      <c r="B35" s="21">
        <f>IF($A35="","",YEAR($A35))</f>
        <v/>
      </c>
      <c r="C35" s="21">
        <f>IF($A35="","",MONTH($A35))</f>
        <v/>
      </c>
      <c r="D35" s="22" t="inlineStr">
        <is>
          <t>Sonstiges</t>
        </is>
      </c>
      <c r="E35" s="22" t="inlineStr">
        <is>
          <t>AMAZON PAYMENTS EUROPE S.C.A. – 302-9235263-5052329 AMZN Mktp DE T0OMEZX9TDTQIGKD</t>
        </is>
      </c>
      <c r="F35" s="23" t="n">
        <v>9.9</v>
      </c>
      <c r="G35" s="24">
        <f>IF($D35="","",IFERROR(INDEX(Einstellungen!$B$4:$B$40,MATCH($D35,Einstellungen!$A$4:$A$40,0)),"?"))</f>
        <v/>
      </c>
      <c r="H35" s="22" t="inlineStr">
        <is>
          <t>Girokonto</t>
        </is>
      </c>
      <c r="I35" s="25">
        <f>IF($F35="","",IF($G35="Einnahme",$F35,-$F35))</f>
        <v/>
      </c>
      <c r="J35" s="50" t="inlineStr">
        <is>
          <t>f095be4fff3e266f</t>
        </is>
      </c>
    </row>
    <row r="36" ht="15" customHeight="1" s="52">
      <c r="A36" s="26" t="n">
        <v>46245</v>
      </c>
      <c r="B36" s="17">
        <f>IF($A36="","",YEAR($A36))</f>
        <v/>
      </c>
      <c r="C36" s="17">
        <f>IF($A36="","",MONTH($A36))</f>
        <v/>
      </c>
      <c r="D36" s="27" t="inlineStr">
        <is>
          <t>Sonstiges</t>
        </is>
      </c>
      <c r="E36" s="27" t="inlineStr">
        <is>
          <t>AMAZON PAYMENTS EUROPE S.C.A. – 302-6854040-8659554 AMZN Mktp DE 3JRQTN8QK2O98ZW4</t>
        </is>
      </c>
      <c r="F36" s="28" t="n">
        <v>13.99</v>
      </c>
      <c r="G36" s="14">
        <f>IF($D36="","",IFERROR(INDEX(Einstellungen!$B$4:$B$40,MATCH($D36,Einstellungen!$A$4:$A$40,0)),"?"))</f>
        <v/>
      </c>
      <c r="H36" s="27" t="inlineStr">
        <is>
          <t>Girokonto</t>
        </is>
      </c>
      <c r="I36" s="11">
        <f>IF($F36="","",IF($G36="Einnahme",$F36,-$F36))</f>
        <v/>
      </c>
      <c r="J36" s="50" t="inlineStr">
        <is>
          <t>aa2b9fbec68a85c4</t>
        </is>
      </c>
    </row>
    <row r="37" ht="15" customHeight="1" s="52">
      <c r="A37" s="20" t="n">
        <v>46245</v>
      </c>
      <c r="B37" s="21">
        <f>IF($A37="","",YEAR($A37))</f>
        <v/>
      </c>
      <c r="C37" s="21">
        <f>IF($A37="","",MONTH($A37))</f>
        <v/>
      </c>
      <c r="D37" s="22" t="inlineStr">
        <is>
          <t>Sonstiges</t>
        </is>
      </c>
      <c r="E37" s="22" t="inlineStr">
        <is>
          <t>AMAZON EU S.A R.L., NIEDERLASSUNG DEUTSCHLAND – 302-2452863-0084359 Amazon.de 2U6OBDIHZNXC57U2</t>
        </is>
      </c>
      <c r="F37" s="23" t="n">
        <v>28.8</v>
      </c>
      <c r="G37" s="24">
        <f>IF($D37="","",IFERROR(INDEX(Einstellungen!$B$4:$B$40,MATCH($D37,Einstellungen!$A$4:$A$40,0)),"?"))</f>
        <v/>
      </c>
      <c r="H37" s="22" t="inlineStr">
        <is>
          <t>Girokonto</t>
        </is>
      </c>
      <c r="I37" s="25">
        <f>IF($F37="","",IF($G37="Einnahme",$F37,-$F37))</f>
        <v/>
      </c>
      <c r="J37" s="50" t="inlineStr">
        <is>
          <t>2902dac2d3690d4c</t>
        </is>
      </c>
    </row>
    <row r="38" ht="15" customHeight="1" s="52">
      <c r="A38" s="26" t="n">
        <v>46245</v>
      </c>
      <c r="B38" s="17">
        <f>IF($A38="","",YEAR($A38))</f>
        <v/>
      </c>
      <c r="C38" s="17">
        <f>IF($A38="","",MONTH($A38))</f>
        <v/>
      </c>
      <c r="D38" s="27" t="inlineStr">
        <is>
          <t>Sonstiges</t>
        </is>
      </c>
      <c r="E38" s="27" t="inlineStr">
        <is>
          <t>AMAZON PAYMENTS EUROPE S.C.A. – 302-9611631-0573953 AMZN Mktp DE 39CNURA9EVAQ32UQ</t>
        </is>
      </c>
      <c r="F38" s="28" t="n">
        <v>8.949999999999999</v>
      </c>
      <c r="G38" s="14">
        <f>IF($D38="","",IFERROR(INDEX(Einstellungen!$B$4:$B$40,MATCH($D38,Einstellungen!$A$4:$A$40,0)),"?"))</f>
        <v/>
      </c>
      <c r="H38" s="27" t="inlineStr">
        <is>
          <t>Girokonto</t>
        </is>
      </c>
      <c r="I38" s="11">
        <f>IF($F38="","",IF($G38="Einnahme",$F38,-$F38))</f>
        <v/>
      </c>
      <c r="J38" s="50" t="inlineStr">
        <is>
          <t>937b2a4aa33cf902</t>
        </is>
      </c>
    </row>
    <row r="39" ht="15" customHeight="1" s="52">
      <c r="A39" s="20" t="n">
        <v>46245</v>
      </c>
      <c r="B39" s="21">
        <f>IF($A39="","",YEAR($A39))</f>
        <v/>
      </c>
      <c r="C39" s="21">
        <f>IF($A39="","",MONTH($A39))</f>
        <v/>
      </c>
      <c r="D39" s="22" t="inlineStr">
        <is>
          <t>Sonstiges</t>
        </is>
      </c>
      <c r="E39" s="22" t="inlineStr">
        <is>
          <t>AMAZON PAYMENTS EUROPE S.C.A. – 302-3021219-5917909 AMZN Mktp DE 1S7SOFW0QKAIMKTC</t>
        </is>
      </c>
      <c r="F39" s="23" t="n">
        <v>9.43</v>
      </c>
      <c r="G39" s="24">
        <f>IF($D39="","",IFERROR(INDEX(Einstellungen!$B$4:$B$40,MATCH($D39,Einstellungen!$A$4:$A$40,0)),"?"))</f>
        <v/>
      </c>
      <c r="H39" s="22" t="inlineStr">
        <is>
          <t>Girokonto</t>
        </is>
      </c>
      <c r="I39" s="25">
        <f>IF($F39="","",IF($G39="Einnahme",$F39,-$F39))</f>
        <v/>
      </c>
      <c r="J39" s="50" t="inlineStr">
        <is>
          <t>fc6cd2a1106f7860</t>
        </is>
      </c>
    </row>
    <row r="40" ht="15" customHeight="1" s="52">
      <c r="A40" s="26" t="n">
        <v>46246</v>
      </c>
      <c r="B40" s="17">
        <f>IF($A40="","",YEAR($A40))</f>
        <v/>
      </c>
      <c r="C40" s="17">
        <f>IF($A40="","",MONTH($A40))</f>
        <v/>
      </c>
      <c r="D40" s="27" t="inlineStr">
        <is>
          <t>Sonstiges</t>
        </is>
      </c>
      <c r="E40" s="27" t="inlineStr">
        <is>
          <t>AMAZON PAYMENTS EUROPE S.C.A. – 302-2016145-8763544 AMZN Mktp DE 5WE2S4D6XM5MCMWK</t>
        </is>
      </c>
      <c r="F40" s="28" t="n">
        <v>6.59</v>
      </c>
      <c r="G40" s="14">
        <f>IF($D40="","",IFERROR(INDEX(Einstellungen!$B$4:$B$40,MATCH($D40,Einstellungen!$A$4:$A$40,0)),"?"))</f>
        <v/>
      </c>
      <c r="H40" s="27" t="inlineStr">
        <is>
          <t>Girokonto</t>
        </is>
      </c>
      <c r="I40" s="11">
        <f>IF($F40="","",IF($G40="Einnahme",$F40,-$F40))</f>
        <v/>
      </c>
      <c r="J40" s="50" t="inlineStr">
        <is>
          <t>d9c97a54b9b6a337</t>
        </is>
      </c>
    </row>
    <row r="41" ht="15" customHeight="1" s="52">
      <c r="A41" s="20" t="n">
        <v>46246</v>
      </c>
      <c r="B41" s="21">
        <f>IF($A41="","",YEAR($A41))</f>
        <v/>
      </c>
      <c r="C41" s="21">
        <f>IF($A41="","",MONTH($A41))</f>
        <v/>
      </c>
      <c r="D41" s="22" t="inlineStr">
        <is>
          <t>Sonstiges</t>
        </is>
      </c>
      <c r="E41" s="22" t="inlineStr">
        <is>
          <t>PayPal (Europe) S.a r.l. et Cie, S.C.A. – 1052283824358 PP.8864.PP . PayPal (Europe) S.a r.l. et Cie, SCA, Ihr Einkauf bei PayPal (Europe) S.a r.l. et Cie, SCA</t>
        </is>
      </c>
      <c r="F41" s="23" t="n">
        <v>17.85</v>
      </c>
      <c r="G41" s="24">
        <f>IF($D41="","",IFERROR(INDEX(Einstellungen!$B$4:$B$40,MATCH($D41,Einstellungen!$A$4:$A$40,0)),"?"))</f>
        <v/>
      </c>
      <c r="H41" s="22" t="inlineStr">
        <is>
          <t>Girokonto</t>
        </is>
      </c>
      <c r="I41" s="25">
        <f>IF($F41="","",IF($G41="Einnahme",$F41,-$F41))</f>
        <v/>
      </c>
      <c r="J41" s="50" t="inlineStr">
        <is>
          <t>d19db57716379d26</t>
        </is>
      </c>
    </row>
    <row r="42" ht="15" customHeight="1" s="52">
      <c r="A42" s="26" t="n">
        <v>46246</v>
      </c>
      <c r="B42" s="17">
        <f>IF($A42="","",YEAR($A42))</f>
        <v/>
      </c>
      <c r="C42" s="17">
        <f>IF($A42="","",MONTH($A42))</f>
        <v/>
      </c>
      <c r="D42" s="27" t="inlineStr">
        <is>
          <t>Strom &amp; Internet</t>
        </is>
      </c>
      <c r="E42" s="27" t="inlineStr">
        <is>
          <t>Rechnung Rückgabe Lastschrift über 9,43 EUR Einreicher: AMAZON PAYMENTS EUROPE S.C. Verwendungszweck: 302-3021219-5917909 AMZN Mk 20260812-RL002-00040012726</t>
        </is>
      </c>
      <c r="F42" s="28" t="n">
        <v>0.9</v>
      </c>
      <c r="G42" s="14">
        <f>IF($D42="","",IFERROR(INDEX(Einstellungen!$B$4:$B$40,MATCH($D42,Einstellungen!$A$4:$A$40,0)),"?"))</f>
        <v/>
      </c>
      <c r="H42" s="27" t="inlineStr">
        <is>
          <t>Girokonto</t>
        </is>
      </c>
      <c r="I42" s="11">
        <f>IF($F42="","",IF($G42="Einnahme",$F42,-$F42))</f>
        <v/>
      </c>
      <c r="J42" s="50" t="inlineStr">
        <is>
          <t>6c1450076dfa7751</t>
        </is>
      </c>
    </row>
    <row r="43" ht="15" customHeight="1" s="52">
      <c r="A43" s="20" t="n">
        <v>46246</v>
      </c>
      <c r="B43" s="21">
        <f>IF($A43="","",YEAR($A43))</f>
        <v/>
      </c>
      <c r="C43" s="21">
        <f>IF($A43="","",MONTH($A43))</f>
        <v/>
      </c>
      <c r="D43" s="22" t="inlineStr">
        <is>
          <t>Sonstige Einnahmen</t>
        </is>
      </c>
      <c r="E43" s="22" t="inlineStr">
        <is>
          <t>AMAZON PAYMENTS EUROPE S.C.A. – 302-3021219-5917909 AMZN Mktp DE 1S7SOFW0QKAIMKTC</t>
        </is>
      </c>
      <c r="F43" s="23" t="n">
        <v>9.43</v>
      </c>
      <c r="G43" s="24">
        <f>IF($D43="","",IFERROR(INDEX(Einstellungen!$B$4:$B$40,MATCH($D43,Einstellungen!$A$4:$A$40,0)),"?"))</f>
        <v/>
      </c>
      <c r="H43" s="22" t="inlineStr">
        <is>
          <t>Girokonto</t>
        </is>
      </c>
      <c r="I43" s="25">
        <f>IF($F43="","",IF($G43="Einnahme",$F43,-$F43))</f>
        <v/>
      </c>
      <c r="J43" s="50" t="inlineStr">
        <is>
          <t>5100fe01fe63e1ac</t>
        </is>
      </c>
    </row>
    <row r="44" ht="15" customHeight="1" s="52">
      <c r="A44" s="26" t="n">
        <v>46246</v>
      </c>
      <c r="B44" s="17">
        <f>IF($A44="","",YEAR($A44))</f>
        <v/>
      </c>
      <c r="C44" s="17">
        <f>IF($A44="","",MONTH($A44))</f>
        <v/>
      </c>
      <c r="D44" s="27" t="inlineStr">
        <is>
          <t>Strom &amp; Internet</t>
        </is>
      </c>
      <c r="E44" s="27" t="inlineStr">
        <is>
          <t>Rechnung Rückgabe Lastschrift über 8,95 EUR Einreicher: AMAZON PAYMENTS EUROPE S.C. Verwendungszweck: 302-9611631-0573953 AMZN Mk 20260812-RL002-00040012725</t>
        </is>
      </c>
      <c r="F44" s="28" t="n">
        <v>0.9</v>
      </c>
      <c r="G44" s="14">
        <f>IF($D44="","",IFERROR(INDEX(Einstellungen!$B$4:$B$40,MATCH($D44,Einstellungen!$A$4:$A$40,0)),"?"))</f>
        <v/>
      </c>
      <c r="H44" s="27" t="inlineStr">
        <is>
          <t>Girokonto</t>
        </is>
      </c>
      <c r="I44" s="11">
        <f>IF($F44="","",IF($G44="Einnahme",$F44,-$F44))</f>
        <v/>
      </c>
      <c r="J44" s="50" t="inlineStr">
        <is>
          <t>3b430f5f48925632</t>
        </is>
      </c>
    </row>
    <row r="45" ht="15" customHeight="1" s="52">
      <c r="A45" s="20" t="n">
        <v>46246</v>
      </c>
      <c r="B45" s="21">
        <f>IF($A45="","",YEAR($A45))</f>
        <v/>
      </c>
      <c r="C45" s="21">
        <f>IF($A45="","",MONTH($A45))</f>
        <v/>
      </c>
      <c r="D45" s="22" t="inlineStr">
        <is>
          <t>Sonstige Einnahmen</t>
        </is>
      </c>
      <c r="E45" s="22" t="inlineStr">
        <is>
          <t>AMAZON PAYMENTS EUROPE S.C.A. – 302-9611631-0573953 AMZN Mktp DE 39CNURA9EVAQ32UQ</t>
        </is>
      </c>
      <c r="F45" s="23" t="n">
        <v>8.949999999999999</v>
      </c>
      <c r="G45" s="24">
        <f>IF($D45="","",IFERROR(INDEX(Einstellungen!$B$4:$B$40,MATCH($D45,Einstellungen!$A$4:$A$40,0)),"?"))</f>
        <v/>
      </c>
      <c r="H45" s="22" t="inlineStr">
        <is>
          <t>Girokonto</t>
        </is>
      </c>
      <c r="I45" s="25">
        <f>IF($F45="","",IF($G45="Einnahme",$F45,-$F45))</f>
        <v/>
      </c>
      <c r="J45" s="50" t="inlineStr">
        <is>
          <t>fe05f47c06169477</t>
        </is>
      </c>
    </row>
    <row r="46" ht="15" customHeight="1" s="52">
      <c r="A46" s="26" t="n">
        <v>46246</v>
      </c>
      <c r="B46" s="17">
        <f>IF($A46="","",YEAR($A46))</f>
        <v/>
      </c>
      <c r="C46" s="17">
        <f>IF($A46="","",MONTH($A46))</f>
        <v/>
      </c>
      <c r="D46" s="27" t="inlineStr">
        <is>
          <t>Strom &amp; Internet</t>
        </is>
      </c>
      <c r="E46" s="27" t="inlineStr">
        <is>
          <t>Rechnung Rückgabe Lastschrift über 28,80 EUR Einreicher: AMAZON EU S.A R.L., NIEDERL Verwendungszweck: 302-2452863-0084359 Amazon. 20260812-RL002-00040012724</t>
        </is>
      </c>
      <c r="F46" s="28" t="n">
        <v>0.9</v>
      </c>
      <c r="G46" s="14">
        <f>IF($D46="","",IFERROR(INDEX(Einstellungen!$B$4:$B$40,MATCH($D46,Einstellungen!$A$4:$A$40,0)),"?"))</f>
        <v/>
      </c>
      <c r="H46" s="27" t="inlineStr">
        <is>
          <t>Girokonto</t>
        </is>
      </c>
      <c r="I46" s="11">
        <f>IF($F46="","",IF($G46="Einnahme",$F46,-$F46))</f>
        <v/>
      </c>
      <c r="J46" s="50" t="inlineStr">
        <is>
          <t>4a58020aef16567b</t>
        </is>
      </c>
    </row>
    <row r="47" ht="15" customHeight="1" s="52">
      <c r="A47" s="20" t="n">
        <v>46246</v>
      </c>
      <c r="B47" s="21">
        <f>IF($A47="","",YEAR($A47))</f>
        <v/>
      </c>
      <c r="C47" s="21">
        <f>IF($A47="","",MONTH($A47))</f>
        <v/>
      </c>
      <c r="D47" s="22" t="inlineStr">
        <is>
          <t>Sonstige Einnahmen</t>
        </is>
      </c>
      <c r="E47" s="22" t="inlineStr">
        <is>
          <t>AMAZON EU S.A R.L., NIEDERLASSUNG DEUTSCHLAND – 302-2452863-0084359 Amazon.de 2U6OBDIHZNXC57U2</t>
        </is>
      </c>
      <c r="F47" s="23" t="n">
        <v>28.8</v>
      </c>
      <c r="G47" s="24">
        <f>IF($D47="","",IFERROR(INDEX(Einstellungen!$B$4:$B$40,MATCH($D47,Einstellungen!$A$4:$A$40,0)),"?"))</f>
        <v/>
      </c>
      <c r="H47" s="22" t="inlineStr">
        <is>
          <t>Girokonto</t>
        </is>
      </c>
      <c r="I47" s="25">
        <f>IF($F47="","",IF($G47="Einnahme",$F47,-$F47))</f>
        <v/>
      </c>
      <c r="J47" s="50" t="inlineStr">
        <is>
          <t>67c8038966bbb872</t>
        </is>
      </c>
    </row>
    <row r="48" ht="15" customHeight="1" s="52">
      <c r="A48" s="26" t="n">
        <v>46246</v>
      </c>
      <c r="B48" s="17">
        <f>IF($A48="","",YEAR($A48))</f>
        <v/>
      </c>
      <c r="C48" s="17">
        <f>IF($A48="","",MONTH($A48))</f>
        <v/>
      </c>
      <c r="D48" s="27" t="inlineStr">
        <is>
          <t>Strom &amp; Internet</t>
        </is>
      </c>
      <c r="E48" s="27" t="inlineStr">
        <is>
          <t>Rechnung Rückgabe Lastschrift über 13,99 EUR Einreicher: AMAZON PAYMENTS EUROPE S.C. Verwendungszweck: 302-6854040-8659554 AMZN Mk 20260812-RL002-00040012723</t>
        </is>
      </c>
      <c r="F48" s="28" t="n">
        <v>0.9</v>
      </c>
      <c r="G48" s="14">
        <f>IF($D48="","",IFERROR(INDEX(Einstellungen!$B$4:$B$40,MATCH($D48,Einstellungen!$A$4:$A$40,0)),"?"))</f>
        <v/>
      </c>
      <c r="H48" s="27" t="inlineStr">
        <is>
          <t>Girokonto</t>
        </is>
      </c>
      <c r="I48" s="11">
        <f>IF($F48="","",IF($G48="Einnahme",$F48,-$F48))</f>
        <v/>
      </c>
      <c r="J48" s="50" t="inlineStr">
        <is>
          <t>5e62bbc25a1c105f</t>
        </is>
      </c>
    </row>
    <row r="49" ht="15" customHeight="1" s="52">
      <c r="A49" s="20" t="n">
        <v>46246</v>
      </c>
      <c r="B49" s="21">
        <f>IF($A49="","",YEAR($A49))</f>
        <v/>
      </c>
      <c r="C49" s="21">
        <f>IF($A49="","",MONTH($A49))</f>
        <v/>
      </c>
      <c r="D49" s="22" t="inlineStr">
        <is>
          <t>Sonstige Einnahmen</t>
        </is>
      </c>
      <c r="E49" s="22" t="inlineStr">
        <is>
          <t>AMAZON PAYMENTS EUROPE S.C.A. – 302-6854040-8659554 AMZN Mktp DE 3JRQTN8QK2O98ZW4</t>
        </is>
      </c>
      <c r="F49" s="23" t="n">
        <v>13.99</v>
      </c>
      <c r="G49" s="24">
        <f>IF($D49="","",IFERROR(INDEX(Einstellungen!$B$4:$B$40,MATCH($D49,Einstellungen!$A$4:$A$40,0)),"?"))</f>
        <v/>
      </c>
      <c r="H49" s="22" t="inlineStr">
        <is>
          <t>Girokonto</t>
        </is>
      </c>
      <c r="I49" s="25">
        <f>IF($F49="","",IF($G49="Einnahme",$F49,-$F49))</f>
        <v/>
      </c>
      <c r="J49" s="50" t="inlineStr">
        <is>
          <t>918fb883e4a239b6</t>
        </is>
      </c>
    </row>
    <row r="50" ht="15" customHeight="1" s="52">
      <c r="A50" s="26" t="n">
        <v>46246</v>
      </c>
      <c r="B50" s="17">
        <f>IF($A50="","",YEAR($A50))</f>
        <v/>
      </c>
      <c r="C50" s="17">
        <f>IF($A50="","",MONTH($A50))</f>
        <v/>
      </c>
      <c r="D50" s="27" t="inlineStr">
        <is>
          <t>Strom &amp; Internet</t>
        </is>
      </c>
      <c r="E50" s="27" t="inlineStr">
        <is>
          <t>Rechnung Rückgabe Lastschrift über 9,90 EUR Einreicher: AMAZON PAYMENTS EUROPE S.C. Verwendungszweck: 302-9235263-5052329 AMZN Mk 20260812-RL002-00040012722</t>
        </is>
      </c>
      <c r="F50" s="28" t="n">
        <v>0.9</v>
      </c>
      <c r="G50" s="14">
        <f>IF($D50="","",IFERROR(INDEX(Einstellungen!$B$4:$B$40,MATCH($D50,Einstellungen!$A$4:$A$40,0)),"?"))</f>
        <v/>
      </c>
      <c r="H50" s="27" t="inlineStr">
        <is>
          <t>Girokonto</t>
        </is>
      </c>
      <c r="I50" s="11">
        <f>IF($F50="","",IF($G50="Einnahme",$F50,-$F50))</f>
        <v/>
      </c>
      <c r="J50" s="50" t="inlineStr">
        <is>
          <t>ad8257856bad10e3</t>
        </is>
      </c>
    </row>
    <row r="51" ht="15" customHeight="1" s="52">
      <c r="A51" s="20" t="n">
        <v>46246</v>
      </c>
      <c r="B51" s="21">
        <f>IF($A51="","",YEAR($A51))</f>
        <v/>
      </c>
      <c r="C51" s="21">
        <f>IF($A51="","",MONTH($A51))</f>
        <v/>
      </c>
      <c r="D51" s="22" t="inlineStr">
        <is>
          <t>Sonstige Einnahmen</t>
        </is>
      </c>
      <c r="E51" s="22" t="inlineStr">
        <is>
          <t>AMAZON PAYMENTS EUROPE S.C.A. – 302-9235263-5052329 AMZN Mktp DE T0OMEZX9TDTQIGKD</t>
        </is>
      </c>
      <c r="F51" s="23" t="n">
        <v>9.9</v>
      </c>
      <c r="G51" s="24">
        <f>IF($D51="","",IFERROR(INDEX(Einstellungen!$B$4:$B$40,MATCH($D51,Einstellungen!$A$4:$A$40,0)),"?"))</f>
        <v/>
      </c>
      <c r="H51" s="22" t="inlineStr">
        <is>
          <t>Girokonto</t>
        </is>
      </c>
      <c r="I51" s="25">
        <f>IF($F51="","",IF($G51="Einnahme",$F51,-$F51))</f>
        <v/>
      </c>
      <c r="J51" s="50" t="inlineStr">
        <is>
          <t>f625d2d7cbe23460</t>
        </is>
      </c>
    </row>
    <row r="52" ht="15" customHeight="1" s="52">
      <c r="A52" s="26" t="n">
        <v>46246</v>
      </c>
      <c r="B52" s="17">
        <f>IF($A52="","",YEAR($A52))</f>
        <v/>
      </c>
      <c r="C52" s="17">
        <f>IF($A52="","",MONTH($A52))</f>
        <v/>
      </c>
      <c r="D52" s="27" t="inlineStr">
        <is>
          <t>Strom &amp; Internet</t>
        </is>
      </c>
      <c r="E52" s="27" t="inlineStr">
        <is>
          <t>Rechnung Rückgabe Lastschrift über 4,68 EUR Einreicher: AMAZON EU S.A R.L., NIEDERL Verwendungszweck: 302-7341732-7320338 Amazon. 20260812-RL002-00040012721</t>
        </is>
      </c>
      <c r="F52" s="28" t="n">
        <v>0.9</v>
      </c>
      <c r="G52" s="14">
        <f>IF($D52="","",IFERROR(INDEX(Einstellungen!$B$4:$B$40,MATCH($D52,Einstellungen!$A$4:$A$40,0)),"?"))</f>
        <v/>
      </c>
      <c r="H52" s="27" t="inlineStr">
        <is>
          <t>Girokonto</t>
        </is>
      </c>
      <c r="I52" s="11">
        <f>IF($F52="","",IF($G52="Einnahme",$F52,-$F52))</f>
        <v/>
      </c>
      <c r="J52" s="50" t="inlineStr">
        <is>
          <t>149f83936e597490</t>
        </is>
      </c>
    </row>
    <row r="53" ht="15" customHeight="1" s="52">
      <c r="A53" s="20" t="n">
        <v>46246</v>
      </c>
      <c r="B53" s="21">
        <f>IF($A53="","",YEAR($A53))</f>
        <v/>
      </c>
      <c r="C53" s="21">
        <f>IF($A53="","",MONTH($A53))</f>
        <v/>
      </c>
      <c r="D53" s="22" t="inlineStr">
        <is>
          <t>Sonstige Einnahmen</t>
        </is>
      </c>
      <c r="E53" s="22" t="inlineStr">
        <is>
          <t>AMAZON EU S.A R.L., NIEDERLASSUNG DEUTSCHLAND – 302-7341732-7320338 Amazon.de 3JPVTU5JHLQ24ZQ5</t>
        </is>
      </c>
      <c r="F53" s="23" t="n">
        <v>4.68</v>
      </c>
      <c r="G53" s="24">
        <f>IF($D53="","",IFERROR(INDEX(Einstellungen!$B$4:$B$40,MATCH($D53,Einstellungen!$A$4:$A$40,0)),"?"))</f>
        <v/>
      </c>
      <c r="H53" s="22" t="inlineStr">
        <is>
          <t>Girokonto</t>
        </is>
      </c>
      <c r="I53" s="25">
        <f>IF($F53="","",IF($G53="Einnahme",$F53,-$F53))</f>
        <v/>
      </c>
      <c r="J53" s="50" t="inlineStr">
        <is>
          <t>b1bfc287903a61cb</t>
        </is>
      </c>
    </row>
    <row r="54" ht="15" customHeight="1" s="52">
      <c r="A54" s="26" t="n">
        <v>46246</v>
      </c>
      <c r="B54" s="17">
        <f>IF($A54="","",YEAR($A54))</f>
        <v/>
      </c>
      <c r="C54" s="17">
        <f>IF($A54="","",MONTH($A54))</f>
        <v/>
      </c>
      <c r="D54" s="27" t="inlineStr">
        <is>
          <t>Strom &amp; Internet</t>
        </is>
      </c>
      <c r="E54" s="27" t="inlineStr">
        <is>
          <t>Rechnung Rückgabe Lastschrift über 8,99 EUR Einreicher: AMAZON EU S.A R.L., NIEDERL Verwendungszweck: D01-1915392-5131826 AMZNPri 20260812-RL002-00040012720</t>
        </is>
      </c>
      <c r="F54" s="28" t="n">
        <v>0.9</v>
      </c>
      <c r="G54" s="14">
        <f>IF($D54="","",IFERROR(INDEX(Einstellungen!$B$4:$B$40,MATCH($D54,Einstellungen!$A$4:$A$40,0)),"?"))</f>
        <v/>
      </c>
      <c r="H54" s="27" t="inlineStr">
        <is>
          <t>Girokonto</t>
        </is>
      </c>
      <c r="I54" s="11">
        <f>IF($F54="","",IF($G54="Einnahme",$F54,-$F54))</f>
        <v/>
      </c>
      <c r="J54" s="50" t="inlineStr">
        <is>
          <t>fb328f036c75df06</t>
        </is>
      </c>
    </row>
    <row r="55" ht="15" customHeight="1" s="52">
      <c r="A55" s="20" t="n">
        <v>46246</v>
      </c>
      <c r="B55" s="21">
        <f>IF($A55="","",YEAR($A55))</f>
        <v/>
      </c>
      <c r="C55" s="21">
        <f>IF($A55="","",MONTH($A55))</f>
        <v/>
      </c>
      <c r="D55" s="22" t="inlineStr">
        <is>
          <t>Sonstige Einnahmen</t>
        </is>
      </c>
      <c r="E55" s="22" t="inlineStr">
        <is>
          <t>AMAZON EU S.A R.L., NIEDERLASSUNG DEUTSCHLAND – D01-1915392-5131826 AMZNPrime DE 6MKZBXA67367QM4J</t>
        </is>
      </c>
      <c r="F55" s="23" t="n">
        <v>8.99</v>
      </c>
      <c r="G55" s="24">
        <f>IF($D55="","",IFERROR(INDEX(Einstellungen!$B$4:$B$40,MATCH($D55,Einstellungen!$A$4:$A$40,0)),"?"))</f>
        <v/>
      </c>
      <c r="H55" s="22" t="inlineStr">
        <is>
          <t>Girokonto</t>
        </is>
      </c>
      <c r="I55" s="25">
        <f>IF($F55="","",IF($G55="Einnahme",$F55,-$F55))</f>
        <v/>
      </c>
      <c r="J55" s="50" t="inlineStr">
        <is>
          <t>30b3c747b3335f37</t>
        </is>
      </c>
    </row>
    <row r="56" ht="15" customHeight="1" s="52">
      <c r="A56" s="26" t="n">
        <v>46246</v>
      </c>
      <c r="B56" s="17">
        <f>IF($A56="","",YEAR($A56))</f>
        <v/>
      </c>
      <c r="C56" s="17">
        <f>IF($A56="","",MONTH($A56))</f>
        <v/>
      </c>
      <c r="D56" s="27" t="inlineStr">
        <is>
          <t>Strom &amp; Internet</t>
        </is>
      </c>
      <c r="E56" s="27" t="inlineStr">
        <is>
          <t>Rechnung Rückgabe Lastschrift über 4,99 EUR Einreicher: PayPal Europe S.a.r.l. et C Verwendungszweck: 1052267752841/PP.8864.PP/. 20260812-RL002-00040012719</t>
        </is>
      </c>
      <c r="F56" s="28" t="n">
        <v>0.9</v>
      </c>
      <c r="G56" s="14">
        <f>IF($D56="","",IFERROR(INDEX(Einstellungen!$B$4:$B$40,MATCH($D56,Einstellungen!$A$4:$A$40,0)),"?"))</f>
        <v/>
      </c>
      <c r="H56" s="27" t="inlineStr">
        <is>
          <t>Girokonto</t>
        </is>
      </c>
      <c r="I56" s="11">
        <f>IF($F56="","",IF($G56="Einnahme",$F56,-$F56))</f>
        <v/>
      </c>
      <c r="J56" s="50" t="inlineStr">
        <is>
          <t>465b42a63411daaf</t>
        </is>
      </c>
    </row>
    <row r="57" ht="15" customHeight="1" s="52">
      <c r="A57" s="20" t="n">
        <v>46246</v>
      </c>
      <c r="B57" s="21">
        <f>IF($A57="","",YEAR($A57))</f>
        <v/>
      </c>
      <c r="C57" s="21">
        <f>IF($A57="","",MONTH($A57))</f>
        <v/>
      </c>
      <c r="D57" s="22" t="inlineStr">
        <is>
          <t>Sonstige Einnahmen</t>
        </is>
      </c>
      <c r="E57" s="22" t="inlineStr">
        <is>
          <t>PayPal Europe S.a.r.l. et Cie S.C.A – 1052267752841/PP.8864.PP/. Apple Services, Ihr Einkauf bei Apple Services</t>
        </is>
      </c>
      <c r="F57" s="23" t="n">
        <v>4.99</v>
      </c>
      <c r="G57" s="24">
        <f>IF($D57="","",IFERROR(INDEX(Einstellungen!$B$4:$B$40,MATCH($D57,Einstellungen!$A$4:$A$40,0)),"?"))</f>
        <v/>
      </c>
      <c r="H57" s="22" t="inlineStr">
        <is>
          <t>Girokonto</t>
        </is>
      </c>
      <c r="I57" s="25">
        <f>IF($F57="","",IF($G57="Einnahme",$F57,-$F57))</f>
        <v/>
      </c>
      <c r="J57" s="50" t="inlineStr">
        <is>
          <t>b4cd32242c168c31</t>
        </is>
      </c>
    </row>
    <row r="58" ht="15" customHeight="1" s="52">
      <c r="A58" s="26" t="n">
        <v>46247</v>
      </c>
      <c r="B58" s="17">
        <f>IF($A58="","",YEAR($A58))</f>
        <v/>
      </c>
      <c r="C58" s="17">
        <f>IF($A58="","",MONTH($A58))</f>
        <v/>
      </c>
      <c r="D58" s="27" t="inlineStr">
        <is>
          <t>Sonstiges</t>
        </is>
      </c>
      <c r="E58" s="27" t="inlineStr">
        <is>
          <t>Sparkasse Neuss – KREDITKARTENABRECHNUNG 12.0 8.26 523253XXXXXX6059</t>
        </is>
      </c>
      <c r="F58" s="28" t="n">
        <v>130.37</v>
      </c>
      <c r="G58" s="14">
        <f>IF($D58="","",IFERROR(INDEX(Einstellungen!$B$4:$B$40,MATCH($D58,Einstellungen!$A$4:$A$40,0)),"?"))</f>
        <v/>
      </c>
      <c r="H58" s="27" t="inlineStr">
        <is>
          <t>Girokonto</t>
        </is>
      </c>
      <c r="I58" s="11">
        <f>IF($F58="","",IF($G58="Einnahme",$F58,-$F58))</f>
        <v/>
      </c>
      <c r="J58" s="50" t="inlineStr">
        <is>
          <t>3c8acf1a6bd73d16</t>
        </is>
      </c>
    </row>
    <row r="59" ht="15" customHeight="1" s="52">
      <c r="A59" s="20" t="n">
        <v>46247</v>
      </c>
      <c r="B59" s="21">
        <f>IF($A59="","",YEAR($A59))</f>
        <v/>
      </c>
      <c r="C59" s="21">
        <f>IF($A59="","",MONTH($A59))</f>
        <v/>
      </c>
      <c r="D59" s="22" t="inlineStr">
        <is>
          <t>Strom &amp; Internet</t>
        </is>
      </c>
      <c r="E59" s="22" t="inlineStr">
        <is>
          <t>Rechnung Rückgabe Lastschrift über 17,85 EUR Einreicher: PayPal (Europe) S.a r.l. et Verwendungszweck: 1052283824358 PP.8864.PP . 20260813-RL002-00040014448</t>
        </is>
      </c>
      <c r="F59" s="23" t="n">
        <v>0.9</v>
      </c>
      <c r="G59" s="24">
        <f>IF($D59="","",IFERROR(INDEX(Einstellungen!$B$4:$B$40,MATCH($D59,Einstellungen!$A$4:$A$40,0)),"?"))</f>
        <v/>
      </c>
      <c r="H59" s="22" t="inlineStr">
        <is>
          <t>Girokonto</t>
        </is>
      </c>
      <c r="I59" s="25">
        <f>IF($F59="","",IF($G59="Einnahme",$F59,-$F59))</f>
        <v/>
      </c>
      <c r="J59" s="50" t="inlineStr">
        <is>
          <t>fc60b5e514bd406a</t>
        </is>
      </c>
    </row>
    <row r="60" ht="15" customHeight="1" s="52">
      <c r="A60" s="26" t="n">
        <v>46247</v>
      </c>
      <c r="B60" s="17">
        <f>IF($A60="","",YEAR($A60))</f>
        <v/>
      </c>
      <c r="C60" s="17">
        <f>IF($A60="","",MONTH($A60))</f>
        <v/>
      </c>
      <c r="D60" s="27" t="inlineStr">
        <is>
          <t>Sonstige Einnahmen</t>
        </is>
      </c>
      <c r="E60" s="27" t="inlineStr">
        <is>
          <t>PayPal (Europe) S.a r.l. et Cie, S.C.A. – 1052283824358 PP.8864.PP . PayPal (Europe) S.a r.l. et Cie, SCA, Ihr Einkauf bei PayPal (Europe) S.a r.l. et Cie, SCA</t>
        </is>
      </c>
      <c r="F60" s="28" t="n">
        <v>17.85</v>
      </c>
      <c r="G60" s="14">
        <f>IF($D60="","",IFERROR(INDEX(Einstellungen!$B$4:$B$40,MATCH($D60,Einstellungen!$A$4:$A$40,0)),"?"))</f>
        <v/>
      </c>
      <c r="H60" s="27" t="inlineStr">
        <is>
          <t>Girokonto</t>
        </is>
      </c>
      <c r="I60" s="11">
        <f>IF($F60="","",IF($G60="Einnahme",$F60,-$F60))</f>
        <v/>
      </c>
      <c r="J60" s="50" t="inlineStr">
        <is>
          <t>7dc611a703dd16b7</t>
        </is>
      </c>
    </row>
    <row r="61" ht="15" customHeight="1" s="52">
      <c r="A61" s="20" t="n">
        <v>46247</v>
      </c>
      <c r="B61" s="21">
        <f>IF($A61="","",YEAR($A61))</f>
        <v/>
      </c>
      <c r="C61" s="21">
        <f>IF($A61="","",MONTH($A61))</f>
        <v/>
      </c>
      <c r="D61" s="22" t="inlineStr">
        <is>
          <t>Strom &amp; Internet</t>
        </is>
      </c>
      <c r="E61" s="22" t="inlineStr">
        <is>
          <t>Rechnung Rückgabe Lastschrift über 6,59 EUR Einreicher: AMAZON PAYMENTS EUROPE S.C. Verwendungszweck: 302-2016145-8763544 AMZN Mk 20260813-RL002-00040014447</t>
        </is>
      </c>
      <c r="F61" s="23" t="n">
        <v>0.9</v>
      </c>
      <c r="G61" s="24">
        <f>IF($D61="","",IFERROR(INDEX(Einstellungen!$B$4:$B$40,MATCH($D61,Einstellungen!$A$4:$A$40,0)),"?"))</f>
        <v/>
      </c>
      <c r="H61" s="22" t="inlineStr">
        <is>
          <t>Girokonto</t>
        </is>
      </c>
      <c r="I61" s="25">
        <f>IF($F61="","",IF($G61="Einnahme",$F61,-$F61))</f>
        <v/>
      </c>
      <c r="J61" s="50" t="inlineStr">
        <is>
          <t>c491fae1e4b670de</t>
        </is>
      </c>
    </row>
    <row r="62" ht="15" customHeight="1" s="52">
      <c r="A62" s="26" t="n">
        <v>46247</v>
      </c>
      <c r="B62" s="17">
        <f>IF($A62="","",YEAR($A62))</f>
        <v/>
      </c>
      <c r="C62" s="17">
        <f>IF($A62="","",MONTH($A62))</f>
        <v/>
      </c>
      <c r="D62" s="27" t="inlineStr">
        <is>
          <t>Sonstige Einnahmen</t>
        </is>
      </c>
      <c r="E62" s="27" t="inlineStr">
        <is>
          <t>AMAZON PAYMENTS EUROPE S.C.A. – 302-2016145-8763544 AMZN Mktp DE 5WE2S4D6XM5MCMWK</t>
        </is>
      </c>
      <c r="F62" s="28" t="n">
        <v>6.59</v>
      </c>
      <c r="G62" s="14">
        <f>IF($D62="","",IFERROR(INDEX(Einstellungen!$B$4:$B$40,MATCH($D62,Einstellungen!$A$4:$A$40,0)),"?"))</f>
        <v/>
      </c>
      <c r="H62" s="27" t="inlineStr">
        <is>
          <t>Girokonto</t>
        </is>
      </c>
      <c r="I62" s="11">
        <f>IF($F62="","",IF($G62="Einnahme",$F62,-$F62))</f>
        <v/>
      </c>
      <c r="J62" s="50" t="inlineStr">
        <is>
          <t>7fa5b1426291d2c5</t>
        </is>
      </c>
    </row>
    <row r="63" ht="15" customHeight="1" s="52">
      <c r="A63" s="20" t="n">
        <v>46251</v>
      </c>
      <c r="B63" s="21">
        <f>IF($A63="","",YEAR($A63))</f>
        <v/>
      </c>
      <c r="C63" s="21">
        <f>IF($A63="","",MONTH($A63))</f>
        <v/>
      </c>
      <c r="D63" s="22" t="inlineStr">
        <is>
          <t>Sonstiges</t>
        </is>
      </c>
      <c r="E63" s="22" t="inlineStr">
        <is>
          <t>PayPal Europe S.a.r.l. et Cie S.C.A – 1052357527878/ADD TO BALANCE</t>
        </is>
      </c>
      <c r="F63" s="23" t="n">
        <v>3.49</v>
      </c>
      <c r="G63" s="24">
        <f>IF($D63="","",IFERROR(INDEX(Einstellungen!$B$4:$B$40,MATCH($D63,Einstellungen!$A$4:$A$40,0)),"?"))</f>
        <v/>
      </c>
      <c r="H63" s="22" t="inlineStr">
        <is>
          <t>Girokonto</t>
        </is>
      </c>
      <c r="I63" s="25">
        <f>IF($F63="","",IF($G63="Einnahme",$F63,-$F63))</f>
        <v/>
      </c>
      <c r="J63" s="50" t="inlineStr">
        <is>
          <t>5e6b96e9491c8a94</t>
        </is>
      </c>
    </row>
    <row r="64" ht="15" customHeight="1" s="52">
      <c r="A64" s="26" t="n">
        <v>46252</v>
      </c>
      <c r="B64" s="17">
        <f>IF($A64="","",YEAR($A64))</f>
        <v/>
      </c>
      <c r="C64" s="17">
        <f>IF($A64="","",MONTH($A64))</f>
        <v/>
      </c>
      <c r="D64" s="27" t="inlineStr">
        <is>
          <t>Sonstige Einnahmen</t>
        </is>
      </c>
      <c r="E64" s="27" t="inlineStr">
        <is>
          <t>Marvin Liskatin – Ausgleich</t>
        </is>
      </c>
      <c r="F64" s="28" t="n">
        <v>300</v>
      </c>
      <c r="G64" s="14">
        <f>IF($D64="","",IFERROR(INDEX(Einstellungen!$B$4:$B$40,MATCH($D64,Einstellungen!$A$4:$A$40,0)),"?"))</f>
        <v/>
      </c>
      <c r="H64" s="27" t="inlineStr">
        <is>
          <t>Girokonto</t>
        </is>
      </c>
      <c r="I64" s="11">
        <f>IF($F64="","",IF($G64="Einnahme",$F64,-$F64))</f>
        <v/>
      </c>
      <c r="J64" s="50" t="inlineStr">
        <is>
          <t>9aff154f70e04ac6</t>
        </is>
      </c>
    </row>
    <row r="65" ht="15" customHeight="1" s="52">
      <c r="A65" s="20" t="n">
        <v>46252</v>
      </c>
      <c r="B65" s="21">
        <f>IF($A65="","",YEAR($A65))</f>
        <v/>
      </c>
      <c r="C65" s="21">
        <f>IF($A65="","",MONTH($A65))</f>
        <v/>
      </c>
      <c r="D65" s="22" t="inlineStr">
        <is>
          <t>Strom &amp; Internet</t>
        </is>
      </c>
      <c r="E65" s="22" t="inlineStr">
        <is>
          <t>Rechnung Rückgabe Lastschrift über 3,49 EUR Einreicher: PayPal Europe S.a.r.l. et C Verwendungszweck: 1052357527878/ADD TO BALANC 20260818-RL002-00040024450</t>
        </is>
      </c>
      <c r="F65" s="23" t="n">
        <v>0.9</v>
      </c>
      <c r="G65" s="24">
        <f>IF($D65="","",IFERROR(INDEX(Einstellungen!$B$4:$B$40,MATCH($D65,Einstellungen!$A$4:$A$40,0)),"?"))</f>
        <v/>
      </c>
      <c r="H65" s="22" t="inlineStr">
        <is>
          <t>Girokonto</t>
        </is>
      </c>
      <c r="I65" s="25">
        <f>IF($F65="","",IF($G65="Einnahme",$F65,-$F65))</f>
        <v/>
      </c>
      <c r="J65" s="50" t="inlineStr">
        <is>
          <t>60ad541b9b19e377</t>
        </is>
      </c>
    </row>
    <row r="66" ht="15" customHeight="1" s="52">
      <c r="A66" s="26" t="n">
        <v>46252</v>
      </c>
      <c r="B66" s="17">
        <f>IF($A66="","",YEAR($A66))</f>
        <v/>
      </c>
      <c r="C66" s="17">
        <f>IF($A66="","",MONTH($A66))</f>
        <v/>
      </c>
      <c r="D66" s="27" t="inlineStr">
        <is>
          <t>Sonstige Einnahmen</t>
        </is>
      </c>
      <c r="E66" s="27" t="inlineStr">
        <is>
          <t>PayPal Europe S.a.r.l. et Cie S.C.A – 1052357527878/ADD TO BALANCE</t>
        </is>
      </c>
      <c r="F66" s="28" t="n">
        <v>3.49</v>
      </c>
      <c r="G66" s="14">
        <f>IF($D66="","",IFERROR(INDEX(Einstellungen!$B$4:$B$40,MATCH($D66,Einstellungen!$A$4:$A$40,0)),"?"))</f>
        <v/>
      </c>
      <c r="H66" s="27" t="inlineStr">
        <is>
          <t>Girokonto</t>
        </is>
      </c>
      <c r="I66" s="11">
        <f>IF($F66="","",IF($G66="Einnahme",$F66,-$F66))</f>
        <v/>
      </c>
      <c r="J66" s="50" t="inlineStr">
        <is>
          <t>f33119b08490f7ab</t>
        </is>
      </c>
    </row>
    <row r="67" ht="15" customHeight="1" s="52">
      <c r="A67" s="20" t="n">
        <v>46204</v>
      </c>
      <c r="B67" s="21">
        <f>IF($A67="","",YEAR($A67))</f>
        <v/>
      </c>
      <c r="C67" s="21">
        <f>IF($A67="","",MONTH($A67))</f>
        <v/>
      </c>
      <c r="D67" s="22" t="inlineStr">
        <is>
          <t>Sonstiges</t>
        </is>
      </c>
      <c r="E67" s="22" t="inlineStr">
        <is>
          <t>Entgeltabrechnung siehe Anlage Abrechnung 30.06.2026 Information zur Abrechnung Entgelte vom 26.06.2026 bis 30.06.2026 1,82- Grundpreis (Kontoführung) 1,82- Abrechnung 30.06.2026 1,82- Es handelt sich</t>
        </is>
      </c>
      <c r="F67" s="23" t="n">
        <v>1.82</v>
      </c>
      <c r="G67" s="24">
        <f>IF($D67="","",IFERROR(INDEX(Einstellungen!$B$4:$B$40,MATCH($D67,Einstellungen!$A$4:$A$40,0)),"?"))</f>
        <v/>
      </c>
      <c r="H67" s="22" t="inlineStr">
        <is>
          <t>Gemeinschaftskonto</t>
        </is>
      </c>
      <c r="I67" s="25">
        <f>IF($F67="","",IF($G67="Einnahme",$F67,-$F67))</f>
        <v/>
      </c>
      <c r="J67" s="50" t="inlineStr">
        <is>
          <t>d799ec7cfb37eefa</t>
        </is>
      </c>
    </row>
    <row r="68" ht="15" customHeight="1" s="52">
      <c r="A68" s="26" t="n">
        <v>46232</v>
      </c>
      <c r="B68" s="17">
        <f>IF($A68="","",YEAR($A68))</f>
        <v/>
      </c>
      <c r="C68" s="17">
        <f>IF($A68="","",MONTH($A68))</f>
        <v/>
      </c>
      <c r="D68" s="27" t="inlineStr">
        <is>
          <t>Versicherungen</t>
        </is>
      </c>
      <c r="E68" s="27" t="inlineStr">
        <is>
          <t>Sarah-Luise Maxara – Konto 146387089 Ausgleich des Kontosaldos wegen Kontoauflösung</t>
        </is>
      </c>
      <c r="F68" s="28" t="n">
        <v>2.46</v>
      </c>
      <c r="G68" s="14">
        <f>IF($D68="","",IFERROR(INDEX(Einstellungen!$B$4:$B$40,MATCH($D68,Einstellungen!$A$4:$A$40,0)),"?"))</f>
        <v/>
      </c>
      <c r="H68" s="27" t="inlineStr">
        <is>
          <t>Gemeinschaftskonto</t>
        </is>
      </c>
      <c r="I68" s="11">
        <f>IF($F68="","",IF($G68="Einnahme",$F68,-$F68))</f>
        <v/>
      </c>
      <c r="J68" s="50" t="inlineStr">
        <is>
          <t>cdbbebb453991df3</t>
        </is>
      </c>
    </row>
    <row r="69" ht="15" customHeight="1" s="52">
      <c r="A69" s="20" t="n">
        <v>46233</v>
      </c>
      <c r="B69" s="21">
        <f>IF($A69="","",YEAR($A69))</f>
        <v/>
      </c>
      <c r="C69" s="21">
        <f>IF($A69="","",MONTH($A69))</f>
        <v/>
      </c>
      <c r="D69" s="22" t="inlineStr">
        <is>
          <t>Sonstige Einnahmen</t>
        </is>
      </c>
      <c r="E69" s="22" t="inlineStr">
        <is>
          <t>SARAH MAXARA</t>
        </is>
      </c>
      <c r="F69" s="23" t="n">
        <v>300</v>
      </c>
      <c r="G69" s="24">
        <f>IF($D69="","",IFERROR(INDEX(Einstellungen!$B$4:$B$40,MATCH($D69,Einstellungen!$A$4:$A$40,0)),"?"))</f>
        <v/>
      </c>
      <c r="H69" s="22" t="inlineStr">
        <is>
          <t>Gemeinschaftskonto</t>
        </is>
      </c>
      <c r="I69" s="25">
        <f>IF($F69="","",IF($G69="Einnahme",$F69,-$F69))</f>
        <v/>
      </c>
      <c r="J69" s="50" t="inlineStr">
        <is>
          <t>f51604d58bf6846a</t>
        </is>
      </c>
    </row>
    <row r="70" ht="15" customHeight="1" s="52">
      <c r="A70" s="26" t="n">
        <v>46234</v>
      </c>
      <c r="B70" s="17">
        <f>IF($A70="","",YEAR($A70))</f>
        <v/>
      </c>
      <c r="C70" s="17">
        <f>IF($A70="","",MONTH($A70))</f>
        <v/>
      </c>
      <c r="D70" s="27" t="inlineStr">
        <is>
          <t>Sonstige Einnahmen</t>
        </is>
      </c>
      <c r="E70" s="27" t="inlineStr">
        <is>
          <t>Marvin Liskatin – Miete etc. für Juli</t>
        </is>
      </c>
      <c r="F70" s="28" t="n">
        <v>1500</v>
      </c>
      <c r="G70" s="14">
        <f>IF($D70="","",IFERROR(INDEX(Einstellungen!$B$4:$B$40,MATCH($D70,Einstellungen!$A$4:$A$40,0)),"?"))</f>
        <v/>
      </c>
      <c r="H70" s="27" t="inlineStr">
        <is>
          <t>Gemeinschaftskonto</t>
        </is>
      </c>
      <c r="I70" s="11">
        <f>IF($F70="","",IF($G70="Einnahme",$F70,-$F70))</f>
        <v/>
      </c>
      <c r="J70" s="50" t="inlineStr">
        <is>
          <t>b373be6e765af8ca</t>
        </is>
      </c>
    </row>
    <row r="71" ht="15" customHeight="1" s="52">
      <c r="A71" s="20" t="n">
        <v>46237</v>
      </c>
      <c r="B71" s="21">
        <f>IF($A71="","",YEAR($A71))</f>
        <v/>
      </c>
      <c r="C71" s="21">
        <f>IF($A71="","",MONTH($A71))</f>
        <v/>
      </c>
      <c r="D71" s="22" t="inlineStr">
        <is>
          <t>Versicherungen</t>
        </is>
      </c>
      <c r="E71" s="22" t="inlineStr">
        <is>
          <t>A. N. M. Wohnkonzept GmbH – Liskatin/Maxara, Stellplatz, Dorfstraße9</t>
        </is>
      </c>
      <c r="F71" s="23" t="n">
        <v>60</v>
      </c>
      <c r="G71" s="24">
        <f>IF($D71="","",IFERROR(INDEX(Einstellungen!$B$4:$B$40,MATCH($D71,Einstellungen!$A$4:$A$40,0)),"?"))</f>
        <v/>
      </c>
      <c r="H71" s="22" t="inlineStr">
        <is>
          <t>Gemeinschaftskonto</t>
        </is>
      </c>
      <c r="I71" s="25">
        <f>IF($F71="","",IF($G71="Einnahme",$F71,-$F71))</f>
        <v/>
      </c>
      <c r="J71" s="50" t="inlineStr">
        <is>
          <t>c1af0510f416d315</t>
        </is>
      </c>
    </row>
    <row r="72" ht="15" customHeight="1" s="52">
      <c r="A72" s="26" t="n">
        <v>46237</v>
      </c>
      <c r="B72" s="17">
        <f>IF($A72="","",YEAR($A72))</f>
        <v/>
      </c>
      <c r="C72" s="17">
        <f>IF($A72="","",MONTH($A72))</f>
        <v/>
      </c>
      <c r="D72" s="27" t="inlineStr">
        <is>
          <t>Miete &amp; Nebenkosten</t>
        </is>
      </c>
      <c r="E72" s="27" t="inlineStr">
        <is>
          <t>A. N. M. Wohnkonzept GmbH – Miete Dorfstr. 9, Liskatin/Maxara</t>
        </is>
      </c>
      <c r="F72" s="28" t="n">
        <v>1540</v>
      </c>
      <c r="G72" s="14">
        <f>IF($D72="","",IFERROR(INDEX(Einstellungen!$B$4:$B$40,MATCH($D72,Einstellungen!$A$4:$A$40,0)),"?"))</f>
        <v/>
      </c>
      <c r="H72" s="27" t="inlineStr">
        <is>
          <t>Gemeinschaftskonto</t>
        </is>
      </c>
      <c r="I72" s="11">
        <f>IF($F72="","",IF($G72="Einnahme",$F72,-$F72))</f>
        <v/>
      </c>
      <c r="J72" s="50" t="inlineStr">
        <is>
          <t>b84fb7fb7a85d2c0</t>
        </is>
      </c>
    </row>
    <row r="73" ht="15" customHeight="1" s="52">
      <c r="A73" s="20" t="n">
        <v>46237</v>
      </c>
      <c r="B73" s="21">
        <f>IF($A73="","",YEAR($A73))</f>
        <v/>
      </c>
      <c r="C73" s="21">
        <f>IF($A73="","",MONTH($A73))</f>
        <v/>
      </c>
      <c r="D73" s="22" t="inlineStr">
        <is>
          <t>Sonstiges</t>
        </is>
      </c>
      <c r="E73" s="22" t="inlineStr">
        <is>
          <t>Entgeltabrechnung siehe Anlage Abrechnung 31.07.2026 Information zur Abrechnung Entgelte vom 01.07.2026 bis 31.07.2026 10,90- Grundpreis (Kontoführung) 10,90- abzüglich 45% Nachlass auf 10,90- 4,91+ 4</t>
        </is>
      </c>
      <c r="F73" s="23" t="n">
        <v>5.99</v>
      </c>
      <c r="G73" s="24">
        <f>IF($D73="","",IFERROR(INDEX(Einstellungen!$B$4:$B$40,MATCH($D73,Einstellungen!$A$4:$A$40,0)),"?"))</f>
        <v/>
      </c>
      <c r="H73" s="22" t="inlineStr">
        <is>
          <t>Gemeinschaftskonto</t>
        </is>
      </c>
      <c r="I73" s="25">
        <f>IF($F73="","",IF($G73="Einnahme",$F73,-$F73))</f>
        <v/>
      </c>
      <c r="J73" s="50" t="inlineStr">
        <is>
          <t>23b029468b950808</t>
        </is>
      </c>
    </row>
    <row r="74" ht="15" customHeight="1" s="52">
      <c r="A74" s="26" t="n">
        <v>46241</v>
      </c>
      <c r="B74" s="17">
        <f>IF($A74="","",YEAR($A74))</f>
        <v/>
      </c>
      <c r="C74" s="17">
        <f>IF($A74="","",MONTH($A74))</f>
        <v/>
      </c>
      <c r="D74" s="27" t="inlineStr">
        <is>
          <t>Strom &amp; Internet</t>
        </is>
      </c>
      <c r="E74" s="27" t="inlineStr">
        <is>
          <t>Telekom Deutschland GmbH – Festnetz Vertragskonto 5632637220 RG 7320359872/22.07.2026</t>
        </is>
      </c>
      <c r="F74" s="28" t="n">
        <v>71.89</v>
      </c>
      <c r="G74" s="14">
        <f>IF($D74="","",IFERROR(INDEX(Einstellungen!$B$4:$B$40,MATCH($D74,Einstellungen!$A$4:$A$40,0)),"?"))</f>
        <v/>
      </c>
      <c r="H74" s="27" t="inlineStr">
        <is>
          <t>Gemeinschaftskonto</t>
        </is>
      </c>
      <c r="I74" s="11">
        <f>IF($F74="","",IF($G74="Einnahme",$F74,-$F74))</f>
        <v/>
      </c>
      <c r="J74" s="50" t="inlineStr">
        <is>
          <t>0b78d3bef37be248</t>
        </is>
      </c>
    </row>
    <row r="75" ht="15" customHeight="1" s="52">
      <c r="A75" s="20" t="n">
        <v>46245</v>
      </c>
      <c r="B75" s="21">
        <f>IF($A75="","",YEAR($A75))</f>
        <v/>
      </c>
      <c r="C75" s="21">
        <f>IF($A75="","",MONTH($A75))</f>
        <v/>
      </c>
      <c r="D75" s="22" t="inlineStr">
        <is>
          <t>Strom &amp; Internet</t>
        </is>
      </c>
      <c r="E75" s="22" t="inlineStr">
        <is>
          <t>Vodafone GmbH – 0000112973944 0021140675657 Vodafone Rechnung KdNr. 112973944 Vodafone sagt Danke</t>
        </is>
      </c>
      <c r="F75" s="23" t="n">
        <v>42.48</v>
      </c>
      <c r="G75" s="24">
        <f>IF($D75="","",IFERROR(INDEX(Einstellungen!$B$4:$B$40,MATCH($D75,Einstellungen!$A$4:$A$40,0)),"?"))</f>
        <v/>
      </c>
      <c r="H75" s="22" t="inlineStr">
        <is>
          <t>Gemeinschaftskonto</t>
        </is>
      </c>
      <c r="I75" s="25">
        <f>IF($F75="","",IF($G75="Einnahme",$F75,-$F75))</f>
        <v/>
      </c>
      <c r="J75" s="50" t="inlineStr">
        <is>
          <t>a458f9c3d07a25ef</t>
        </is>
      </c>
    </row>
    <row r="76" ht="15" customHeight="1" s="52">
      <c r="A76" s="26" t="n">
        <v>46246</v>
      </c>
      <c r="B76" s="17">
        <f>IF($A76="","",YEAR($A76))</f>
        <v/>
      </c>
      <c r="C76" s="17">
        <f>IF($A76="","",MONTH($A76))</f>
        <v/>
      </c>
      <c r="D76" s="27" t="inlineStr">
        <is>
          <t>Strom &amp; Internet</t>
        </is>
      </c>
      <c r="E76" s="27" t="inlineStr">
        <is>
          <t>VATTENFALL EUROPE SALES – S/836696401098/601314070494 Dorfstr. 9 Strom Abschlag</t>
        </is>
      </c>
      <c r="F76" s="28" t="n">
        <v>113</v>
      </c>
      <c r="G76" s="14">
        <f>IF($D76="","",IFERROR(INDEX(Einstellungen!$B$4:$B$40,MATCH($D76,Einstellungen!$A$4:$A$40,0)),"?"))</f>
        <v/>
      </c>
      <c r="H76" s="27" t="inlineStr">
        <is>
          <t>Gemeinschaftskonto</t>
        </is>
      </c>
      <c r="I76" s="11">
        <f>IF($F76="","",IF($G76="Einnahme",$F76,-$F76))</f>
        <v/>
      </c>
      <c r="J76" s="50" t="inlineStr">
        <is>
          <t>0cf798f7be933732</t>
        </is>
      </c>
    </row>
    <row r="77" ht="15" customHeight="1" s="52">
      <c r="A77" s="20" t="n">
        <v>46247</v>
      </c>
      <c r="B77" s="21">
        <f>IF($A77="","",YEAR($A77))</f>
        <v/>
      </c>
      <c r="C77" s="21">
        <f>IF($A77="","",MONTH($A77))</f>
        <v/>
      </c>
      <c r="D77" s="22" t="inlineStr">
        <is>
          <t>Sonstige Einnahmen</t>
        </is>
      </c>
      <c r="E77" s="22" t="inlineStr">
        <is>
          <t>Marvin Liskatin</t>
        </is>
      </c>
      <c r="F77" s="23" t="n">
        <v>100</v>
      </c>
      <c r="G77" s="24">
        <f>IF($D77="","",IFERROR(INDEX(Einstellungen!$B$4:$B$40,MATCH($D77,Einstellungen!$A$4:$A$40,0)),"?"))</f>
        <v/>
      </c>
      <c r="H77" s="22" t="inlineStr">
        <is>
          <t>Gemeinschaftskonto</t>
        </is>
      </c>
      <c r="I77" s="25">
        <f>IF($F77="","",IF($G77="Einnahme",$F77,-$F77))</f>
        <v/>
      </c>
      <c r="J77" s="50" t="inlineStr">
        <is>
          <t>858296a1a85b8bf1</t>
        </is>
      </c>
    </row>
    <row r="78" ht="15" customHeight="1" s="52">
      <c r="A78" s="26" t="n"/>
      <c r="B78" s="17">
        <f>IF($A78="","",YEAR($A78))</f>
        <v/>
      </c>
      <c r="C78" s="17">
        <f>IF($A78="","",MONTH($A78))</f>
        <v/>
      </c>
      <c r="D78" s="27" t="n"/>
      <c r="E78" s="27" t="n"/>
      <c r="F78" s="28" t="n"/>
      <c r="G78" s="14">
        <f>IF($D78="","",IFERROR(INDEX(Einstellungen!$B$4:$B$40,MATCH($D78,Einstellungen!$A$4:$A$40,0)),"?"))</f>
        <v/>
      </c>
      <c r="H78" s="27" t="n"/>
      <c r="I78" s="11">
        <f>IF($F78="","",IF($G78="Einnahme",$F78,-$F78))</f>
        <v/>
      </c>
    </row>
    <row r="79" ht="15" customHeight="1" s="52">
      <c r="A79" s="20" t="n"/>
      <c r="B79" s="21">
        <f>IF($A79="","",YEAR($A79))</f>
        <v/>
      </c>
      <c r="C79" s="21">
        <f>IF($A79="","",MONTH($A79))</f>
        <v/>
      </c>
      <c r="D79" s="22" t="n"/>
      <c r="E79" s="22" t="n"/>
      <c r="F79" s="23" t="n"/>
      <c r="G79" s="24">
        <f>IF($D79="","",IFERROR(INDEX(Einstellungen!$B$4:$B$40,MATCH($D79,Einstellungen!$A$4:$A$40,0)),"?"))</f>
        <v/>
      </c>
      <c r="H79" s="22" t="n"/>
      <c r="I79" s="25">
        <f>IF($F79="","",IF($G79="Einnahme",$F79,-$F79))</f>
        <v/>
      </c>
    </row>
    <row r="80" ht="15" customHeight="1" s="52">
      <c r="A80" s="26" t="n"/>
      <c r="B80" s="17">
        <f>IF($A80="","",YEAR($A80))</f>
        <v/>
      </c>
      <c r="C80" s="17">
        <f>IF($A80="","",MONTH($A80))</f>
        <v/>
      </c>
      <c r="D80" s="27" t="n"/>
      <c r="E80" s="27" t="n"/>
      <c r="F80" s="28" t="n"/>
      <c r="G80" s="14">
        <f>IF($D80="","",IFERROR(INDEX(Einstellungen!$B$4:$B$40,MATCH($D80,Einstellungen!$A$4:$A$40,0)),"?"))</f>
        <v/>
      </c>
      <c r="H80" s="27" t="n"/>
      <c r="I80" s="11">
        <f>IF($F80="","",IF($G80="Einnahme",$F80,-$F80))</f>
        <v/>
      </c>
    </row>
    <row r="81" ht="15" customHeight="1" s="52">
      <c r="A81" s="20" t="n"/>
      <c r="B81" s="21">
        <f>IF($A81="","",YEAR($A81))</f>
        <v/>
      </c>
      <c r="C81" s="21">
        <f>IF($A81="","",MONTH($A81))</f>
        <v/>
      </c>
      <c r="D81" s="22" t="n"/>
      <c r="E81" s="22" t="n"/>
      <c r="F81" s="23" t="n"/>
      <c r="G81" s="24">
        <f>IF($D81="","",IFERROR(INDEX(Einstellungen!$B$4:$B$40,MATCH($D81,Einstellungen!$A$4:$A$40,0)),"?"))</f>
        <v/>
      </c>
      <c r="H81" s="22" t="n"/>
      <c r="I81" s="25">
        <f>IF($F81="","",IF($G81="Einnahme",$F81,-$F81))</f>
        <v/>
      </c>
    </row>
    <row r="82" ht="15" customHeight="1" s="52">
      <c r="A82" s="26" t="n"/>
      <c r="B82" s="17">
        <f>IF($A82="","",YEAR($A82))</f>
        <v/>
      </c>
      <c r="C82" s="17">
        <f>IF($A82="","",MONTH($A82))</f>
        <v/>
      </c>
      <c r="D82" s="27" t="n"/>
      <c r="E82" s="27" t="n"/>
      <c r="F82" s="28" t="n"/>
      <c r="G82" s="14">
        <f>IF($D82="","",IFERROR(INDEX(Einstellungen!$B$4:$B$40,MATCH($D82,Einstellungen!$A$4:$A$40,0)),"?"))</f>
        <v/>
      </c>
      <c r="H82" s="27" t="n"/>
      <c r="I82" s="11">
        <f>IF($F82="","",IF($G82="Einnahme",$F82,-$F82))</f>
        <v/>
      </c>
    </row>
    <row r="83" ht="15" customHeight="1" s="52">
      <c r="A83" s="20" t="n"/>
      <c r="B83" s="21">
        <f>IF($A83="","",YEAR($A83))</f>
        <v/>
      </c>
      <c r="C83" s="21">
        <f>IF($A83="","",MONTH($A83))</f>
        <v/>
      </c>
      <c r="D83" s="22" t="n"/>
      <c r="E83" s="22" t="n"/>
      <c r="F83" s="23" t="n"/>
      <c r="G83" s="24">
        <f>IF($D83="","",IFERROR(INDEX(Einstellungen!$B$4:$B$40,MATCH($D83,Einstellungen!$A$4:$A$40,0)),"?"))</f>
        <v/>
      </c>
      <c r="H83" s="22" t="n"/>
      <c r="I83" s="25">
        <f>IF($F83="","",IF($G83="Einnahme",$F83,-$F83))</f>
        <v/>
      </c>
    </row>
    <row r="84" ht="15" customHeight="1" s="52">
      <c r="A84" s="26" t="n"/>
      <c r="B84" s="17">
        <f>IF($A84="","",YEAR($A84))</f>
        <v/>
      </c>
      <c r="C84" s="17">
        <f>IF($A84="","",MONTH($A84))</f>
        <v/>
      </c>
      <c r="D84" s="27" t="n"/>
      <c r="E84" s="27" t="n"/>
      <c r="F84" s="28" t="n"/>
      <c r="G84" s="14">
        <f>IF($D84="","",IFERROR(INDEX(Einstellungen!$B$4:$B$40,MATCH($D84,Einstellungen!$A$4:$A$40,0)),"?"))</f>
        <v/>
      </c>
      <c r="H84" s="27" t="n"/>
      <c r="I84" s="11">
        <f>IF($F84="","",IF($G84="Einnahme",$F84,-$F84))</f>
        <v/>
      </c>
    </row>
    <row r="85" ht="15" customHeight="1" s="52">
      <c r="A85" s="20" t="n"/>
      <c r="B85" s="21">
        <f>IF($A85="","",YEAR($A85))</f>
        <v/>
      </c>
      <c r="C85" s="21">
        <f>IF($A85="","",MONTH($A85))</f>
        <v/>
      </c>
      <c r="D85" s="22" t="n"/>
      <c r="E85" s="22" t="n"/>
      <c r="F85" s="23" t="n"/>
      <c r="G85" s="24">
        <f>IF($D85="","",IFERROR(INDEX(Einstellungen!$B$4:$B$40,MATCH($D85,Einstellungen!$A$4:$A$40,0)),"?"))</f>
        <v/>
      </c>
      <c r="H85" s="22" t="n"/>
      <c r="I85" s="25">
        <f>IF($F85="","",IF($G85="Einnahme",$F85,-$F85))</f>
        <v/>
      </c>
    </row>
    <row r="86" ht="15" customHeight="1" s="52">
      <c r="A86" s="26" t="n"/>
      <c r="B86" s="17">
        <f>IF($A86="","",YEAR($A86))</f>
        <v/>
      </c>
      <c r="C86" s="17">
        <f>IF($A86="","",MONTH($A86))</f>
        <v/>
      </c>
      <c r="D86" s="27" t="n"/>
      <c r="E86" s="27" t="n"/>
      <c r="F86" s="28" t="n"/>
      <c r="G86" s="14">
        <f>IF($D86="","",IFERROR(INDEX(Einstellungen!$B$4:$B$40,MATCH($D86,Einstellungen!$A$4:$A$40,0)),"?"))</f>
        <v/>
      </c>
      <c r="H86" s="27" t="n"/>
      <c r="I86" s="11">
        <f>IF($F86="","",IF($G86="Einnahme",$F86,-$F86))</f>
        <v/>
      </c>
    </row>
    <row r="87" ht="15" customHeight="1" s="52">
      <c r="A87" s="20" t="n"/>
      <c r="B87" s="21">
        <f>IF($A87="","",YEAR($A87))</f>
        <v/>
      </c>
      <c r="C87" s="21">
        <f>IF($A87="","",MONTH($A87))</f>
        <v/>
      </c>
      <c r="D87" s="22" t="n"/>
      <c r="E87" s="22" t="n"/>
      <c r="F87" s="23" t="n"/>
      <c r="G87" s="24">
        <f>IF($D87="","",IFERROR(INDEX(Einstellungen!$B$4:$B$40,MATCH($D87,Einstellungen!$A$4:$A$40,0)),"?"))</f>
        <v/>
      </c>
      <c r="H87" s="22" t="n"/>
      <c r="I87" s="25">
        <f>IF($F87="","",IF($G87="Einnahme",$F87,-$F87))</f>
        <v/>
      </c>
    </row>
    <row r="88" ht="15" customHeight="1" s="52">
      <c r="A88" s="26" t="n"/>
      <c r="B88" s="17">
        <f>IF($A88="","",YEAR($A88))</f>
        <v/>
      </c>
      <c r="C88" s="17">
        <f>IF($A88="","",MONTH($A88))</f>
        <v/>
      </c>
      <c r="D88" s="27" t="n"/>
      <c r="E88" s="27" t="n"/>
      <c r="F88" s="28" t="n"/>
      <c r="G88" s="14">
        <f>IF($D88="","",IFERROR(INDEX(Einstellungen!$B$4:$B$40,MATCH($D88,Einstellungen!$A$4:$A$40,0)),"?"))</f>
        <v/>
      </c>
      <c r="H88" s="27" t="n"/>
      <c r="I88" s="11">
        <f>IF($F88="","",IF($G88="Einnahme",$F88,-$F88))</f>
        <v/>
      </c>
    </row>
    <row r="89" ht="15" customHeight="1" s="52">
      <c r="A89" s="20" t="n"/>
      <c r="B89" s="21">
        <f>IF($A89="","",YEAR($A89))</f>
        <v/>
      </c>
      <c r="C89" s="21">
        <f>IF($A89="","",MONTH($A89))</f>
        <v/>
      </c>
      <c r="D89" s="22" t="n"/>
      <c r="E89" s="22" t="n"/>
      <c r="F89" s="23" t="n"/>
      <c r="G89" s="24">
        <f>IF($D89="","",IFERROR(INDEX(Einstellungen!$B$4:$B$40,MATCH($D89,Einstellungen!$A$4:$A$40,0)),"?"))</f>
        <v/>
      </c>
      <c r="H89" s="22" t="n"/>
      <c r="I89" s="25">
        <f>IF($F89="","",IF($G89="Einnahme",$F89,-$F89))</f>
        <v/>
      </c>
    </row>
    <row r="90" ht="15" customHeight="1" s="52">
      <c r="A90" s="26" t="n"/>
      <c r="B90" s="17">
        <f>IF($A90="","",YEAR($A90))</f>
        <v/>
      </c>
      <c r="C90" s="17">
        <f>IF($A90="","",MONTH($A90))</f>
        <v/>
      </c>
      <c r="D90" s="27" t="n"/>
      <c r="E90" s="27" t="n"/>
      <c r="F90" s="28" t="n"/>
      <c r="G90" s="14">
        <f>IF($D90="","",IFERROR(INDEX(Einstellungen!$B$4:$B$40,MATCH($D90,Einstellungen!$A$4:$A$40,0)),"?"))</f>
        <v/>
      </c>
      <c r="H90" s="27" t="n"/>
      <c r="I90" s="11">
        <f>IF($F90="","",IF($G90="Einnahme",$F90,-$F90))</f>
        <v/>
      </c>
    </row>
    <row r="91" ht="15" customHeight="1" s="52">
      <c r="A91" s="20" t="n"/>
      <c r="B91" s="21">
        <f>IF($A91="","",YEAR($A91))</f>
        <v/>
      </c>
      <c r="C91" s="21">
        <f>IF($A91="","",MONTH($A91))</f>
        <v/>
      </c>
      <c r="D91" s="22" t="n"/>
      <c r="E91" s="22" t="n"/>
      <c r="F91" s="23" t="n"/>
      <c r="G91" s="24">
        <f>IF($D91="","",IFERROR(INDEX(Einstellungen!$B$4:$B$40,MATCH($D91,Einstellungen!$A$4:$A$40,0)),"?"))</f>
        <v/>
      </c>
      <c r="H91" s="22" t="n"/>
      <c r="I91" s="25">
        <f>IF($F91="","",IF($G91="Einnahme",$F91,-$F91))</f>
        <v/>
      </c>
    </row>
    <row r="92" ht="15" customHeight="1" s="52">
      <c r="A92" s="26" t="n"/>
      <c r="B92" s="17">
        <f>IF($A92="","",YEAR($A92))</f>
        <v/>
      </c>
      <c r="C92" s="17">
        <f>IF($A92="","",MONTH($A92))</f>
        <v/>
      </c>
      <c r="D92" s="27" t="n"/>
      <c r="E92" s="27" t="n"/>
      <c r="F92" s="28" t="n"/>
      <c r="G92" s="14">
        <f>IF($D92="","",IFERROR(INDEX(Einstellungen!$B$4:$B$40,MATCH($D92,Einstellungen!$A$4:$A$40,0)),"?"))</f>
        <v/>
      </c>
      <c r="H92" s="27" t="n"/>
      <c r="I92" s="11">
        <f>IF($F92="","",IF($G92="Einnahme",$F92,-$F92))</f>
        <v/>
      </c>
    </row>
    <row r="93" ht="15" customHeight="1" s="52">
      <c r="A93" s="20" t="n"/>
      <c r="B93" s="21">
        <f>IF($A93="","",YEAR($A93))</f>
        <v/>
      </c>
      <c r="C93" s="21">
        <f>IF($A93="","",MONTH($A93))</f>
        <v/>
      </c>
      <c r="D93" s="22" t="n"/>
      <c r="E93" s="22" t="n"/>
      <c r="F93" s="23" t="n"/>
      <c r="G93" s="24">
        <f>IF($D93="","",IFERROR(INDEX(Einstellungen!$B$4:$B$40,MATCH($D93,Einstellungen!$A$4:$A$40,0)),"?"))</f>
        <v/>
      </c>
      <c r="H93" s="22" t="n"/>
      <c r="I93" s="25">
        <f>IF($F93="","",IF($G93="Einnahme",$F93,-$F93))</f>
        <v/>
      </c>
    </row>
    <row r="94" ht="15" customHeight="1" s="52">
      <c r="A94" s="26" t="n"/>
      <c r="B94" s="17">
        <f>IF($A94="","",YEAR($A94))</f>
        <v/>
      </c>
      <c r="C94" s="17">
        <f>IF($A94="","",MONTH($A94))</f>
        <v/>
      </c>
      <c r="D94" s="27" t="n"/>
      <c r="E94" s="27" t="n"/>
      <c r="F94" s="28" t="n"/>
      <c r="G94" s="14">
        <f>IF($D94="","",IFERROR(INDEX(Einstellungen!$B$4:$B$40,MATCH($D94,Einstellungen!$A$4:$A$40,0)),"?"))</f>
        <v/>
      </c>
      <c r="H94" s="27" t="n"/>
      <c r="I94" s="11">
        <f>IF($F94="","",IF($G94="Einnahme",$F94,-$F94))</f>
        <v/>
      </c>
    </row>
    <row r="95" ht="15" customHeight="1" s="52">
      <c r="A95" s="20" t="n"/>
      <c r="B95" s="21">
        <f>IF($A95="","",YEAR($A95))</f>
        <v/>
      </c>
      <c r="C95" s="21">
        <f>IF($A95="","",MONTH($A95))</f>
        <v/>
      </c>
      <c r="D95" s="22" t="n"/>
      <c r="E95" s="22" t="n"/>
      <c r="F95" s="23" t="n"/>
      <c r="G95" s="24">
        <f>IF($D95="","",IFERROR(INDEX(Einstellungen!$B$4:$B$40,MATCH($D95,Einstellungen!$A$4:$A$40,0)),"?"))</f>
        <v/>
      </c>
      <c r="H95" s="22" t="n"/>
      <c r="I95" s="25">
        <f>IF($F95="","",IF($G95="Einnahme",$F95,-$F95))</f>
        <v/>
      </c>
    </row>
    <row r="96" ht="15" customHeight="1" s="52">
      <c r="A96" s="26" t="n"/>
      <c r="B96" s="17">
        <f>IF($A96="","",YEAR($A96))</f>
        <v/>
      </c>
      <c r="C96" s="17">
        <f>IF($A96="","",MONTH($A96))</f>
        <v/>
      </c>
      <c r="D96" s="27" t="n"/>
      <c r="E96" s="27" t="n"/>
      <c r="F96" s="28" t="n"/>
      <c r="G96" s="14">
        <f>IF($D96="","",IFERROR(INDEX(Einstellungen!$B$4:$B$40,MATCH($D96,Einstellungen!$A$4:$A$40,0)),"?"))</f>
        <v/>
      </c>
      <c r="H96" s="27" t="n"/>
      <c r="I96" s="11">
        <f>IF($F96="","",IF($G96="Einnahme",$F96,-$F96))</f>
        <v/>
      </c>
    </row>
    <row r="97" ht="15" customHeight="1" s="52">
      <c r="A97" s="20" t="n"/>
      <c r="B97" s="21">
        <f>IF($A97="","",YEAR($A97))</f>
        <v/>
      </c>
      <c r="C97" s="21">
        <f>IF($A97="","",MONTH($A97))</f>
        <v/>
      </c>
      <c r="D97" s="22" t="n"/>
      <c r="E97" s="22" t="n"/>
      <c r="F97" s="23" t="n"/>
      <c r="G97" s="24">
        <f>IF($D97="","",IFERROR(INDEX(Einstellungen!$B$4:$B$40,MATCH($D97,Einstellungen!$A$4:$A$40,0)),"?"))</f>
        <v/>
      </c>
      <c r="H97" s="22" t="n"/>
      <c r="I97" s="25">
        <f>IF($F97="","",IF($G97="Einnahme",$F97,-$F97))</f>
        <v/>
      </c>
    </row>
    <row r="98" ht="15" customHeight="1" s="52">
      <c r="A98" s="26" t="n"/>
      <c r="B98" s="17">
        <f>IF($A98="","",YEAR($A98))</f>
        <v/>
      </c>
      <c r="C98" s="17">
        <f>IF($A98="","",MONTH($A98))</f>
        <v/>
      </c>
      <c r="D98" s="27" t="n"/>
      <c r="E98" s="27" t="n"/>
      <c r="F98" s="28" t="n"/>
      <c r="G98" s="14">
        <f>IF($D98="","",IFERROR(INDEX(Einstellungen!$B$4:$B$40,MATCH($D98,Einstellungen!$A$4:$A$40,0)),"?"))</f>
        <v/>
      </c>
      <c r="H98" s="27" t="n"/>
      <c r="I98" s="11">
        <f>IF($F98="","",IF($G98="Einnahme",$F98,-$F98))</f>
        <v/>
      </c>
    </row>
    <row r="99" ht="15" customHeight="1" s="52">
      <c r="A99" s="20" t="n"/>
      <c r="B99" s="21">
        <f>IF($A99="","",YEAR($A99))</f>
        <v/>
      </c>
      <c r="C99" s="21">
        <f>IF($A99="","",MONTH($A99))</f>
        <v/>
      </c>
      <c r="D99" s="22" t="n"/>
      <c r="E99" s="22" t="n"/>
      <c r="F99" s="23" t="n"/>
      <c r="G99" s="24">
        <f>IF($D99="","",IFERROR(INDEX(Einstellungen!$B$4:$B$40,MATCH($D99,Einstellungen!$A$4:$A$40,0)),"?"))</f>
        <v/>
      </c>
      <c r="H99" s="22" t="n"/>
      <c r="I99" s="25">
        <f>IF($F99="","",IF($G99="Einnahme",$F99,-$F99))</f>
        <v/>
      </c>
    </row>
    <row r="100" ht="15" customHeight="1" s="52">
      <c r="A100" s="26" t="n"/>
      <c r="B100" s="17">
        <f>IF($A100="","",YEAR($A100))</f>
        <v/>
      </c>
      <c r="C100" s="17">
        <f>IF($A100="","",MONTH($A100))</f>
        <v/>
      </c>
      <c r="D100" s="27" t="n"/>
      <c r="E100" s="27" t="n"/>
      <c r="F100" s="28" t="n"/>
      <c r="G100" s="14">
        <f>IF($D100="","",IFERROR(INDEX(Einstellungen!$B$4:$B$40,MATCH($D100,Einstellungen!$A$4:$A$40,0)),"?"))</f>
        <v/>
      </c>
      <c r="H100" s="27" t="n"/>
      <c r="I100" s="11">
        <f>IF($F100="","",IF($G100="Einnahme",$F100,-$F100))</f>
        <v/>
      </c>
    </row>
    <row r="101" ht="15" customHeight="1" s="52">
      <c r="A101" s="20" t="n"/>
      <c r="B101" s="21">
        <f>IF($A101="","",YEAR($A101))</f>
        <v/>
      </c>
      <c r="C101" s="21">
        <f>IF($A101="","",MONTH($A101))</f>
        <v/>
      </c>
      <c r="D101" s="22" t="n"/>
      <c r="E101" s="22" t="n"/>
      <c r="F101" s="23" t="n"/>
      <c r="G101" s="24">
        <f>IF($D101="","",IFERROR(INDEX(Einstellungen!$B$4:$B$40,MATCH($D101,Einstellungen!$A$4:$A$40,0)),"?"))</f>
        <v/>
      </c>
      <c r="H101" s="22" t="n"/>
      <c r="I101" s="25">
        <f>IF($F101="","",IF($G101="Einnahme",$F101,-$F101))</f>
        <v/>
      </c>
    </row>
    <row r="102" ht="15" customHeight="1" s="52">
      <c r="A102" s="26" t="n"/>
      <c r="B102" s="17">
        <f>IF($A102="","",YEAR($A102))</f>
        <v/>
      </c>
      <c r="C102" s="17">
        <f>IF($A102="","",MONTH($A102))</f>
        <v/>
      </c>
      <c r="D102" s="27" t="n"/>
      <c r="E102" s="27" t="n"/>
      <c r="F102" s="28" t="n"/>
      <c r="G102" s="14">
        <f>IF($D102="","",IFERROR(INDEX(Einstellungen!$B$4:$B$40,MATCH($D102,Einstellungen!$A$4:$A$40,0)),"?"))</f>
        <v/>
      </c>
      <c r="H102" s="27" t="n"/>
      <c r="I102" s="11">
        <f>IF($F102="","",IF($G102="Einnahme",$F102,-$F102))</f>
        <v/>
      </c>
    </row>
    <row r="103" ht="15" customHeight="1" s="52">
      <c r="A103" s="20" t="n"/>
      <c r="B103" s="21">
        <f>IF($A103="","",YEAR($A103))</f>
        <v/>
      </c>
      <c r="C103" s="21">
        <f>IF($A103="","",MONTH($A103))</f>
        <v/>
      </c>
      <c r="D103" s="22" t="n"/>
      <c r="E103" s="22" t="n"/>
      <c r="F103" s="23" t="n"/>
      <c r="G103" s="24">
        <f>IF($D103="","",IFERROR(INDEX(Einstellungen!$B$4:$B$40,MATCH($D103,Einstellungen!$A$4:$A$40,0)),"?"))</f>
        <v/>
      </c>
      <c r="H103" s="22" t="n"/>
      <c r="I103" s="25">
        <f>IF($F103="","",IF($G103="Einnahme",$F103,-$F103))</f>
        <v/>
      </c>
    </row>
    <row r="104" ht="15" customHeight="1" s="52">
      <c r="A104" s="26" t="n"/>
      <c r="B104" s="17">
        <f>IF($A104="","",YEAR($A104))</f>
        <v/>
      </c>
      <c r="C104" s="17">
        <f>IF($A104="","",MONTH($A104))</f>
        <v/>
      </c>
      <c r="D104" s="27" t="n"/>
      <c r="E104" s="27" t="n"/>
      <c r="F104" s="28" t="n"/>
      <c r="G104" s="14">
        <f>IF($D104="","",IFERROR(INDEX(Einstellungen!$B$4:$B$40,MATCH($D104,Einstellungen!$A$4:$A$40,0)),"?"))</f>
        <v/>
      </c>
      <c r="H104" s="27" t="n"/>
      <c r="I104" s="11">
        <f>IF($F104="","",IF($G104="Einnahme",$F104,-$F104))</f>
        <v/>
      </c>
    </row>
    <row r="105" ht="15" customHeight="1" s="52">
      <c r="A105" s="20" t="n"/>
      <c r="B105" s="21">
        <f>IF($A105="","",YEAR($A105))</f>
        <v/>
      </c>
      <c r="C105" s="21">
        <f>IF($A105="","",MONTH($A105))</f>
        <v/>
      </c>
      <c r="D105" s="22" t="n"/>
      <c r="E105" s="22" t="n"/>
      <c r="F105" s="23" t="n"/>
      <c r="G105" s="24">
        <f>IF($D105="","",IFERROR(INDEX(Einstellungen!$B$4:$B$40,MATCH($D105,Einstellungen!$A$4:$A$40,0)),"?"))</f>
        <v/>
      </c>
      <c r="H105" s="22" t="n"/>
      <c r="I105" s="25">
        <f>IF($F105="","",IF($G105="Einnahme",$F105,-$F105))</f>
        <v/>
      </c>
    </row>
    <row r="106" ht="15" customHeight="1" s="52">
      <c r="A106" s="26" t="n"/>
      <c r="B106" s="17">
        <f>IF($A106="","",YEAR($A106))</f>
        <v/>
      </c>
      <c r="C106" s="17">
        <f>IF($A106="","",MONTH($A106))</f>
        <v/>
      </c>
      <c r="D106" s="27" t="n"/>
      <c r="E106" s="27" t="n"/>
      <c r="F106" s="28" t="n"/>
      <c r="G106" s="14">
        <f>IF($D106="","",IFERROR(INDEX(Einstellungen!$B$4:$B$40,MATCH($D106,Einstellungen!$A$4:$A$40,0)),"?"))</f>
        <v/>
      </c>
      <c r="H106" s="27" t="n"/>
      <c r="I106" s="11">
        <f>IF($F106="","",IF($G106="Einnahme",$F106,-$F106))</f>
        <v/>
      </c>
    </row>
    <row r="107" ht="15" customHeight="1" s="52">
      <c r="A107" s="20" t="n"/>
      <c r="B107" s="21">
        <f>IF($A107="","",YEAR($A107))</f>
        <v/>
      </c>
      <c r="C107" s="21">
        <f>IF($A107="","",MONTH($A107))</f>
        <v/>
      </c>
      <c r="D107" s="22" t="n"/>
      <c r="E107" s="22" t="n"/>
      <c r="F107" s="23" t="n"/>
      <c r="G107" s="24">
        <f>IF($D107="","",IFERROR(INDEX(Einstellungen!$B$4:$B$40,MATCH($D107,Einstellungen!$A$4:$A$40,0)),"?"))</f>
        <v/>
      </c>
      <c r="H107" s="22" t="n"/>
      <c r="I107" s="25">
        <f>IF($F107="","",IF($G107="Einnahme",$F107,-$F107))</f>
        <v/>
      </c>
    </row>
    <row r="108" ht="15" customHeight="1" s="52">
      <c r="A108" s="26" t="n"/>
      <c r="B108" s="17">
        <f>IF($A108="","",YEAR($A108))</f>
        <v/>
      </c>
      <c r="C108" s="17">
        <f>IF($A108="","",MONTH($A108))</f>
        <v/>
      </c>
      <c r="D108" s="27" t="n"/>
      <c r="E108" s="27" t="n"/>
      <c r="F108" s="28" t="n"/>
      <c r="G108" s="14">
        <f>IF($D108="","",IFERROR(INDEX(Einstellungen!$B$4:$B$40,MATCH($D108,Einstellungen!$A$4:$A$40,0)),"?"))</f>
        <v/>
      </c>
      <c r="H108" s="27" t="n"/>
      <c r="I108" s="11">
        <f>IF($F108="","",IF($G108="Einnahme",$F108,-$F108))</f>
        <v/>
      </c>
    </row>
    <row r="109" ht="15" customHeight="1" s="52">
      <c r="A109" s="20" t="n"/>
      <c r="B109" s="21">
        <f>IF($A109="","",YEAR($A109))</f>
        <v/>
      </c>
      <c r="C109" s="21">
        <f>IF($A109="","",MONTH($A109))</f>
        <v/>
      </c>
      <c r="D109" s="22" t="n"/>
      <c r="E109" s="22" t="n"/>
      <c r="F109" s="23" t="n"/>
      <c r="G109" s="24">
        <f>IF($D109="","",IFERROR(INDEX(Einstellungen!$B$4:$B$40,MATCH($D109,Einstellungen!$A$4:$A$40,0)),"?"))</f>
        <v/>
      </c>
      <c r="H109" s="22" t="n"/>
      <c r="I109" s="25">
        <f>IF($F109="","",IF($G109="Einnahme",$F109,-$F109))</f>
        <v/>
      </c>
    </row>
    <row r="110" ht="15" customHeight="1" s="52">
      <c r="A110" s="26" t="n"/>
      <c r="B110" s="17">
        <f>IF($A110="","",YEAR($A110))</f>
        <v/>
      </c>
      <c r="C110" s="17">
        <f>IF($A110="","",MONTH($A110))</f>
        <v/>
      </c>
      <c r="D110" s="27" t="n"/>
      <c r="E110" s="27" t="n"/>
      <c r="F110" s="28" t="n"/>
      <c r="G110" s="14">
        <f>IF($D110="","",IFERROR(INDEX(Einstellungen!$B$4:$B$40,MATCH($D110,Einstellungen!$A$4:$A$40,0)),"?"))</f>
        <v/>
      </c>
      <c r="H110" s="27" t="n"/>
      <c r="I110" s="11">
        <f>IF($F110="","",IF($G110="Einnahme",$F110,-$F110))</f>
        <v/>
      </c>
    </row>
    <row r="111" ht="15" customHeight="1" s="52">
      <c r="A111" s="20" t="n"/>
      <c r="B111" s="21">
        <f>IF($A111="","",YEAR($A111))</f>
        <v/>
      </c>
      <c r="C111" s="21">
        <f>IF($A111="","",MONTH($A111))</f>
        <v/>
      </c>
      <c r="D111" s="22" t="n"/>
      <c r="E111" s="22" t="n"/>
      <c r="F111" s="23" t="n"/>
      <c r="G111" s="24">
        <f>IF($D111="","",IFERROR(INDEX(Einstellungen!$B$4:$B$40,MATCH($D111,Einstellungen!$A$4:$A$40,0)),"?"))</f>
        <v/>
      </c>
      <c r="H111" s="22" t="n"/>
      <c r="I111" s="25">
        <f>IF($F111="","",IF($G111="Einnahme",$F111,-$F111))</f>
        <v/>
      </c>
    </row>
    <row r="112" ht="15" customHeight="1" s="52">
      <c r="A112" s="26" t="n"/>
      <c r="B112" s="17">
        <f>IF($A112="","",YEAR($A112))</f>
        <v/>
      </c>
      <c r="C112" s="17">
        <f>IF($A112="","",MONTH($A112))</f>
        <v/>
      </c>
      <c r="D112" s="27" t="n"/>
      <c r="E112" s="27" t="n"/>
      <c r="F112" s="28" t="n"/>
      <c r="G112" s="14">
        <f>IF($D112="","",IFERROR(INDEX(Einstellungen!$B$4:$B$40,MATCH($D112,Einstellungen!$A$4:$A$40,0)),"?"))</f>
        <v/>
      </c>
      <c r="H112" s="27" t="n"/>
      <c r="I112" s="11">
        <f>IF($F112="","",IF($G112="Einnahme",$F112,-$F112))</f>
        <v/>
      </c>
    </row>
    <row r="113" ht="15" customHeight="1" s="52">
      <c r="A113" s="20" t="n"/>
      <c r="B113" s="21">
        <f>IF($A113="","",YEAR($A113))</f>
        <v/>
      </c>
      <c r="C113" s="21">
        <f>IF($A113="","",MONTH($A113))</f>
        <v/>
      </c>
      <c r="D113" s="22" t="n"/>
      <c r="E113" s="22" t="n"/>
      <c r="F113" s="23" t="n"/>
      <c r="G113" s="24">
        <f>IF($D113="","",IFERROR(INDEX(Einstellungen!$B$4:$B$40,MATCH($D113,Einstellungen!$A$4:$A$40,0)),"?"))</f>
        <v/>
      </c>
      <c r="H113" s="22" t="n"/>
      <c r="I113" s="25">
        <f>IF($F113="","",IF($G113="Einnahme",$F113,-$F113))</f>
        <v/>
      </c>
    </row>
    <row r="114" ht="15" customHeight="1" s="52">
      <c r="A114" s="26" t="n"/>
      <c r="B114" s="17">
        <f>IF($A114="","",YEAR($A114))</f>
        <v/>
      </c>
      <c r="C114" s="17">
        <f>IF($A114="","",MONTH($A114))</f>
        <v/>
      </c>
      <c r="D114" s="27" t="n"/>
      <c r="E114" s="27" t="n"/>
      <c r="F114" s="28" t="n"/>
      <c r="G114" s="14">
        <f>IF($D114="","",IFERROR(INDEX(Einstellungen!$B$4:$B$40,MATCH($D114,Einstellungen!$A$4:$A$40,0)),"?"))</f>
        <v/>
      </c>
      <c r="H114" s="27" t="n"/>
      <c r="I114" s="11">
        <f>IF($F114="","",IF($G114="Einnahme",$F114,-$F114))</f>
        <v/>
      </c>
    </row>
    <row r="115" ht="15" customHeight="1" s="52">
      <c r="A115" s="20" t="n"/>
      <c r="B115" s="21">
        <f>IF($A115="","",YEAR($A115))</f>
        <v/>
      </c>
      <c r="C115" s="21">
        <f>IF($A115="","",MONTH($A115))</f>
        <v/>
      </c>
      <c r="D115" s="22" t="n"/>
      <c r="E115" s="22" t="n"/>
      <c r="F115" s="23" t="n"/>
      <c r="G115" s="24">
        <f>IF($D115="","",IFERROR(INDEX(Einstellungen!$B$4:$B$40,MATCH($D115,Einstellungen!$A$4:$A$40,0)),"?"))</f>
        <v/>
      </c>
      <c r="H115" s="22" t="n"/>
      <c r="I115" s="25">
        <f>IF($F115="","",IF($G115="Einnahme",$F115,-$F115))</f>
        <v/>
      </c>
    </row>
    <row r="116" ht="15" customHeight="1" s="52">
      <c r="A116" s="26" t="n"/>
      <c r="B116" s="17">
        <f>IF($A116="","",YEAR($A116))</f>
        <v/>
      </c>
      <c r="C116" s="17">
        <f>IF($A116="","",MONTH($A116))</f>
        <v/>
      </c>
      <c r="D116" s="27" t="n"/>
      <c r="E116" s="27" t="n"/>
      <c r="F116" s="28" t="n"/>
      <c r="G116" s="14">
        <f>IF($D116="","",IFERROR(INDEX(Einstellungen!$B$4:$B$40,MATCH($D116,Einstellungen!$A$4:$A$40,0)),"?"))</f>
        <v/>
      </c>
      <c r="H116" s="27" t="n"/>
      <c r="I116" s="11">
        <f>IF($F116="","",IF($G116="Einnahme",$F116,-$F116))</f>
        <v/>
      </c>
    </row>
    <row r="117" ht="15" customHeight="1" s="52">
      <c r="A117" s="20" t="n"/>
      <c r="B117" s="21">
        <f>IF($A117="","",YEAR($A117))</f>
        <v/>
      </c>
      <c r="C117" s="21">
        <f>IF($A117="","",MONTH($A117))</f>
        <v/>
      </c>
      <c r="D117" s="22" t="n"/>
      <c r="E117" s="22" t="n"/>
      <c r="F117" s="23" t="n"/>
      <c r="G117" s="24">
        <f>IF($D117="","",IFERROR(INDEX(Einstellungen!$B$4:$B$40,MATCH($D117,Einstellungen!$A$4:$A$40,0)),"?"))</f>
        <v/>
      </c>
      <c r="H117" s="22" t="n"/>
      <c r="I117" s="25">
        <f>IF($F117="","",IF($G117="Einnahme",$F117,-$F117))</f>
        <v/>
      </c>
    </row>
    <row r="118" ht="15" customHeight="1" s="52">
      <c r="A118" s="26" t="n"/>
      <c r="B118" s="17">
        <f>IF($A118="","",YEAR($A118))</f>
        <v/>
      </c>
      <c r="C118" s="17">
        <f>IF($A118="","",MONTH($A118))</f>
        <v/>
      </c>
      <c r="D118" s="27" t="n"/>
      <c r="E118" s="27" t="n"/>
      <c r="F118" s="28" t="n"/>
      <c r="G118" s="14">
        <f>IF($D118="","",IFERROR(INDEX(Einstellungen!$B$4:$B$40,MATCH($D118,Einstellungen!$A$4:$A$40,0)),"?"))</f>
        <v/>
      </c>
      <c r="H118" s="27" t="n"/>
      <c r="I118" s="11">
        <f>IF($F118="","",IF($G118="Einnahme",$F118,-$F118))</f>
        <v/>
      </c>
    </row>
    <row r="119" ht="15" customHeight="1" s="52">
      <c r="A119" s="20" t="n"/>
      <c r="B119" s="21">
        <f>IF($A119="","",YEAR($A119))</f>
        <v/>
      </c>
      <c r="C119" s="21">
        <f>IF($A119="","",MONTH($A119))</f>
        <v/>
      </c>
      <c r="D119" s="22" t="n"/>
      <c r="E119" s="22" t="n"/>
      <c r="F119" s="23" t="n"/>
      <c r="G119" s="24">
        <f>IF($D119="","",IFERROR(INDEX(Einstellungen!$B$4:$B$40,MATCH($D119,Einstellungen!$A$4:$A$40,0)),"?"))</f>
        <v/>
      </c>
      <c r="H119" s="22" t="n"/>
      <c r="I119" s="25">
        <f>IF($F119="","",IF($G119="Einnahme",$F119,-$F119))</f>
        <v/>
      </c>
    </row>
    <row r="120" ht="15" customHeight="1" s="52">
      <c r="A120" s="26" t="n"/>
      <c r="B120" s="17">
        <f>IF($A120="","",YEAR($A120))</f>
        <v/>
      </c>
      <c r="C120" s="17">
        <f>IF($A120="","",MONTH($A120))</f>
        <v/>
      </c>
      <c r="D120" s="27" t="n"/>
      <c r="E120" s="27" t="n"/>
      <c r="F120" s="28" t="n"/>
      <c r="G120" s="14">
        <f>IF($D120="","",IFERROR(INDEX(Einstellungen!$B$4:$B$40,MATCH($D120,Einstellungen!$A$4:$A$40,0)),"?"))</f>
        <v/>
      </c>
      <c r="H120" s="27" t="n"/>
      <c r="I120" s="11">
        <f>IF($F120="","",IF($G120="Einnahme",$F120,-$F120))</f>
        <v/>
      </c>
    </row>
    <row r="121" ht="15" customHeight="1" s="52">
      <c r="A121" s="20" t="n"/>
      <c r="B121" s="21">
        <f>IF($A121="","",YEAR($A121))</f>
        <v/>
      </c>
      <c r="C121" s="21">
        <f>IF($A121="","",MONTH($A121))</f>
        <v/>
      </c>
      <c r="D121" s="22" t="n"/>
      <c r="E121" s="22" t="n"/>
      <c r="F121" s="23" t="n"/>
      <c r="G121" s="24">
        <f>IF($D121="","",IFERROR(INDEX(Einstellungen!$B$4:$B$40,MATCH($D121,Einstellungen!$A$4:$A$40,0)),"?"))</f>
        <v/>
      </c>
      <c r="H121" s="22" t="n"/>
      <c r="I121" s="25">
        <f>IF($F121="","",IF($G121="Einnahme",$F121,-$F121))</f>
        <v/>
      </c>
    </row>
    <row r="122" ht="15" customHeight="1" s="52">
      <c r="A122" s="26" t="n"/>
      <c r="B122" s="17">
        <f>IF($A122="","",YEAR($A122))</f>
        <v/>
      </c>
      <c r="C122" s="17">
        <f>IF($A122="","",MONTH($A122))</f>
        <v/>
      </c>
      <c r="D122" s="27" t="n"/>
      <c r="E122" s="27" t="n"/>
      <c r="F122" s="28" t="n"/>
      <c r="G122" s="14">
        <f>IF($D122="","",IFERROR(INDEX(Einstellungen!$B$4:$B$40,MATCH($D122,Einstellungen!$A$4:$A$40,0)),"?"))</f>
        <v/>
      </c>
      <c r="H122" s="27" t="n"/>
      <c r="I122" s="11">
        <f>IF($F122="","",IF($G122="Einnahme",$F122,-$F122))</f>
        <v/>
      </c>
    </row>
    <row r="123" ht="15" customHeight="1" s="52">
      <c r="A123" s="20" t="n"/>
      <c r="B123" s="21">
        <f>IF($A123="","",YEAR($A123))</f>
        <v/>
      </c>
      <c r="C123" s="21">
        <f>IF($A123="","",MONTH($A123))</f>
        <v/>
      </c>
      <c r="D123" s="22" t="n"/>
      <c r="E123" s="22" t="n"/>
      <c r="F123" s="23" t="n"/>
      <c r="G123" s="24">
        <f>IF($D123="","",IFERROR(INDEX(Einstellungen!$B$4:$B$40,MATCH($D123,Einstellungen!$A$4:$A$40,0)),"?"))</f>
        <v/>
      </c>
      <c r="H123" s="22" t="n"/>
      <c r="I123" s="25">
        <f>IF($F123="","",IF($G123="Einnahme",$F123,-$F123))</f>
        <v/>
      </c>
    </row>
    <row r="124" ht="15" customHeight="1" s="52">
      <c r="A124" s="26" t="n"/>
      <c r="B124" s="17">
        <f>IF($A124="","",YEAR($A124))</f>
        <v/>
      </c>
      <c r="C124" s="17">
        <f>IF($A124="","",MONTH($A124))</f>
        <v/>
      </c>
      <c r="D124" s="27" t="n"/>
      <c r="E124" s="27" t="n"/>
      <c r="F124" s="28" t="n"/>
      <c r="G124" s="14">
        <f>IF($D124="","",IFERROR(INDEX(Einstellungen!$B$4:$B$40,MATCH($D124,Einstellungen!$A$4:$A$40,0)),"?"))</f>
        <v/>
      </c>
      <c r="H124" s="27" t="n"/>
      <c r="I124" s="11">
        <f>IF($F124="","",IF($G124="Einnahme",$F124,-$F124))</f>
        <v/>
      </c>
    </row>
    <row r="125" ht="15" customHeight="1" s="52">
      <c r="A125" s="20" t="n"/>
      <c r="B125" s="21">
        <f>IF($A125="","",YEAR($A125))</f>
        <v/>
      </c>
      <c r="C125" s="21">
        <f>IF($A125="","",MONTH($A125))</f>
        <v/>
      </c>
      <c r="D125" s="22" t="n"/>
      <c r="E125" s="22" t="n"/>
      <c r="F125" s="23" t="n"/>
      <c r="G125" s="24">
        <f>IF($D125="","",IFERROR(INDEX(Einstellungen!$B$4:$B$40,MATCH($D125,Einstellungen!$A$4:$A$40,0)),"?"))</f>
        <v/>
      </c>
      <c r="H125" s="22" t="n"/>
      <c r="I125" s="25">
        <f>IF($F125="","",IF($G125="Einnahme",$F125,-$F125))</f>
        <v/>
      </c>
    </row>
    <row r="126" ht="15" customHeight="1" s="52">
      <c r="A126" s="26" t="n"/>
      <c r="B126" s="17">
        <f>IF($A126="","",YEAR($A126))</f>
        <v/>
      </c>
      <c r="C126" s="17">
        <f>IF($A126="","",MONTH($A126))</f>
        <v/>
      </c>
      <c r="D126" s="27" t="n"/>
      <c r="E126" s="27" t="n"/>
      <c r="F126" s="28" t="n"/>
      <c r="G126" s="14">
        <f>IF($D126="","",IFERROR(INDEX(Einstellungen!$B$4:$B$40,MATCH($D126,Einstellungen!$A$4:$A$40,0)),"?"))</f>
        <v/>
      </c>
      <c r="H126" s="27" t="n"/>
      <c r="I126" s="11">
        <f>IF($F126="","",IF($G126="Einnahme",$F126,-$F126))</f>
        <v/>
      </c>
    </row>
    <row r="127" ht="15" customHeight="1" s="52">
      <c r="A127" s="20" t="n"/>
      <c r="B127" s="21">
        <f>IF($A127="","",YEAR($A127))</f>
        <v/>
      </c>
      <c r="C127" s="21">
        <f>IF($A127="","",MONTH($A127))</f>
        <v/>
      </c>
      <c r="D127" s="22" t="n"/>
      <c r="E127" s="22" t="n"/>
      <c r="F127" s="23" t="n"/>
      <c r="G127" s="24">
        <f>IF($D127="","",IFERROR(INDEX(Einstellungen!$B$4:$B$40,MATCH($D127,Einstellungen!$A$4:$A$40,0)),"?"))</f>
        <v/>
      </c>
      <c r="H127" s="22" t="n"/>
      <c r="I127" s="25">
        <f>IF($F127="","",IF($G127="Einnahme",$F127,-$F127))</f>
        <v/>
      </c>
    </row>
    <row r="128" ht="15" customHeight="1" s="52">
      <c r="A128" s="26" t="n"/>
      <c r="B128" s="17">
        <f>IF($A128="","",YEAR($A128))</f>
        <v/>
      </c>
      <c r="C128" s="17">
        <f>IF($A128="","",MONTH($A128))</f>
        <v/>
      </c>
      <c r="D128" s="27" t="n"/>
      <c r="E128" s="27" t="n"/>
      <c r="F128" s="28" t="n"/>
      <c r="G128" s="14">
        <f>IF($D128="","",IFERROR(INDEX(Einstellungen!$B$4:$B$40,MATCH($D128,Einstellungen!$A$4:$A$40,0)),"?"))</f>
        <v/>
      </c>
      <c r="H128" s="27" t="n"/>
      <c r="I128" s="11">
        <f>IF($F128="","",IF($G128="Einnahme",$F128,-$F128))</f>
        <v/>
      </c>
    </row>
    <row r="129" ht="15" customHeight="1" s="52">
      <c r="A129" s="20" t="n"/>
      <c r="B129" s="21">
        <f>IF($A129="","",YEAR($A129))</f>
        <v/>
      </c>
      <c r="C129" s="21">
        <f>IF($A129="","",MONTH($A129))</f>
        <v/>
      </c>
      <c r="D129" s="22" t="n"/>
      <c r="E129" s="22" t="n"/>
      <c r="F129" s="23" t="n"/>
      <c r="G129" s="24">
        <f>IF($D129="","",IFERROR(INDEX(Einstellungen!$B$4:$B$40,MATCH($D129,Einstellungen!$A$4:$A$40,0)),"?"))</f>
        <v/>
      </c>
      <c r="H129" s="22" t="n"/>
      <c r="I129" s="25">
        <f>IF($F129="","",IF($G129="Einnahme",$F129,-$F129))</f>
        <v/>
      </c>
    </row>
    <row r="130" ht="15" customHeight="1" s="52">
      <c r="A130" s="26" t="n"/>
      <c r="B130" s="17">
        <f>IF($A130="","",YEAR($A130))</f>
        <v/>
      </c>
      <c r="C130" s="17">
        <f>IF($A130="","",MONTH($A130))</f>
        <v/>
      </c>
      <c r="D130" s="27" t="n"/>
      <c r="E130" s="27" t="n"/>
      <c r="F130" s="28" t="n"/>
      <c r="G130" s="14">
        <f>IF($D130="","",IFERROR(INDEX(Einstellungen!$B$4:$B$40,MATCH($D130,Einstellungen!$A$4:$A$40,0)),"?"))</f>
        <v/>
      </c>
      <c r="H130" s="27" t="n"/>
      <c r="I130" s="11">
        <f>IF($F130="","",IF($G130="Einnahme",$F130,-$F130))</f>
        <v/>
      </c>
    </row>
    <row r="131" ht="15" customHeight="1" s="52">
      <c r="A131" s="20" t="n"/>
      <c r="B131" s="21">
        <f>IF($A131="","",YEAR($A131))</f>
        <v/>
      </c>
      <c r="C131" s="21">
        <f>IF($A131="","",MONTH($A131))</f>
        <v/>
      </c>
      <c r="D131" s="22" t="n"/>
      <c r="E131" s="22" t="n"/>
      <c r="F131" s="23" t="n"/>
      <c r="G131" s="24">
        <f>IF($D131="","",IFERROR(INDEX(Einstellungen!$B$4:$B$40,MATCH($D131,Einstellungen!$A$4:$A$40,0)),"?"))</f>
        <v/>
      </c>
      <c r="H131" s="22" t="n"/>
      <c r="I131" s="25">
        <f>IF($F131="","",IF($G131="Einnahme",$F131,-$F131))</f>
        <v/>
      </c>
    </row>
    <row r="132" ht="15" customHeight="1" s="52">
      <c r="A132" s="26" t="n"/>
      <c r="B132" s="17">
        <f>IF($A132="","",YEAR($A132))</f>
        <v/>
      </c>
      <c r="C132" s="17">
        <f>IF($A132="","",MONTH($A132))</f>
        <v/>
      </c>
      <c r="D132" s="27" t="n"/>
      <c r="E132" s="27" t="n"/>
      <c r="F132" s="28" t="n"/>
      <c r="G132" s="14">
        <f>IF($D132="","",IFERROR(INDEX(Einstellungen!$B$4:$B$40,MATCH($D132,Einstellungen!$A$4:$A$40,0)),"?"))</f>
        <v/>
      </c>
      <c r="H132" s="27" t="n"/>
      <c r="I132" s="11">
        <f>IF($F132="","",IF($G132="Einnahme",$F132,-$F132))</f>
        <v/>
      </c>
    </row>
    <row r="133" ht="15" customHeight="1" s="52">
      <c r="A133" s="20" t="n"/>
      <c r="B133" s="21">
        <f>IF($A133="","",YEAR($A133))</f>
        <v/>
      </c>
      <c r="C133" s="21">
        <f>IF($A133="","",MONTH($A133))</f>
        <v/>
      </c>
      <c r="D133" s="22" t="n"/>
      <c r="E133" s="22" t="n"/>
      <c r="F133" s="23" t="n"/>
      <c r="G133" s="24">
        <f>IF($D133="","",IFERROR(INDEX(Einstellungen!$B$4:$B$40,MATCH($D133,Einstellungen!$A$4:$A$40,0)),"?"))</f>
        <v/>
      </c>
      <c r="H133" s="22" t="n"/>
      <c r="I133" s="25">
        <f>IF($F133="","",IF($G133="Einnahme",$F133,-$F133))</f>
        <v/>
      </c>
    </row>
    <row r="134" ht="15" customHeight="1" s="52">
      <c r="A134" s="26" t="n"/>
      <c r="B134" s="17">
        <f>IF($A134="","",YEAR($A134))</f>
        <v/>
      </c>
      <c r="C134" s="17">
        <f>IF($A134="","",MONTH($A134))</f>
        <v/>
      </c>
      <c r="D134" s="27" t="n"/>
      <c r="E134" s="27" t="n"/>
      <c r="F134" s="28" t="n"/>
      <c r="G134" s="14">
        <f>IF($D134="","",IFERROR(INDEX(Einstellungen!$B$4:$B$40,MATCH($D134,Einstellungen!$A$4:$A$40,0)),"?"))</f>
        <v/>
      </c>
      <c r="H134" s="27" t="n"/>
      <c r="I134" s="11">
        <f>IF($F134="","",IF($G134="Einnahme",$F134,-$F134))</f>
        <v/>
      </c>
    </row>
    <row r="135" ht="15" customHeight="1" s="52">
      <c r="A135" s="20" t="n"/>
      <c r="B135" s="21">
        <f>IF($A135="","",YEAR($A135))</f>
        <v/>
      </c>
      <c r="C135" s="21">
        <f>IF($A135="","",MONTH($A135))</f>
        <v/>
      </c>
      <c r="D135" s="22" t="n"/>
      <c r="E135" s="22" t="n"/>
      <c r="F135" s="23" t="n"/>
      <c r="G135" s="24">
        <f>IF($D135="","",IFERROR(INDEX(Einstellungen!$B$4:$B$40,MATCH($D135,Einstellungen!$A$4:$A$40,0)),"?"))</f>
        <v/>
      </c>
      <c r="H135" s="22" t="n"/>
      <c r="I135" s="25">
        <f>IF($F135="","",IF($G135="Einnahme",$F135,-$F135))</f>
        <v/>
      </c>
    </row>
    <row r="136" ht="15" customHeight="1" s="52">
      <c r="A136" s="26" t="n"/>
      <c r="B136" s="17">
        <f>IF($A136="","",YEAR($A136))</f>
        <v/>
      </c>
      <c r="C136" s="17">
        <f>IF($A136="","",MONTH($A136))</f>
        <v/>
      </c>
      <c r="D136" s="27" t="n"/>
      <c r="E136" s="27" t="n"/>
      <c r="F136" s="28" t="n"/>
      <c r="G136" s="14">
        <f>IF($D136="","",IFERROR(INDEX(Einstellungen!$B$4:$B$40,MATCH($D136,Einstellungen!$A$4:$A$40,0)),"?"))</f>
        <v/>
      </c>
      <c r="H136" s="27" t="n"/>
      <c r="I136" s="11">
        <f>IF($F136="","",IF($G136="Einnahme",$F136,-$F136))</f>
        <v/>
      </c>
    </row>
    <row r="137" ht="15" customHeight="1" s="52">
      <c r="A137" s="20" t="n"/>
      <c r="B137" s="21">
        <f>IF($A137="","",YEAR($A137))</f>
        <v/>
      </c>
      <c r="C137" s="21">
        <f>IF($A137="","",MONTH($A137))</f>
        <v/>
      </c>
      <c r="D137" s="22" t="n"/>
      <c r="E137" s="22" t="n"/>
      <c r="F137" s="23" t="n"/>
      <c r="G137" s="24">
        <f>IF($D137="","",IFERROR(INDEX(Einstellungen!$B$4:$B$40,MATCH($D137,Einstellungen!$A$4:$A$40,0)),"?"))</f>
        <v/>
      </c>
      <c r="H137" s="22" t="n"/>
      <c r="I137" s="25">
        <f>IF($F137="","",IF($G137="Einnahme",$F137,-$F137))</f>
        <v/>
      </c>
    </row>
    <row r="138" ht="15" customHeight="1" s="52">
      <c r="A138" s="26" t="n"/>
      <c r="B138" s="17">
        <f>IF($A138="","",YEAR($A138))</f>
        <v/>
      </c>
      <c r="C138" s="17">
        <f>IF($A138="","",MONTH($A138))</f>
        <v/>
      </c>
      <c r="D138" s="27" t="n"/>
      <c r="E138" s="27" t="n"/>
      <c r="F138" s="28" t="n"/>
      <c r="G138" s="14">
        <f>IF($D138="","",IFERROR(INDEX(Einstellungen!$B$4:$B$40,MATCH($D138,Einstellungen!$A$4:$A$40,0)),"?"))</f>
        <v/>
      </c>
      <c r="H138" s="27" t="n"/>
      <c r="I138" s="11">
        <f>IF($F138="","",IF($G138="Einnahme",$F138,-$F138))</f>
        <v/>
      </c>
    </row>
    <row r="139" ht="15" customHeight="1" s="52">
      <c r="A139" s="20" t="n"/>
      <c r="B139" s="21">
        <f>IF($A139="","",YEAR($A139))</f>
        <v/>
      </c>
      <c r="C139" s="21">
        <f>IF($A139="","",MONTH($A139))</f>
        <v/>
      </c>
      <c r="D139" s="22" t="n"/>
      <c r="E139" s="22" t="n"/>
      <c r="F139" s="23" t="n"/>
      <c r="G139" s="24">
        <f>IF($D139="","",IFERROR(INDEX(Einstellungen!$B$4:$B$40,MATCH($D139,Einstellungen!$A$4:$A$40,0)),"?"))</f>
        <v/>
      </c>
      <c r="H139" s="22" t="n"/>
      <c r="I139" s="25">
        <f>IF($F139="","",IF($G139="Einnahme",$F139,-$F139))</f>
        <v/>
      </c>
    </row>
    <row r="140" ht="15" customHeight="1" s="52">
      <c r="A140" s="26" t="n"/>
      <c r="B140" s="17">
        <f>IF($A140="","",YEAR($A140))</f>
        <v/>
      </c>
      <c r="C140" s="17">
        <f>IF($A140="","",MONTH($A140))</f>
        <v/>
      </c>
      <c r="D140" s="27" t="n"/>
      <c r="E140" s="27" t="n"/>
      <c r="F140" s="28" t="n"/>
      <c r="G140" s="14">
        <f>IF($D140="","",IFERROR(INDEX(Einstellungen!$B$4:$B$40,MATCH($D140,Einstellungen!$A$4:$A$40,0)),"?"))</f>
        <v/>
      </c>
      <c r="H140" s="27" t="n"/>
      <c r="I140" s="11">
        <f>IF($F140="","",IF($G140="Einnahme",$F140,-$F140))</f>
        <v/>
      </c>
    </row>
    <row r="141" ht="15" customHeight="1" s="52">
      <c r="A141" s="20" t="n"/>
      <c r="B141" s="21">
        <f>IF($A141="","",YEAR($A141))</f>
        <v/>
      </c>
      <c r="C141" s="21">
        <f>IF($A141="","",MONTH($A141))</f>
        <v/>
      </c>
      <c r="D141" s="22" t="n"/>
      <c r="E141" s="22" t="n"/>
      <c r="F141" s="23" t="n"/>
      <c r="G141" s="24">
        <f>IF($D141="","",IFERROR(INDEX(Einstellungen!$B$4:$B$40,MATCH($D141,Einstellungen!$A$4:$A$40,0)),"?"))</f>
        <v/>
      </c>
      <c r="H141" s="22" t="n"/>
      <c r="I141" s="25">
        <f>IF($F141="","",IF($G141="Einnahme",$F141,-$F141))</f>
        <v/>
      </c>
    </row>
    <row r="142" ht="15" customHeight="1" s="52">
      <c r="A142" s="26" t="n"/>
      <c r="B142" s="17">
        <f>IF($A142="","",YEAR($A142))</f>
        <v/>
      </c>
      <c r="C142" s="17">
        <f>IF($A142="","",MONTH($A142))</f>
        <v/>
      </c>
      <c r="D142" s="27" t="n"/>
      <c r="E142" s="27" t="n"/>
      <c r="F142" s="28" t="n"/>
      <c r="G142" s="14">
        <f>IF($D142="","",IFERROR(INDEX(Einstellungen!$B$4:$B$40,MATCH($D142,Einstellungen!$A$4:$A$40,0)),"?"))</f>
        <v/>
      </c>
      <c r="H142" s="27" t="n"/>
      <c r="I142" s="11">
        <f>IF($F142="","",IF($G142="Einnahme",$F142,-$F142))</f>
        <v/>
      </c>
    </row>
    <row r="143" ht="15" customHeight="1" s="52">
      <c r="A143" s="20" t="n"/>
      <c r="B143" s="21">
        <f>IF($A143="","",YEAR($A143))</f>
        <v/>
      </c>
      <c r="C143" s="21">
        <f>IF($A143="","",MONTH($A143))</f>
        <v/>
      </c>
      <c r="D143" s="22" t="n"/>
      <c r="E143" s="22" t="n"/>
      <c r="F143" s="23" t="n"/>
      <c r="G143" s="24">
        <f>IF($D143="","",IFERROR(INDEX(Einstellungen!$B$4:$B$40,MATCH($D143,Einstellungen!$A$4:$A$40,0)),"?"))</f>
        <v/>
      </c>
      <c r="H143" s="22" t="n"/>
      <c r="I143" s="25">
        <f>IF($F143="","",IF($G143="Einnahme",$F143,-$F143))</f>
        <v/>
      </c>
    </row>
    <row r="144" ht="15" customHeight="1" s="52">
      <c r="A144" s="26" t="n"/>
      <c r="B144" s="17">
        <f>IF($A144="","",YEAR($A144))</f>
        <v/>
      </c>
      <c r="C144" s="17">
        <f>IF($A144="","",MONTH($A144))</f>
        <v/>
      </c>
      <c r="D144" s="27" t="n"/>
      <c r="E144" s="27" t="n"/>
      <c r="F144" s="28" t="n"/>
      <c r="G144" s="14">
        <f>IF($D144="","",IFERROR(INDEX(Einstellungen!$B$4:$B$40,MATCH($D144,Einstellungen!$A$4:$A$40,0)),"?"))</f>
        <v/>
      </c>
      <c r="H144" s="27" t="n"/>
      <c r="I144" s="11">
        <f>IF($F144="","",IF($G144="Einnahme",$F144,-$F144))</f>
        <v/>
      </c>
    </row>
    <row r="145" ht="15" customHeight="1" s="52">
      <c r="A145" s="20" t="n"/>
      <c r="B145" s="21">
        <f>IF($A145="","",YEAR($A145))</f>
        <v/>
      </c>
      <c r="C145" s="21">
        <f>IF($A145="","",MONTH($A145))</f>
        <v/>
      </c>
      <c r="D145" s="22" t="n"/>
      <c r="E145" s="22" t="n"/>
      <c r="F145" s="23" t="n"/>
      <c r="G145" s="24">
        <f>IF($D145="","",IFERROR(INDEX(Einstellungen!$B$4:$B$40,MATCH($D145,Einstellungen!$A$4:$A$40,0)),"?"))</f>
        <v/>
      </c>
      <c r="H145" s="22" t="n"/>
      <c r="I145" s="25">
        <f>IF($F145="","",IF($G145="Einnahme",$F145,-$F145))</f>
        <v/>
      </c>
    </row>
    <row r="146" ht="15" customHeight="1" s="52">
      <c r="A146" s="26" t="n"/>
      <c r="B146" s="17">
        <f>IF($A146="","",YEAR($A146))</f>
        <v/>
      </c>
      <c r="C146" s="17">
        <f>IF($A146="","",MONTH($A146))</f>
        <v/>
      </c>
      <c r="D146" s="27" t="n"/>
      <c r="E146" s="27" t="n"/>
      <c r="F146" s="28" t="n"/>
      <c r="G146" s="14">
        <f>IF($D146="","",IFERROR(INDEX(Einstellungen!$B$4:$B$40,MATCH($D146,Einstellungen!$A$4:$A$40,0)),"?"))</f>
        <v/>
      </c>
      <c r="H146" s="27" t="n"/>
      <c r="I146" s="11">
        <f>IF($F146="","",IF($G146="Einnahme",$F146,-$F146))</f>
        <v/>
      </c>
    </row>
    <row r="147" ht="15" customHeight="1" s="52">
      <c r="A147" s="20" t="n"/>
      <c r="B147" s="21">
        <f>IF($A147="","",YEAR($A147))</f>
        <v/>
      </c>
      <c r="C147" s="21">
        <f>IF($A147="","",MONTH($A147))</f>
        <v/>
      </c>
      <c r="D147" s="22" t="n"/>
      <c r="E147" s="22" t="n"/>
      <c r="F147" s="23" t="n"/>
      <c r="G147" s="24">
        <f>IF($D147="","",IFERROR(INDEX(Einstellungen!$B$4:$B$40,MATCH($D147,Einstellungen!$A$4:$A$40,0)),"?"))</f>
        <v/>
      </c>
      <c r="H147" s="22" t="n"/>
      <c r="I147" s="25">
        <f>IF($F147="","",IF($G147="Einnahme",$F147,-$F147))</f>
        <v/>
      </c>
    </row>
    <row r="148" ht="15" customHeight="1" s="52">
      <c r="A148" s="26" t="n"/>
      <c r="B148" s="17">
        <f>IF($A148="","",YEAR($A148))</f>
        <v/>
      </c>
      <c r="C148" s="17">
        <f>IF($A148="","",MONTH($A148))</f>
        <v/>
      </c>
      <c r="D148" s="27" t="n"/>
      <c r="E148" s="27" t="n"/>
      <c r="F148" s="28" t="n"/>
      <c r="G148" s="14">
        <f>IF($D148="","",IFERROR(INDEX(Einstellungen!$B$4:$B$40,MATCH($D148,Einstellungen!$A$4:$A$40,0)),"?"))</f>
        <v/>
      </c>
      <c r="H148" s="27" t="n"/>
      <c r="I148" s="11">
        <f>IF($F148="","",IF($G148="Einnahme",$F148,-$F148))</f>
        <v/>
      </c>
    </row>
    <row r="149" ht="15" customHeight="1" s="52">
      <c r="A149" s="20" t="n"/>
      <c r="B149" s="21">
        <f>IF($A149="","",YEAR($A149))</f>
        <v/>
      </c>
      <c r="C149" s="21">
        <f>IF($A149="","",MONTH($A149))</f>
        <v/>
      </c>
      <c r="D149" s="22" t="n"/>
      <c r="E149" s="22" t="n"/>
      <c r="F149" s="23" t="n"/>
      <c r="G149" s="24">
        <f>IF($D149="","",IFERROR(INDEX(Einstellungen!$B$4:$B$40,MATCH($D149,Einstellungen!$A$4:$A$40,0)),"?"))</f>
        <v/>
      </c>
      <c r="H149" s="22" t="n"/>
      <c r="I149" s="25">
        <f>IF($F149="","",IF($G149="Einnahme",$F149,-$F149))</f>
        <v/>
      </c>
    </row>
    <row r="150" ht="15" customHeight="1" s="52">
      <c r="A150" s="26" t="n"/>
      <c r="B150" s="17">
        <f>IF($A150="","",YEAR($A150))</f>
        <v/>
      </c>
      <c r="C150" s="17">
        <f>IF($A150="","",MONTH($A150))</f>
        <v/>
      </c>
      <c r="D150" s="27" t="n"/>
      <c r="E150" s="27" t="n"/>
      <c r="F150" s="28" t="n"/>
      <c r="G150" s="14">
        <f>IF($D150="","",IFERROR(INDEX(Einstellungen!$B$4:$B$40,MATCH($D150,Einstellungen!$A$4:$A$40,0)),"?"))</f>
        <v/>
      </c>
      <c r="H150" s="27" t="n"/>
      <c r="I150" s="11">
        <f>IF($F150="","",IF($G150="Einnahme",$F150,-$F150))</f>
        <v/>
      </c>
    </row>
    <row r="151" ht="15" customHeight="1" s="52">
      <c r="A151" s="20" t="n"/>
      <c r="B151" s="21">
        <f>IF($A151="","",YEAR($A151))</f>
        <v/>
      </c>
      <c r="C151" s="21">
        <f>IF($A151="","",MONTH($A151))</f>
        <v/>
      </c>
      <c r="D151" s="22" t="n"/>
      <c r="E151" s="22" t="n"/>
      <c r="F151" s="23" t="n"/>
      <c r="G151" s="24">
        <f>IF($D151="","",IFERROR(INDEX(Einstellungen!$B$4:$B$40,MATCH($D151,Einstellungen!$A$4:$A$40,0)),"?"))</f>
        <v/>
      </c>
      <c r="H151" s="22" t="n"/>
      <c r="I151" s="25">
        <f>IF($F151="","",IF($G151="Einnahme",$F151,-$F151))</f>
        <v/>
      </c>
    </row>
    <row r="152" ht="15" customHeight="1" s="52">
      <c r="A152" s="26" t="n"/>
      <c r="B152" s="17">
        <f>IF($A152="","",YEAR($A152))</f>
        <v/>
      </c>
      <c r="C152" s="17">
        <f>IF($A152="","",MONTH($A152))</f>
        <v/>
      </c>
      <c r="D152" s="27" t="n"/>
      <c r="E152" s="27" t="n"/>
      <c r="F152" s="28" t="n"/>
      <c r="G152" s="14">
        <f>IF($D152="","",IFERROR(INDEX(Einstellungen!$B$4:$B$40,MATCH($D152,Einstellungen!$A$4:$A$40,0)),"?"))</f>
        <v/>
      </c>
      <c r="H152" s="27" t="n"/>
      <c r="I152" s="11">
        <f>IF($F152="","",IF($G152="Einnahme",$F152,-$F152))</f>
        <v/>
      </c>
    </row>
    <row r="153" ht="15" customHeight="1" s="52">
      <c r="A153" s="20" t="n"/>
      <c r="B153" s="21">
        <f>IF($A153="","",YEAR($A153))</f>
        <v/>
      </c>
      <c r="C153" s="21">
        <f>IF($A153="","",MONTH($A153))</f>
        <v/>
      </c>
      <c r="D153" s="22" t="n"/>
      <c r="E153" s="22" t="n"/>
      <c r="F153" s="23" t="n"/>
      <c r="G153" s="24">
        <f>IF($D153="","",IFERROR(INDEX(Einstellungen!$B$4:$B$40,MATCH($D153,Einstellungen!$A$4:$A$40,0)),"?"))</f>
        <v/>
      </c>
      <c r="H153" s="22" t="n"/>
      <c r="I153" s="25">
        <f>IF($F153="","",IF($G153="Einnahme",$F153,-$F153))</f>
        <v/>
      </c>
    </row>
    <row r="154" ht="15" customHeight="1" s="52">
      <c r="A154" s="26" t="n"/>
      <c r="B154" s="17">
        <f>IF($A154="","",YEAR($A154))</f>
        <v/>
      </c>
      <c r="C154" s="17">
        <f>IF($A154="","",MONTH($A154))</f>
        <v/>
      </c>
      <c r="D154" s="27" t="n"/>
      <c r="E154" s="27" t="n"/>
      <c r="F154" s="28" t="n"/>
      <c r="G154" s="14">
        <f>IF($D154="","",IFERROR(INDEX(Einstellungen!$B$4:$B$40,MATCH($D154,Einstellungen!$A$4:$A$40,0)),"?"))</f>
        <v/>
      </c>
      <c r="H154" s="27" t="n"/>
      <c r="I154" s="11">
        <f>IF($F154="","",IF($G154="Einnahme",$F154,-$F154))</f>
        <v/>
      </c>
    </row>
    <row r="155" ht="15" customHeight="1" s="52">
      <c r="A155" s="20" t="n"/>
      <c r="B155" s="21">
        <f>IF($A155="","",YEAR($A155))</f>
        <v/>
      </c>
      <c r="C155" s="21">
        <f>IF($A155="","",MONTH($A155))</f>
        <v/>
      </c>
      <c r="D155" s="22" t="n"/>
      <c r="E155" s="22" t="n"/>
      <c r="F155" s="23" t="n"/>
      <c r="G155" s="24">
        <f>IF($D155="","",IFERROR(INDEX(Einstellungen!$B$4:$B$40,MATCH($D155,Einstellungen!$A$4:$A$40,0)),"?"))</f>
        <v/>
      </c>
      <c r="H155" s="22" t="n"/>
      <c r="I155" s="25">
        <f>IF($F155="","",IF($G155="Einnahme",$F155,-$F155))</f>
        <v/>
      </c>
    </row>
    <row r="156" ht="15" customHeight="1" s="52">
      <c r="A156" s="26" t="n"/>
      <c r="B156" s="17">
        <f>IF($A156="","",YEAR($A156))</f>
        <v/>
      </c>
      <c r="C156" s="17">
        <f>IF($A156="","",MONTH($A156))</f>
        <v/>
      </c>
      <c r="D156" s="27" t="n"/>
      <c r="E156" s="27" t="n"/>
      <c r="F156" s="28" t="n"/>
      <c r="G156" s="14">
        <f>IF($D156="","",IFERROR(INDEX(Einstellungen!$B$4:$B$40,MATCH($D156,Einstellungen!$A$4:$A$40,0)),"?"))</f>
        <v/>
      </c>
      <c r="H156" s="27" t="n"/>
      <c r="I156" s="11">
        <f>IF($F156="","",IF($G156="Einnahme",$F156,-$F156))</f>
        <v/>
      </c>
    </row>
    <row r="157" ht="15" customHeight="1" s="52">
      <c r="A157" s="20" t="n"/>
      <c r="B157" s="21">
        <f>IF($A157="","",YEAR($A157))</f>
        <v/>
      </c>
      <c r="C157" s="21">
        <f>IF($A157="","",MONTH($A157))</f>
        <v/>
      </c>
      <c r="D157" s="22" t="n"/>
      <c r="E157" s="22" t="n"/>
      <c r="F157" s="23" t="n"/>
      <c r="G157" s="24">
        <f>IF($D157="","",IFERROR(INDEX(Einstellungen!$B$4:$B$40,MATCH($D157,Einstellungen!$A$4:$A$40,0)),"?"))</f>
        <v/>
      </c>
      <c r="H157" s="22" t="n"/>
      <c r="I157" s="25">
        <f>IF($F157="","",IF($G157="Einnahme",$F157,-$F157))</f>
        <v/>
      </c>
    </row>
    <row r="158" ht="15" customHeight="1" s="52">
      <c r="A158" s="26" t="n"/>
      <c r="B158" s="17">
        <f>IF($A158="","",YEAR($A158))</f>
        <v/>
      </c>
      <c r="C158" s="17">
        <f>IF($A158="","",MONTH($A158))</f>
        <v/>
      </c>
      <c r="D158" s="27" t="n"/>
      <c r="E158" s="27" t="n"/>
      <c r="F158" s="28" t="n"/>
      <c r="G158" s="14">
        <f>IF($D158="","",IFERROR(INDEX(Einstellungen!$B$4:$B$40,MATCH($D158,Einstellungen!$A$4:$A$40,0)),"?"))</f>
        <v/>
      </c>
      <c r="H158" s="27" t="n"/>
      <c r="I158" s="11">
        <f>IF($F158="","",IF($G158="Einnahme",$F158,-$F158))</f>
        <v/>
      </c>
    </row>
    <row r="159" ht="15" customHeight="1" s="52">
      <c r="A159" s="20" t="n"/>
      <c r="B159" s="21">
        <f>IF($A159="","",YEAR($A159))</f>
        <v/>
      </c>
      <c r="C159" s="21">
        <f>IF($A159="","",MONTH($A159))</f>
        <v/>
      </c>
      <c r="D159" s="22" t="n"/>
      <c r="E159" s="22" t="n"/>
      <c r="F159" s="23" t="n"/>
      <c r="G159" s="24">
        <f>IF($D159="","",IFERROR(INDEX(Einstellungen!$B$4:$B$40,MATCH($D159,Einstellungen!$A$4:$A$40,0)),"?"))</f>
        <v/>
      </c>
      <c r="H159" s="22" t="n"/>
      <c r="I159" s="25">
        <f>IF($F159="","",IF($G159="Einnahme",$F159,-$F159))</f>
        <v/>
      </c>
    </row>
    <row r="160" ht="15" customHeight="1" s="52">
      <c r="A160" s="26" t="n"/>
      <c r="B160" s="17">
        <f>IF($A160="","",YEAR($A160))</f>
        <v/>
      </c>
      <c r="C160" s="17">
        <f>IF($A160="","",MONTH($A160))</f>
        <v/>
      </c>
      <c r="D160" s="27" t="n"/>
      <c r="E160" s="27" t="n"/>
      <c r="F160" s="28" t="n"/>
      <c r="G160" s="14">
        <f>IF($D160="","",IFERROR(INDEX(Einstellungen!$B$4:$B$40,MATCH($D160,Einstellungen!$A$4:$A$40,0)),"?"))</f>
        <v/>
      </c>
      <c r="H160" s="27" t="n"/>
      <c r="I160" s="11">
        <f>IF($F160="","",IF($G160="Einnahme",$F160,-$F160))</f>
        <v/>
      </c>
    </row>
    <row r="161" ht="15" customHeight="1" s="52">
      <c r="A161" s="20" t="n"/>
      <c r="B161" s="21">
        <f>IF($A161="","",YEAR($A161))</f>
        <v/>
      </c>
      <c r="C161" s="21">
        <f>IF($A161="","",MONTH($A161))</f>
        <v/>
      </c>
      <c r="D161" s="22" t="n"/>
      <c r="E161" s="22" t="n"/>
      <c r="F161" s="23" t="n"/>
      <c r="G161" s="24">
        <f>IF($D161="","",IFERROR(INDEX(Einstellungen!$B$4:$B$40,MATCH($D161,Einstellungen!$A$4:$A$40,0)),"?"))</f>
        <v/>
      </c>
      <c r="H161" s="22" t="n"/>
      <c r="I161" s="25">
        <f>IF($F161="","",IF($G161="Einnahme",$F161,-$F161))</f>
        <v/>
      </c>
    </row>
    <row r="162" ht="15" customHeight="1" s="52">
      <c r="A162" s="26" t="n"/>
      <c r="B162" s="17">
        <f>IF($A162="","",YEAR($A162))</f>
        <v/>
      </c>
      <c r="C162" s="17">
        <f>IF($A162="","",MONTH($A162))</f>
        <v/>
      </c>
      <c r="D162" s="27" t="n"/>
      <c r="E162" s="27" t="n"/>
      <c r="F162" s="28" t="n"/>
      <c r="G162" s="14">
        <f>IF($D162="","",IFERROR(INDEX(Einstellungen!$B$4:$B$40,MATCH($D162,Einstellungen!$A$4:$A$40,0)),"?"))</f>
        <v/>
      </c>
      <c r="H162" s="27" t="n"/>
      <c r="I162" s="11">
        <f>IF($F162="","",IF($G162="Einnahme",$F162,-$F162))</f>
        <v/>
      </c>
    </row>
    <row r="163" ht="15" customHeight="1" s="52">
      <c r="A163" s="20" t="n"/>
      <c r="B163" s="21">
        <f>IF($A163="","",YEAR($A163))</f>
        <v/>
      </c>
      <c r="C163" s="21">
        <f>IF($A163="","",MONTH($A163))</f>
        <v/>
      </c>
      <c r="D163" s="22" t="n"/>
      <c r="E163" s="22" t="n"/>
      <c r="F163" s="23" t="n"/>
      <c r="G163" s="24">
        <f>IF($D163="","",IFERROR(INDEX(Einstellungen!$B$4:$B$40,MATCH($D163,Einstellungen!$A$4:$A$40,0)),"?"))</f>
        <v/>
      </c>
      <c r="H163" s="22" t="n"/>
      <c r="I163" s="25">
        <f>IF($F163="","",IF($G163="Einnahme",$F163,-$F163))</f>
        <v/>
      </c>
    </row>
    <row r="164" ht="15" customHeight="1" s="52">
      <c r="A164" s="26" t="n"/>
      <c r="B164" s="17">
        <f>IF($A164="","",YEAR($A164))</f>
        <v/>
      </c>
      <c r="C164" s="17">
        <f>IF($A164="","",MONTH($A164))</f>
        <v/>
      </c>
      <c r="D164" s="27" t="n"/>
      <c r="E164" s="27" t="n"/>
      <c r="F164" s="28" t="n"/>
      <c r="G164" s="14">
        <f>IF($D164="","",IFERROR(INDEX(Einstellungen!$B$4:$B$40,MATCH($D164,Einstellungen!$A$4:$A$40,0)),"?"))</f>
        <v/>
      </c>
      <c r="H164" s="27" t="n"/>
      <c r="I164" s="11">
        <f>IF($F164="","",IF($G164="Einnahme",$F164,-$F164))</f>
        <v/>
      </c>
    </row>
    <row r="165" ht="15" customHeight="1" s="52">
      <c r="A165" s="20" t="n"/>
      <c r="B165" s="21">
        <f>IF($A165="","",YEAR($A165))</f>
        <v/>
      </c>
      <c r="C165" s="21">
        <f>IF($A165="","",MONTH($A165))</f>
        <v/>
      </c>
      <c r="D165" s="22" t="n"/>
      <c r="E165" s="22" t="n"/>
      <c r="F165" s="23" t="n"/>
      <c r="G165" s="24">
        <f>IF($D165="","",IFERROR(INDEX(Einstellungen!$B$4:$B$40,MATCH($D165,Einstellungen!$A$4:$A$40,0)),"?"))</f>
        <v/>
      </c>
      <c r="H165" s="22" t="n"/>
      <c r="I165" s="25">
        <f>IF($F165="","",IF($G165="Einnahme",$F165,-$F165))</f>
        <v/>
      </c>
    </row>
    <row r="166" ht="15" customHeight="1" s="52">
      <c r="A166" s="26" t="n"/>
      <c r="B166" s="17">
        <f>IF($A166="","",YEAR($A166))</f>
        <v/>
      </c>
      <c r="C166" s="17">
        <f>IF($A166="","",MONTH($A166))</f>
        <v/>
      </c>
      <c r="D166" s="27" t="n"/>
      <c r="E166" s="27" t="n"/>
      <c r="F166" s="28" t="n"/>
      <c r="G166" s="14">
        <f>IF($D166="","",IFERROR(INDEX(Einstellungen!$B$4:$B$40,MATCH($D166,Einstellungen!$A$4:$A$40,0)),"?"))</f>
        <v/>
      </c>
      <c r="H166" s="27" t="n"/>
      <c r="I166" s="11">
        <f>IF($F166="","",IF($G166="Einnahme",$F166,-$F166))</f>
        <v/>
      </c>
    </row>
    <row r="167" ht="15" customHeight="1" s="52">
      <c r="A167" s="20" t="n"/>
      <c r="B167" s="21">
        <f>IF($A167="","",YEAR($A167))</f>
        <v/>
      </c>
      <c r="C167" s="21">
        <f>IF($A167="","",MONTH($A167))</f>
        <v/>
      </c>
      <c r="D167" s="22" t="n"/>
      <c r="E167" s="22" t="n"/>
      <c r="F167" s="23" t="n"/>
      <c r="G167" s="24">
        <f>IF($D167="","",IFERROR(INDEX(Einstellungen!$B$4:$B$40,MATCH($D167,Einstellungen!$A$4:$A$40,0)),"?"))</f>
        <v/>
      </c>
      <c r="H167" s="22" t="n"/>
      <c r="I167" s="25">
        <f>IF($F167="","",IF($G167="Einnahme",$F167,-$F167))</f>
        <v/>
      </c>
    </row>
    <row r="168" ht="15" customHeight="1" s="52">
      <c r="A168" s="26" t="n"/>
      <c r="B168" s="17">
        <f>IF($A168="","",YEAR($A168))</f>
        <v/>
      </c>
      <c r="C168" s="17">
        <f>IF($A168="","",MONTH($A168))</f>
        <v/>
      </c>
      <c r="D168" s="27" t="n"/>
      <c r="E168" s="27" t="n"/>
      <c r="F168" s="28" t="n"/>
      <c r="G168" s="14">
        <f>IF($D168="","",IFERROR(INDEX(Einstellungen!$B$4:$B$40,MATCH($D168,Einstellungen!$A$4:$A$40,0)),"?"))</f>
        <v/>
      </c>
      <c r="H168" s="27" t="n"/>
      <c r="I168" s="11">
        <f>IF($F168="","",IF($G168="Einnahme",$F168,-$F168))</f>
        <v/>
      </c>
    </row>
    <row r="169" ht="15" customHeight="1" s="52">
      <c r="A169" s="20" t="n"/>
      <c r="B169" s="21">
        <f>IF($A169="","",YEAR($A169))</f>
        <v/>
      </c>
      <c r="C169" s="21">
        <f>IF($A169="","",MONTH($A169))</f>
        <v/>
      </c>
      <c r="D169" s="22" t="n"/>
      <c r="E169" s="22" t="n"/>
      <c r="F169" s="23" t="n"/>
      <c r="G169" s="24">
        <f>IF($D169="","",IFERROR(INDEX(Einstellungen!$B$4:$B$40,MATCH($D169,Einstellungen!$A$4:$A$40,0)),"?"))</f>
        <v/>
      </c>
      <c r="H169" s="22" t="n"/>
      <c r="I169" s="25">
        <f>IF($F169="","",IF($G169="Einnahme",$F169,-$F169))</f>
        <v/>
      </c>
    </row>
    <row r="170" ht="15" customHeight="1" s="52">
      <c r="A170" s="26" t="n"/>
      <c r="B170" s="17">
        <f>IF($A170="","",YEAR($A170))</f>
        <v/>
      </c>
      <c r="C170" s="17">
        <f>IF($A170="","",MONTH($A170))</f>
        <v/>
      </c>
      <c r="D170" s="27" t="n"/>
      <c r="E170" s="27" t="n"/>
      <c r="F170" s="28" t="n"/>
      <c r="G170" s="14">
        <f>IF($D170="","",IFERROR(INDEX(Einstellungen!$B$4:$B$40,MATCH($D170,Einstellungen!$A$4:$A$40,0)),"?"))</f>
        <v/>
      </c>
      <c r="H170" s="27" t="n"/>
      <c r="I170" s="11">
        <f>IF($F170="","",IF($G170="Einnahme",$F170,-$F170))</f>
        <v/>
      </c>
    </row>
    <row r="171" ht="15" customHeight="1" s="52">
      <c r="A171" s="20" t="n"/>
      <c r="B171" s="21">
        <f>IF($A171="","",YEAR($A171))</f>
        <v/>
      </c>
      <c r="C171" s="21">
        <f>IF($A171="","",MONTH($A171))</f>
        <v/>
      </c>
      <c r="D171" s="22" t="n"/>
      <c r="E171" s="22" t="n"/>
      <c r="F171" s="23" t="n"/>
      <c r="G171" s="24">
        <f>IF($D171="","",IFERROR(INDEX(Einstellungen!$B$4:$B$40,MATCH($D171,Einstellungen!$A$4:$A$40,0)),"?"))</f>
        <v/>
      </c>
      <c r="H171" s="22" t="n"/>
      <c r="I171" s="25">
        <f>IF($F171="","",IF($G171="Einnahme",$F171,-$F171))</f>
        <v/>
      </c>
    </row>
    <row r="172" ht="15" customHeight="1" s="52">
      <c r="A172" s="26" t="n"/>
      <c r="B172" s="17">
        <f>IF($A172="","",YEAR($A172))</f>
        <v/>
      </c>
      <c r="C172" s="17">
        <f>IF($A172="","",MONTH($A172))</f>
        <v/>
      </c>
      <c r="D172" s="27" t="n"/>
      <c r="E172" s="27" t="n"/>
      <c r="F172" s="28" t="n"/>
      <c r="G172" s="14">
        <f>IF($D172="","",IFERROR(INDEX(Einstellungen!$B$4:$B$40,MATCH($D172,Einstellungen!$A$4:$A$40,0)),"?"))</f>
        <v/>
      </c>
      <c r="H172" s="27" t="n"/>
      <c r="I172" s="11">
        <f>IF($F172="","",IF($G172="Einnahme",$F172,-$F172))</f>
        <v/>
      </c>
    </row>
    <row r="173" ht="15" customHeight="1" s="52">
      <c r="A173" s="20" t="n"/>
      <c r="B173" s="21">
        <f>IF($A173="","",YEAR($A173))</f>
        <v/>
      </c>
      <c r="C173" s="21">
        <f>IF($A173="","",MONTH($A173))</f>
        <v/>
      </c>
      <c r="D173" s="22" t="n"/>
      <c r="E173" s="22" t="n"/>
      <c r="F173" s="23" t="n"/>
      <c r="G173" s="24">
        <f>IF($D173="","",IFERROR(INDEX(Einstellungen!$B$4:$B$40,MATCH($D173,Einstellungen!$A$4:$A$40,0)),"?"))</f>
        <v/>
      </c>
      <c r="H173" s="22" t="n"/>
      <c r="I173" s="25">
        <f>IF($F173="","",IF($G173="Einnahme",$F173,-$F173))</f>
        <v/>
      </c>
    </row>
    <row r="174" ht="15" customHeight="1" s="52">
      <c r="A174" s="26" t="n"/>
      <c r="B174" s="17">
        <f>IF($A174="","",YEAR($A174))</f>
        <v/>
      </c>
      <c r="C174" s="17">
        <f>IF($A174="","",MONTH($A174))</f>
        <v/>
      </c>
      <c r="D174" s="27" t="n"/>
      <c r="E174" s="27" t="n"/>
      <c r="F174" s="28" t="n"/>
      <c r="G174" s="14">
        <f>IF($D174="","",IFERROR(INDEX(Einstellungen!$B$4:$B$40,MATCH($D174,Einstellungen!$A$4:$A$40,0)),"?"))</f>
        <v/>
      </c>
      <c r="H174" s="27" t="n"/>
      <c r="I174" s="11">
        <f>IF($F174="","",IF($G174="Einnahme",$F174,-$F174))</f>
        <v/>
      </c>
    </row>
    <row r="175" ht="15" customHeight="1" s="52">
      <c r="A175" s="20" t="n"/>
      <c r="B175" s="21">
        <f>IF($A175="","",YEAR($A175))</f>
        <v/>
      </c>
      <c r="C175" s="21">
        <f>IF($A175="","",MONTH($A175))</f>
        <v/>
      </c>
      <c r="D175" s="22" t="n"/>
      <c r="E175" s="22" t="n"/>
      <c r="F175" s="23" t="n"/>
      <c r="G175" s="24">
        <f>IF($D175="","",IFERROR(INDEX(Einstellungen!$B$4:$B$40,MATCH($D175,Einstellungen!$A$4:$A$40,0)),"?"))</f>
        <v/>
      </c>
      <c r="H175" s="22" t="n"/>
      <c r="I175" s="25">
        <f>IF($F175="","",IF($G175="Einnahme",$F175,-$F175))</f>
        <v/>
      </c>
    </row>
    <row r="176" ht="15" customHeight="1" s="52">
      <c r="A176" s="26" t="n"/>
      <c r="B176" s="17">
        <f>IF($A176="","",YEAR($A176))</f>
        <v/>
      </c>
      <c r="C176" s="17">
        <f>IF($A176="","",MONTH($A176))</f>
        <v/>
      </c>
      <c r="D176" s="27" t="n"/>
      <c r="E176" s="27" t="n"/>
      <c r="F176" s="28" t="n"/>
      <c r="G176" s="14">
        <f>IF($D176="","",IFERROR(INDEX(Einstellungen!$B$4:$B$40,MATCH($D176,Einstellungen!$A$4:$A$40,0)),"?"))</f>
        <v/>
      </c>
      <c r="H176" s="27" t="n"/>
      <c r="I176" s="11">
        <f>IF($F176="","",IF($G176="Einnahme",$F176,-$F176))</f>
        <v/>
      </c>
    </row>
    <row r="177" ht="15" customHeight="1" s="52">
      <c r="A177" s="20" t="n"/>
      <c r="B177" s="21">
        <f>IF($A177="","",YEAR($A177))</f>
        <v/>
      </c>
      <c r="C177" s="21">
        <f>IF($A177="","",MONTH($A177))</f>
        <v/>
      </c>
      <c r="D177" s="22" t="n"/>
      <c r="E177" s="22" t="n"/>
      <c r="F177" s="23" t="n"/>
      <c r="G177" s="24">
        <f>IF($D177="","",IFERROR(INDEX(Einstellungen!$B$4:$B$40,MATCH($D177,Einstellungen!$A$4:$A$40,0)),"?"))</f>
        <v/>
      </c>
      <c r="H177" s="22" t="n"/>
      <c r="I177" s="25">
        <f>IF($F177="","",IF($G177="Einnahme",$F177,-$F177))</f>
        <v/>
      </c>
    </row>
    <row r="178" ht="15" customHeight="1" s="52">
      <c r="A178" s="26" t="n"/>
      <c r="B178" s="17">
        <f>IF($A178="","",YEAR($A178))</f>
        <v/>
      </c>
      <c r="C178" s="17">
        <f>IF($A178="","",MONTH($A178))</f>
        <v/>
      </c>
      <c r="D178" s="27" t="n"/>
      <c r="E178" s="27" t="n"/>
      <c r="F178" s="28" t="n"/>
      <c r="G178" s="14">
        <f>IF($D178="","",IFERROR(INDEX(Einstellungen!$B$4:$B$40,MATCH($D178,Einstellungen!$A$4:$A$40,0)),"?"))</f>
        <v/>
      </c>
      <c r="H178" s="27" t="n"/>
      <c r="I178" s="11">
        <f>IF($F178="","",IF($G178="Einnahme",$F178,-$F178))</f>
        <v/>
      </c>
    </row>
    <row r="179" ht="15" customHeight="1" s="52">
      <c r="A179" s="20" t="n"/>
      <c r="B179" s="21">
        <f>IF($A179="","",YEAR($A179))</f>
        <v/>
      </c>
      <c r="C179" s="21">
        <f>IF($A179="","",MONTH($A179))</f>
        <v/>
      </c>
      <c r="D179" s="22" t="n"/>
      <c r="E179" s="22" t="n"/>
      <c r="F179" s="23" t="n"/>
      <c r="G179" s="24">
        <f>IF($D179="","",IFERROR(INDEX(Einstellungen!$B$4:$B$40,MATCH($D179,Einstellungen!$A$4:$A$40,0)),"?"))</f>
        <v/>
      </c>
      <c r="H179" s="22" t="n"/>
      <c r="I179" s="25">
        <f>IF($F179="","",IF($G179="Einnahme",$F179,-$F179))</f>
        <v/>
      </c>
    </row>
    <row r="180" ht="15" customHeight="1" s="52">
      <c r="A180" s="26" t="n"/>
      <c r="B180" s="17">
        <f>IF($A180="","",YEAR($A180))</f>
        <v/>
      </c>
      <c r="C180" s="17">
        <f>IF($A180="","",MONTH($A180))</f>
        <v/>
      </c>
      <c r="D180" s="27" t="n"/>
      <c r="E180" s="27" t="n"/>
      <c r="F180" s="28" t="n"/>
      <c r="G180" s="14">
        <f>IF($D180="","",IFERROR(INDEX(Einstellungen!$B$4:$B$40,MATCH($D180,Einstellungen!$A$4:$A$40,0)),"?"))</f>
        <v/>
      </c>
      <c r="H180" s="27" t="n"/>
      <c r="I180" s="11">
        <f>IF($F180="","",IF($G180="Einnahme",$F180,-$F180))</f>
        <v/>
      </c>
    </row>
    <row r="181" ht="15" customHeight="1" s="52">
      <c r="A181" s="20" t="n"/>
      <c r="B181" s="21">
        <f>IF($A181="","",YEAR($A181))</f>
        <v/>
      </c>
      <c r="C181" s="21">
        <f>IF($A181="","",MONTH($A181))</f>
        <v/>
      </c>
      <c r="D181" s="22" t="n"/>
      <c r="E181" s="22" t="n"/>
      <c r="F181" s="23" t="n"/>
      <c r="G181" s="24">
        <f>IF($D181="","",IFERROR(INDEX(Einstellungen!$B$4:$B$40,MATCH($D181,Einstellungen!$A$4:$A$40,0)),"?"))</f>
        <v/>
      </c>
      <c r="H181" s="22" t="n"/>
      <c r="I181" s="25">
        <f>IF($F181="","",IF($G181="Einnahme",$F181,-$F181))</f>
        <v/>
      </c>
    </row>
    <row r="182" ht="15" customHeight="1" s="52">
      <c r="A182" s="26" t="n"/>
      <c r="B182" s="17">
        <f>IF($A182="","",YEAR($A182))</f>
        <v/>
      </c>
      <c r="C182" s="17">
        <f>IF($A182="","",MONTH($A182))</f>
        <v/>
      </c>
      <c r="D182" s="27" t="n"/>
      <c r="E182" s="27" t="n"/>
      <c r="F182" s="28" t="n"/>
      <c r="G182" s="14">
        <f>IF($D182="","",IFERROR(INDEX(Einstellungen!$B$4:$B$40,MATCH($D182,Einstellungen!$A$4:$A$40,0)),"?"))</f>
        <v/>
      </c>
      <c r="H182" s="27" t="n"/>
      <c r="I182" s="11">
        <f>IF($F182="","",IF($G182="Einnahme",$F182,-$F182))</f>
        <v/>
      </c>
    </row>
    <row r="183" ht="15" customHeight="1" s="52">
      <c r="A183" s="20" t="n"/>
      <c r="B183" s="21">
        <f>IF($A183="","",YEAR($A183))</f>
        <v/>
      </c>
      <c r="C183" s="21">
        <f>IF($A183="","",MONTH($A183))</f>
        <v/>
      </c>
      <c r="D183" s="22" t="n"/>
      <c r="E183" s="22" t="n"/>
      <c r="F183" s="23" t="n"/>
      <c r="G183" s="24">
        <f>IF($D183="","",IFERROR(INDEX(Einstellungen!$B$4:$B$40,MATCH($D183,Einstellungen!$A$4:$A$40,0)),"?"))</f>
        <v/>
      </c>
      <c r="H183" s="22" t="n"/>
      <c r="I183" s="25">
        <f>IF($F183="","",IF($G183="Einnahme",$F183,-$F183))</f>
        <v/>
      </c>
    </row>
    <row r="184" ht="15" customHeight="1" s="52">
      <c r="A184" s="26" t="n"/>
      <c r="B184" s="17">
        <f>IF($A184="","",YEAR($A184))</f>
        <v/>
      </c>
      <c r="C184" s="17">
        <f>IF($A184="","",MONTH($A184))</f>
        <v/>
      </c>
      <c r="D184" s="27" t="n"/>
      <c r="E184" s="27" t="n"/>
      <c r="F184" s="28" t="n"/>
      <c r="G184" s="14">
        <f>IF($D184="","",IFERROR(INDEX(Einstellungen!$B$4:$B$40,MATCH($D184,Einstellungen!$A$4:$A$40,0)),"?"))</f>
        <v/>
      </c>
      <c r="H184" s="27" t="n"/>
      <c r="I184" s="11">
        <f>IF($F184="","",IF($G184="Einnahme",$F184,-$F184))</f>
        <v/>
      </c>
    </row>
    <row r="185" ht="15" customHeight="1" s="52">
      <c r="A185" s="20" t="n"/>
      <c r="B185" s="21">
        <f>IF($A185="","",YEAR($A185))</f>
        <v/>
      </c>
      <c r="C185" s="21">
        <f>IF($A185="","",MONTH($A185))</f>
        <v/>
      </c>
      <c r="D185" s="22" t="n"/>
      <c r="E185" s="22" t="n"/>
      <c r="F185" s="23" t="n"/>
      <c r="G185" s="24">
        <f>IF($D185="","",IFERROR(INDEX(Einstellungen!$B$4:$B$40,MATCH($D185,Einstellungen!$A$4:$A$40,0)),"?"))</f>
        <v/>
      </c>
      <c r="H185" s="22" t="n"/>
      <c r="I185" s="25">
        <f>IF($F185="","",IF($G185="Einnahme",$F185,-$F185))</f>
        <v/>
      </c>
    </row>
    <row r="186" ht="15" customHeight="1" s="52">
      <c r="A186" s="26" t="n"/>
      <c r="B186" s="17">
        <f>IF($A186="","",YEAR($A186))</f>
        <v/>
      </c>
      <c r="C186" s="17">
        <f>IF($A186="","",MONTH($A186))</f>
        <v/>
      </c>
      <c r="D186" s="27" t="n"/>
      <c r="E186" s="27" t="n"/>
      <c r="F186" s="28" t="n"/>
      <c r="G186" s="14">
        <f>IF($D186="","",IFERROR(INDEX(Einstellungen!$B$4:$B$40,MATCH($D186,Einstellungen!$A$4:$A$40,0)),"?"))</f>
        <v/>
      </c>
      <c r="H186" s="27" t="n"/>
      <c r="I186" s="11">
        <f>IF($F186="","",IF($G186="Einnahme",$F186,-$F186))</f>
        <v/>
      </c>
    </row>
    <row r="187" ht="15" customHeight="1" s="52">
      <c r="A187" s="20" t="n"/>
      <c r="B187" s="21">
        <f>IF($A187="","",YEAR($A187))</f>
        <v/>
      </c>
      <c r="C187" s="21">
        <f>IF($A187="","",MONTH($A187))</f>
        <v/>
      </c>
      <c r="D187" s="22" t="n"/>
      <c r="E187" s="22" t="n"/>
      <c r="F187" s="23" t="n"/>
      <c r="G187" s="24">
        <f>IF($D187="","",IFERROR(INDEX(Einstellungen!$B$4:$B$40,MATCH($D187,Einstellungen!$A$4:$A$40,0)),"?"))</f>
        <v/>
      </c>
      <c r="H187" s="22" t="n"/>
      <c r="I187" s="25">
        <f>IF($F187="","",IF($G187="Einnahme",$F187,-$F187))</f>
        <v/>
      </c>
    </row>
    <row r="188" ht="15" customHeight="1" s="52">
      <c r="A188" s="26" t="n"/>
      <c r="B188" s="17">
        <f>IF($A188="","",YEAR($A188))</f>
        <v/>
      </c>
      <c r="C188" s="17">
        <f>IF($A188="","",MONTH($A188))</f>
        <v/>
      </c>
      <c r="D188" s="27" t="n"/>
      <c r="E188" s="27" t="n"/>
      <c r="F188" s="28" t="n"/>
      <c r="G188" s="14">
        <f>IF($D188="","",IFERROR(INDEX(Einstellungen!$B$4:$B$40,MATCH($D188,Einstellungen!$A$4:$A$40,0)),"?"))</f>
        <v/>
      </c>
      <c r="H188" s="27" t="n"/>
      <c r="I188" s="11">
        <f>IF($F188="","",IF($G188="Einnahme",$F188,-$F188))</f>
        <v/>
      </c>
    </row>
    <row r="189" ht="15" customHeight="1" s="52">
      <c r="A189" s="20" t="n"/>
      <c r="B189" s="21">
        <f>IF($A189="","",YEAR($A189))</f>
        <v/>
      </c>
      <c r="C189" s="21">
        <f>IF($A189="","",MONTH($A189))</f>
        <v/>
      </c>
      <c r="D189" s="22" t="n"/>
      <c r="E189" s="22" t="n"/>
      <c r="F189" s="23" t="n"/>
      <c r="G189" s="24">
        <f>IF($D189="","",IFERROR(INDEX(Einstellungen!$B$4:$B$40,MATCH($D189,Einstellungen!$A$4:$A$40,0)),"?"))</f>
        <v/>
      </c>
      <c r="H189" s="22" t="n"/>
      <c r="I189" s="25">
        <f>IF($F189="","",IF($G189="Einnahme",$F189,-$F189))</f>
        <v/>
      </c>
    </row>
    <row r="190" ht="15" customHeight="1" s="52">
      <c r="A190" s="26" t="n"/>
      <c r="B190" s="17">
        <f>IF($A190="","",YEAR($A190))</f>
        <v/>
      </c>
      <c r="C190" s="17">
        <f>IF($A190="","",MONTH($A190))</f>
        <v/>
      </c>
      <c r="D190" s="27" t="n"/>
      <c r="E190" s="27" t="n"/>
      <c r="F190" s="28" t="n"/>
      <c r="G190" s="14">
        <f>IF($D190="","",IFERROR(INDEX(Einstellungen!$B$4:$B$40,MATCH($D190,Einstellungen!$A$4:$A$40,0)),"?"))</f>
        <v/>
      </c>
      <c r="H190" s="27" t="n"/>
      <c r="I190" s="11">
        <f>IF($F190="","",IF($G190="Einnahme",$F190,-$F190))</f>
        <v/>
      </c>
    </row>
    <row r="191" ht="15" customHeight="1" s="52">
      <c r="A191" s="20" t="n"/>
      <c r="B191" s="21">
        <f>IF($A191="","",YEAR($A191))</f>
        <v/>
      </c>
      <c r="C191" s="21">
        <f>IF($A191="","",MONTH($A191))</f>
        <v/>
      </c>
      <c r="D191" s="22" t="n"/>
      <c r="E191" s="22" t="n"/>
      <c r="F191" s="23" t="n"/>
      <c r="G191" s="24">
        <f>IF($D191="","",IFERROR(INDEX(Einstellungen!$B$4:$B$40,MATCH($D191,Einstellungen!$A$4:$A$40,0)),"?"))</f>
        <v/>
      </c>
      <c r="H191" s="22" t="n"/>
      <c r="I191" s="25">
        <f>IF($F191="","",IF($G191="Einnahme",$F191,-$F191))</f>
        <v/>
      </c>
    </row>
    <row r="192" ht="15" customHeight="1" s="52">
      <c r="A192" s="26" t="n"/>
      <c r="B192" s="17">
        <f>IF($A192="","",YEAR($A192))</f>
        <v/>
      </c>
      <c r="C192" s="17">
        <f>IF($A192="","",MONTH($A192))</f>
        <v/>
      </c>
      <c r="D192" s="27" t="n"/>
      <c r="E192" s="27" t="n"/>
      <c r="F192" s="28" t="n"/>
      <c r="G192" s="14">
        <f>IF($D192="","",IFERROR(INDEX(Einstellungen!$B$4:$B$40,MATCH($D192,Einstellungen!$A$4:$A$40,0)),"?"))</f>
        <v/>
      </c>
      <c r="H192" s="27" t="n"/>
      <c r="I192" s="11">
        <f>IF($F192="","",IF($G192="Einnahme",$F192,-$F192))</f>
        <v/>
      </c>
    </row>
    <row r="193" ht="15" customHeight="1" s="52">
      <c r="A193" s="20" t="n"/>
      <c r="B193" s="21">
        <f>IF($A193="","",YEAR($A193))</f>
        <v/>
      </c>
      <c r="C193" s="21">
        <f>IF($A193="","",MONTH($A193))</f>
        <v/>
      </c>
      <c r="D193" s="22" t="n"/>
      <c r="E193" s="22" t="n"/>
      <c r="F193" s="23" t="n"/>
      <c r="G193" s="24">
        <f>IF($D193="","",IFERROR(INDEX(Einstellungen!$B$4:$B$40,MATCH($D193,Einstellungen!$A$4:$A$40,0)),"?"))</f>
        <v/>
      </c>
      <c r="H193" s="22" t="n"/>
      <c r="I193" s="25">
        <f>IF($F193="","",IF($G193="Einnahme",$F193,-$F193))</f>
        <v/>
      </c>
    </row>
    <row r="194" ht="15" customHeight="1" s="52">
      <c r="A194" s="26" t="n"/>
      <c r="B194" s="17">
        <f>IF($A194="","",YEAR($A194))</f>
        <v/>
      </c>
      <c r="C194" s="17">
        <f>IF($A194="","",MONTH($A194))</f>
        <v/>
      </c>
      <c r="D194" s="27" t="n"/>
      <c r="E194" s="27" t="n"/>
      <c r="F194" s="28" t="n"/>
      <c r="G194" s="14">
        <f>IF($D194="","",IFERROR(INDEX(Einstellungen!$B$4:$B$40,MATCH($D194,Einstellungen!$A$4:$A$40,0)),"?"))</f>
        <v/>
      </c>
      <c r="H194" s="27" t="n"/>
      <c r="I194" s="11">
        <f>IF($F194="","",IF($G194="Einnahme",$F194,-$F194))</f>
        <v/>
      </c>
    </row>
    <row r="195" ht="15" customHeight="1" s="52">
      <c r="A195" s="20" t="n"/>
      <c r="B195" s="21">
        <f>IF($A195="","",YEAR($A195))</f>
        <v/>
      </c>
      <c r="C195" s="21">
        <f>IF($A195="","",MONTH($A195))</f>
        <v/>
      </c>
      <c r="D195" s="22" t="n"/>
      <c r="E195" s="22" t="n"/>
      <c r="F195" s="23" t="n"/>
      <c r="G195" s="24">
        <f>IF($D195="","",IFERROR(INDEX(Einstellungen!$B$4:$B$40,MATCH($D195,Einstellungen!$A$4:$A$40,0)),"?"))</f>
        <v/>
      </c>
      <c r="H195" s="22" t="n"/>
      <c r="I195" s="25">
        <f>IF($F195="","",IF($G195="Einnahme",$F195,-$F195))</f>
        <v/>
      </c>
    </row>
    <row r="196" ht="15" customHeight="1" s="52">
      <c r="A196" s="26" t="n"/>
      <c r="B196" s="17">
        <f>IF($A196="","",YEAR($A196))</f>
        <v/>
      </c>
      <c r="C196" s="17">
        <f>IF($A196="","",MONTH($A196))</f>
        <v/>
      </c>
      <c r="D196" s="27" t="n"/>
      <c r="E196" s="27" t="n"/>
      <c r="F196" s="28" t="n"/>
      <c r="G196" s="14">
        <f>IF($D196="","",IFERROR(INDEX(Einstellungen!$B$4:$B$40,MATCH($D196,Einstellungen!$A$4:$A$40,0)),"?"))</f>
        <v/>
      </c>
      <c r="H196" s="27" t="n"/>
      <c r="I196" s="11">
        <f>IF($F196="","",IF($G196="Einnahme",$F196,-$F196))</f>
        <v/>
      </c>
    </row>
    <row r="197" ht="15" customHeight="1" s="52">
      <c r="A197" s="20" t="n"/>
      <c r="B197" s="21">
        <f>IF($A197="","",YEAR($A197))</f>
        <v/>
      </c>
      <c r="C197" s="21">
        <f>IF($A197="","",MONTH($A197))</f>
        <v/>
      </c>
      <c r="D197" s="22" t="n"/>
      <c r="E197" s="22" t="n"/>
      <c r="F197" s="23" t="n"/>
      <c r="G197" s="24">
        <f>IF($D197="","",IFERROR(INDEX(Einstellungen!$B$4:$B$40,MATCH($D197,Einstellungen!$A$4:$A$40,0)),"?"))</f>
        <v/>
      </c>
      <c r="H197" s="22" t="n"/>
      <c r="I197" s="25">
        <f>IF($F197="","",IF($G197="Einnahme",$F197,-$F197))</f>
        <v/>
      </c>
    </row>
    <row r="198" ht="15" customHeight="1" s="52">
      <c r="A198" s="26" t="n"/>
      <c r="B198" s="17">
        <f>IF($A198="","",YEAR($A198))</f>
        <v/>
      </c>
      <c r="C198" s="17">
        <f>IF($A198="","",MONTH($A198))</f>
        <v/>
      </c>
      <c r="D198" s="27" t="n"/>
      <c r="E198" s="27" t="n"/>
      <c r="F198" s="28" t="n"/>
      <c r="G198" s="14">
        <f>IF($D198="","",IFERROR(INDEX(Einstellungen!$B$4:$B$40,MATCH($D198,Einstellungen!$A$4:$A$40,0)),"?"))</f>
        <v/>
      </c>
      <c r="H198" s="27" t="n"/>
      <c r="I198" s="11">
        <f>IF($F198="","",IF($G198="Einnahme",$F198,-$F198))</f>
        <v/>
      </c>
    </row>
    <row r="199" ht="15" customHeight="1" s="52">
      <c r="A199" s="20" t="n"/>
      <c r="B199" s="21">
        <f>IF($A199="","",YEAR($A199))</f>
        <v/>
      </c>
      <c r="C199" s="21">
        <f>IF($A199="","",MONTH($A199))</f>
        <v/>
      </c>
      <c r="D199" s="22" t="n"/>
      <c r="E199" s="22" t="n"/>
      <c r="F199" s="23" t="n"/>
      <c r="G199" s="24">
        <f>IF($D199="","",IFERROR(INDEX(Einstellungen!$B$4:$B$40,MATCH($D199,Einstellungen!$A$4:$A$40,0)),"?"))</f>
        <v/>
      </c>
      <c r="H199" s="22" t="n"/>
      <c r="I199" s="25">
        <f>IF($F199="","",IF($G199="Einnahme",$F199,-$F199))</f>
        <v/>
      </c>
    </row>
    <row r="200" ht="15" customHeight="1" s="52">
      <c r="A200" s="26" t="n"/>
      <c r="B200" s="17">
        <f>IF($A200="","",YEAR($A200))</f>
        <v/>
      </c>
      <c r="C200" s="17">
        <f>IF($A200="","",MONTH($A200))</f>
        <v/>
      </c>
      <c r="D200" s="27" t="n"/>
      <c r="E200" s="27" t="n"/>
      <c r="F200" s="28" t="n"/>
      <c r="G200" s="14">
        <f>IF($D200="","",IFERROR(INDEX(Einstellungen!$B$4:$B$40,MATCH($D200,Einstellungen!$A$4:$A$40,0)),"?"))</f>
        <v/>
      </c>
      <c r="H200" s="27" t="n"/>
      <c r="I200" s="11">
        <f>IF($F200="","",IF($G200="Einnahme",$F200,-$F200))</f>
        <v/>
      </c>
    </row>
    <row r="201" ht="15" customHeight="1" s="52">
      <c r="A201" s="20" t="n"/>
      <c r="B201" s="21">
        <f>IF($A201="","",YEAR($A201))</f>
        <v/>
      </c>
      <c r="C201" s="21">
        <f>IF($A201="","",MONTH($A201))</f>
        <v/>
      </c>
      <c r="D201" s="22" t="n"/>
      <c r="E201" s="22" t="n"/>
      <c r="F201" s="23" t="n"/>
      <c r="G201" s="24">
        <f>IF($D201="","",IFERROR(INDEX(Einstellungen!$B$4:$B$40,MATCH($D201,Einstellungen!$A$4:$A$40,0)),"?"))</f>
        <v/>
      </c>
      <c r="H201" s="22" t="n"/>
      <c r="I201" s="25">
        <f>IF($F201="","",IF($G201="Einnahme",$F201,-$F201))</f>
        <v/>
      </c>
    </row>
    <row r="202" ht="15" customHeight="1" s="52">
      <c r="A202" s="26" t="n"/>
      <c r="B202" s="17">
        <f>IF($A202="","",YEAR($A202))</f>
        <v/>
      </c>
      <c r="C202" s="17">
        <f>IF($A202="","",MONTH($A202))</f>
        <v/>
      </c>
      <c r="D202" s="27" t="n"/>
      <c r="E202" s="27" t="n"/>
      <c r="F202" s="28" t="n"/>
      <c r="G202" s="14">
        <f>IF($D202="","",IFERROR(INDEX(Einstellungen!$B$4:$B$40,MATCH($D202,Einstellungen!$A$4:$A$40,0)),"?"))</f>
        <v/>
      </c>
      <c r="H202" s="27" t="n"/>
      <c r="I202" s="11">
        <f>IF($F202="","",IF($G202="Einnahme",$F202,-$F202))</f>
        <v/>
      </c>
    </row>
    <row r="203" ht="15" customHeight="1" s="52">
      <c r="A203" s="20" t="n"/>
      <c r="B203" s="21">
        <f>IF($A203="","",YEAR($A203))</f>
        <v/>
      </c>
      <c r="C203" s="21">
        <f>IF($A203="","",MONTH($A203))</f>
        <v/>
      </c>
      <c r="D203" s="22" t="n"/>
      <c r="E203" s="22" t="n"/>
      <c r="F203" s="23" t="n"/>
      <c r="G203" s="24">
        <f>IF($D203="","",IFERROR(INDEX(Einstellungen!$B$4:$B$40,MATCH($D203,Einstellungen!$A$4:$A$40,0)),"?"))</f>
        <v/>
      </c>
      <c r="H203" s="22" t="n"/>
      <c r="I203" s="25">
        <f>IF($F203="","",IF($G203="Einnahme",$F203,-$F203))</f>
        <v/>
      </c>
    </row>
    <row r="204" ht="15" customHeight="1" s="52">
      <c r="A204" s="26" t="n"/>
      <c r="B204" s="17">
        <f>IF($A204="","",YEAR($A204))</f>
        <v/>
      </c>
      <c r="C204" s="17">
        <f>IF($A204="","",MONTH($A204))</f>
        <v/>
      </c>
      <c r="D204" s="27" t="n"/>
      <c r="E204" s="27" t="n"/>
      <c r="F204" s="28" t="n"/>
      <c r="G204" s="14">
        <f>IF($D204="","",IFERROR(INDEX(Einstellungen!$B$4:$B$40,MATCH($D204,Einstellungen!$A$4:$A$40,0)),"?"))</f>
        <v/>
      </c>
      <c r="H204" s="27" t="n"/>
      <c r="I204" s="11">
        <f>IF($F204="","",IF($G204="Einnahme",$F204,-$F204))</f>
        <v/>
      </c>
    </row>
    <row r="205" ht="15" customHeight="1" s="52">
      <c r="A205" s="20" t="n"/>
      <c r="B205" s="21">
        <f>IF($A205="","",YEAR($A205))</f>
        <v/>
      </c>
      <c r="C205" s="21">
        <f>IF($A205="","",MONTH($A205))</f>
        <v/>
      </c>
      <c r="D205" s="22" t="n"/>
      <c r="E205" s="22" t="n"/>
      <c r="F205" s="23" t="n"/>
      <c r="G205" s="24">
        <f>IF($D205="","",IFERROR(INDEX(Einstellungen!$B$4:$B$40,MATCH($D205,Einstellungen!$A$4:$A$40,0)),"?"))</f>
        <v/>
      </c>
      <c r="H205" s="22" t="n"/>
      <c r="I205" s="25">
        <f>IF($F205="","",IF($G205="Einnahme",$F205,-$F205))</f>
        <v/>
      </c>
    </row>
    <row r="206" ht="15" customHeight="1" s="52">
      <c r="A206" s="26" t="n"/>
      <c r="B206" s="17">
        <f>IF($A206="","",YEAR($A206))</f>
        <v/>
      </c>
      <c r="C206" s="17">
        <f>IF($A206="","",MONTH($A206))</f>
        <v/>
      </c>
      <c r="D206" s="27" t="n"/>
      <c r="E206" s="27" t="n"/>
      <c r="F206" s="28" t="n"/>
      <c r="G206" s="14">
        <f>IF($D206="","",IFERROR(INDEX(Einstellungen!$B$4:$B$40,MATCH($D206,Einstellungen!$A$4:$A$40,0)),"?"))</f>
        <v/>
      </c>
      <c r="H206" s="27" t="n"/>
      <c r="I206" s="11">
        <f>IF($F206="","",IF($G206="Einnahme",$F206,-$F206))</f>
        <v/>
      </c>
    </row>
    <row r="207" ht="15" customHeight="1" s="52">
      <c r="A207" s="20" t="n"/>
      <c r="B207" s="21">
        <f>IF($A207="","",YEAR($A207))</f>
        <v/>
      </c>
      <c r="C207" s="21">
        <f>IF($A207="","",MONTH($A207))</f>
        <v/>
      </c>
      <c r="D207" s="22" t="n"/>
      <c r="E207" s="22" t="n"/>
      <c r="F207" s="23" t="n"/>
      <c r="G207" s="24">
        <f>IF($D207="","",IFERROR(INDEX(Einstellungen!$B$4:$B$40,MATCH($D207,Einstellungen!$A$4:$A$40,0)),"?"))</f>
        <v/>
      </c>
      <c r="H207" s="22" t="n"/>
      <c r="I207" s="25">
        <f>IF($F207="","",IF($G207="Einnahme",$F207,-$F207))</f>
        <v/>
      </c>
    </row>
    <row r="208" ht="15" customHeight="1" s="52">
      <c r="A208" s="26" t="n"/>
      <c r="B208" s="17">
        <f>IF($A208="","",YEAR($A208))</f>
        <v/>
      </c>
      <c r="C208" s="17">
        <f>IF($A208="","",MONTH($A208))</f>
        <v/>
      </c>
      <c r="D208" s="27" t="n"/>
      <c r="E208" s="27" t="n"/>
      <c r="F208" s="28" t="n"/>
      <c r="G208" s="14">
        <f>IF($D208="","",IFERROR(INDEX(Einstellungen!$B$4:$B$40,MATCH($D208,Einstellungen!$A$4:$A$40,0)),"?"))</f>
        <v/>
      </c>
      <c r="H208" s="27" t="n"/>
      <c r="I208" s="11">
        <f>IF($F208="","",IF($G208="Einnahme",$F208,-$F208))</f>
        <v/>
      </c>
    </row>
    <row r="209" ht="15" customHeight="1" s="52">
      <c r="A209" s="20" t="n"/>
      <c r="B209" s="21">
        <f>IF($A209="","",YEAR($A209))</f>
        <v/>
      </c>
      <c r="C209" s="21">
        <f>IF($A209="","",MONTH($A209))</f>
        <v/>
      </c>
      <c r="D209" s="22" t="n"/>
      <c r="E209" s="22" t="n"/>
      <c r="F209" s="23" t="n"/>
      <c r="G209" s="24">
        <f>IF($D209="","",IFERROR(INDEX(Einstellungen!$B$4:$B$40,MATCH($D209,Einstellungen!$A$4:$A$40,0)),"?"))</f>
        <v/>
      </c>
      <c r="H209" s="22" t="n"/>
      <c r="I209" s="25">
        <f>IF($F209="","",IF($G209="Einnahme",$F209,-$F209))</f>
        <v/>
      </c>
    </row>
    <row r="210" ht="15" customHeight="1" s="52">
      <c r="A210" s="26" t="n"/>
      <c r="B210" s="17">
        <f>IF($A210="","",YEAR($A210))</f>
        <v/>
      </c>
      <c r="C210" s="17">
        <f>IF($A210="","",MONTH($A210))</f>
        <v/>
      </c>
      <c r="D210" s="27" t="n"/>
      <c r="E210" s="27" t="n"/>
      <c r="F210" s="28" t="n"/>
      <c r="G210" s="14">
        <f>IF($D210="","",IFERROR(INDEX(Einstellungen!$B$4:$B$40,MATCH($D210,Einstellungen!$A$4:$A$40,0)),"?"))</f>
        <v/>
      </c>
      <c r="H210" s="27" t="n"/>
      <c r="I210" s="11">
        <f>IF($F210="","",IF($G210="Einnahme",$F210,-$F210))</f>
        <v/>
      </c>
    </row>
    <row r="211" ht="15" customHeight="1" s="52">
      <c r="A211" s="20" t="n"/>
      <c r="B211" s="21">
        <f>IF($A211="","",YEAR($A211))</f>
        <v/>
      </c>
      <c r="C211" s="21">
        <f>IF($A211="","",MONTH($A211))</f>
        <v/>
      </c>
      <c r="D211" s="22" t="n"/>
      <c r="E211" s="22" t="n"/>
      <c r="F211" s="23" t="n"/>
      <c r="G211" s="24">
        <f>IF($D211="","",IFERROR(INDEX(Einstellungen!$B$4:$B$40,MATCH($D211,Einstellungen!$A$4:$A$40,0)),"?"))</f>
        <v/>
      </c>
      <c r="H211" s="22" t="n"/>
      <c r="I211" s="25">
        <f>IF($F211="","",IF($G211="Einnahme",$F211,-$F211))</f>
        <v/>
      </c>
    </row>
    <row r="212" ht="15" customHeight="1" s="52">
      <c r="A212" s="26" t="n"/>
      <c r="B212" s="17">
        <f>IF($A212="","",YEAR($A212))</f>
        <v/>
      </c>
      <c r="C212" s="17">
        <f>IF($A212="","",MONTH($A212))</f>
        <v/>
      </c>
      <c r="D212" s="27" t="n"/>
      <c r="E212" s="27" t="n"/>
      <c r="F212" s="28" t="n"/>
      <c r="G212" s="14">
        <f>IF($D212="","",IFERROR(INDEX(Einstellungen!$B$4:$B$40,MATCH($D212,Einstellungen!$A$4:$A$40,0)),"?"))</f>
        <v/>
      </c>
      <c r="H212" s="27" t="n"/>
      <c r="I212" s="11">
        <f>IF($F212="","",IF($G212="Einnahme",$F212,-$F212))</f>
        <v/>
      </c>
    </row>
    <row r="213" ht="15" customHeight="1" s="52">
      <c r="A213" s="20" t="n"/>
      <c r="B213" s="21">
        <f>IF($A213="","",YEAR($A213))</f>
        <v/>
      </c>
      <c r="C213" s="21">
        <f>IF($A213="","",MONTH($A213))</f>
        <v/>
      </c>
      <c r="D213" s="22" t="n"/>
      <c r="E213" s="22" t="n"/>
      <c r="F213" s="23" t="n"/>
      <c r="G213" s="24">
        <f>IF($D213="","",IFERROR(INDEX(Einstellungen!$B$4:$B$40,MATCH($D213,Einstellungen!$A$4:$A$40,0)),"?"))</f>
        <v/>
      </c>
      <c r="H213" s="22" t="n"/>
      <c r="I213" s="25">
        <f>IF($F213="","",IF($G213="Einnahme",$F213,-$F213))</f>
        <v/>
      </c>
    </row>
    <row r="214" ht="15" customHeight="1" s="52">
      <c r="A214" s="26" t="n"/>
      <c r="B214" s="17">
        <f>IF($A214="","",YEAR($A214))</f>
        <v/>
      </c>
      <c r="C214" s="17">
        <f>IF($A214="","",MONTH($A214))</f>
        <v/>
      </c>
      <c r="D214" s="27" t="n"/>
      <c r="E214" s="27" t="n"/>
      <c r="F214" s="28" t="n"/>
      <c r="G214" s="14">
        <f>IF($D214="","",IFERROR(INDEX(Einstellungen!$B$4:$B$40,MATCH($D214,Einstellungen!$A$4:$A$40,0)),"?"))</f>
        <v/>
      </c>
      <c r="H214" s="27" t="n"/>
      <c r="I214" s="11">
        <f>IF($F214="","",IF($G214="Einnahme",$F214,-$F214))</f>
        <v/>
      </c>
    </row>
    <row r="215" ht="15" customHeight="1" s="52">
      <c r="A215" s="20" t="n"/>
      <c r="B215" s="21">
        <f>IF($A215="","",YEAR($A215))</f>
        <v/>
      </c>
      <c r="C215" s="21">
        <f>IF($A215="","",MONTH($A215))</f>
        <v/>
      </c>
      <c r="D215" s="22" t="n"/>
      <c r="E215" s="22" t="n"/>
      <c r="F215" s="23" t="n"/>
      <c r="G215" s="24">
        <f>IF($D215="","",IFERROR(INDEX(Einstellungen!$B$4:$B$40,MATCH($D215,Einstellungen!$A$4:$A$40,0)),"?"))</f>
        <v/>
      </c>
      <c r="H215" s="22" t="n"/>
      <c r="I215" s="25">
        <f>IF($F215="","",IF($G215="Einnahme",$F215,-$F215))</f>
        <v/>
      </c>
    </row>
    <row r="216" ht="15" customHeight="1" s="52">
      <c r="A216" s="26" t="n"/>
      <c r="B216" s="17">
        <f>IF($A216="","",YEAR($A216))</f>
        <v/>
      </c>
      <c r="C216" s="17">
        <f>IF($A216="","",MONTH($A216))</f>
        <v/>
      </c>
      <c r="D216" s="27" t="n"/>
      <c r="E216" s="27" t="n"/>
      <c r="F216" s="28" t="n"/>
      <c r="G216" s="14">
        <f>IF($D216="","",IFERROR(INDEX(Einstellungen!$B$4:$B$40,MATCH($D216,Einstellungen!$A$4:$A$40,0)),"?"))</f>
        <v/>
      </c>
      <c r="H216" s="27" t="n"/>
      <c r="I216" s="11">
        <f>IF($F216="","",IF($G216="Einnahme",$F216,-$F216))</f>
        <v/>
      </c>
    </row>
    <row r="217" ht="15" customHeight="1" s="52">
      <c r="A217" s="20" t="n"/>
      <c r="B217" s="21">
        <f>IF($A217="","",YEAR($A217))</f>
        <v/>
      </c>
      <c r="C217" s="21">
        <f>IF($A217="","",MONTH($A217))</f>
        <v/>
      </c>
      <c r="D217" s="22" t="n"/>
      <c r="E217" s="22" t="n"/>
      <c r="F217" s="23" t="n"/>
      <c r="G217" s="24">
        <f>IF($D217="","",IFERROR(INDEX(Einstellungen!$B$4:$B$40,MATCH($D217,Einstellungen!$A$4:$A$40,0)),"?"))</f>
        <v/>
      </c>
      <c r="H217" s="22" t="n"/>
      <c r="I217" s="25">
        <f>IF($F217="","",IF($G217="Einnahme",$F217,-$F217))</f>
        <v/>
      </c>
    </row>
    <row r="218" ht="15" customHeight="1" s="52">
      <c r="A218" s="26" t="n"/>
      <c r="B218" s="17">
        <f>IF($A218="","",YEAR($A218))</f>
        <v/>
      </c>
      <c r="C218" s="17">
        <f>IF($A218="","",MONTH($A218))</f>
        <v/>
      </c>
      <c r="D218" s="27" t="n"/>
      <c r="E218" s="27" t="n"/>
      <c r="F218" s="28" t="n"/>
      <c r="G218" s="14">
        <f>IF($D218="","",IFERROR(INDEX(Einstellungen!$B$4:$B$40,MATCH($D218,Einstellungen!$A$4:$A$40,0)),"?"))</f>
        <v/>
      </c>
      <c r="H218" s="27" t="n"/>
      <c r="I218" s="11">
        <f>IF($F218="","",IF($G218="Einnahme",$F218,-$F218))</f>
        <v/>
      </c>
    </row>
    <row r="219" ht="15" customHeight="1" s="52">
      <c r="A219" s="20" t="n"/>
      <c r="B219" s="21">
        <f>IF($A219="","",YEAR($A219))</f>
        <v/>
      </c>
      <c r="C219" s="21">
        <f>IF($A219="","",MONTH($A219))</f>
        <v/>
      </c>
      <c r="D219" s="22" t="n"/>
      <c r="E219" s="22" t="n"/>
      <c r="F219" s="23" t="n"/>
      <c r="G219" s="24">
        <f>IF($D219="","",IFERROR(INDEX(Einstellungen!$B$4:$B$40,MATCH($D219,Einstellungen!$A$4:$A$40,0)),"?"))</f>
        <v/>
      </c>
      <c r="H219" s="22" t="n"/>
      <c r="I219" s="25">
        <f>IF($F219="","",IF($G219="Einnahme",$F219,-$F219))</f>
        <v/>
      </c>
    </row>
    <row r="220" ht="15" customHeight="1" s="52">
      <c r="A220" s="26" t="n"/>
      <c r="B220" s="17">
        <f>IF($A220="","",YEAR($A220))</f>
        <v/>
      </c>
      <c r="C220" s="17">
        <f>IF($A220="","",MONTH($A220))</f>
        <v/>
      </c>
      <c r="D220" s="27" t="n"/>
      <c r="E220" s="27" t="n"/>
      <c r="F220" s="28" t="n"/>
      <c r="G220" s="14">
        <f>IF($D220="","",IFERROR(INDEX(Einstellungen!$B$4:$B$40,MATCH($D220,Einstellungen!$A$4:$A$40,0)),"?"))</f>
        <v/>
      </c>
      <c r="H220" s="27" t="n"/>
      <c r="I220" s="11">
        <f>IF($F220="","",IF($G220="Einnahme",$F220,-$F220))</f>
        <v/>
      </c>
    </row>
    <row r="221" ht="15" customHeight="1" s="52">
      <c r="A221" s="20" t="n"/>
      <c r="B221" s="21">
        <f>IF($A221="","",YEAR($A221))</f>
        <v/>
      </c>
      <c r="C221" s="21">
        <f>IF($A221="","",MONTH($A221))</f>
        <v/>
      </c>
      <c r="D221" s="22" t="n"/>
      <c r="E221" s="22" t="n"/>
      <c r="F221" s="23" t="n"/>
      <c r="G221" s="24">
        <f>IF($D221="","",IFERROR(INDEX(Einstellungen!$B$4:$B$40,MATCH($D221,Einstellungen!$A$4:$A$40,0)),"?"))</f>
        <v/>
      </c>
      <c r="H221" s="22" t="n"/>
      <c r="I221" s="25">
        <f>IF($F221="","",IF($G221="Einnahme",$F221,-$F221))</f>
        <v/>
      </c>
    </row>
    <row r="222" ht="15" customHeight="1" s="52">
      <c r="A222" s="26" t="n"/>
      <c r="B222" s="17">
        <f>IF($A222="","",YEAR($A222))</f>
        <v/>
      </c>
      <c r="C222" s="17">
        <f>IF($A222="","",MONTH($A222))</f>
        <v/>
      </c>
      <c r="D222" s="27" t="n"/>
      <c r="E222" s="27" t="n"/>
      <c r="F222" s="28" t="n"/>
      <c r="G222" s="14">
        <f>IF($D222="","",IFERROR(INDEX(Einstellungen!$B$4:$B$40,MATCH($D222,Einstellungen!$A$4:$A$40,0)),"?"))</f>
        <v/>
      </c>
      <c r="H222" s="27" t="n"/>
      <c r="I222" s="11">
        <f>IF($F222="","",IF($G222="Einnahme",$F222,-$F222))</f>
        <v/>
      </c>
    </row>
    <row r="223" ht="15" customHeight="1" s="52">
      <c r="A223" s="20" t="n"/>
      <c r="B223" s="21">
        <f>IF($A223="","",YEAR($A223))</f>
        <v/>
      </c>
      <c r="C223" s="21">
        <f>IF($A223="","",MONTH($A223))</f>
        <v/>
      </c>
      <c r="D223" s="22" t="n"/>
      <c r="E223" s="22" t="n"/>
      <c r="F223" s="23" t="n"/>
      <c r="G223" s="24">
        <f>IF($D223="","",IFERROR(INDEX(Einstellungen!$B$4:$B$40,MATCH($D223,Einstellungen!$A$4:$A$40,0)),"?"))</f>
        <v/>
      </c>
      <c r="H223" s="22" t="n"/>
      <c r="I223" s="25">
        <f>IF($F223="","",IF($G223="Einnahme",$F223,-$F223))</f>
        <v/>
      </c>
    </row>
    <row r="224" ht="15" customHeight="1" s="52">
      <c r="A224" s="26" t="n"/>
      <c r="B224" s="17">
        <f>IF($A224="","",YEAR($A224))</f>
        <v/>
      </c>
      <c r="C224" s="17">
        <f>IF($A224="","",MONTH($A224))</f>
        <v/>
      </c>
      <c r="D224" s="27" t="n"/>
      <c r="E224" s="27" t="n"/>
      <c r="F224" s="28" t="n"/>
      <c r="G224" s="14">
        <f>IF($D224="","",IFERROR(INDEX(Einstellungen!$B$4:$B$40,MATCH($D224,Einstellungen!$A$4:$A$40,0)),"?"))</f>
        <v/>
      </c>
      <c r="H224" s="27" t="n"/>
      <c r="I224" s="11">
        <f>IF($F224="","",IF($G224="Einnahme",$F224,-$F224))</f>
        <v/>
      </c>
    </row>
    <row r="225" ht="15" customHeight="1" s="52">
      <c r="A225" s="20" t="n"/>
      <c r="B225" s="21">
        <f>IF($A225="","",YEAR($A225))</f>
        <v/>
      </c>
      <c r="C225" s="21">
        <f>IF($A225="","",MONTH($A225))</f>
        <v/>
      </c>
      <c r="D225" s="22" t="n"/>
      <c r="E225" s="22" t="n"/>
      <c r="F225" s="23" t="n"/>
      <c r="G225" s="24">
        <f>IF($D225="","",IFERROR(INDEX(Einstellungen!$B$4:$B$40,MATCH($D225,Einstellungen!$A$4:$A$40,0)),"?"))</f>
        <v/>
      </c>
      <c r="H225" s="22" t="n"/>
      <c r="I225" s="25">
        <f>IF($F225="","",IF($G225="Einnahme",$F225,-$F225))</f>
        <v/>
      </c>
    </row>
    <row r="226" ht="15" customHeight="1" s="52">
      <c r="A226" s="26" t="n"/>
      <c r="B226" s="17">
        <f>IF($A226="","",YEAR($A226))</f>
        <v/>
      </c>
      <c r="C226" s="17">
        <f>IF($A226="","",MONTH($A226))</f>
        <v/>
      </c>
      <c r="D226" s="27" t="n"/>
      <c r="E226" s="27" t="n"/>
      <c r="F226" s="28" t="n"/>
      <c r="G226" s="14">
        <f>IF($D226="","",IFERROR(INDEX(Einstellungen!$B$4:$B$40,MATCH($D226,Einstellungen!$A$4:$A$40,0)),"?"))</f>
        <v/>
      </c>
      <c r="H226" s="27" t="n"/>
      <c r="I226" s="11">
        <f>IF($F226="","",IF($G226="Einnahme",$F226,-$F226))</f>
        <v/>
      </c>
    </row>
    <row r="227" ht="15" customHeight="1" s="52">
      <c r="A227" s="20" t="n"/>
      <c r="B227" s="21">
        <f>IF($A227="","",YEAR($A227))</f>
        <v/>
      </c>
      <c r="C227" s="21">
        <f>IF($A227="","",MONTH($A227))</f>
        <v/>
      </c>
      <c r="D227" s="22" t="n"/>
      <c r="E227" s="22" t="n"/>
      <c r="F227" s="23" t="n"/>
      <c r="G227" s="24">
        <f>IF($D227="","",IFERROR(INDEX(Einstellungen!$B$4:$B$40,MATCH($D227,Einstellungen!$A$4:$A$40,0)),"?"))</f>
        <v/>
      </c>
      <c r="H227" s="22" t="n"/>
      <c r="I227" s="25">
        <f>IF($F227="","",IF($G227="Einnahme",$F227,-$F227))</f>
        <v/>
      </c>
    </row>
    <row r="228" ht="15" customHeight="1" s="52">
      <c r="A228" s="26" t="n"/>
      <c r="B228" s="17">
        <f>IF($A228="","",YEAR($A228))</f>
        <v/>
      </c>
      <c r="C228" s="17">
        <f>IF($A228="","",MONTH($A228))</f>
        <v/>
      </c>
      <c r="D228" s="27" t="n"/>
      <c r="E228" s="27" t="n"/>
      <c r="F228" s="28" t="n"/>
      <c r="G228" s="14">
        <f>IF($D228="","",IFERROR(INDEX(Einstellungen!$B$4:$B$40,MATCH($D228,Einstellungen!$A$4:$A$40,0)),"?"))</f>
        <v/>
      </c>
      <c r="H228" s="27" t="n"/>
      <c r="I228" s="11">
        <f>IF($F228="","",IF($G228="Einnahme",$F228,-$F228))</f>
        <v/>
      </c>
    </row>
    <row r="229" ht="15" customHeight="1" s="52">
      <c r="A229" s="20" t="n"/>
      <c r="B229" s="21">
        <f>IF($A229="","",YEAR($A229))</f>
        <v/>
      </c>
      <c r="C229" s="21">
        <f>IF($A229="","",MONTH($A229))</f>
        <v/>
      </c>
      <c r="D229" s="22" t="n"/>
      <c r="E229" s="22" t="n"/>
      <c r="F229" s="23" t="n"/>
      <c r="G229" s="24">
        <f>IF($D229="","",IFERROR(INDEX(Einstellungen!$B$4:$B$40,MATCH($D229,Einstellungen!$A$4:$A$40,0)),"?"))</f>
        <v/>
      </c>
      <c r="H229" s="22" t="n"/>
      <c r="I229" s="25">
        <f>IF($F229="","",IF($G229="Einnahme",$F229,-$F229))</f>
        <v/>
      </c>
    </row>
    <row r="230" ht="15" customHeight="1" s="52">
      <c r="A230" s="26" t="n"/>
      <c r="B230" s="17">
        <f>IF($A230="","",YEAR($A230))</f>
        <v/>
      </c>
      <c r="C230" s="17">
        <f>IF($A230="","",MONTH($A230))</f>
        <v/>
      </c>
      <c r="D230" s="27" t="n"/>
      <c r="E230" s="27" t="n"/>
      <c r="F230" s="28" t="n"/>
      <c r="G230" s="14">
        <f>IF($D230="","",IFERROR(INDEX(Einstellungen!$B$4:$B$40,MATCH($D230,Einstellungen!$A$4:$A$40,0)),"?"))</f>
        <v/>
      </c>
      <c r="H230" s="27" t="n"/>
      <c r="I230" s="11">
        <f>IF($F230="","",IF($G230="Einnahme",$F230,-$F230))</f>
        <v/>
      </c>
    </row>
    <row r="231" ht="15" customHeight="1" s="52">
      <c r="A231" s="20" t="n"/>
      <c r="B231" s="21">
        <f>IF($A231="","",YEAR($A231))</f>
        <v/>
      </c>
      <c r="C231" s="21">
        <f>IF($A231="","",MONTH($A231))</f>
        <v/>
      </c>
      <c r="D231" s="22" t="n"/>
      <c r="E231" s="22" t="n"/>
      <c r="F231" s="23" t="n"/>
      <c r="G231" s="24">
        <f>IF($D231="","",IFERROR(INDEX(Einstellungen!$B$4:$B$40,MATCH($D231,Einstellungen!$A$4:$A$40,0)),"?"))</f>
        <v/>
      </c>
      <c r="H231" s="22" t="n"/>
      <c r="I231" s="25">
        <f>IF($F231="","",IF($G231="Einnahme",$F231,-$F231))</f>
        <v/>
      </c>
    </row>
    <row r="232" ht="15" customHeight="1" s="52">
      <c r="A232" s="26" t="n"/>
      <c r="B232" s="17">
        <f>IF($A232="","",YEAR($A232))</f>
        <v/>
      </c>
      <c r="C232" s="17">
        <f>IF($A232="","",MONTH($A232))</f>
        <v/>
      </c>
      <c r="D232" s="27" t="n"/>
      <c r="E232" s="27" t="n"/>
      <c r="F232" s="28" t="n"/>
      <c r="G232" s="14">
        <f>IF($D232="","",IFERROR(INDEX(Einstellungen!$B$4:$B$40,MATCH($D232,Einstellungen!$A$4:$A$40,0)),"?"))</f>
        <v/>
      </c>
      <c r="H232" s="27" t="n"/>
      <c r="I232" s="11">
        <f>IF($F232="","",IF($G232="Einnahme",$F232,-$F232))</f>
        <v/>
      </c>
    </row>
    <row r="233" ht="15" customHeight="1" s="52">
      <c r="A233" s="20" t="n"/>
      <c r="B233" s="21">
        <f>IF($A233="","",YEAR($A233))</f>
        <v/>
      </c>
      <c r="C233" s="21">
        <f>IF($A233="","",MONTH($A233))</f>
        <v/>
      </c>
      <c r="D233" s="22" t="n"/>
      <c r="E233" s="22" t="n"/>
      <c r="F233" s="23" t="n"/>
      <c r="G233" s="24">
        <f>IF($D233="","",IFERROR(INDEX(Einstellungen!$B$4:$B$40,MATCH($D233,Einstellungen!$A$4:$A$40,0)),"?"))</f>
        <v/>
      </c>
      <c r="H233" s="22" t="n"/>
      <c r="I233" s="25">
        <f>IF($F233="","",IF($G233="Einnahme",$F233,-$F233))</f>
        <v/>
      </c>
    </row>
    <row r="234" ht="15" customHeight="1" s="52">
      <c r="A234" s="26" t="n"/>
      <c r="B234" s="17">
        <f>IF($A234="","",YEAR($A234))</f>
        <v/>
      </c>
      <c r="C234" s="17">
        <f>IF($A234="","",MONTH($A234))</f>
        <v/>
      </c>
      <c r="D234" s="27" t="n"/>
      <c r="E234" s="27" t="n"/>
      <c r="F234" s="28" t="n"/>
      <c r="G234" s="14">
        <f>IF($D234="","",IFERROR(INDEX(Einstellungen!$B$4:$B$40,MATCH($D234,Einstellungen!$A$4:$A$40,0)),"?"))</f>
        <v/>
      </c>
      <c r="H234" s="27" t="n"/>
      <c r="I234" s="11">
        <f>IF($F234="","",IF($G234="Einnahme",$F234,-$F234))</f>
        <v/>
      </c>
    </row>
    <row r="235" ht="15" customHeight="1" s="52">
      <c r="A235" s="20" t="n"/>
      <c r="B235" s="21">
        <f>IF($A235="","",YEAR($A235))</f>
        <v/>
      </c>
      <c r="C235" s="21">
        <f>IF($A235="","",MONTH($A235))</f>
        <v/>
      </c>
      <c r="D235" s="22" t="n"/>
      <c r="E235" s="22" t="n"/>
      <c r="F235" s="23" t="n"/>
      <c r="G235" s="24">
        <f>IF($D235="","",IFERROR(INDEX(Einstellungen!$B$4:$B$40,MATCH($D235,Einstellungen!$A$4:$A$40,0)),"?"))</f>
        <v/>
      </c>
      <c r="H235" s="22" t="n"/>
      <c r="I235" s="25">
        <f>IF($F235="","",IF($G235="Einnahme",$F235,-$F235))</f>
        <v/>
      </c>
    </row>
    <row r="236" ht="15" customHeight="1" s="52">
      <c r="A236" s="26" t="n"/>
      <c r="B236" s="17">
        <f>IF($A236="","",YEAR($A236))</f>
        <v/>
      </c>
      <c r="C236" s="17">
        <f>IF($A236="","",MONTH($A236))</f>
        <v/>
      </c>
      <c r="D236" s="27" t="n"/>
      <c r="E236" s="27" t="n"/>
      <c r="F236" s="28" t="n"/>
      <c r="G236" s="14">
        <f>IF($D236="","",IFERROR(INDEX(Einstellungen!$B$4:$B$40,MATCH($D236,Einstellungen!$A$4:$A$40,0)),"?"))</f>
        <v/>
      </c>
      <c r="H236" s="27" t="n"/>
      <c r="I236" s="11">
        <f>IF($F236="","",IF($G236="Einnahme",$F236,-$F236))</f>
        <v/>
      </c>
    </row>
    <row r="237" ht="15" customHeight="1" s="52">
      <c r="A237" s="20" t="n"/>
      <c r="B237" s="21">
        <f>IF($A237="","",YEAR($A237))</f>
        <v/>
      </c>
      <c r="C237" s="21">
        <f>IF($A237="","",MONTH($A237))</f>
        <v/>
      </c>
      <c r="D237" s="22" t="n"/>
      <c r="E237" s="22" t="n"/>
      <c r="F237" s="23" t="n"/>
      <c r="G237" s="24">
        <f>IF($D237="","",IFERROR(INDEX(Einstellungen!$B$4:$B$40,MATCH($D237,Einstellungen!$A$4:$A$40,0)),"?"))</f>
        <v/>
      </c>
      <c r="H237" s="22" t="n"/>
      <c r="I237" s="25">
        <f>IF($F237="","",IF($G237="Einnahme",$F237,-$F237))</f>
        <v/>
      </c>
    </row>
    <row r="238" ht="15" customHeight="1" s="52">
      <c r="A238" s="26" t="n"/>
      <c r="B238" s="17">
        <f>IF($A238="","",YEAR($A238))</f>
        <v/>
      </c>
      <c r="C238" s="17">
        <f>IF($A238="","",MONTH($A238))</f>
        <v/>
      </c>
      <c r="D238" s="27" t="n"/>
      <c r="E238" s="27" t="n"/>
      <c r="F238" s="28" t="n"/>
      <c r="G238" s="14">
        <f>IF($D238="","",IFERROR(INDEX(Einstellungen!$B$4:$B$40,MATCH($D238,Einstellungen!$A$4:$A$40,0)),"?"))</f>
        <v/>
      </c>
      <c r="H238" s="27" t="n"/>
      <c r="I238" s="11">
        <f>IF($F238="","",IF($G238="Einnahme",$F238,-$F238))</f>
        <v/>
      </c>
    </row>
    <row r="239" ht="15" customHeight="1" s="52">
      <c r="A239" s="20" t="n"/>
      <c r="B239" s="21">
        <f>IF($A239="","",YEAR($A239))</f>
        <v/>
      </c>
      <c r="C239" s="21">
        <f>IF($A239="","",MONTH($A239))</f>
        <v/>
      </c>
      <c r="D239" s="22" t="n"/>
      <c r="E239" s="22" t="n"/>
      <c r="F239" s="23" t="n"/>
      <c r="G239" s="24">
        <f>IF($D239="","",IFERROR(INDEX(Einstellungen!$B$4:$B$40,MATCH($D239,Einstellungen!$A$4:$A$40,0)),"?"))</f>
        <v/>
      </c>
      <c r="H239" s="22" t="n"/>
      <c r="I239" s="25">
        <f>IF($F239="","",IF($G239="Einnahme",$F239,-$F239))</f>
        <v/>
      </c>
    </row>
    <row r="240" ht="15" customHeight="1" s="52">
      <c r="A240" s="26" t="n"/>
      <c r="B240" s="17">
        <f>IF($A240="","",YEAR($A240))</f>
        <v/>
      </c>
      <c r="C240" s="17">
        <f>IF($A240="","",MONTH($A240))</f>
        <v/>
      </c>
      <c r="D240" s="27" t="n"/>
      <c r="E240" s="27" t="n"/>
      <c r="F240" s="28" t="n"/>
      <c r="G240" s="14">
        <f>IF($D240="","",IFERROR(INDEX(Einstellungen!$B$4:$B$40,MATCH($D240,Einstellungen!$A$4:$A$40,0)),"?"))</f>
        <v/>
      </c>
      <c r="H240" s="27" t="n"/>
      <c r="I240" s="11">
        <f>IF($F240="","",IF($G240="Einnahme",$F240,-$F240))</f>
        <v/>
      </c>
    </row>
    <row r="241" ht="15" customHeight="1" s="52">
      <c r="A241" s="20" t="n"/>
      <c r="B241" s="21">
        <f>IF($A241="","",YEAR($A241))</f>
        <v/>
      </c>
      <c r="C241" s="21">
        <f>IF($A241="","",MONTH($A241))</f>
        <v/>
      </c>
      <c r="D241" s="22" t="n"/>
      <c r="E241" s="22" t="n"/>
      <c r="F241" s="23" t="n"/>
      <c r="G241" s="24">
        <f>IF($D241="","",IFERROR(INDEX(Einstellungen!$B$4:$B$40,MATCH($D241,Einstellungen!$A$4:$A$40,0)),"?"))</f>
        <v/>
      </c>
      <c r="H241" s="22" t="n"/>
      <c r="I241" s="25">
        <f>IF($F241="","",IF($G241="Einnahme",$F241,-$F241))</f>
        <v/>
      </c>
    </row>
    <row r="242" ht="15" customHeight="1" s="52">
      <c r="A242" s="26" t="n"/>
      <c r="B242" s="17">
        <f>IF($A242="","",YEAR($A242))</f>
        <v/>
      </c>
      <c r="C242" s="17">
        <f>IF($A242="","",MONTH($A242))</f>
        <v/>
      </c>
      <c r="D242" s="27" t="n"/>
      <c r="E242" s="27" t="n"/>
      <c r="F242" s="28" t="n"/>
      <c r="G242" s="14">
        <f>IF($D242="","",IFERROR(INDEX(Einstellungen!$B$4:$B$40,MATCH($D242,Einstellungen!$A$4:$A$40,0)),"?"))</f>
        <v/>
      </c>
      <c r="H242" s="27" t="n"/>
      <c r="I242" s="11">
        <f>IF($F242="","",IF($G242="Einnahme",$F242,-$F242))</f>
        <v/>
      </c>
    </row>
    <row r="243" ht="15" customHeight="1" s="52">
      <c r="A243" s="20" t="n"/>
      <c r="B243" s="21">
        <f>IF($A243="","",YEAR($A243))</f>
        <v/>
      </c>
      <c r="C243" s="21">
        <f>IF($A243="","",MONTH($A243))</f>
        <v/>
      </c>
      <c r="D243" s="22" t="n"/>
      <c r="E243" s="22" t="n"/>
      <c r="F243" s="23" t="n"/>
      <c r="G243" s="24">
        <f>IF($D243="","",IFERROR(INDEX(Einstellungen!$B$4:$B$40,MATCH($D243,Einstellungen!$A$4:$A$40,0)),"?"))</f>
        <v/>
      </c>
      <c r="H243" s="22" t="n"/>
      <c r="I243" s="25">
        <f>IF($F243="","",IF($G243="Einnahme",$F243,-$F243))</f>
        <v/>
      </c>
    </row>
    <row r="244" ht="15" customHeight="1" s="52">
      <c r="A244" s="26" t="n"/>
      <c r="B244" s="17">
        <f>IF($A244="","",YEAR($A244))</f>
        <v/>
      </c>
      <c r="C244" s="17">
        <f>IF($A244="","",MONTH($A244))</f>
        <v/>
      </c>
      <c r="D244" s="27" t="n"/>
      <c r="E244" s="27" t="n"/>
      <c r="F244" s="28" t="n"/>
      <c r="G244" s="14">
        <f>IF($D244="","",IFERROR(INDEX(Einstellungen!$B$4:$B$40,MATCH($D244,Einstellungen!$A$4:$A$40,0)),"?"))</f>
        <v/>
      </c>
      <c r="H244" s="27" t="n"/>
      <c r="I244" s="11">
        <f>IF($F244="","",IF($G244="Einnahme",$F244,-$F244))</f>
        <v/>
      </c>
    </row>
    <row r="245" ht="15" customHeight="1" s="52">
      <c r="A245" s="20" t="n"/>
      <c r="B245" s="21">
        <f>IF($A245="","",YEAR($A245))</f>
        <v/>
      </c>
      <c r="C245" s="21">
        <f>IF($A245="","",MONTH($A245))</f>
        <v/>
      </c>
      <c r="D245" s="22" t="n"/>
      <c r="E245" s="22" t="n"/>
      <c r="F245" s="23" t="n"/>
      <c r="G245" s="24">
        <f>IF($D245="","",IFERROR(INDEX(Einstellungen!$B$4:$B$40,MATCH($D245,Einstellungen!$A$4:$A$40,0)),"?"))</f>
        <v/>
      </c>
      <c r="H245" s="22" t="n"/>
      <c r="I245" s="25">
        <f>IF($F245="","",IF($G245="Einnahme",$F245,-$F245))</f>
        <v/>
      </c>
    </row>
    <row r="246" ht="15" customHeight="1" s="52">
      <c r="A246" s="26" t="n"/>
      <c r="B246" s="17">
        <f>IF($A246="","",YEAR($A246))</f>
        <v/>
      </c>
      <c r="C246" s="17">
        <f>IF($A246="","",MONTH($A246))</f>
        <v/>
      </c>
      <c r="D246" s="27" t="n"/>
      <c r="E246" s="27" t="n"/>
      <c r="F246" s="28" t="n"/>
      <c r="G246" s="14">
        <f>IF($D246="","",IFERROR(INDEX(Einstellungen!$B$4:$B$40,MATCH($D246,Einstellungen!$A$4:$A$40,0)),"?"))</f>
        <v/>
      </c>
      <c r="H246" s="27" t="n"/>
      <c r="I246" s="11">
        <f>IF($F246="","",IF($G246="Einnahme",$F246,-$F246))</f>
        <v/>
      </c>
    </row>
    <row r="247" ht="15" customHeight="1" s="52">
      <c r="A247" s="20" t="n"/>
      <c r="B247" s="21">
        <f>IF($A247="","",YEAR($A247))</f>
        <v/>
      </c>
      <c r="C247" s="21">
        <f>IF($A247="","",MONTH($A247))</f>
        <v/>
      </c>
      <c r="D247" s="22" t="n"/>
      <c r="E247" s="22" t="n"/>
      <c r="F247" s="23" t="n"/>
      <c r="G247" s="24">
        <f>IF($D247="","",IFERROR(INDEX(Einstellungen!$B$4:$B$40,MATCH($D247,Einstellungen!$A$4:$A$40,0)),"?"))</f>
        <v/>
      </c>
      <c r="H247" s="22" t="n"/>
      <c r="I247" s="25">
        <f>IF($F247="","",IF($G247="Einnahme",$F247,-$F247))</f>
        <v/>
      </c>
    </row>
    <row r="248" ht="15" customHeight="1" s="52">
      <c r="A248" s="26" t="n"/>
      <c r="B248" s="17">
        <f>IF($A248="","",YEAR($A248))</f>
        <v/>
      </c>
      <c r="C248" s="17">
        <f>IF($A248="","",MONTH($A248))</f>
        <v/>
      </c>
      <c r="D248" s="27" t="n"/>
      <c r="E248" s="27" t="n"/>
      <c r="F248" s="28" t="n"/>
      <c r="G248" s="14">
        <f>IF($D248="","",IFERROR(INDEX(Einstellungen!$B$4:$B$40,MATCH($D248,Einstellungen!$A$4:$A$40,0)),"?"))</f>
        <v/>
      </c>
      <c r="H248" s="27" t="n"/>
      <c r="I248" s="11">
        <f>IF($F248="","",IF($G248="Einnahme",$F248,-$F248))</f>
        <v/>
      </c>
    </row>
    <row r="249" ht="15" customHeight="1" s="52">
      <c r="A249" s="20" t="n"/>
      <c r="B249" s="21">
        <f>IF($A249="","",YEAR($A249))</f>
        <v/>
      </c>
      <c r="C249" s="21">
        <f>IF($A249="","",MONTH($A249))</f>
        <v/>
      </c>
      <c r="D249" s="22" t="n"/>
      <c r="E249" s="22" t="n"/>
      <c r="F249" s="23" t="n"/>
      <c r="G249" s="24">
        <f>IF($D249="","",IFERROR(INDEX(Einstellungen!$B$4:$B$40,MATCH($D249,Einstellungen!$A$4:$A$40,0)),"?"))</f>
        <v/>
      </c>
      <c r="H249" s="22" t="n"/>
      <c r="I249" s="25">
        <f>IF($F249="","",IF($G249="Einnahme",$F249,-$F249))</f>
        <v/>
      </c>
    </row>
    <row r="250" ht="15" customHeight="1" s="52">
      <c r="A250" s="26" t="n"/>
      <c r="B250" s="17">
        <f>IF($A250="","",YEAR($A250))</f>
        <v/>
      </c>
      <c r="C250" s="17">
        <f>IF($A250="","",MONTH($A250))</f>
        <v/>
      </c>
      <c r="D250" s="27" t="n"/>
      <c r="E250" s="27" t="n"/>
      <c r="F250" s="28" t="n"/>
      <c r="G250" s="14">
        <f>IF($D250="","",IFERROR(INDEX(Einstellungen!$B$4:$B$40,MATCH($D250,Einstellungen!$A$4:$A$40,0)),"?"))</f>
        <v/>
      </c>
      <c r="H250" s="27" t="n"/>
      <c r="I250" s="11">
        <f>IF($F250="","",IF($G250="Einnahme",$F250,-$F250))</f>
        <v/>
      </c>
    </row>
    <row r="251" ht="15" customHeight="1" s="52">
      <c r="A251" s="20" t="n"/>
      <c r="B251" s="21">
        <f>IF($A251="","",YEAR($A251))</f>
        <v/>
      </c>
      <c r="C251" s="21">
        <f>IF($A251="","",MONTH($A251))</f>
        <v/>
      </c>
      <c r="D251" s="22" t="n"/>
      <c r="E251" s="22" t="n"/>
      <c r="F251" s="23" t="n"/>
      <c r="G251" s="24">
        <f>IF($D251="","",IFERROR(INDEX(Einstellungen!$B$4:$B$40,MATCH($D251,Einstellungen!$A$4:$A$40,0)),"?"))</f>
        <v/>
      </c>
      <c r="H251" s="22" t="n"/>
      <c r="I251" s="25">
        <f>IF($F251="","",IF($G251="Einnahme",$F251,-$F251))</f>
        <v/>
      </c>
    </row>
    <row r="252" ht="15" customHeight="1" s="52">
      <c r="A252" s="26" t="n"/>
      <c r="B252" s="17">
        <f>IF($A252="","",YEAR($A252))</f>
        <v/>
      </c>
      <c r="C252" s="17">
        <f>IF($A252="","",MONTH($A252))</f>
        <v/>
      </c>
      <c r="D252" s="27" t="n"/>
      <c r="E252" s="27" t="n"/>
      <c r="F252" s="28" t="n"/>
      <c r="G252" s="14">
        <f>IF($D252="","",IFERROR(INDEX(Einstellungen!$B$4:$B$40,MATCH($D252,Einstellungen!$A$4:$A$40,0)),"?"))</f>
        <v/>
      </c>
      <c r="H252" s="27" t="n"/>
      <c r="I252" s="11">
        <f>IF($F252="","",IF($G252="Einnahme",$F252,-$F252))</f>
        <v/>
      </c>
    </row>
    <row r="253" ht="15" customHeight="1" s="52">
      <c r="A253" s="20" t="n"/>
      <c r="B253" s="21">
        <f>IF($A253="","",YEAR($A253))</f>
        <v/>
      </c>
      <c r="C253" s="21">
        <f>IF($A253="","",MONTH($A253))</f>
        <v/>
      </c>
      <c r="D253" s="22" t="n"/>
      <c r="E253" s="22" t="n"/>
      <c r="F253" s="23" t="n"/>
      <c r="G253" s="24">
        <f>IF($D253="","",IFERROR(INDEX(Einstellungen!$B$4:$B$40,MATCH($D253,Einstellungen!$A$4:$A$40,0)),"?"))</f>
        <v/>
      </c>
      <c r="H253" s="22" t="n"/>
      <c r="I253" s="25">
        <f>IF($F253="","",IF($G253="Einnahme",$F253,-$F253))</f>
        <v/>
      </c>
    </row>
    <row r="254" ht="15" customHeight="1" s="52">
      <c r="A254" s="26" t="n"/>
      <c r="B254" s="17">
        <f>IF($A254="","",YEAR($A254))</f>
        <v/>
      </c>
      <c r="C254" s="17">
        <f>IF($A254="","",MONTH($A254))</f>
        <v/>
      </c>
      <c r="D254" s="27" t="n"/>
      <c r="E254" s="27" t="n"/>
      <c r="F254" s="28" t="n"/>
      <c r="G254" s="14">
        <f>IF($D254="","",IFERROR(INDEX(Einstellungen!$B$4:$B$40,MATCH($D254,Einstellungen!$A$4:$A$40,0)),"?"))</f>
        <v/>
      </c>
      <c r="H254" s="27" t="n"/>
      <c r="I254" s="11">
        <f>IF($F254="","",IF($G254="Einnahme",$F254,-$F254))</f>
        <v/>
      </c>
    </row>
    <row r="255" ht="15" customHeight="1" s="52">
      <c r="A255" s="20" t="n"/>
      <c r="B255" s="21">
        <f>IF($A255="","",YEAR($A255))</f>
        <v/>
      </c>
      <c r="C255" s="21">
        <f>IF($A255="","",MONTH($A255))</f>
        <v/>
      </c>
      <c r="D255" s="22" t="n"/>
      <c r="E255" s="22" t="n"/>
      <c r="F255" s="23" t="n"/>
      <c r="G255" s="24">
        <f>IF($D255="","",IFERROR(INDEX(Einstellungen!$B$4:$B$40,MATCH($D255,Einstellungen!$A$4:$A$40,0)),"?"))</f>
        <v/>
      </c>
      <c r="H255" s="22" t="n"/>
      <c r="I255" s="25">
        <f>IF($F255="","",IF($G255="Einnahme",$F255,-$F255))</f>
        <v/>
      </c>
    </row>
    <row r="256" ht="15" customHeight="1" s="52">
      <c r="A256" s="26" t="n"/>
      <c r="B256" s="17">
        <f>IF($A256="","",YEAR($A256))</f>
        <v/>
      </c>
      <c r="C256" s="17">
        <f>IF($A256="","",MONTH($A256))</f>
        <v/>
      </c>
      <c r="D256" s="27" t="n"/>
      <c r="E256" s="27" t="n"/>
      <c r="F256" s="28" t="n"/>
      <c r="G256" s="14">
        <f>IF($D256="","",IFERROR(INDEX(Einstellungen!$B$4:$B$40,MATCH($D256,Einstellungen!$A$4:$A$40,0)),"?"))</f>
        <v/>
      </c>
      <c r="H256" s="27" t="n"/>
      <c r="I256" s="11">
        <f>IF($F256="","",IF($G256="Einnahme",$F256,-$F256))</f>
        <v/>
      </c>
    </row>
    <row r="257" ht="15" customHeight="1" s="52">
      <c r="A257" s="20" t="n"/>
      <c r="B257" s="21">
        <f>IF($A257="","",YEAR($A257))</f>
        <v/>
      </c>
      <c r="C257" s="21">
        <f>IF($A257="","",MONTH($A257))</f>
        <v/>
      </c>
      <c r="D257" s="22" t="n"/>
      <c r="E257" s="22" t="n"/>
      <c r="F257" s="23" t="n"/>
      <c r="G257" s="24">
        <f>IF($D257="","",IFERROR(INDEX(Einstellungen!$B$4:$B$40,MATCH($D257,Einstellungen!$A$4:$A$40,0)),"?"))</f>
        <v/>
      </c>
      <c r="H257" s="22" t="n"/>
      <c r="I257" s="25">
        <f>IF($F257="","",IF($G257="Einnahme",$F257,-$F257))</f>
        <v/>
      </c>
    </row>
    <row r="258" ht="15" customHeight="1" s="52">
      <c r="A258" s="26" t="n"/>
      <c r="B258" s="17">
        <f>IF($A258="","",YEAR($A258))</f>
        <v/>
      </c>
      <c r="C258" s="17">
        <f>IF($A258="","",MONTH($A258))</f>
        <v/>
      </c>
      <c r="D258" s="27" t="n"/>
      <c r="E258" s="27" t="n"/>
      <c r="F258" s="28" t="n"/>
      <c r="G258" s="14">
        <f>IF($D258="","",IFERROR(INDEX(Einstellungen!$B$4:$B$40,MATCH($D258,Einstellungen!$A$4:$A$40,0)),"?"))</f>
        <v/>
      </c>
      <c r="H258" s="27" t="n"/>
      <c r="I258" s="11">
        <f>IF($F258="","",IF($G258="Einnahme",$F258,-$F258))</f>
        <v/>
      </c>
    </row>
    <row r="259" ht="15" customHeight="1" s="52">
      <c r="A259" s="20" t="n"/>
      <c r="B259" s="21">
        <f>IF($A259="","",YEAR($A259))</f>
        <v/>
      </c>
      <c r="C259" s="21">
        <f>IF($A259="","",MONTH($A259))</f>
        <v/>
      </c>
      <c r="D259" s="22" t="n"/>
      <c r="E259" s="22" t="n"/>
      <c r="F259" s="23" t="n"/>
      <c r="G259" s="24">
        <f>IF($D259="","",IFERROR(INDEX(Einstellungen!$B$4:$B$40,MATCH($D259,Einstellungen!$A$4:$A$40,0)),"?"))</f>
        <v/>
      </c>
      <c r="H259" s="22" t="n"/>
      <c r="I259" s="25">
        <f>IF($F259="","",IF($G259="Einnahme",$F259,-$F259))</f>
        <v/>
      </c>
    </row>
    <row r="260" ht="15" customHeight="1" s="52">
      <c r="A260" s="26" t="n"/>
      <c r="B260" s="17">
        <f>IF($A260="","",YEAR($A260))</f>
        <v/>
      </c>
      <c r="C260" s="17">
        <f>IF($A260="","",MONTH($A260))</f>
        <v/>
      </c>
      <c r="D260" s="27" t="n"/>
      <c r="E260" s="27" t="n"/>
      <c r="F260" s="28" t="n"/>
      <c r="G260" s="14">
        <f>IF($D260="","",IFERROR(INDEX(Einstellungen!$B$4:$B$40,MATCH($D260,Einstellungen!$A$4:$A$40,0)),"?"))</f>
        <v/>
      </c>
      <c r="H260" s="27" t="n"/>
      <c r="I260" s="11">
        <f>IF($F260="","",IF($G260="Einnahme",$F260,-$F260))</f>
        <v/>
      </c>
    </row>
    <row r="261" ht="15" customHeight="1" s="52">
      <c r="A261" s="20" t="n"/>
      <c r="B261" s="21">
        <f>IF($A261="","",YEAR($A261))</f>
        <v/>
      </c>
      <c r="C261" s="21">
        <f>IF($A261="","",MONTH($A261))</f>
        <v/>
      </c>
      <c r="D261" s="22" t="n"/>
      <c r="E261" s="22" t="n"/>
      <c r="F261" s="23" t="n"/>
      <c r="G261" s="24">
        <f>IF($D261="","",IFERROR(INDEX(Einstellungen!$B$4:$B$40,MATCH($D261,Einstellungen!$A$4:$A$40,0)),"?"))</f>
        <v/>
      </c>
      <c r="H261" s="22" t="n"/>
      <c r="I261" s="25">
        <f>IF($F261="","",IF($G261="Einnahme",$F261,-$F261))</f>
        <v/>
      </c>
    </row>
    <row r="262" ht="15" customHeight="1" s="52">
      <c r="A262" s="26" t="n"/>
      <c r="B262" s="17">
        <f>IF($A262="","",YEAR($A262))</f>
        <v/>
      </c>
      <c r="C262" s="17">
        <f>IF($A262="","",MONTH($A262))</f>
        <v/>
      </c>
      <c r="D262" s="27" t="n"/>
      <c r="E262" s="27" t="n"/>
      <c r="F262" s="28" t="n"/>
      <c r="G262" s="14">
        <f>IF($D262="","",IFERROR(INDEX(Einstellungen!$B$4:$B$40,MATCH($D262,Einstellungen!$A$4:$A$40,0)),"?"))</f>
        <v/>
      </c>
      <c r="H262" s="27" t="n"/>
      <c r="I262" s="11">
        <f>IF($F262="","",IF($G262="Einnahme",$F262,-$F262))</f>
        <v/>
      </c>
    </row>
    <row r="263" ht="15" customHeight="1" s="52">
      <c r="A263" s="20" t="n"/>
      <c r="B263" s="21">
        <f>IF($A263="","",YEAR($A263))</f>
        <v/>
      </c>
      <c r="C263" s="21">
        <f>IF($A263="","",MONTH($A263))</f>
        <v/>
      </c>
      <c r="D263" s="22" t="n"/>
      <c r="E263" s="22" t="n"/>
      <c r="F263" s="23" t="n"/>
      <c r="G263" s="24">
        <f>IF($D263="","",IFERROR(INDEX(Einstellungen!$B$4:$B$40,MATCH($D263,Einstellungen!$A$4:$A$40,0)),"?"))</f>
        <v/>
      </c>
      <c r="H263" s="22" t="n"/>
      <c r="I263" s="25">
        <f>IF($F263="","",IF($G263="Einnahme",$F263,-$F263))</f>
        <v/>
      </c>
    </row>
    <row r="264" ht="15" customHeight="1" s="52">
      <c r="A264" s="26" t="n"/>
      <c r="B264" s="17">
        <f>IF($A264="","",YEAR($A264))</f>
        <v/>
      </c>
      <c r="C264" s="17">
        <f>IF($A264="","",MONTH($A264))</f>
        <v/>
      </c>
      <c r="D264" s="27" t="n"/>
      <c r="E264" s="27" t="n"/>
      <c r="F264" s="28" t="n"/>
      <c r="G264" s="14">
        <f>IF($D264="","",IFERROR(INDEX(Einstellungen!$B$4:$B$40,MATCH($D264,Einstellungen!$A$4:$A$40,0)),"?"))</f>
        <v/>
      </c>
      <c r="H264" s="27" t="n"/>
      <c r="I264" s="11">
        <f>IF($F264="","",IF($G264="Einnahme",$F264,-$F264))</f>
        <v/>
      </c>
    </row>
    <row r="265" ht="15" customHeight="1" s="52">
      <c r="A265" s="20" t="n"/>
      <c r="B265" s="21">
        <f>IF($A265="","",YEAR($A265))</f>
        <v/>
      </c>
      <c r="C265" s="21">
        <f>IF($A265="","",MONTH($A265))</f>
        <v/>
      </c>
      <c r="D265" s="22" t="n"/>
      <c r="E265" s="22" t="n"/>
      <c r="F265" s="23" t="n"/>
      <c r="G265" s="24">
        <f>IF($D265="","",IFERROR(INDEX(Einstellungen!$B$4:$B$40,MATCH($D265,Einstellungen!$A$4:$A$40,0)),"?"))</f>
        <v/>
      </c>
      <c r="H265" s="22" t="n"/>
      <c r="I265" s="25">
        <f>IF($F265="","",IF($G265="Einnahme",$F265,-$F265))</f>
        <v/>
      </c>
    </row>
    <row r="266" ht="15" customHeight="1" s="52">
      <c r="A266" s="26" t="n"/>
      <c r="B266" s="17">
        <f>IF($A266="","",YEAR($A266))</f>
        <v/>
      </c>
      <c r="C266" s="17">
        <f>IF($A266="","",MONTH($A266))</f>
        <v/>
      </c>
      <c r="D266" s="27" t="n"/>
      <c r="E266" s="27" t="n"/>
      <c r="F266" s="28" t="n"/>
      <c r="G266" s="14">
        <f>IF($D266="","",IFERROR(INDEX(Einstellungen!$B$4:$B$40,MATCH($D266,Einstellungen!$A$4:$A$40,0)),"?"))</f>
        <v/>
      </c>
      <c r="H266" s="27" t="n"/>
      <c r="I266" s="11">
        <f>IF($F266="","",IF($G266="Einnahme",$F266,-$F266))</f>
        <v/>
      </c>
    </row>
    <row r="267" ht="15" customHeight="1" s="52">
      <c r="A267" s="20" t="n"/>
      <c r="B267" s="21">
        <f>IF($A267="","",YEAR($A267))</f>
        <v/>
      </c>
      <c r="C267" s="21">
        <f>IF($A267="","",MONTH($A267))</f>
        <v/>
      </c>
      <c r="D267" s="22" t="n"/>
      <c r="E267" s="22" t="n"/>
      <c r="F267" s="23" t="n"/>
      <c r="G267" s="24">
        <f>IF($D267="","",IFERROR(INDEX(Einstellungen!$B$4:$B$40,MATCH($D267,Einstellungen!$A$4:$A$40,0)),"?"))</f>
        <v/>
      </c>
      <c r="H267" s="22" t="n"/>
      <c r="I267" s="25">
        <f>IF($F267="","",IF($G267="Einnahme",$F267,-$F267))</f>
        <v/>
      </c>
    </row>
    <row r="268" ht="15" customHeight="1" s="52">
      <c r="A268" s="26" t="n"/>
      <c r="B268" s="17">
        <f>IF($A268="","",YEAR($A268))</f>
        <v/>
      </c>
      <c r="C268" s="17">
        <f>IF($A268="","",MONTH($A268))</f>
        <v/>
      </c>
      <c r="D268" s="27" t="n"/>
      <c r="E268" s="27" t="n"/>
      <c r="F268" s="28" t="n"/>
      <c r="G268" s="14">
        <f>IF($D268="","",IFERROR(INDEX(Einstellungen!$B$4:$B$40,MATCH($D268,Einstellungen!$A$4:$A$40,0)),"?"))</f>
        <v/>
      </c>
      <c r="H268" s="27" t="n"/>
      <c r="I268" s="11">
        <f>IF($F268="","",IF($G268="Einnahme",$F268,-$F268))</f>
        <v/>
      </c>
    </row>
    <row r="269" ht="15" customHeight="1" s="52">
      <c r="A269" s="20" t="n"/>
      <c r="B269" s="21">
        <f>IF($A269="","",YEAR($A269))</f>
        <v/>
      </c>
      <c r="C269" s="21">
        <f>IF($A269="","",MONTH($A269))</f>
        <v/>
      </c>
      <c r="D269" s="22" t="n"/>
      <c r="E269" s="22" t="n"/>
      <c r="F269" s="23" t="n"/>
      <c r="G269" s="24">
        <f>IF($D269="","",IFERROR(INDEX(Einstellungen!$B$4:$B$40,MATCH($D269,Einstellungen!$A$4:$A$40,0)),"?"))</f>
        <v/>
      </c>
      <c r="H269" s="22" t="n"/>
      <c r="I269" s="25">
        <f>IF($F269="","",IF($G269="Einnahme",$F269,-$F269))</f>
        <v/>
      </c>
    </row>
    <row r="270" ht="15" customHeight="1" s="52">
      <c r="A270" s="26" t="n"/>
      <c r="B270" s="17">
        <f>IF($A270="","",YEAR($A270))</f>
        <v/>
      </c>
      <c r="C270" s="17">
        <f>IF($A270="","",MONTH($A270))</f>
        <v/>
      </c>
      <c r="D270" s="27" t="n"/>
      <c r="E270" s="27" t="n"/>
      <c r="F270" s="28" t="n"/>
      <c r="G270" s="14">
        <f>IF($D270="","",IFERROR(INDEX(Einstellungen!$B$4:$B$40,MATCH($D270,Einstellungen!$A$4:$A$40,0)),"?"))</f>
        <v/>
      </c>
      <c r="H270" s="27" t="n"/>
      <c r="I270" s="11">
        <f>IF($F270="","",IF($G270="Einnahme",$F270,-$F270))</f>
        <v/>
      </c>
    </row>
    <row r="271" ht="15" customHeight="1" s="52">
      <c r="A271" s="20" t="n"/>
      <c r="B271" s="21">
        <f>IF($A271="","",YEAR($A271))</f>
        <v/>
      </c>
      <c r="C271" s="21">
        <f>IF($A271="","",MONTH($A271))</f>
        <v/>
      </c>
      <c r="D271" s="22" t="n"/>
      <c r="E271" s="22" t="n"/>
      <c r="F271" s="23" t="n"/>
      <c r="G271" s="24">
        <f>IF($D271="","",IFERROR(INDEX(Einstellungen!$B$4:$B$40,MATCH($D271,Einstellungen!$A$4:$A$40,0)),"?"))</f>
        <v/>
      </c>
      <c r="H271" s="22" t="n"/>
      <c r="I271" s="25">
        <f>IF($F271="","",IF($G271="Einnahme",$F271,-$F271))</f>
        <v/>
      </c>
    </row>
    <row r="272" ht="15" customHeight="1" s="52">
      <c r="A272" s="26" t="n"/>
      <c r="B272" s="17">
        <f>IF($A272="","",YEAR($A272))</f>
        <v/>
      </c>
      <c r="C272" s="17">
        <f>IF($A272="","",MONTH($A272))</f>
        <v/>
      </c>
      <c r="D272" s="27" t="n"/>
      <c r="E272" s="27" t="n"/>
      <c r="F272" s="28" t="n"/>
      <c r="G272" s="14">
        <f>IF($D272="","",IFERROR(INDEX(Einstellungen!$B$4:$B$40,MATCH($D272,Einstellungen!$A$4:$A$40,0)),"?"))</f>
        <v/>
      </c>
      <c r="H272" s="27" t="n"/>
      <c r="I272" s="11">
        <f>IF($F272="","",IF($G272="Einnahme",$F272,-$F272))</f>
        <v/>
      </c>
    </row>
    <row r="273" ht="15" customHeight="1" s="52">
      <c r="A273" s="20" t="n"/>
      <c r="B273" s="21">
        <f>IF($A273="","",YEAR($A273))</f>
        <v/>
      </c>
      <c r="C273" s="21">
        <f>IF($A273="","",MONTH($A273))</f>
        <v/>
      </c>
      <c r="D273" s="22" t="n"/>
      <c r="E273" s="22" t="n"/>
      <c r="F273" s="23" t="n"/>
      <c r="G273" s="24">
        <f>IF($D273="","",IFERROR(INDEX(Einstellungen!$B$4:$B$40,MATCH($D273,Einstellungen!$A$4:$A$40,0)),"?"))</f>
        <v/>
      </c>
      <c r="H273" s="22" t="n"/>
      <c r="I273" s="25">
        <f>IF($F273="","",IF($G273="Einnahme",$F273,-$F273))</f>
        <v/>
      </c>
    </row>
    <row r="274" ht="15" customHeight="1" s="52">
      <c r="A274" s="26" t="n"/>
      <c r="B274" s="17">
        <f>IF($A274="","",YEAR($A274))</f>
        <v/>
      </c>
      <c r="C274" s="17">
        <f>IF($A274="","",MONTH($A274))</f>
        <v/>
      </c>
      <c r="D274" s="27" t="n"/>
      <c r="E274" s="27" t="n"/>
      <c r="F274" s="28" t="n"/>
      <c r="G274" s="14">
        <f>IF($D274="","",IFERROR(INDEX(Einstellungen!$B$4:$B$40,MATCH($D274,Einstellungen!$A$4:$A$40,0)),"?"))</f>
        <v/>
      </c>
      <c r="H274" s="27" t="n"/>
      <c r="I274" s="11">
        <f>IF($F274="","",IF($G274="Einnahme",$F274,-$F274))</f>
        <v/>
      </c>
    </row>
    <row r="275" ht="15" customHeight="1" s="52">
      <c r="A275" s="20" t="n"/>
      <c r="B275" s="21">
        <f>IF($A275="","",YEAR($A275))</f>
        <v/>
      </c>
      <c r="C275" s="21">
        <f>IF($A275="","",MONTH($A275))</f>
        <v/>
      </c>
      <c r="D275" s="22" t="n"/>
      <c r="E275" s="22" t="n"/>
      <c r="F275" s="23" t="n"/>
      <c r="G275" s="24">
        <f>IF($D275="","",IFERROR(INDEX(Einstellungen!$B$4:$B$40,MATCH($D275,Einstellungen!$A$4:$A$40,0)),"?"))</f>
        <v/>
      </c>
      <c r="H275" s="22" t="n"/>
      <c r="I275" s="25">
        <f>IF($F275="","",IF($G275="Einnahme",$F275,-$F275))</f>
        <v/>
      </c>
    </row>
    <row r="276" ht="15" customHeight="1" s="52">
      <c r="A276" s="26" t="n"/>
      <c r="B276" s="17">
        <f>IF($A276="","",YEAR($A276))</f>
        <v/>
      </c>
      <c r="C276" s="17">
        <f>IF($A276="","",MONTH($A276))</f>
        <v/>
      </c>
      <c r="D276" s="27" t="n"/>
      <c r="E276" s="27" t="n"/>
      <c r="F276" s="28" t="n"/>
      <c r="G276" s="14">
        <f>IF($D276="","",IFERROR(INDEX(Einstellungen!$B$4:$B$40,MATCH($D276,Einstellungen!$A$4:$A$40,0)),"?"))</f>
        <v/>
      </c>
      <c r="H276" s="27" t="n"/>
      <c r="I276" s="11">
        <f>IF($F276="","",IF($G276="Einnahme",$F276,-$F276))</f>
        <v/>
      </c>
    </row>
    <row r="277" ht="15" customHeight="1" s="52">
      <c r="A277" s="20" t="n"/>
      <c r="B277" s="21">
        <f>IF($A277="","",YEAR($A277))</f>
        <v/>
      </c>
      <c r="C277" s="21">
        <f>IF($A277="","",MONTH($A277))</f>
        <v/>
      </c>
      <c r="D277" s="22" t="n"/>
      <c r="E277" s="22" t="n"/>
      <c r="F277" s="23" t="n"/>
      <c r="G277" s="24">
        <f>IF($D277="","",IFERROR(INDEX(Einstellungen!$B$4:$B$40,MATCH($D277,Einstellungen!$A$4:$A$40,0)),"?"))</f>
        <v/>
      </c>
      <c r="H277" s="22" t="n"/>
      <c r="I277" s="25">
        <f>IF($F277="","",IF($G277="Einnahme",$F277,-$F277))</f>
        <v/>
      </c>
    </row>
    <row r="278" ht="15" customHeight="1" s="52">
      <c r="A278" s="26" t="n"/>
      <c r="B278" s="17">
        <f>IF($A278="","",YEAR($A278))</f>
        <v/>
      </c>
      <c r="C278" s="17">
        <f>IF($A278="","",MONTH($A278))</f>
        <v/>
      </c>
      <c r="D278" s="27" t="n"/>
      <c r="E278" s="27" t="n"/>
      <c r="F278" s="28" t="n"/>
      <c r="G278" s="14">
        <f>IF($D278="","",IFERROR(INDEX(Einstellungen!$B$4:$B$40,MATCH($D278,Einstellungen!$A$4:$A$40,0)),"?"))</f>
        <v/>
      </c>
      <c r="H278" s="27" t="n"/>
      <c r="I278" s="11">
        <f>IF($F278="","",IF($G278="Einnahme",$F278,-$F278))</f>
        <v/>
      </c>
    </row>
    <row r="279" ht="15" customHeight="1" s="52">
      <c r="A279" s="20" t="n"/>
      <c r="B279" s="21">
        <f>IF($A279="","",YEAR($A279))</f>
        <v/>
      </c>
      <c r="C279" s="21">
        <f>IF($A279="","",MONTH($A279))</f>
        <v/>
      </c>
      <c r="D279" s="22" t="n"/>
      <c r="E279" s="22" t="n"/>
      <c r="F279" s="23" t="n"/>
      <c r="G279" s="24">
        <f>IF($D279="","",IFERROR(INDEX(Einstellungen!$B$4:$B$40,MATCH($D279,Einstellungen!$A$4:$A$40,0)),"?"))</f>
        <v/>
      </c>
      <c r="H279" s="22" t="n"/>
      <c r="I279" s="25">
        <f>IF($F279="","",IF($G279="Einnahme",$F279,-$F279))</f>
        <v/>
      </c>
    </row>
    <row r="280" ht="15" customHeight="1" s="52">
      <c r="A280" s="26" t="n"/>
      <c r="B280" s="17">
        <f>IF($A280="","",YEAR($A280))</f>
        <v/>
      </c>
      <c r="C280" s="17">
        <f>IF($A280="","",MONTH($A280))</f>
        <v/>
      </c>
      <c r="D280" s="27" t="n"/>
      <c r="E280" s="27" t="n"/>
      <c r="F280" s="28" t="n"/>
      <c r="G280" s="14">
        <f>IF($D280="","",IFERROR(INDEX(Einstellungen!$B$4:$B$40,MATCH($D280,Einstellungen!$A$4:$A$40,0)),"?"))</f>
        <v/>
      </c>
      <c r="H280" s="27" t="n"/>
      <c r="I280" s="11">
        <f>IF($F280="","",IF($G280="Einnahme",$F280,-$F280))</f>
        <v/>
      </c>
    </row>
    <row r="281" ht="15" customHeight="1" s="52">
      <c r="A281" s="20" t="n"/>
      <c r="B281" s="21">
        <f>IF($A281="","",YEAR($A281))</f>
        <v/>
      </c>
      <c r="C281" s="21">
        <f>IF($A281="","",MONTH($A281))</f>
        <v/>
      </c>
      <c r="D281" s="22" t="n"/>
      <c r="E281" s="22" t="n"/>
      <c r="F281" s="23" t="n"/>
      <c r="G281" s="24">
        <f>IF($D281="","",IFERROR(INDEX(Einstellungen!$B$4:$B$40,MATCH($D281,Einstellungen!$A$4:$A$40,0)),"?"))</f>
        <v/>
      </c>
      <c r="H281" s="22" t="n"/>
      <c r="I281" s="25">
        <f>IF($F281="","",IF($G281="Einnahme",$F281,-$F281))</f>
        <v/>
      </c>
    </row>
    <row r="282" ht="15" customHeight="1" s="52">
      <c r="A282" s="26" t="n"/>
      <c r="B282" s="17">
        <f>IF($A282="","",YEAR($A282))</f>
        <v/>
      </c>
      <c r="C282" s="17">
        <f>IF($A282="","",MONTH($A282))</f>
        <v/>
      </c>
      <c r="D282" s="27" t="n"/>
      <c r="E282" s="27" t="n"/>
      <c r="F282" s="28" t="n"/>
      <c r="G282" s="14">
        <f>IF($D282="","",IFERROR(INDEX(Einstellungen!$B$4:$B$40,MATCH($D282,Einstellungen!$A$4:$A$40,0)),"?"))</f>
        <v/>
      </c>
      <c r="H282" s="27" t="n"/>
      <c r="I282" s="11">
        <f>IF($F282="","",IF($G282="Einnahme",$F282,-$F282))</f>
        <v/>
      </c>
    </row>
    <row r="283" ht="15" customHeight="1" s="52">
      <c r="A283" s="20" t="n"/>
      <c r="B283" s="21">
        <f>IF($A283="","",YEAR($A283))</f>
        <v/>
      </c>
      <c r="C283" s="21">
        <f>IF($A283="","",MONTH($A283))</f>
        <v/>
      </c>
      <c r="D283" s="22" t="n"/>
      <c r="E283" s="22" t="n"/>
      <c r="F283" s="23" t="n"/>
      <c r="G283" s="24">
        <f>IF($D283="","",IFERROR(INDEX(Einstellungen!$B$4:$B$40,MATCH($D283,Einstellungen!$A$4:$A$40,0)),"?"))</f>
        <v/>
      </c>
      <c r="H283" s="22" t="n"/>
      <c r="I283" s="25">
        <f>IF($F283="","",IF($G283="Einnahme",$F283,-$F283))</f>
        <v/>
      </c>
    </row>
    <row r="284" ht="15" customHeight="1" s="52">
      <c r="A284" s="26" t="n"/>
      <c r="B284" s="17">
        <f>IF($A284="","",YEAR($A284))</f>
        <v/>
      </c>
      <c r="C284" s="17">
        <f>IF($A284="","",MONTH($A284))</f>
        <v/>
      </c>
      <c r="D284" s="27" t="n"/>
      <c r="E284" s="27" t="n"/>
      <c r="F284" s="28" t="n"/>
      <c r="G284" s="14">
        <f>IF($D284="","",IFERROR(INDEX(Einstellungen!$B$4:$B$40,MATCH($D284,Einstellungen!$A$4:$A$40,0)),"?"))</f>
        <v/>
      </c>
      <c r="H284" s="27" t="n"/>
      <c r="I284" s="11">
        <f>IF($F284="","",IF($G284="Einnahme",$F284,-$F284))</f>
        <v/>
      </c>
    </row>
    <row r="285" ht="15" customHeight="1" s="52">
      <c r="A285" s="20" t="n"/>
      <c r="B285" s="21">
        <f>IF($A285="","",YEAR($A285))</f>
        <v/>
      </c>
      <c r="C285" s="21">
        <f>IF($A285="","",MONTH($A285))</f>
        <v/>
      </c>
      <c r="D285" s="22" t="n"/>
      <c r="E285" s="22" t="n"/>
      <c r="F285" s="23" t="n"/>
      <c r="G285" s="24">
        <f>IF($D285="","",IFERROR(INDEX(Einstellungen!$B$4:$B$40,MATCH($D285,Einstellungen!$A$4:$A$40,0)),"?"))</f>
        <v/>
      </c>
      <c r="H285" s="22" t="n"/>
      <c r="I285" s="25">
        <f>IF($F285="","",IF($G285="Einnahme",$F285,-$F285))</f>
        <v/>
      </c>
    </row>
    <row r="286" ht="15" customHeight="1" s="52">
      <c r="A286" s="26" t="n"/>
      <c r="B286" s="17">
        <f>IF($A286="","",YEAR($A286))</f>
        <v/>
      </c>
      <c r="C286" s="17">
        <f>IF($A286="","",MONTH($A286))</f>
        <v/>
      </c>
      <c r="D286" s="27" t="n"/>
      <c r="E286" s="27" t="n"/>
      <c r="F286" s="28" t="n"/>
      <c r="G286" s="14">
        <f>IF($D286="","",IFERROR(INDEX(Einstellungen!$B$4:$B$40,MATCH($D286,Einstellungen!$A$4:$A$40,0)),"?"))</f>
        <v/>
      </c>
      <c r="H286" s="27" t="n"/>
      <c r="I286" s="11">
        <f>IF($F286="","",IF($G286="Einnahme",$F286,-$F286))</f>
        <v/>
      </c>
    </row>
    <row r="287" ht="15" customHeight="1" s="52">
      <c r="A287" s="20" t="n"/>
      <c r="B287" s="21">
        <f>IF($A287="","",YEAR($A287))</f>
        <v/>
      </c>
      <c r="C287" s="21">
        <f>IF($A287="","",MONTH($A287))</f>
        <v/>
      </c>
      <c r="D287" s="22" t="n"/>
      <c r="E287" s="22" t="n"/>
      <c r="F287" s="23" t="n"/>
      <c r="G287" s="24">
        <f>IF($D287="","",IFERROR(INDEX(Einstellungen!$B$4:$B$40,MATCH($D287,Einstellungen!$A$4:$A$40,0)),"?"))</f>
        <v/>
      </c>
      <c r="H287" s="22" t="n"/>
      <c r="I287" s="25">
        <f>IF($F287="","",IF($G287="Einnahme",$F287,-$F287))</f>
        <v/>
      </c>
    </row>
    <row r="288" ht="15" customHeight="1" s="52">
      <c r="A288" s="26" t="n"/>
      <c r="B288" s="17">
        <f>IF($A288="","",YEAR($A288))</f>
        <v/>
      </c>
      <c r="C288" s="17">
        <f>IF($A288="","",MONTH($A288))</f>
        <v/>
      </c>
      <c r="D288" s="27" t="n"/>
      <c r="E288" s="27" t="n"/>
      <c r="F288" s="28" t="n"/>
      <c r="G288" s="14">
        <f>IF($D288="","",IFERROR(INDEX(Einstellungen!$B$4:$B$40,MATCH($D288,Einstellungen!$A$4:$A$40,0)),"?"))</f>
        <v/>
      </c>
      <c r="H288" s="27" t="n"/>
      <c r="I288" s="11">
        <f>IF($F288="","",IF($G288="Einnahme",$F288,-$F288))</f>
        <v/>
      </c>
    </row>
    <row r="289" ht="15" customHeight="1" s="52">
      <c r="A289" s="20" t="n"/>
      <c r="B289" s="21">
        <f>IF($A289="","",YEAR($A289))</f>
        <v/>
      </c>
      <c r="C289" s="21">
        <f>IF($A289="","",MONTH($A289))</f>
        <v/>
      </c>
      <c r="D289" s="22" t="n"/>
      <c r="E289" s="22" t="n"/>
      <c r="F289" s="23" t="n"/>
      <c r="G289" s="24">
        <f>IF($D289="","",IFERROR(INDEX(Einstellungen!$B$4:$B$40,MATCH($D289,Einstellungen!$A$4:$A$40,0)),"?"))</f>
        <v/>
      </c>
      <c r="H289" s="22" t="n"/>
      <c r="I289" s="25">
        <f>IF($F289="","",IF($G289="Einnahme",$F289,-$F289))</f>
        <v/>
      </c>
    </row>
    <row r="290" ht="15" customHeight="1" s="52">
      <c r="A290" s="26" t="n"/>
      <c r="B290" s="17">
        <f>IF($A290="","",YEAR($A290))</f>
        <v/>
      </c>
      <c r="C290" s="17">
        <f>IF($A290="","",MONTH($A290))</f>
        <v/>
      </c>
      <c r="D290" s="27" t="n"/>
      <c r="E290" s="27" t="n"/>
      <c r="F290" s="28" t="n"/>
      <c r="G290" s="14">
        <f>IF($D290="","",IFERROR(INDEX(Einstellungen!$B$4:$B$40,MATCH($D290,Einstellungen!$A$4:$A$40,0)),"?"))</f>
        <v/>
      </c>
      <c r="H290" s="27" t="n"/>
      <c r="I290" s="11">
        <f>IF($F290="","",IF($G290="Einnahme",$F290,-$F290))</f>
        <v/>
      </c>
    </row>
    <row r="291" ht="15" customHeight="1" s="52">
      <c r="A291" s="20" t="n"/>
      <c r="B291" s="21">
        <f>IF($A291="","",YEAR($A291))</f>
        <v/>
      </c>
      <c r="C291" s="21">
        <f>IF($A291="","",MONTH($A291))</f>
        <v/>
      </c>
      <c r="D291" s="22" t="n"/>
      <c r="E291" s="22" t="n"/>
      <c r="F291" s="23" t="n"/>
      <c r="G291" s="24">
        <f>IF($D291="","",IFERROR(INDEX(Einstellungen!$B$4:$B$40,MATCH($D291,Einstellungen!$A$4:$A$40,0)),"?"))</f>
        <v/>
      </c>
      <c r="H291" s="22" t="n"/>
      <c r="I291" s="25">
        <f>IF($F291="","",IF($G291="Einnahme",$F291,-$F291))</f>
        <v/>
      </c>
    </row>
    <row r="292" ht="15" customHeight="1" s="52">
      <c r="A292" s="26" t="n"/>
      <c r="B292" s="17">
        <f>IF($A292="","",YEAR($A292))</f>
        <v/>
      </c>
      <c r="C292" s="17">
        <f>IF($A292="","",MONTH($A292))</f>
        <v/>
      </c>
      <c r="D292" s="27" t="n"/>
      <c r="E292" s="27" t="n"/>
      <c r="F292" s="28" t="n"/>
      <c r="G292" s="14">
        <f>IF($D292="","",IFERROR(INDEX(Einstellungen!$B$4:$B$40,MATCH($D292,Einstellungen!$A$4:$A$40,0)),"?"))</f>
        <v/>
      </c>
      <c r="H292" s="27" t="n"/>
      <c r="I292" s="11">
        <f>IF($F292="","",IF($G292="Einnahme",$F292,-$F292))</f>
        <v/>
      </c>
    </row>
    <row r="293" ht="15" customHeight="1" s="52">
      <c r="A293" s="20" t="n"/>
      <c r="B293" s="21">
        <f>IF($A293="","",YEAR($A293))</f>
        <v/>
      </c>
      <c r="C293" s="21">
        <f>IF($A293="","",MONTH($A293))</f>
        <v/>
      </c>
      <c r="D293" s="22" t="n"/>
      <c r="E293" s="22" t="n"/>
      <c r="F293" s="23" t="n"/>
      <c r="G293" s="24">
        <f>IF($D293="","",IFERROR(INDEX(Einstellungen!$B$4:$B$40,MATCH($D293,Einstellungen!$A$4:$A$40,0)),"?"))</f>
        <v/>
      </c>
      <c r="H293" s="22" t="n"/>
      <c r="I293" s="25">
        <f>IF($F293="","",IF($G293="Einnahme",$F293,-$F293))</f>
        <v/>
      </c>
    </row>
    <row r="294" ht="15" customHeight="1" s="52">
      <c r="A294" s="26" t="n"/>
      <c r="B294" s="17">
        <f>IF($A294="","",YEAR($A294))</f>
        <v/>
      </c>
      <c r="C294" s="17">
        <f>IF($A294="","",MONTH($A294))</f>
        <v/>
      </c>
      <c r="D294" s="27" t="n"/>
      <c r="E294" s="27" t="n"/>
      <c r="F294" s="28" t="n"/>
      <c r="G294" s="14">
        <f>IF($D294="","",IFERROR(INDEX(Einstellungen!$B$4:$B$40,MATCH($D294,Einstellungen!$A$4:$A$40,0)),"?"))</f>
        <v/>
      </c>
      <c r="H294" s="27" t="n"/>
      <c r="I294" s="11">
        <f>IF($F294="","",IF($G294="Einnahme",$F294,-$F294))</f>
        <v/>
      </c>
    </row>
    <row r="295" ht="15" customHeight="1" s="52">
      <c r="A295" s="20" t="n"/>
      <c r="B295" s="21">
        <f>IF($A295="","",YEAR($A295))</f>
        <v/>
      </c>
      <c r="C295" s="21">
        <f>IF($A295="","",MONTH($A295))</f>
        <v/>
      </c>
      <c r="D295" s="22" t="n"/>
      <c r="E295" s="22" t="n"/>
      <c r="F295" s="23" t="n"/>
      <c r="G295" s="24">
        <f>IF($D295="","",IFERROR(INDEX(Einstellungen!$B$4:$B$40,MATCH($D295,Einstellungen!$A$4:$A$40,0)),"?"))</f>
        <v/>
      </c>
      <c r="H295" s="22" t="n"/>
      <c r="I295" s="25">
        <f>IF($F295="","",IF($G295="Einnahme",$F295,-$F295))</f>
        <v/>
      </c>
    </row>
    <row r="296" ht="15" customHeight="1" s="52">
      <c r="A296" s="26" t="n"/>
      <c r="B296" s="17">
        <f>IF($A296="","",YEAR($A296))</f>
        <v/>
      </c>
      <c r="C296" s="17">
        <f>IF($A296="","",MONTH($A296))</f>
        <v/>
      </c>
      <c r="D296" s="27" t="n"/>
      <c r="E296" s="27" t="n"/>
      <c r="F296" s="28" t="n"/>
      <c r="G296" s="14">
        <f>IF($D296="","",IFERROR(INDEX(Einstellungen!$B$4:$B$40,MATCH($D296,Einstellungen!$A$4:$A$40,0)),"?"))</f>
        <v/>
      </c>
      <c r="H296" s="27" t="n"/>
      <c r="I296" s="11">
        <f>IF($F296="","",IF($G296="Einnahme",$F296,-$F296))</f>
        <v/>
      </c>
    </row>
    <row r="297" ht="15" customHeight="1" s="52">
      <c r="A297" s="20" t="n"/>
      <c r="B297" s="21">
        <f>IF($A297="","",YEAR($A297))</f>
        <v/>
      </c>
      <c r="C297" s="21">
        <f>IF($A297="","",MONTH($A297))</f>
        <v/>
      </c>
      <c r="D297" s="22" t="n"/>
      <c r="E297" s="22" t="n"/>
      <c r="F297" s="23" t="n"/>
      <c r="G297" s="24">
        <f>IF($D297="","",IFERROR(INDEX(Einstellungen!$B$4:$B$40,MATCH($D297,Einstellungen!$A$4:$A$40,0)),"?"))</f>
        <v/>
      </c>
      <c r="H297" s="22" t="n"/>
      <c r="I297" s="25">
        <f>IF($F297="","",IF($G297="Einnahme",$F297,-$F297))</f>
        <v/>
      </c>
    </row>
    <row r="298" ht="15" customHeight="1" s="52">
      <c r="A298" s="26" t="n"/>
      <c r="B298" s="17">
        <f>IF($A298="","",YEAR($A298))</f>
        <v/>
      </c>
      <c r="C298" s="17">
        <f>IF($A298="","",MONTH($A298))</f>
        <v/>
      </c>
      <c r="D298" s="27" t="n"/>
      <c r="E298" s="27" t="n"/>
      <c r="F298" s="28" t="n"/>
      <c r="G298" s="14">
        <f>IF($D298="","",IFERROR(INDEX(Einstellungen!$B$4:$B$40,MATCH($D298,Einstellungen!$A$4:$A$40,0)),"?"))</f>
        <v/>
      </c>
      <c r="H298" s="27" t="n"/>
      <c r="I298" s="11">
        <f>IF($F298="","",IF($G298="Einnahme",$F298,-$F298))</f>
        <v/>
      </c>
    </row>
    <row r="299" ht="15" customHeight="1" s="52">
      <c r="A299" s="20" t="n"/>
      <c r="B299" s="21">
        <f>IF($A299="","",YEAR($A299))</f>
        <v/>
      </c>
      <c r="C299" s="21">
        <f>IF($A299="","",MONTH($A299))</f>
        <v/>
      </c>
      <c r="D299" s="22" t="n"/>
      <c r="E299" s="22" t="n"/>
      <c r="F299" s="23" t="n"/>
      <c r="G299" s="24">
        <f>IF($D299="","",IFERROR(INDEX(Einstellungen!$B$4:$B$40,MATCH($D299,Einstellungen!$A$4:$A$40,0)),"?"))</f>
        <v/>
      </c>
      <c r="H299" s="22" t="n"/>
      <c r="I299" s="25">
        <f>IF($F299="","",IF($G299="Einnahme",$F299,-$F299))</f>
        <v/>
      </c>
    </row>
    <row r="300" ht="15" customHeight="1" s="52">
      <c r="A300" s="26" t="n"/>
      <c r="B300" s="17">
        <f>IF($A300="","",YEAR($A300))</f>
        <v/>
      </c>
      <c r="C300" s="17">
        <f>IF($A300="","",MONTH($A300))</f>
        <v/>
      </c>
      <c r="D300" s="27" t="n"/>
      <c r="E300" s="27" t="n"/>
      <c r="F300" s="28" t="n"/>
      <c r="G300" s="14">
        <f>IF($D300="","",IFERROR(INDEX(Einstellungen!$B$4:$B$40,MATCH($D300,Einstellungen!$A$4:$A$40,0)),"?"))</f>
        <v/>
      </c>
      <c r="H300" s="27" t="n"/>
      <c r="I300" s="11">
        <f>IF($F300="","",IF($G300="Einnahme",$F300,-$F300))</f>
        <v/>
      </c>
    </row>
    <row r="301" ht="15" customHeight="1" s="52">
      <c r="A301" s="20" t="n"/>
      <c r="B301" s="21">
        <f>IF($A301="","",YEAR($A301))</f>
        <v/>
      </c>
      <c r="C301" s="21">
        <f>IF($A301="","",MONTH($A301))</f>
        <v/>
      </c>
      <c r="D301" s="22" t="n"/>
      <c r="E301" s="22" t="n"/>
      <c r="F301" s="23" t="n"/>
      <c r="G301" s="24">
        <f>IF($D301="","",IFERROR(INDEX(Einstellungen!$B$4:$B$40,MATCH($D301,Einstellungen!$A$4:$A$40,0)),"?"))</f>
        <v/>
      </c>
      <c r="H301" s="22" t="n"/>
      <c r="I301" s="25">
        <f>IF($F301="","",IF($G301="Einnahme",$F301,-$F301))</f>
        <v/>
      </c>
    </row>
    <row r="302" ht="15" customHeight="1" s="52">
      <c r="A302" s="26" t="n"/>
      <c r="B302" s="17">
        <f>IF($A302="","",YEAR($A302))</f>
        <v/>
      </c>
      <c r="C302" s="17">
        <f>IF($A302="","",MONTH($A302))</f>
        <v/>
      </c>
      <c r="D302" s="27" t="n"/>
      <c r="E302" s="27" t="n"/>
      <c r="F302" s="28" t="n"/>
      <c r="G302" s="14">
        <f>IF($D302="","",IFERROR(INDEX(Einstellungen!$B$4:$B$40,MATCH($D302,Einstellungen!$A$4:$A$40,0)),"?"))</f>
        <v/>
      </c>
      <c r="H302" s="27" t="n"/>
      <c r="I302" s="11">
        <f>IF($F302="","",IF($G302="Einnahme",$F302,-$F302))</f>
        <v/>
      </c>
    </row>
    <row r="303" ht="15" customHeight="1" s="52">
      <c r="A303" s="20" t="n"/>
      <c r="B303" s="21">
        <f>IF($A303="","",YEAR($A303))</f>
        <v/>
      </c>
      <c r="C303" s="21">
        <f>IF($A303="","",MONTH($A303))</f>
        <v/>
      </c>
      <c r="D303" s="22" t="n"/>
      <c r="E303" s="22" t="n"/>
      <c r="F303" s="23" t="n"/>
      <c r="G303" s="24">
        <f>IF($D303="","",IFERROR(INDEX(Einstellungen!$B$4:$B$40,MATCH($D303,Einstellungen!$A$4:$A$40,0)),"?"))</f>
        <v/>
      </c>
      <c r="H303" s="22" t="n"/>
      <c r="I303" s="25">
        <f>IF($F303="","",IF($G303="Einnahme",$F303,-$F303))</f>
        <v/>
      </c>
    </row>
    <row r="304" ht="15" customHeight="1" s="52">
      <c r="A304" s="26" t="n"/>
      <c r="B304" s="17">
        <f>IF($A304="","",YEAR($A304))</f>
        <v/>
      </c>
      <c r="C304" s="17">
        <f>IF($A304="","",MONTH($A304))</f>
        <v/>
      </c>
      <c r="D304" s="27" t="n"/>
      <c r="E304" s="27" t="n"/>
      <c r="F304" s="28" t="n"/>
      <c r="G304" s="14">
        <f>IF($D304="","",IFERROR(INDEX(Einstellungen!$B$4:$B$40,MATCH($D304,Einstellungen!$A$4:$A$40,0)),"?"))</f>
        <v/>
      </c>
      <c r="H304" s="27" t="n"/>
      <c r="I304" s="11">
        <f>IF($F304="","",IF($G304="Einnahme",$F304,-$F304))</f>
        <v/>
      </c>
    </row>
    <row r="305" ht="15" customHeight="1" s="52">
      <c r="A305" s="20" t="n"/>
      <c r="B305" s="21">
        <f>IF($A305="","",YEAR($A305))</f>
        <v/>
      </c>
      <c r="C305" s="21">
        <f>IF($A305="","",MONTH($A305))</f>
        <v/>
      </c>
      <c r="D305" s="22" t="n"/>
      <c r="E305" s="22" t="n"/>
      <c r="F305" s="23" t="n"/>
      <c r="G305" s="24">
        <f>IF($D305="","",IFERROR(INDEX(Einstellungen!$B$4:$B$40,MATCH($D305,Einstellungen!$A$4:$A$40,0)),"?"))</f>
        <v/>
      </c>
      <c r="H305" s="22" t="n"/>
      <c r="I305" s="25">
        <f>IF($F305="","",IF($G305="Einnahme",$F305,-$F305))</f>
        <v/>
      </c>
    </row>
    <row r="306" ht="15" customHeight="1" s="52">
      <c r="A306" s="26" t="n"/>
      <c r="B306" s="17">
        <f>IF($A306="","",YEAR($A306))</f>
        <v/>
      </c>
      <c r="C306" s="17">
        <f>IF($A306="","",MONTH($A306))</f>
        <v/>
      </c>
      <c r="D306" s="27" t="n"/>
      <c r="E306" s="27" t="n"/>
      <c r="F306" s="28" t="n"/>
      <c r="G306" s="14">
        <f>IF($D306="","",IFERROR(INDEX(Einstellungen!$B$4:$B$40,MATCH($D306,Einstellungen!$A$4:$A$40,0)),"?"))</f>
        <v/>
      </c>
      <c r="H306" s="27" t="n"/>
      <c r="I306" s="11">
        <f>IF($F306="","",IF($G306="Einnahme",$F306,-$F306))</f>
        <v/>
      </c>
    </row>
    <row r="307" ht="15" customHeight="1" s="52">
      <c r="A307" s="20" t="n"/>
      <c r="B307" s="21">
        <f>IF($A307="","",YEAR($A307))</f>
        <v/>
      </c>
      <c r="C307" s="21">
        <f>IF($A307="","",MONTH($A307))</f>
        <v/>
      </c>
      <c r="D307" s="22" t="n"/>
      <c r="E307" s="22" t="n"/>
      <c r="F307" s="23" t="n"/>
      <c r="G307" s="24">
        <f>IF($D307="","",IFERROR(INDEX(Einstellungen!$B$4:$B$40,MATCH($D307,Einstellungen!$A$4:$A$40,0)),"?"))</f>
        <v/>
      </c>
      <c r="H307" s="22" t="n"/>
      <c r="I307" s="25">
        <f>IF($F307="","",IF($G307="Einnahme",$F307,-$F307))</f>
        <v/>
      </c>
    </row>
    <row r="308" ht="15" customHeight="1" s="52">
      <c r="A308" s="26" t="n"/>
      <c r="B308" s="17">
        <f>IF($A308="","",YEAR($A308))</f>
        <v/>
      </c>
      <c r="C308" s="17">
        <f>IF($A308="","",MONTH($A308))</f>
        <v/>
      </c>
      <c r="D308" s="27" t="n"/>
      <c r="E308" s="27" t="n"/>
      <c r="F308" s="28" t="n"/>
      <c r="G308" s="14">
        <f>IF($D308="","",IFERROR(INDEX(Einstellungen!$B$4:$B$40,MATCH($D308,Einstellungen!$A$4:$A$40,0)),"?"))</f>
        <v/>
      </c>
      <c r="H308" s="27" t="n"/>
      <c r="I308" s="11">
        <f>IF($F308="","",IF($G308="Einnahme",$F308,-$F308))</f>
        <v/>
      </c>
    </row>
    <row r="309" ht="15" customHeight="1" s="52">
      <c r="A309" s="20" t="n"/>
      <c r="B309" s="21">
        <f>IF($A309="","",YEAR($A309))</f>
        <v/>
      </c>
      <c r="C309" s="21">
        <f>IF($A309="","",MONTH($A309))</f>
        <v/>
      </c>
      <c r="D309" s="22" t="n"/>
      <c r="E309" s="22" t="n"/>
      <c r="F309" s="23" t="n"/>
      <c r="G309" s="24">
        <f>IF($D309="","",IFERROR(INDEX(Einstellungen!$B$4:$B$40,MATCH($D309,Einstellungen!$A$4:$A$40,0)),"?"))</f>
        <v/>
      </c>
      <c r="H309" s="22" t="n"/>
      <c r="I309" s="25">
        <f>IF($F309="","",IF($G309="Einnahme",$F309,-$F309))</f>
        <v/>
      </c>
    </row>
    <row r="310" ht="15" customHeight="1" s="52">
      <c r="A310" s="26" t="n"/>
      <c r="B310" s="17">
        <f>IF($A310="","",YEAR($A310))</f>
        <v/>
      </c>
      <c r="C310" s="17">
        <f>IF($A310="","",MONTH($A310))</f>
        <v/>
      </c>
      <c r="D310" s="27" t="n"/>
      <c r="E310" s="27" t="n"/>
      <c r="F310" s="28" t="n"/>
      <c r="G310" s="14">
        <f>IF($D310="","",IFERROR(INDEX(Einstellungen!$B$4:$B$40,MATCH($D310,Einstellungen!$A$4:$A$40,0)),"?"))</f>
        <v/>
      </c>
      <c r="H310" s="27" t="n"/>
      <c r="I310" s="11">
        <f>IF($F310="","",IF($G310="Einnahme",$F310,-$F310))</f>
        <v/>
      </c>
    </row>
    <row r="311" ht="15" customHeight="1" s="52">
      <c r="A311" s="20" t="n"/>
      <c r="B311" s="21">
        <f>IF($A311="","",YEAR($A311))</f>
        <v/>
      </c>
      <c r="C311" s="21">
        <f>IF($A311="","",MONTH($A311))</f>
        <v/>
      </c>
      <c r="D311" s="22" t="n"/>
      <c r="E311" s="22" t="n"/>
      <c r="F311" s="23" t="n"/>
      <c r="G311" s="24">
        <f>IF($D311="","",IFERROR(INDEX(Einstellungen!$B$4:$B$40,MATCH($D311,Einstellungen!$A$4:$A$40,0)),"?"))</f>
        <v/>
      </c>
      <c r="H311" s="22" t="n"/>
      <c r="I311" s="25">
        <f>IF($F311="","",IF($G311="Einnahme",$F311,-$F311))</f>
        <v/>
      </c>
    </row>
    <row r="312" ht="15" customHeight="1" s="52">
      <c r="A312" s="26" t="n"/>
      <c r="B312" s="17">
        <f>IF($A312="","",YEAR($A312))</f>
        <v/>
      </c>
      <c r="C312" s="17">
        <f>IF($A312="","",MONTH($A312))</f>
        <v/>
      </c>
      <c r="D312" s="27" t="n"/>
      <c r="E312" s="27" t="n"/>
      <c r="F312" s="28" t="n"/>
      <c r="G312" s="14">
        <f>IF($D312="","",IFERROR(INDEX(Einstellungen!$B$4:$B$40,MATCH($D312,Einstellungen!$A$4:$A$40,0)),"?"))</f>
        <v/>
      </c>
      <c r="H312" s="27" t="n"/>
      <c r="I312" s="11">
        <f>IF($F312="","",IF($G312="Einnahme",$F312,-$F312))</f>
        <v/>
      </c>
    </row>
    <row r="313" ht="15" customHeight="1" s="52">
      <c r="A313" s="20" t="n"/>
      <c r="B313" s="21">
        <f>IF($A313="","",YEAR($A313))</f>
        <v/>
      </c>
      <c r="C313" s="21">
        <f>IF($A313="","",MONTH($A313))</f>
        <v/>
      </c>
      <c r="D313" s="22" t="n"/>
      <c r="E313" s="22" t="n"/>
      <c r="F313" s="23" t="n"/>
      <c r="G313" s="24">
        <f>IF($D313="","",IFERROR(INDEX(Einstellungen!$B$4:$B$40,MATCH($D313,Einstellungen!$A$4:$A$40,0)),"?"))</f>
        <v/>
      </c>
      <c r="H313" s="22" t="n"/>
      <c r="I313" s="25">
        <f>IF($F313="","",IF($G313="Einnahme",$F313,-$F313))</f>
        <v/>
      </c>
    </row>
    <row r="314" ht="15" customHeight="1" s="52">
      <c r="A314" s="26" t="n"/>
      <c r="B314" s="17">
        <f>IF($A314="","",YEAR($A314))</f>
        <v/>
      </c>
      <c r="C314" s="17">
        <f>IF($A314="","",MONTH($A314))</f>
        <v/>
      </c>
      <c r="D314" s="27" t="n"/>
      <c r="E314" s="27" t="n"/>
      <c r="F314" s="28" t="n"/>
      <c r="G314" s="14">
        <f>IF($D314="","",IFERROR(INDEX(Einstellungen!$B$4:$B$40,MATCH($D314,Einstellungen!$A$4:$A$40,0)),"?"))</f>
        <v/>
      </c>
      <c r="H314" s="27" t="n"/>
      <c r="I314" s="11">
        <f>IF($F314="","",IF($G314="Einnahme",$F314,-$F314))</f>
        <v/>
      </c>
    </row>
    <row r="315" ht="15" customHeight="1" s="52">
      <c r="A315" s="20" t="n"/>
      <c r="B315" s="21">
        <f>IF($A315="","",YEAR($A315))</f>
        <v/>
      </c>
      <c r="C315" s="21">
        <f>IF($A315="","",MONTH($A315))</f>
        <v/>
      </c>
      <c r="D315" s="22" t="n"/>
      <c r="E315" s="22" t="n"/>
      <c r="F315" s="23" t="n"/>
      <c r="G315" s="24">
        <f>IF($D315="","",IFERROR(INDEX(Einstellungen!$B$4:$B$40,MATCH($D315,Einstellungen!$A$4:$A$40,0)),"?"))</f>
        <v/>
      </c>
      <c r="H315" s="22" t="n"/>
      <c r="I315" s="25">
        <f>IF($F315="","",IF($G315="Einnahme",$F315,-$F315))</f>
        <v/>
      </c>
    </row>
    <row r="316" ht="15" customHeight="1" s="52">
      <c r="A316" s="26" t="n"/>
      <c r="B316" s="17">
        <f>IF($A316="","",YEAR($A316))</f>
        <v/>
      </c>
      <c r="C316" s="17">
        <f>IF($A316="","",MONTH($A316))</f>
        <v/>
      </c>
      <c r="D316" s="27" t="n"/>
      <c r="E316" s="27" t="n"/>
      <c r="F316" s="28" t="n"/>
      <c r="G316" s="14">
        <f>IF($D316="","",IFERROR(INDEX(Einstellungen!$B$4:$B$40,MATCH($D316,Einstellungen!$A$4:$A$40,0)),"?"))</f>
        <v/>
      </c>
      <c r="H316" s="27" t="n"/>
      <c r="I316" s="11">
        <f>IF($F316="","",IF($G316="Einnahme",$F316,-$F316))</f>
        <v/>
      </c>
    </row>
    <row r="317" ht="15" customHeight="1" s="52">
      <c r="A317" s="20" t="n"/>
      <c r="B317" s="21">
        <f>IF($A317="","",YEAR($A317))</f>
        <v/>
      </c>
      <c r="C317" s="21">
        <f>IF($A317="","",MONTH($A317))</f>
        <v/>
      </c>
      <c r="D317" s="22" t="n"/>
      <c r="E317" s="22" t="n"/>
      <c r="F317" s="23" t="n"/>
      <c r="G317" s="24">
        <f>IF($D317="","",IFERROR(INDEX(Einstellungen!$B$4:$B$40,MATCH($D317,Einstellungen!$A$4:$A$40,0)),"?"))</f>
        <v/>
      </c>
      <c r="H317" s="22" t="n"/>
      <c r="I317" s="25">
        <f>IF($F317="","",IF($G317="Einnahme",$F317,-$F317))</f>
        <v/>
      </c>
    </row>
    <row r="318" ht="15" customHeight="1" s="52">
      <c r="A318" s="26" t="n"/>
      <c r="B318" s="17">
        <f>IF($A318="","",YEAR($A318))</f>
        <v/>
      </c>
      <c r="C318" s="17">
        <f>IF($A318="","",MONTH($A318))</f>
        <v/>
      </c>
      <c r="D318" s="27" t="n"/>
      <c r="E318" s="27" t="n"/>
      <c r="F318" s="28" t="n"/>
      <c r="G318" s="14">
        <f>IF($D318="","",IFERROR(INDEX(Einstellungen!$B$4:$B$40,MATCH($D318,Einstellungen!$A$4:$A$40,0)),"?"))</f>
        <v/>
      </c>
      <c r="H318" s="27" t="n"/>
      <c r="I318" s="11">
        <f>IF($F318="","",IF($G318="Einnahme",$F318,-$F318))</f>
        <v/>
      </c>
    </row>
    <row r="319" ht="15" customHeight="1" s="52">
      <c r="A319" s="20" t="n"/>
      <c r="B319" s="21">
        <f>IF($A319="","",YEAR($A319))</f>
        <v/>
      </c>
      <c r="C319" s="21">
        <f>IF($A319="","",MONTH($A319))</f>
        <v/>
      </c>
      <c r="D319" s="22" t="n"/>
      <c r="E319" s="22" t="n"/>
      <c r="F319" s="23" t="n"/>
      <c r="G319" s="24">
        <f>IF($D319="","",IFERROR(INDEX(Einstellungen!$B$4:$B$40,MATCH($D319,Einstellungen!$A$4:$A$40,0)),"?"))</f>
        <v/>
      </c>
      <c r="H319" s="22" t="n"/>
      <c r="I319" s="25">
        <f>IF($F319="","",IF($G319="Einnahme",$F319,-$F319))</f>
        <v/>
      </c>
    </row>
    <row r="320" ht="15" customHeight="1" s="52">
      <c r="A320" s="26" t="n"/>
      <c r="B320" s="17">
        <f>IF($A320="","",YEAR($A320))</f>
        <v/>
      </c>
      <c r="C320" s="17">
        <f>IF($A320="","",MONTH($A320))</f>
        <v/>
      </c>
      <c r="D320" s="27" t="n"/>
      <c r="E320" s="27" t="n"/>
      <c r="F320" s="28" t="n"/>
      <c r="G320" s="14">
        <f>IF($D320="","",IFERROR(INDEX(Einstellungen!$B$4:$B$40,MATCH($D320,Einstellungen!$A$4:$A$40,0)),"?"))</f>
        <v/>
      </c>
      <c r="H320" s="27" t="n"/>
      <c r="I320" s="11">
        <f>IF($F320="","",IF($G320="Einnahme",$F320,-$F320))</f>
        <v/>
      </c>
    </row>
    <row r="321" ht="15" customHeight="1" s="52">
      <c r="A321" s="20" t="n"/>
      <c r="B321" s="21">
        <f>IF($A321="","",YEAR($A321))</f>
        <v/>
      </c>
      <c r="C321" s="21">
        <f>IF($A321="","",MONTH($A321))</f>
        <v/>
      </c>
      <c r="D321" s="22" t="n"/>
      <c r="E321" s="22" t="n"/>
      <c r="F321" s="23" t="n"/>
      <c r="G321" s="24">
        <f>IF($D321="","",IFERROR(INDEX(Einstellungen!$B$4:$B$40,MATCH($D321,Einstellungen!$A$4:$A$40,0)),"?"))</f>
        <v/>
      </c>
      <c r="H321" s="22" t="n"/>
      <c r="I321" s="25">
        <f>IF($F321="","",IF($G321="Einnahme",$F321,-$F321))</f>
        <v/>
      </c>
    </row>
    <row r="322" ht="15" customHeight="1" s="52">
      <c r="A322" s="26" t="n"/>
      <c r="B322" s="17">
        <f>IF($A322="","",YEAR($A322))</f>
        <v/>
      </c>
      <c r="C322" s="17">
        <f>IF($A322="","",MONTH($A322))</f>
        <v/>
      </c>
      <c r="D322" s="27" t="n"/>
      <c r="E322" s="27" t="n"/>
      <c r="F322" s="28" t="n"/>
      <c r="G322" s="14">
        <f>IF($D322="","",IFERROR(INDEX(Einstellungen!$B$4:$B$40,MATCH($D322,Einstellungen!$A$4:$A$40,0)),"?"))</f>
        <v/>
      </c>
      <c r="H322" s="27" t="n"/>
      <c r="I322" s="11">
        <f>IF($F322="","",IF($G322="Einnahme",$F322,-$F322))</f>
        <v/>
      </c>
    </row>
    <row r="323" ht="15" customHeight="1" s="52">
      <c r="A323" s="20" t="n"/>
      <c r="B323" s="21">
        <f>IF($A323="","",YEAR($A323))</f>
        <v/>
      </c>
      <c r="C323" s="21">
        <f>IF($A323="","",MONTH($A323))</f>
        <v/>
      </c>
      <c r="D323" s="22" t="n"/>
      <c r="E323" s="22" t="n"/>
      <c r="F323" s="23" t="n"/>
      <c r="G323" s="24">
        <f>IF($D323="","",IFERROR(INDEX(Einstellungen!$B$4:$B$40,MATCH($D323,Einstellungen!$A$4:$A$40,0)),"?"))</f>
        <v/>
      </c>
      <c r="H323" s="22" t="n"/>
      <c r="I323" s="25">
        <f>IF($F323="","",IF($G323="Einnahme",$F323,-$F323))</f>
        <v/>
      </c>
    </row>
    <row r="324" ht="15" customHeight="1" s="52">
      <c r="A324" s="26" t="n"/>
      <c r="B324" s="17">
        <f>IF($A324="","",YEAR($A324))</f>
        <v/>
      </c>
      <c r="C324" s="17">
        <f>IF($A324="","",MONTH($A324))</f>
        <v/>
      </c>
      <c r="D324" s="27" t="n"/>
      <c r="E324" s="27" t="n"/>
      <c r="F324" s="28" t="n"/>
      <c r="G324" s="14">
        <f>IF($D324="","",IFERROR(INDEX(Einstellungen!$B$4:$B$40,MATCH($D324,Einstellungen!$A$4:$A$40,0)),"?"))</f>
        <v/>
      </c>
      <c r="H324" s="27" t="n"/>
      <c r="I324" s="11">
        <f>IF($F324="","",IF($G324="Einnahme",$F324,-$F324))</f>
        <v/>
      </c>
    </row>
    <row r="325" ht="15" customHeight="1" s="52">
      <c r="A325" s="20" t="n"/>
      <c r="B325" s="21">
        <f>IF($A325="","",YEAR($A325))</f>
        <v/>
      </c>
      <c r="C325" s="21">
        <f>IF($A325="","",MONTH($A325))</f>
        <v/>
      </c>
      <c r="D325" s="22" t="n"/>
      <c r="E325" s="22" t="n"/>
      <c r="F325" s="23" t="n"/>
      <c r="G325" s="24">
        <f>IF($D325="","",IFERROR(INDEX(Einstellungen!$B$4:$B$40,MATCH($D325,Einstellungen!$A$4:$A$40,0)),"?"))</f>
        <v/>
      </c>
      <c r="H325" s="22" t="n"/>
      <c r="I325" s="25">
        <f>IF($F325="","",IF($G325="Einnahme",$F325,-$F325))</f>
        <v/>
      </c>
    </row>
    <row r="326" ht="15" customHeight="1" s="52">
      <c r="A326" s="26" t="n"/>
      <c r="B326" s="17">
        <f>IF($A326="","",YEAR($A326))</f>
        <v/>
      </c>
      <c r="C326" s="17">
        <f>IF($A326="","",MONTH($A326))</f>
        <v/>
      </c>
      <c r="D326" s="27" t="n"/>
      <c r="E326" s="27" t="n"/>
      <c r="F326" s="28" t="n"/>
      <c r="G326" s="14">
        <f>IF($D326="","",IFERROR(INDEX(Einstellungen!$B$4:$B$40,MATCH($D326,Einstellungen!$A$4:$A$40,0)),"?"))</f>
        <v/>
      </c>
      <c r="H326" s="27" t="n"/>
      <c r="I326" s="11">
        <f>IF($F326="","",IF($G326="Einnahme",$F326,-$F326))</f>
        <v/>
      </c>
    </row>
    <row r="327" ht="15" customHeight="1" s="52">
      <c r="A327" s="20" t="n"/>
      <c r="B327" s="21">
        <f>IF($A327="","",YEAR($A327))</f>
        <v/>
      </c>
      <c r="C327" s="21">
        <f>IF($A327="","",MONTH($A327))</f>
        <v/>
      </c>
      <c r="D327" s="22" t="n"/>
      <c r="E327" s="22" t="n"/>
      <c r="F327" s="23" t="n"/>
      <c r="G327" s="24">
        <f>IF($D327="","",IFERROR(INDEX(Einstellungen!$B$4:$B$40,MATCH($D327,Einstellungen!$A$4:$A$40,0)),"?"))</f>
        <v/>
      </c>
      <c r="H327" s="22" t="n"/>
      <c r="I327" s="25">
        <f>IF($F327="","",IF($G327="Einnahme",$F327,-$F327))</f>
        <v/>
      </c>
    </row>
    <row r="328" ht="15" customHeight="1" s="52">
      <c r="A328" s="26" t="n"/>
      <c r="B328" s="17">
        <f>IF($A328="","",YEAR($A328))</f>
        <v/>
      </c>
      <c r="C328" s="17">
        <f>IF($A328="","",MONTH($A328))</f>
        <v/>
      </c>
      <c r="D328" s="27" t="n"/>
      <c r="E328" s="27" t="n"/>
      <c r="F328" s="28" t="n"/>
      <c r="G328" s="14">
        <f>IF($D328="","",IFERROR(INDEX(Einstellungen!$B$4:$B$40,MATCH($D328,Einstellungen!$A$4:$A$40,0)),"?"))</f>
        <v/>
      </c>
      <c r="H328" s="27" t="n"/>
      <c r="I328" s="11">
        <f>IF($F328="","",IF($G328="Einnahme",$F328,-$F328))</f>
        <v/>
      </c>
    </row>
    <row r="329" ht="15" customHeight="1" s="52">
      <c r="A329" s="20" t="n"/>
      <c r="B329" s="21">
        <f>IF($A329="","",YEAR($A329))</f>
        <v/>
      </c>
      <c r="C329" s="21">
        <f>IF($A329="","",MONTH($A329))</f>
        <v/>
      </c>
      <c r="D329" s="22" t="n"/>
      <c r="E329" s="22" t="n"/>
      <c r="F329" s="23" t="n"/>
      <c r="G329" s="24">
        <f>IF($D329="","",IFERROR(INDEX(Einstellungen!$B$4:$B$40,MATCH($D329,Einstellungen!$A$4:$A$40,0)),"?"))</f>
        <v/>
      </c>
      <c r="H329" s="22" t="n"/>
      <c r="I329" s="25">
        <f>IF($F329="","",IF($G329="Einnahme",$F329,-$F329))</f>
        <v/>
      </c>
    </row>
    <row r="330" ht="15" customHeight="1" s="52">
      <c r="A330" s="26" t="n"/>
      <c r="B330" s="17">
        <f>IF($A330="","",YEAR($A330))</f>
        <v/>
      </c>
      <c r="C330" s="17">
        <f>IF($A330="","",MONTH($A330))</f>
        <v/>
      </c>
      <c r="D330" s="27" t="n"/>
      <c r="E330" s="27" t="n"/>
      <c r="F330" s="28" t="n"/>
      <c r="G330" s="14">
        <f>IF($D330="","",IFERROR(INDEX(Einstellungen!$B$4:$B$40,MATCH($D330,Einstellungen!$A$4:$A$40,0)),"?"))</f>
        <v/>
      </c>
      <c r="H330" s="27" t="n"/>
      <c r="I330" s="11">
        <f>IF($F330="","",IF($G330="Einnahme",$F330,-$F330))</f>
        <v/>
      </c>
    </row>
    <row r="331" ht="15" customHeight="1" s="52">
      <c r="A331" s="20" t="n"/>
      <c r="B331" s="21">
        <f>IF($A331="","",YEAR($A331))</f>
        <v/>
      </c>
      <c r="C331" s="21">
        <f>IF($A331="","",MONTH($A331))</f>
        <v/>
      </c>
      <c r="D331" s="22" t="n"/>
      <c r="E331" s="22" t="n"/>
      <c r="F331" s="23" t="n"/>
      <c r="G331" s="24">
        <f>IF($D331="","",IFERROR(INDEX(Einstellungen!$B$4:$B$40,MATCH($D331,Einstellungen!$A$4:$A$40,0)),"?"))</f>
        <v/>
      </c>
      <c r="H331" s="22" t="n"/>
      <c r="I331" s="25">
        <f>IF($F331="","",IF($G331="Einnahme",$F331,-$F331))</f>
        <v/>
      </c>
    </row>
    <row r="332" ht="15" customHeight="1" s="52">
      <c r="A332" s="26" t="n"/>
      <c r="B332" s="17">
        <f>IF($A332="","",YEAR($A332))</f>
        <v/>
      </c>
      <c r="C332" s="17">
        <f>IF($A332="","",MONTH($A332))</f>
        <v/>
      </c>
      <c r="D332" s="27" t="n"/>
      <c r="E332" s="27" t="n"/>
      <c r="F332" s="28" t="n"/>
      <c r="G332" s="14">
        <f>IF($D332="","",IFERROR(INDEX(Einstellungen!$B$4:$B$40,MATCH($D332,Einstellungen!$A$4:$A$40,0)),"?"))</f>
        <v/>
      </c>
      <c r="H332" s="27" t="n"/>
      <c r="I332" s="11">
        <f>IF($F332="","",IF($G332="Einnahme",$F332,-$F332))</f>
        <v/>
      </c>
    </row>
    <row r="333" ht="15" customHeight="1" s="52">
      <c r="A333" s="20" t="n"/>
      <c r="B333" s="21">
        <f>IF($A333="","",YEAR($A333))</f>
        <v/>
      </c>
      <c r="C333" s="21">
        <f>IF($A333="","",MONTH($A333))</f>
        <v/>
      </c>
      <c r="D333" s="22" t="n"/>
      <c r="E333" s="22" t="n"/>
      <c r="F333" s="23" t="n"/>
      <c r="G333" s="24">
        <f>IF($D333="","",IFERROR(INDEX(Einstellungen!$B$4:$B$40,MATCH($D333,Einstellungen!$A$4:$A$40,0)),"?"))</f>
        <v/>
      </c>
      <c r="H333" s="22" t="n"/>
      <c r="I333" s="25">
        <f>IF($F333="","",IF($G333="Einnahme",$F333,-$F333))</f>
        <v/>
      </c>
    </row>
    <row r="334" ht="15" customHeight="1" s="52">
      <c r="A334" s="26" t="n"/>
      <c r="B334" s="17">
        <f>IF($A334="","",YEAR($A334))</f>
        <v/>
      </c>
      <c r="C334" s="17">
        <f>IF($A334="","",MONTH($A334))</f>
        <v/>
      </c>
      <c r="D334" s="27" t="n"/>
      <c r="E334" s="27" t="n"/>
      <c r="F334" s="28" t="n"/>
      <c r="G334" s="14">
        <f>IF($D334="","",IFERROR(INDEX(Einstellungen!$B$4:$B$40,MATCH($D334,Einstellungen!$A$4:$A$40,0)),"?"))</f>
        <v/>
      </c>
      <c r="H334" s="27" t="n"/>
      <c r="I334" s="11">
        <f>IF($F334="","",IF($G334="Einnahme",$F334,-$F334))</f>
        <v/>
      </c>
    </row>
    <row r="335" ht="15" customHeight="1" s="52">
      <c r="A335" s="20" t="n"/>
      <c r="B335" s="21">
        <f>IF($A335="","",YEAR($A335))</f>
        <v/>
      </c>
      <c r="C335" s="21">
        <f>IF($A335="","",MONTH($A335))</f>
        <v/>
      </c>
      <c r="D335" s="22" t="n"/>
      <c r="E335" s="22" t="n"/>
      <c r="F335" s="23" t="n"/>
      <c r="G335" s="24">
        <f>IF($D335="","",IFERROR(INDEX(Einstellungen!$B$4:$B$40,MATCH($D335,Einstellungen!$A$4:$A$40,0)),"?"))</f>
        <v/>
      </c>
      <c r="H335" s="22" t="n"/>
      <c r="I335" s="25">
        <f>IF($F335="","",IF($G335="Einnahme",$F335,-$F335))</f>
        <v/>
      </c>
    </row>
    <row r="336" ht="15" customHeight="1" s="52">
      <c r="A336" s="26" t="n"/>
      <c r="B336" s="17">
        <f>IF($A336="","",YEAR($A336))</f>
        <v/>
      </c>
      <c r="C336" s="17">
        <f>IF($A336="","",MONTH($A336))</f>
        <v/>
      </c>
      <c r="D336" s="27" t="n"/>
      <c r="E336" s="27" t="n"/>
      <c r="F336" s="28" t="n"/>
      <c r="G336" s="14">
        <f>IF($D336="","",IFERROR(INDEX(Einstellungen!$B$4:$B$40,MATCH($D336,Einstellungen!$A$4:$A$40,0)),"?"))</f>
        <v/>
      </c>
      <c r="H336" s="27" t="n"/>
      <c r="I336" s="11">
        <f>IF($F336="","",IF($G336="Einnahme",$F336,-$F336))</f>
        <v/>
      </c>
    </row>
    <row r="337" ht="15" customHeight="1" s="52">
      <c r="A337" s="20" t="n"/>
      <c r="B337" s="21">
        <f>IF($A337="","",YEAR($A337))</f>
        <v/>
      </c>
      <c r="C337" s="21">
        <f>IF($A337="","",MONTH($A337))</f>
        <v/>
      </c>
      <c r="D337" s="22" t="n"/>
      <c r="E337" s="22" t="n"/>
      <c r="F337" s="23" t="n"/>
      <c r="G337" s="24">
        <f>IF($D337="","",IFERROR(INDEX(Einstellungen!$B$4:$B$40,MATCH($D337,Einstellungen!$A$4:$A$40,0)),"?"))</f>
        <v/>
      </c>
      <c r="H337" s="22" t="n"/>
      <c r="I337" s="25">
        <f>IF($F337="","",IF($G337="Einnahme",$F337,-$F337))</f>
        <v/>
      </c>
    </row>
    <row r="338" ht="15" customHeight="1" s="52">
      <c r="A338" s="26" t="n"/>
      <c r="B338" s="17">
        <f>IF($A338="","",YEAR($A338))</f>
        <v/>
      </c>
      <c r="C338" s="17">
        <f>IF($A338="","",MONTH($A338))</f>
        <v/>
      </c>
      <c r="D338" s="27" t="n"/>
      <c r="E338" s="27" t="n"/>
      <c r="F338" s="28" t="n"/>
      <c r="G338" s="14">
        <f>IF($D338="","",IFERROR(INDEX(Einstellungen!$B$4:$B$40,MATCH($D338,Einstellungen!$A$4:$A$40,0)),"?"))</f>
        <v/>
      </c>
      <c r="H338" s="27" t="n"/>
      <c r="I338" s="11">
        <f>IF($F338="","",IF($G338="Einnahme",$F338,-$F338))</f>
        <v/>
      </c>
    </row>
    <row r="339" ht="15" customHeight="1" s="52">
      <c r="A339" s="20" t="n"/>
      <c r="B339" s="21">
        <f>IF($A339="","",YEAR($A339))</f>
        <v/>
      </c>
      <c r="C339" s="21">
        <f>IF($A339="","",MONTH($A339))</f>
        <v/>
      </c>
      <c r="D339" s="22" t="n"/>
      <c r="E339" s="22" t="n"/>
      <c r="F339" s="23" t="n"/>
      <c r="G339" s="24">
        <f>IF($D339="","",IFERROR(INDEX(Einstellungen!$B$4:$B$40,MATCH($D339,Einstellungen!$A$4:$A$40,0)),"?"))</f>
        <v/>
      </c>
      <c r="H339" s="22" t="n"/>
      <c r="I339" s="25">
        <f>IF($F339="","",IF($G339="Einnahme",$F339,-$F339))</f>
        <v/>
      </c>
    </row>
    <row r="340" ht="15" customHeight="1" s="52">
      <c r="A340" s="26" t="n"/>
      <c r="B340" s="17">
        <f>IF($A340="","",YEAR($A340))</f>
        <v/>
      </c>
      <c r="C340" s="17">
        <f>IF($A340="","",MONTH($A340))</f>
        <v/>
      </c>
      <c r="D340" s="27" t="n"/>
      <c r="E340" s="27" t="n"/>
      <c r="F340" s="28" t="n"/>
      <c r="G340" s="14">
        <f>IF($D340="","",IFERROR(INDEX(Einstellungen!$B$4:$B$40,MATCH($D340,Einstellungen!$A$4:$A$40,0)),"?"))</f>
        <v/>
      </c>
      <c r="H340" s="27" t="n"/>
      <c r="I340" s="11">
        <f>IF($F340="","",IF($G340="Einnahme",$F340,-$F340))</f>
        <v/>
      </c>
    </row>
    <row r="341" ht="15" customHeight="1" s="52">
      <c r="A341" s="20" t="n"/>
      <c r="B341" s="21">
        <f>IF($A341="","",YEAR($A341))</f>
        <v/>
      </c>
      <c r="C341" s="21">
        <f>IF($A341="","",MONTH($A341))</f>
        <v/>
      </c>
      <c r="D341" s="22" t="n"/>
      <c r="E341" s="22" t="n"/>
      <c r="F341" s="23" t="n"/>
      <c r="G341" s="24">
        <f>IF($D341="","",IFERROR(INDEX(Einstellungen!$B$4:$B$40,MATCH($D341,Einstellungen!$A$4:$A$40,0)),"?"))</f>
        <v/>
      </c>
      <c r="H341" s="22" t="n"/>
      <c r="I341" s="25">
        <f>IF($F341="","",IF($G341="Einnahme",$F341,-$F341))</f>
        <v/>
      </c>
    </row>
    <row r="342" ht="15" customHeight="1" s="52">
      <c r="A342" s="26" t="n"/>
      <c r="B342" s="17">
        <f>IF($A342="","",YEAR($A342))</f>
        <v/>
      </c>
      <c r="C342" s="17">
        <f>IF($A342="","",MONTH($A342))</f>
        <v/>
      </c>
      <c r="D342" s="27" t="n"/>
      <c r="E342" s="27" t="n"/>
      <c r="F342" s="28" t="n"/>
      <c r="G342" s="14">
        <f>IF($D342="","",IFERROR(INDEX(Einstellungen!$B$4:$B$40,MATCH($D342,Einstellungen!$A$4:$A$40,0)),"?"))</f>
        <v/>
      </c>
      <c r="H342" s="27" t="n"/>
      <c r="I342" s="11">
        <f>IF($F342="","",IF($G342="Einnahme",$F342,-$F342))</f>
        <v/>
      </c>
    </row>
    <row r="343" ht="15" customHeight="1" s="52">
      <c r="A343" s="20" t="n"/>
      <c r="B343" s="21">
        <f>IF($A343="","",YEAR($A343))</f>
        <v/>
      </c>
      <c r="C343" s="21">
        <f>IF($A343="","",MONTH($A343))</f>
        <v/>
      </c>
      <c r="D343" s="22" t="n"/>
      <c r="E343" s="22" t="n"/>
      <c r="F343" s="23" t="n"/>
      <c r="G343" s="24">
        <f>IF($D343="","",IFERROR(INDEX(Einstellungen!$B$4:$B$40,MATCH($D343,Einstellungen!$A$4:$A$40,0)),"?"))</f>
        <v/>
      </c>
      <c r="H343" s="22" t="n"/>
      <c r="I343" s="25">
        <f>IF($F343="","",IF($G343="Einnahme",$F343,-$F343))</f>
        <v/>
      </c>
    </row>
    <row r="344" ht="15" customHeight="1" s="52">
      <c r="A344" s="26" t="n"/>
      <c r="B344" s="17">
        <f>IF($A344="","",YEAR($A344))</f>
        <v/>
      </c>
      <c r="C344" s="17">
        <f>IF($A344="","",MONTH($A344))</f>
        <v/>
      </c>
      <c r="D344" s="27" t="n"/>
      <c r="E344" s="27" t="n"/>
      <c r="F344" s="28" t="n"/>
      <c r="G344" s="14">
        <f>IF($D344="","",IFERROR(INDEX(Einstellungen!$B$4:$B$40,MATCH($D344,Einstellungen!$A$4:$A$40,0)),"?"))</f>
        <v/>
      </c>
      <c r="H344" s="27" t="n"/>
      <c r="I344" s="11">
        <f>IF($F344="","",IF($G344="Einnahme",$F344,-$F344))</f>
        <v/>
      </c>
    </row>
    <row r="345" ht="15" customHeight="1" s="52">
      <c r="A345" s="20" t="n"/>
      <c r="B345" s="21">
        <f>IF($A345="","",YEAR($A345))</f>
        <v/>
      </c>
      <c r="C345" s="21">
        <f>IF($A345="","",MONTH($A345))</f>
        <v/>
      </c>
      <c r="D345" s="22" t="n"/>
      <c r="E345" s="22" t="n"/>
      <c r="F345" s="23" t="n"/>
      <c r="G345" s="24">
        <f>IF($D345="","",IFERROR(INDEX(Einstellungen!$B$4:$B$40,MATCH($D345,Einstellungen!$A$4:$A$40,0)),"?"))</f>
        <v/>
      </c>
      <c r="H345" s="22" t="n"/>
      <c r="I345" s="25">
        <f>IF($F345="","",IF($G345="Einnahme",$F345,-$F345))</f>
        <v/>
      </c>
    </row>
    <row r="346" ht="15" customHeight="1" s="52">
      <c r="A346" s="26" t="n"/>
      <c r="B346" s="17">
        <f>IF($A346="","",YEAR($A346))</f>
        <v/>
      </c>
      <c r="C346" s="17">
        <f>IF($A346="","",MONTH($A346))</f>
        <v/>
      </c>
      <c r="D346" s="27" t="n"/>
      <c r="E346" s="27" t="n"/>
      <c r="F346" s="28" t="n"/>
      <c r="G346" s="14">
        <f>IF($D346="","",IFERROR(INDEX(Einstellungen!$B$4:$B$40,MATCH($D346,Einstellungen!$A$4:$A$40,0)),"?"))</f>
        <v/>
      </c>
      <c r="H346" s="27" t="n"/>
      <c r="I346" s="11">
        <f>IF($F346="","",IF($G346="Einnahme",$F346,-$F346))</f>
        <v/>
      </c>
    </row>
    <row r="347" ht="15" customHeight="1" s="52">
      <c r="A347" s="20" t="n"/>
      <c r="B347" s="21">
        <f>IF($A347="","",YEAR($A347))</f>
        <v/>
      </c>
      <c r="C347" s="21">
        <f>IF($A347="","",MONTH($A347))</f>
        <v/>
      </c>
      <c r="D347" s="22" t="n"/>
      <c r="E347" s="22" t="n"/>
      <c r="F347" s="23" t="n"/>
      <c r="G347" s="24">
        <f>IF($D347="","",IFERROR(INDEX(Einstellungen!$B$4:$B$40,MATCH($D347,Einstellungen!$A$4:$A$40,0)),"?"))</f>
        <v/>
      </c>
      <c r="H347" s="22" t="n"/>
      <c r="I347" s="25">
        <f>IF($F347="","",IF($G347="Einnahme",$F347,-$F347))</f>
        <v/>
      </c>
    </row>
    <row r="348" ht="15" customHeight="1" s="52">
      <c r="A348" s="26" t="n"/>
      <c r="B348" s="17">
        <f>IF($A348="","",YEAR($A348))</f>
        <v/>
      </c>
      <c r="C348" s="17">
        <f>IF($A348="","",MONTH($A348))</f>
        <v/>
      </c>
      <c r="D348" s="27" t="n"/>
      <c r="E348" s="27" t="n"/>
      <c r="F348" s="28" t="n"/>
      <c r="G348" s="14">
        <f>IF($D348="","",IFERROR(INDEX(Einstellungen!$B$4:$B$40,MATCH($D348,Einstellungen!$A$4:$A$40,0)),"?"))</f>
        <v/>
      </c>
      <c r="H348" s="27" t="n"/>
      <c r="I348" s="11">
        <f>IF($F348="","",IF($G348="Einnahme",$F348,-$F348))</f>
        <v/>
      </c>
    </row>
    <row r="349" ht="15" customHeight="1" s="52">
      <c r="A349" s="20" t="n"/>
      <c r="B349" s="21">
        <f>IF($A349="","",YEAR($A349))</f>
        <v/>
      </c>
      <c r="C349" s="21">
        <f>IF($A349="","",MONTH($A349))</f>
        <v/>
      </c>
      <c r="D349" s="22" t="n"/>
      <c r="E349" s="22" t="n"/>
      <c r="F349" s="23" t="n"/>
      <c r="G349" s="24">
        <f>IF($D349="","",IFERROR(INDEX(Einstellungen!$B$4:$B$40,MATCH($D349,Einstellungen!$A$4:$A$40,0)),"?"))</f>
        <v/>
      </c>
      <c r="H349" s="22" t="n"/>
      <c r="I349" s="25">
        <f>IF($F349="","",IF($G349="Einnahme",$F349,-$F349))</f>
        <v/>
      </c>
    </row>
    <row r="350" ht="15" customHeight="1" s="52">
      <c r="A350" s="26" t="n"/>
      <c r="B350" s="17">
        <f>IF($A350="","",YEAR($A350))</f>
        <v/>
      </c>
      <c r="C350" s="17">
        <f>IF($A350="","",MONTH($A350))</f>
        <v/>
      </c>
      <c r="D350" s="27" t="n"/>
      <c r="E350" s="27" t="n"/>
      <c r="F350" s="28" t="n"/>
      <c r="G350" s="14">
        <f>IF($D350="","",IFERROR(INDEX(Einstellungen!$B$4:$B$40,MATCH($D350,Einstellungen!$A$4:$A$40,0)),"?"))</f>
        <v/>
      </c>
      <c r="H350" s="27" t="n"/>
      <c r="I350" s="11">
        <f>IF($F350="","",IF($G350="Einnahme",$F350,-$F350))</f>
        <v/>
      </c>
    </row>
    <row r="351" ht="15" customHeight="1" s="52">
      <c r="A351" s="20" t="n"/>
      <c r="B351" s="21">
        <f>IF($A351="","",YEAR($A351))</f>
        <v/>
      </c>
      <c r="C351" s="21">
        <f>IF($A351="","",MONTH($A351))</f>
        <v/>
      </c>
      <c r="D351" s="22" t="n"/>
      <c r="E351" s="22" t="n"/>
      <c r="F351" s="23" t="n"/>
      <c r="G351" s="24">
        <f>IF($D351="","",IFERROR(INDEX(Einstellungen!$B$4:$B$40,MATCH($D351,Einstellungen!$A$4:$A$40,0)),"?"))</f>
        <v/>
      </c>
      <c r="H351" s="22" t="n"/>
      <c r="I351" s="25">
        <f>IF($F351="","",IF($G351="Einnahme",$F351,-$F351))</f>
        <v/>
      </c>
    </row>
    <row r="352" ht="15" customHeight="1" s="52">
      <c r="A352" s="26" t="n"/>
      <c r="B352" s="17">
        <f>IF($A352="","",YEAR($A352))</f>
        <v/>
      </c>
      <c r="C352" s="17">
        <f>IF($A352="","",MONTH($A352))</f>
        <v/>
      </c>
      <c r="D352" s="27" t="n"/>
      <c r="E352" s="27" t="n"/>
      <c r="F352" s="28" t="n"/>
      <c r="G352" s="14">
        <f>IF($D352="","",IFERROR(INDEX(Einstellungen!$B$4:$B$40,MATCH($D352,Einstellungen!$A$4:$A$40,0)),"?"))</f>
        <v/>
      </c>
      <c r="H352" s="27" t="n"/>
      <c r="I352" s="11">
        <f>IF($F352="","",IF($G352="Einnahme",$F352,-$F352))</f>
        <v/>
      </c>
    </row>
    <row r="353" ht="15" customHeight="1" s="52">
      <c r="A353" s="20" t="n"/>
      <c r="B353" s="21">
        <f>IF($A353="","",YEAR($A353))</f>
        <v/>
      </c>
      <c r="C353" s="21">
        <f>IF($A353="","",MONTH($A353))</f>
        <v/>
      </c>
      <c r="D353" s="22" t="n"/>
      <c r="E353" s="22" t="n"/>
      <c r="F353" s="23" t="n"/>
      <c r="G353" s="24">
        <f>IF($D353="","",IFERROR(INDEX(Einstellungen!$B$4:$B$40,MATCH($D353,Einstellungen!$A$4:$A$40,0)),"?"))</f>
        <v/>
      </c>
      <c r="H353" s="22" t="n"/>
      <c r="I353" s="25">
        <f>IF($F353="","",IF($G353="Einnahme",$F353,-$F353))</f>
        <v/>
      </c>
    </row>
    <row r="354" ht="15" customHeight="1" s="52">
      <c r="A354" s="26" t="n"/>
      <c r="B354" s="17">
        <f>IF($A354="","",YEAR($A354))</f>
        <v/>
      </c>
      <c r="C354" s="17">
        <f>IF($A354="","",MONTH($A354))</f>
        <v/>
      </c>
      <c r="D354" s="27" t="n"/>
      <c r="E354" s="27" t="n"/>
      <c r="F354" s="28" t="n"/>
      <c r="G354" s="14">
        <f>IF($D354="","",IFERROR(INDEX(Einstellungen!$B$4:$B$40,MATCH($D354,Einstellungen!$A$4:$A$40,0)),"?"))</f>
        <v/>
      </c>
      <c r="H354" s="27" t="n"/>
      <c r="I354" s="11">
        <f>IF($F354="","",IF($G354="Einnahme",$F354,-$F354))</f>
        <v/>
      </c>
    </row>
    <row r="355" ht="15" customHeight="1" s="52">
      <c r="A355" s="20" t="n"/>
      <c r="B355" s="21">
        <f>IF($A355="","",YEAR($A355))</f>
        <v/>
      </c>
      <c r="C355" s="21">
        <f>IF($A355="","",MONTH($A355))</f>
        <v/>
      </c>
      <c r="D355" s="22" t="n"/>
      <c r="E355" s="22" t="n"/>
      <c r="F355" s="23" t="n"/>
      <c r="G355" s="24">
        <f>IF($D355="","",IFERROR(INDEX(Einstellungen!$B$4:$B$40,MATCH($D355,Einstellungen!$A$4:$A$40,0)),"?"))</f>
        <v/>
      </c>
      <c r="H355" s="22" t="n"/>
      <c r="I355" s="25">
        <f>IF($F355="","",IF($G355="Einnahme",$F355,-$F355))</f>
        <v/>
      </c>
    </row>
    <row r="356" ht="15" customHeight="1" s="52">
      <c r="A356" s="26" t="n"/>
      <c r="B356" s="17">
        <f>IF($A356="","",YEAR($A356))</f>
        <v/>
      </c>
      <c r="C356" s="17">
        <f>IF($A356="","",MONTH($A356))</f>
        <v/>
      </c>
      <c r="D356" s="27" t="n"/>
      <c r="E356" s="27" t="n"/>
      <c r="F356" s="28" t="n"/>
      <c r="G356" s="14">
        <f>IF($D356="","",IFERROR(INDEX(Einstellungen!$B$4:$B$40,MATCH($D356,Einstellungen!$A$4:$A$40,0)),"?"))</f>
        <v/>
      </c>
      <c r="H356" s="27" t="n"/>
      <c r="I356" s="11">
        <f>IF($F356="","",IF($G356="Einnahme",$F356,-$F356))</f>
        <v/>
      </c>
    </row>
    <row r="357" ht="15" customHeight="1" s="52">
      <c r="A357" s="20" t="n"/>
      <c r="B357" s="21">
        <f>IF($A357="","",YEAR($A357))</f>
        <v/>
      </c>
      <c r="C357" s="21">
        <f>IF($A357="","",MONTH($A357))</f>
        <v/>
      </c>
      <c r="D357" s="22" t="n"/>
      <c r="E357" s="22" t="n"/>
      <c r="F357" s="23" t="n"/>
      <c r="G357" s="24">
        <f>IF($D357="","",IFERROR(INDEX(Einstellungen!$B$4:$B$40,MATCH($D357,Einstellungen!$A$4:$A$40,0)),"?"))</f>
        <v/>
      </c>
      <c r="H357" s="22" t="n"/>
      <c r="I357" s="25">
        <f>IF($F357="","",IF($G357="Einnahme",$F357,-$F357))</f>
        <v/>
      </c>
    </row>
    <row r="358" ht="15" customHeight="1" s="52">
      <c r="A358" s="26" t="n"/>
      <c r="B358" s="17">
        <f>IF($A358="","",YEAR($A358))</f>
        <v/>
      </c>
      <c r="C358" s="17">
        <f>IF($A358="","",MONTH($A358))</f>
        <v/>
      </c>
      <c r="D358" s="27" t="n"/>
      <c r="E358" s="27" t="n"/>
      <c r="F358" s="28" t="n"/>
      <c r="G358" s="14">
        <f>IF($D358="","",IFERROR(INDEX(Einstellungen!$B$4:$B$40,MATCH($D358,Einstellungen!$A$4:$A$40,0)),"?"))</f>
        <v/>
      </c>
      <c r="H358" s="27" t="n"/>
      <c r="I358" s="11">
        <f>IF($F358="","",IF($G358="Einnahme",$F358,-$F358))</f>
        <v/>
      </c>
    </row>
    <row r="359" ht="15" customHeight="1" s="52">
      <c r="A359" s="20" t="n"/>
      <c r="B359" s="21">
        <f>IF($A359="","",YEAR($A359))</f>
        <v/>
      </c>
      <c r="C359" s="21">
        <f>IF($A359="","",MONTH($A359))</f>
        <v/>
      </c>
      <c r="D359" s="22" t="n"/>
      <c r="E359" s="22" t="n"/>
      <c r="F359" s="23" t="n"/>
      <c r="G359" s="24">
        <f>IF($D359="","",IFERROR(INDEX(Einstellungen!$B$4:$B$40,MATCH($D359,Einstellungen!$A$4:$A$40,0)),"?"))</f>
        <v/>
      </c>
      <c r="H359" s="22" t="n"/>
      <c r="I359" s="25">
        <f>IF($F359="","",IF($G359="Einnahme",$F359,-$F359))</f>
        <v/>
      </c>
    </row>
    <row r="360" ht="15" customHeight="1" s="52">
      <c r="A360" s="26" t="n"/>
      <c r="B360" s="17">
        <f>IF($A360="","",YEAR($A360))</f>
        <v/>
      </c>
      <c r="C360" s="17">
        <f>IF($A360="","",MONTH($A360))</f>
        <v/>
      </c>
      <c r="D360" s="27" t="n"/>
      <c r="E360" s="27" t="n"/>
      <c r="F360" s="28" t="n"/>
      <c r="G360" s="14">
        <f>IF($D360="","",IFERROR(INDEX(Einstellungen!$B$4:$B$40,MATCH($D360,Einstellungen!$A$4:$A$40,0)),"?"))</f>
        <v/>
      </c>
      <c r="H360" s="27" t="n"/>
      <c r="I360" s="11">
        <f>IF($F360="","",IF($G360="Einnahme",$F360,-$F360))</f>
        <v/>
      </c>
    </row>
    <row r="361" ht="15" customHeight="1" s="52">
      <c r="A361" s="20" t="n"/>
      <c r="B361" s="21">
        <f>IF($A361="","",YEAR($A361))</f>
        <v/>
      </c>
      <c r="C361" s="21">
        <f>IF($A361="","",MONTH($A361))</f>
        <v/>
      </c>
      <c r="D361" s="22" t="n"/>
      <c r="E361" s="22" t="n"/>
      <c r="F361" s="23" t="n"/>
      <c r="G361" s="24">
        <f>IF($D361="","",IFERROR(INDEX(Einstellungen!$B$4:$B$40,MATCH($D361,Einstellungen!$A$4:$A$40,0)),"?"))</f>
        <v/>
      </c>
      <c r="H361" s="22" t="n"/>
      <c r="I361" s="25">
        <f>IF($F361="","",IF($G361="Einnahme",$F361,-$F361))</f>
        <v/>
      </c>
    </row>
    <row r="362" ht="15" customHeight="1" s="52">
      <c r="A362" s="26" t="n"/>
      <c r="B362" s="17">
        <f>IF($A362="","",YEAR($A362))</f>
        <v/>
      </c>
      <c r="C362" s="17">
        <f>IF($A362="","",MONTH($A362))</f>
        <v/>
      </c>
      <c r="D362" s="27" t="n"/>
      <c r="E362" s="27" t="n"/>
      <c r="F362" s="28" t="n"/>
      <c r="G362" s="14">
        <f>IF($D362="","",IFERROR(INDEX(Einstellungen!$B$4:$B$40,MATCH($D362,Einstellungen!$A$4:$A$40,0)),"?"))</f>
        <v/>
      </c>
      <c r="H362" s="27" t="n"/>
      <c r="I362" s="11">
        <f>IF($F362="","",IF($G362="Einnahme",$F362,-$F362))</f>
        <v/>
      </c>
    </row>
    <row r="363" ht="15" customHeight="1" s="52">
      <c r="A363" s="20" t="n"/>
      <c r="B363" s="21">
        <f>IF($A363="","",YEAR($A363))</f>
        <v/>
      </c>
      <c r="C363" s="21">
        <f>IF($A363="","",MONTH($A363))</f>
        <v/>
      </c>
      <c r="D363" s="22" t="n"/>
      <c r="E363" s="22" t="n"/>
      <c r="F363" s="23" t="n"/>
      <c r="G363" s="24">
        <f>IF($D363="","",IFERROR(INDEX(Einstellungen!$B$4:$B$40,MATCH($D363,Einstellungen!$A$4:$A$40,0)),"?"))</f>
        <v/>
      </c>
      <c r="H363" s="22" t="n"/>
      <c r="I363" s="25">
        <f>IF($F363="","",IF($G363="Einnahme",$F363,-$F363))</f>
        <v/>
      </c>
    </row>
    <row r="364" ht="15" customHeight="1" s="52">
      <c r="A364" s="26" t="n"/>
      <c r="B364" s="17">
        <f>IF($A364="","",YEAR($A364))</f>
        <v/>
      </c>
      <c r="C364" s="17">
        <f>IF($A364="","",MONTH($A364))</f>
        <v/>
      </c>
      <c r="D364" s="27" t="n"/>
      <c r="E364" s="27" t="n"/>
      <c r="F364" s="28" t="n"/>
      <c r="G364" s="14">
        <f>IF($D364="","",IFERROR(INDEX(Einstellungen!$B$4:$B$40,MATCH($D364,Einstellungen!$A$4:$A$40,0)),"?"))</f>
        <v/>
      </c>
      <c r="H364" s="27" t="n"/>
      <c r="I364" s="11">
        <f>IF($F364="","",IF($G364="Einnahme",$F364,-$F364))</f>
        <v/>
      </c>
    </row>
    <row r="365" ht="15" customHeight="1" s="52">
      <c r="A365" s="20" t="n"/>
      <c r="B365" s="21">
        <f>IF($A365="","",YEAR($A365))</f>
        <v/>
      </c>
      <c r="C365" s="21">
        <f>IF($A365="","",MONTH($A365))</f>
        <v/>
      </c>
      <c r="D365" s="22" t="n"/>
      <c r="E365" s="22" t="n"/>
      <c r="F365" s="23" t="n"/>
      <c r="G365" s="24">
        <f>IF($D365="","",IFERROR(INDEX(Einstellungen!$B$4:$B$40,MATCH($D365,Einstellungen!$A$4:$A$40,0)),"?"))</f>
        <v/>
      </c>
      <c r="H365" s="22" t="n"/>
      <c r="I365" s="25">
        <f>IF($F365="","",IF($G365="Einnahme",$F365,-$F365))</f>
        <v/>
      </c>
    </row>
    <row r="366" ht="15" customHeight="1" s="52">
      <c r="A366" s="26" t="n"/>
      <c r="B366" s="17">
        <f>IF($A366="","",YEAR($A366))</f>
        <v/>
      </c>
      <c r="C366" s="17">
        <f>IF($A366="","",MONTH($A366))</f>
        <v/>
      </c>
      <c r="D366" s="27" t="n"/>
      <c r="E366" s="27" t="n"/>
      <c r="F366" s="28" t="n"/>
      <c r="G366" s="14">
        <f>IF($D366="","",IFERROR(INDEX(Einstellungen!$B$4:$B$40,MATCH($D366,Einstellungen!$A$4:$A$40,0)),"?"))</f>
        <v/>
      </c>
      <c r="H366" s="27" t="n"/>
      <c r="I366" s="11">
        <f>IF($F366="","",IF($G366="Einnahme",$F366,-$F366))</f>
        <v/>
      </c>
    </row>
    <row r="367" ht="15" customHeight="1" s="52">
      <c r="A367" s="20" t="n"/>
      <c r="B367" s="21">
        <f>IF($A367="","",YEAR($A367))</f>
        <v/>
      </c>
      <c r="C367" s="21">
        <f>IF($A367="","",MONTH($A367))</f>
        <v/>
      </c>
      <c r="D367" s="22" t="n"/>
      <c r="E367" s="22" t="n"/>
      <c r="F367" s="23" t="n"/>
      <c r="G367" s="24">
        <f>IF($D367="","",IFERROR(INDEX(Einstellungen!$B$4:$B$40,MATCH($D367,Einstellungen!$A$4:$A$40,0)),"?"))</f>
        <v/>
      </c>
      <c r="H367" s="22" t="n"/>
      <c r="I367" s="25">
        <f>IF($F367="","",IF($G367="Einnahme",$F367,-$F367))</f>
        <v/>
      </c>
    </row>
    <row r="368" ht="15" customHeight="1" s="52">
      <c r="A368" s="26" t="n"/>
      <c r="B368" s="17">
        <f>IF($A368="","",YEAR($A368))</f>
        <v/>
      </c>
      <c r="C368" s="17">
        <f>IF($A368="","",MONTH($A368))</f>
        <v/>
      </c>
      <c r="D368" s="27" t="n"/>
      <c r="E368" s="27" t="n"/>
      <c r="F368" s="28" t="n"/>
      <c r="G368" s="14">
        <f>IF($D368="","",IFERROR(INDEX(Einstellungen!$B$4:$B$40,MATCH($D368,Einstellungen!$A$4:$A$40,0)),"?"))</f>
        <v/>
      </c>
      <c r="H368" s="27" t="n"/>
      <c r="I368" s="11">
        <f>IF($F368="","",IF($G368="Einnahme",$F368,-$F368))</f>
        <v/>
      </c>
    </row>
    <row r="369" ht="15" customHeight="1" s="52">
      <c r="A369" s="20" t="n"/>
      <c r="B369" s="21">
        <f>IF($A369="","",YEAR($A369))</f>
        <v/>
      </c>
      <c r="C369" s="21">
        <f>IF($A369="","",MONTH($A369))</f>
        <v/>
      </c>
      <c r="D369" s="22" t="n"/>
      <c r="E369" s="22" t="n"/>
      <c r="F369" s="23" t="n"/>
      <c r="G369" s="24">
        <f>IF($D369="","",IFERROR(INDEX(Einstellungen!$B$4:$B$40,MATCH($D369,Einstellungen!$A$4:$A$40,0)),"?"))</f>
        <v/>
      </c>
      <c r="H369" s="22" t="n"/>
      <c r="I369" s="25">
        <f>IF($F369="","",IF($G369="Einnahme",$F369,-$F369))</f>
        <v/>
      </c>
    </row>
    <row r="370" ht="15" customHeight="1" s="52">
      <c r="A370" s="26" t="n"/>
      <c r="B370" s="17">
        <f>IF($A370="","",YEAR($A370))</f>
        <v/>
      </c>
      <c r="C370" s="17">
        <f>IF($A370="","",MONTH($A370))</f>
        <v/>
      </c>
      <c r="D370" s="27" t="n"/>
      <c r="E370" s="27" t="n"/>
      <c r="F370" s="28" t="n"/>
      <c r="G370" s="14">
        <f>IF($D370="","",IFERROR(INDEX(Einstellungen!$B$4:$B$40,MATCH($D370,Einstellungen!$A$4:$A$40,0)),"?"))</f>
        <v/>
      </c>
      <c r="H370" s="27" t="n"/>
      <c r="I370" s="11">
        <f>IF($F370="","",IF($G370="Einnahme",$F370,-$F370))</f>
        <v/>
      </c>
    </row>
    <row r="371" ht="15" customHeight="1" s="52">
      <c r="A371" s="20" t="n"/>
      <c r="B371" s="21">
        <f>IF($A371="","",YEAR($A371))</f>
        <v/>
      </c>
      <c r="C371" s="21">
        <f>IF($A371="","",MONTH($A371))</f>
        <v/>
      </c>
      <c r="D371" s="22" t="n"/>
      <c r="E371" s="22" t="n"/>
      <c r="F371" s="23" t="n"/>
      <c r="G371" s="24">
        <f>IF($D371="","",IFERROR(INDEX(Einstellungen!$B$4:$B$40,MATCH($D371,Einstellungen!$A$4:$A$40,0)),"?"))</f>
        <v/>
      </c>
      <c r="H371" s="22" t="n"/>
      <c r="I371" s="25">
        <f>IF($F371="","",IF($G371="Einnahme",$F371,-$F371))</f>
        <v/>
      </c>
    </row>
    <row r="372" ht="15" customHeight="1" s="52">
      <c r="A372" s="26" t="n"/>
      <c r="B372" s="17">
        <f>IF($A372="","",YEAR($A372))</f>
        <v/>
      </c>
      <c r="C372" s="17">
        <f>IF($A372="","",MONTH($A372))</f>
        <v/>
      </c>
      <c r="D372" s="27" t="n"/>
      <c r="E372" s="27" t="n"/>
      <c r="F372" s="28" t="n"/>
      <c r="G372" s="14">
        <f>IF($D372="","",IFERROR(INDEX(Einstellungen!$B$4:$B$40,MATCH($D372,Einstellungen!$A$4:$A$40,0)),"?"))</f>
        <v/>
      </c>
      <c r="H372" s="27" t="n"/>
      <c r="I372" s="11">
        <f>IF($F372="","",IF($G372="Einnahme",$F372,-$F372))</f>
        <v/>
      </c>
    </row>
    <row r="373" ht="15" customHeight="1" s="52">
      <c r="A373" s="20" t="n"/>
      <c r="B373" s="21">
        <f>IF($A373="","",YEAR($A373))</f>
        <v/>
      </c>
      <c r="C373" s="21">
        <f>IF($A373="","",MONTH($A373))</f>
        <v/>
      </c>
      <c r="D373" s="22" t="n"/>
      <c r="E373" s="22" t="n"/>
      <c r="F373" s="23" t="n"/>
      <c r="G373" s="24">
        <f>IF($D373="","",IFERROR(INDEX(Einstellungen!$B$4:$B$40,MATCH($D373,Einstellungen!$A$4:$A$40,0)),"?"))</f>
        <v/>
      </c>
      <c r="H373" s="22" t="n"/>
      <c r="I373" s="25">
        <f>IF($F373="","",IF($G373="Einnahme",$F373,-$F373))</f>
        <v/>
      </c>
    </row>
    <row r="374" ht="15" customHeight="1" s="52">
      <c r="A374" s="26" t="n"/>
      <c r="B374" s="17">
        <f>IF($A374="","",YEAR($A374))</f>
        <v/>
      </c>
      <c r="C374" s="17">
        <f>IF($A374="","",MONTH($A374))</f>
        <v/>
      </c>
      <c r="D374" s="27" t="n"/>
      <c r="E374" s="27" t="n"/>
      <c r="F374" s="28" t="n"/>
      <c r="G374" s="14">
        <f>IF($D374="","",IFERROR(INDEX(Einstellungen!$B$4:$B$40,MATCH($D374,Einstellungen!$A$4:$A$40,0)),"?"))</f>
        <v/>
      </c>
      <c r="H374" s="27" t="n"/>
      <c r="I374" s="11">
        <f>IF($F374="","",IF($G374="Einnahme",$F374,-$F374))</f>
        <v/>
      </c>
    </row>
    <row r="375" ht="15" customHeight="1" s="52">
      <c r="A375" s="20" t="n"/>
      <c r="B375" s="21">
        <f>IF($A375="","",YEAR($A375))</f>
        <v/>
      </c>
      <c r="C375" s="21">
        <f>IF($A375="","",MONTH($A375))</f>
        <v/>
      </c>
      <c r="D375" s="22" t="n"/>
      <c r="E375" s="22" t="n"/>
      <c r="F375" s="23" t="n"/>
      <c r="G375" s="24">
        <f>IF($D375="","",IFERROR(INDEX(Einstellungen!$B$4:$B$40,MATCH($D375,Einstellungen!$A$4:$A$40,0)),"?"))</f>
        <v/>
      </c>
      <c r="H375" s="22" t="n"/>
      <c r="I375" s="25">
        <f>IF($F375="","",IF($G375="Einnahme",$F375,-$F375))</f>
        <v/>
      </c>
    </row>
    <row r="376" ht="15" customHeight="1" s="52">
      <c r="A376" s="26" t="n"/>
      <c r="B376" s="17">
        <f>IF($A376="","",YEAR($A376))</f>
        <v/>
      </c>
      <c r="C376" s="17">
        <f>IF($A376="","",MONTH($A376))</f>
        <v/>
      </c>
      <c r="D376" s="27" t="n"/>
      <c r="E376" s="27" t="n"/>
      <c r="F376" s="28" t="n"/>
      <c r="G376" s="14">
        <f>IF($D376="","",IFERROR(INDEX(Einstellungen!$B$4:$B$40,MATCH($D376,Einstellungen!$A$4:$A$40,0)),"?"))</f>
        <v/>
      </c>
      <c r="H376" s="27" t="n"/>
      <c r="I376" s="11">
        <f>IF($F376="","",IF($G376="Einnahme",$F376,-$F376))</f>
        <v/>
      </c>
    </row>
    <row r="377" ht="15" customHeight="1" s="52">
      <c r="A377" s="20" t="n"/>
      <c r="B377" s="21">
        <f>IF($A377="","",YEAR($A377))</f>
        <v/>
      </c>
      <c r="C377" s="21">
        <f>IF($A377="","",MONTH($A377))</f>
        <v/>
      </c>
      <c r="D377" s="22" t="n"/>
      <c r="E377" s="22" t="n"/>
      <c r="F377" s="23" t="n"/>
      <c r="G377" s="24">
        <f>IF($D377="","",IFERROR(INDEX(Einstellungen!$B$4:$B$40,MATCH($D377,Einstellungen!$A$4:$A$40,0)),"?"))</f>
        <v/>
      </c>
      <c r="H377" s="22" t="n"/>
      <c r="I377" s="25">
        <f>IF($F377="","",IF($G377="Einnahme",$F377,-$F377))</f>
        <v/>
      </c>
    </row>
    <row r="378" ht="15" customHeight="1" s="52">
      <c r="A378" s="26" t="n"/>
      <c r="B378" s="17">
        <f>IF($A378="","",YEAR($A378))</f>
        <v/>
      </c>
      <c r="C378" s="17">
        <f>IF($A378="","",MONTH($A378))</f>
        <v/>
      </c>
      <c r="D378" s="27" t="n"/>
      <c r="E378" s="27" t="n"/>
      <c r="F378" s="28" t="n"/>
      <c r="G378" s="14">
        <f>IF($D378="","",IFERROR(INDEX(Einstellungen!$B$4:$B$40,MATCH($D378,Einstellungen!$A$4:$A$40,0)),"?"))</f>
        <v/>
      </c>
      <c r="H378" s="27" t="n"/>
      <c r="I378" s="11">
        <f>IF($F378="","",IF($G378="Einnahme",$F378,-$F378))</f>
        <v/>
      </c>
    </row>
    <row r="379" ht="15" customHeight="1" s="52">
      <c r="A379" s="20" t="n"/>
      <c r="B379" s="21">
        <f>IF($A379="","",YEAR($A379))</f>
        <v/>
      </c>
      <c r="C379" s="21">
        <f>IF($A379="","",MONTH($A379))</f>
        <v/>
      </c>
      <c r="D379" s="22" t="n"/>
      <c r="E379" s="22" t="n"/>
      <c r="F379" s="23" t="n"/>
      <c r="G379" s="24">
        <f>IF($D379="","",IFERROR(INDEX(Einstellungen!$B$4:$B$40,MATCH($D379,Einstellungen!$A$4:$A$40,0)),"?"))</f>
        <v/>
      </c>
      <c r="H379" s="22" t="n"/>
      <c r="I379" s="25">
        <f>IF($F379="","",IF($G379="Einnahme",$F379,-$F379))</f>
        <v/>
      </c>
    </row>
    <row r="380" ht="15" customHeight="1" s="52">
      <c r="A380" s="26" t="n"/>
      <c r="B380" s="17">
        <f>IF($A380="","",YEAR($A380))</f>
        <v/>
      </c>
      <c r="C380" s="17">
        <f>IF($A380="","",MONTH($A380))</f>
        <v/>
      </c>
      <c r="D380" s="27" t="n"/>
      <c r="E380" s="27" t="n"/>
      <c r="F380" s="28" t="n"/>
      <c r="G380" s="14">
        <f>IF($D380="","",IFERROR(INDEX(Einstellungen!$B$4:$B$40,MATCH($D380,Einstellungen!$A$4:$A$40,0)),"?"))</f>
        <v/>
      </c>
      <c r="H380" s="27" t="n"/>
      <c r="I380" s="11">
        <f>IF($F380="","",IF($G380="Einnahme",$F380,-$F380))</f>
        <v/>
      </c>
    </row>
    <row r="381" ht="15" customHeight="1" s="52">
      <c r="A381" s="20" t="n"/>
      <c r="B381" s="21">
        <f>IF($A381="","",YEAR($A381))</f>
        <v/>
      </c>
      <c r="C381" s="21">
        <f>IF($A381="","",MONTH($A381))</f>
        <v/>
      </c>
      <c r="D381" s="22" t="n"/>
      <c r="E381" s="22" t="n"/>
      <c r="F381" s="23" t="n"/>
      <c r="G381" s="24">
        <f>IF($D381="","",IFERROR(INDEX(Einstellungen!$B$4:$B$40,MATCH($D381,Einstellungen!$A$4:$A$40,0)),"?"))</f>
        <v/>
      </c>
      <c r="H381" s="22" t="n"/>
      <c r="I381" s="25">
        <f>IF($F381="","",IF($G381="Einnahme",$F381,-$F381))</f>
        <v/>
      </c>
    </row>
    <row r="382" ht="15" customHeight="1" s="52">
      <c r="A382" s="26" t="n"/>
      <c r="B382" s="17">
        <f>IF($A382="","",YEAR($A382))</f>
        <v/>
      </c>
      <c r="C382" s="17">
        <f>IF($A382="","",MONTH($A382))</f>
        <v/>
      </c>
      <c r="D382" s="27" t="n"/>
      <c r="E382" s="27" t="n"/>
      <c r="F382" s="28" t="n"/>
      <c r="G382" s="14">
        <f>IF($D382="","",IFERROR(INDEX(Einstellungen!$B$4:$B$40,MATCH($D382,Einstellungen!$A$4:$A$40,0)),"?"))</f>
        <v/>
      </c>
      <c r="H382" s="27" t="n"/>
      <c r="I382" s="11">
        <f>IF($F382="","",IF($G382="Einnahme",$F382,-$F382))</f>
        <v/>
      </c>
    </row>
    <row r="383" ht="15" customHeight="1" s="52">
      <c r="A383" s="20" t="n"/>
      <c r="B383" s="21">
        <f>IF($A383="","",YEAR($A383))</f>
        <v/>
      </c>
      <c r="C383" s="21">
        <f>IF($A383="","",MONTH($A383))</f>
        <v/>
      </c>
      <c r="D383" s="22" t="n"/>
      <c r="E383" s="22" t="n"/>
      <c r="F383" s="23" t="n"/>
      <c r="G383" s="24">
        <f>IF($D383="","",IFERROR(INDEX(Einstellungen!$B$4:$B$40,MATCH($D383,Einstellungen!$A$4:$A$40,0)),"?"))</f>
        <v/>
      </c>
      <c r="H383" s="22" t="n"/>
      <c r="I383" s="25">
        <f>IF($F383="","",IF($G383="Einnahme",$F383,-$F383))</f>
        <v/>
      </c>
    </row>
    <row r="384" ht="15" customHeight="1" s="52">
      <c r="A384" s="26" t="n"/>
      <c r="B384" s="17">
        <f>IF($A384="","",YEAR($A384))</f>
        <v/>
      </c>
      <c r="C384" s="17">
        <f>IF($A384="","",MONTH($A384))</f>
        <v/>
      </c>
      <c r="D384" s="27" t="n"/>
      <c r="E384" s="27" t="n"/>
      <c r="F384" s="28" t="n"/>
      <c r="G384" s="14">
        <f>IF($D384="","",IFERROR(INDEX(Einstellungen!$B$4:$B$40,MATCH($D384,Einstellungen!$A$4:$A$40,0)),"?"))</f>
        <v/>
      </c>
      <c r="H384" s="27" t="n"/>
      <c r="I384" s="11">
        <f>IF($F384="","",IF($G384="Einnahme",$F384,-$F384))</f>
        <v/>
      </c>
    </row>
    <row r="385" ht="15" customHeight="1" s="52">
      <c r="A385" s="20" t="n"/>
      <c r="B385" s="21">
        <f>IF($A385="","",YEAR($A385))</f>
        <v/>
      </c>
      <c r="C385" s="21">
        <f>IF($A385="","",MONTH($A385))</f>
        <v/>
      </c>
      <c r="D385" s="22" t="n"/>
      <c r="E385" s="22" t="n"/>
      <c r="F385" s="23" t="n"/>
      <c r="G385" s="24">
        <f>IF($D385="","",IFERROR(INDEX(Einstellungen!$B$4:$B$40,MATCH($D385,Einstellungen!$A$4:$A$40,0)),"?"))</f>
        <v/>
      </c>
      <c r="H385" s="22" t="n"/>
      <c r="I385" s="25">
        <f>IF($F385="","",IF($G385="Einnahme",$F385,-$F385))</f>
        <v/>
      </c>
    </row>
    <row r="386" ht="15" customHeight="1" s="52">
      <c r="A386" s="26" t="n"/>
      <c r="B386" s="17">
        <f>IF($A386="","",YEAR($A386))</f>
        <v/>
      </c>
      <c r="C386" s="17">
        <f>IF($A386="","",MONTH($A386))</f>
        <v/>
      </c>
      <c r="D386" s="27" t="n"/>
      <c r="E386" s="27" t="n"/>
      <c r="F386" s="28" t="n"/>
      <c r="G386" s="14">
        <f>IF($D386="","",IFERROR(INDEX(Einstellungen!$B$4:$B$40,MATCH($D386,Einstellungen!$A$4:$A$40,0)),"?"))</f>
        <v/>
      </c>
      <c r="H386" s="27" t="n"/>
      <c r="I386" s="11">
        <f>IF($F386="","",IF($G386="Einnahme",$F386,-$F386))</f>
        <v/>
      </c>
    </row>
    <row r="387" ht="15" customHeight="1" s="52">
      <c r="A387" s="20" t="n"/>
      <c r="B387" s="21">
        <f>IF($A387="","",YEAR($A387))</f>
        <v/>
      </c>
      <c r="C387" s="21">
        <f>IF($A387="","",MONTH($A387))</f>
        <v/>
      </c>
      <c r="D387" s="22" t="n"/>
      <c r="E387" s="22" t="n"/>
      <c r="F387" s="23" t="n"/>
      <c r="G387" s="24">
        <f>IF($D387="","",IFERROR(INDEX(Einstellungen!$B$4:$B$40,MATCH($D387,Einstellungen!$A$4:$A$40,0)),"?"))</f>
        <v/>
      </c>
      <c r="H387" s="22" t="n"/>
      <c r="I387" s="25">
        <f>IF($F387="","",IF($G387="Einnahme",$F387,-$F387))</f>
        <v/>
      </c>
    </row>
    <row r="388" ht="15" customHeight="1" s="52">
      <c r="A388" s="26" t="n"/>
      <c r="B388" s="17">
        <f>IF($A388="","",YEAR($A388))</f>
        <v/>
      </c>
      <c r="C388" s="17">
        <f>IF($A388="","",MONTH($A388))</f>
        <v/>
      </c>
      <c r="D388" s="27" t="n"/>
      <c r="E388" s="27" t="n"/>
      <c r="F388" s="28" t="n"/>
      <c r="G388" s="14">
        <f>IF($D388="","",IFERROR(INDEX(Einstellungen!$B$4:$B$40,MATCH($D388,Einstellungen!$A$4:$A$40,0)),"?"))</f>
        <v/>
      </c>
      <c r="H388" s="27" t="n"/>
      <c r="I388" s="11">
        <f>IF($F388="","",IF($G388="Einnahme",$F388,-$F388))</f>
        <v/>
      </c>
    </row>
    <row r="389" ht="15" customHeight="1" s="52">
      <c r="A389" s="20" t="n"/>
      <c r="B389" s="21">
        <f>IF($A389="","",YEAR($A389))</f>
        <v/>
      </c>
      <c r="C389" s="21">
        <f>IF($A389="","",MONTH($A389))</f>
        <v/>
      </c>
      <c r="D389" s="22" t="n"/>
      <c r="E389" s="22" t="n"/>
      <c r="F389" s="23" t="n"/>
      <c r="G389" s="24">
        <f>IF($D389="","",IFERROR(INDEX(Einstellungen!$B$4:$B$40,MATCH($D389,Einstellungen!$A$4:$A$40,0)),"?"))</f>
        <v/>
      </c>
      <c r="H389" s="22" t="n"/>
      <c r="I389" s="25">
        <f>IF($F389="","",IF($G389="Einnahme",$F389,-$F389))</f>
        <v/>
      </c>
    </row>
    <row r="390" ht="15" customHeight="1" s="52">
      <c r="A390" s="26" t="n"/>
      <c r="B390" s="17">
        <f>IF($A390="","",YEAR($A390))</f>
        <v/>
      </c>
      <c r="C390" s="17">
        <f>IF($A390="","",MONTH($A390))</f>
        <v/>
      </c>
      <c r="D390" s="27" t="n"/>
      <c r="E390" s="27" t="n"/>
      <c r="F390" s="28" t="n"/>
      <c r="G390" s="14">
        <f>IF($D390="","",IFERROR(INDEX(Einstellungen!$B$4:$B$40,MATCH($D390,Einstellungen!$A$4:$A$40,0)),"?"))</f>
        <v/>
      </c>
      <c r="H390" s="27" t="n"/>
      <c r="I390" s="11">
        <f>IF($F390="","",IF($G390="Einnahme",$F390,-$F390))</f>
        <v/>
      </c>
    </row>
    <row r="391" ht="15" customHeight="1" s="52">
      <c r="A391" s="20" t="n"/>
      <c r="B391" s="21">
        <f>IF($A391="","",YEAR($A391))</f>
        <v/>
      </c>
      <c r="C391" s="21">
        <f>IF($A391="","",MONTH($A391))</f>
        <v/>
      </c>
      <c r="D391" s="22" t="n"/>
      <c r="E391" s="22" t="n"/>
      <c r="F391" s="23" t="n"/>
      <c r="G391" s="24">
        <f>IF($D391="","",IFERROR(INDEX(Einstellungen!$B$4:$B$40,MATCH($D391,Einstellungen!$A$4:$A$40,0)),"?"))</f>
        <v/>
      </c>
      <c r="H391" s="22" t="n"/>
      <c r="I391" s="25">
        <f>IF($F391="","",IF($G391="Einnahme",$F391,-$F391))</f>
        <v/>
      </c>
    </row>
    <row r="392" ht="15" customHeight="1" s="52">
      <c r="A392" s="26" t="n"/>
      <c r="B392" s="17">
        <f>IF($A392="","",YEAR($A392))</f>
        <v/>
      </c>
      <c r="C392" s="17">
        <f>IF($A392="","",MONTH($A392))</f>
        <v/>
      </c>
      <c r="D392" s="27" t="n"/>
      <c r="E392" s="27" t="n"/>
      <c r="F392" s="28" t="n"/>
      <c r="G392" s="14">
        <f>IF($D392="","",IFERROR(INDEX(Einstellungen!$B$4:$B$40,MATCH($D392,Einstellungen!$A$4:$A$40,0)),"?"))</f>
        <v/>
      </c>
      <c r="H392" s="27" t="n"/>
      <c r="I392" s="11">
        <f>IF($F392="","",IF($G392="Einnahme",$F392,-$F392))</f>
        <v/>
      </c>
    </row>
    <row r="393" ht="15" customHeight="1" s="52">
      <c r="A393" s="20" t="n"/>
      <c r="B393" s="21">
        <f>IF($A393="","",YEAR($A393))</f>
        <v/>
      </c>
      <c r="C393" s="21">
        <f>IF($A393="","",MONTH($A393))</f>
        <v/>
      </c>
      <c r="D393" s="22" t="n"/>
      <c r="E393" s="22" t="n"/>
      <c r="F393" s="23" t="n"/>
      <c r="G393" s="24">
        <f>IF($D393="","",IFERROR(INDEX(Einstellungen!$B$4:$B$40,MATCH($D393,Einstellungen!$A$4:$A$40,0)),"?"))</f>
        <v/>
      </c>
      <c r="H393" s="22" t="n"/>
      <c r="I393" s="25">
        <f>IF($F393="","",IF($G393="Einnahme",$F393,-$F393))</f>
        <v/>
      </c>
    </row>
    <row r="394" ht="15" customHeight="1" s="52">
      <c r="A394" s="26" t="n"/>
      <c r="B394" s="17">
        <f>IF($A394="","",YEAR($A394))</f>
        <v/>
      </c>
      <c r="C394" s="17">
        <f>IF($A394="","",MONTH($A394))</f>
        <v/>
      </c>
      <c r="D394" s="27" t="n"/>
      <c r="E394" s="27" t="n"/>
      <c r="F394" s="28" t="n"/>
      <c r="G394" s="14">
        <f>IF($D394="","",IFERROR(INDEX(Einstellungen!$B$4:$B$40,MATCH($D394,Einstellungen!$A$4:$A$40,0)),"?"))</f>
        <v/>
      </c>
      <c r="H394" s="27" t="n"/>
      <c r="I394" s="11">
        <f>IF($F394="","",IF($G394="Einnahme",$F394,-$F394))</f>
        <v/>
      </c>
    </row>
    <row r="395" ht="15" customHeight="1" s="52">
      <c r="A395" s="20" t="n"/>
      <c r="B395" s="21">
        <f>IF($A395="","",YEAR($A395))</f>
        <v/>
      </c>
      <c r="C395" s="21">
        <f>IF($A395="","",MONTH($A395))</f>
        <v/>
      </c>
      <c r="D395" s="22" t="n"/>
      <c r="E395" s="22" t="n"/>
      <c r="F395" s="23" t="n"/>
      <c r="G395" s="24">
        <f>IF($D395="","",IFERROR(INDEX(Einstellungen!$B$4:$B$40,MATCH($D395,Einstellungen!$A$4:$A$40,0)),"?"))</f>
        <v/>
      </c>
      <c r="H395" s="22" t="n"/>
      <c r="I395" s="25">
        <f>IF($F395="","",IF($G395="Einnahme",$F395,-$F395))</f>
        <v/>
      </c>
    </row>
    <row r="396" ht="15" customHeight="1" s="52">
      <c r="A396" s="26" t="n"/>
      <c r="B396" s="17">
        <f>IF($A396="","",YEAR($A396))</f>
        <v/>
      </c>
      <c r="C396" s="17">
        <f>IF($A396="","",MONTH($A396))</f>
        <v/>
      </c>
      <c r="D396" s="27" t="n"/>
      <c r="E396" s="27" t="n"/>
      <c r="F396" s="28" t="n"/>
      <c r="G396" s="14">
        <f>IF($D396="","",IFERROR(INDEX(Einstellungen!$B$4:$B$40,MATCH($D396,Einstellungen!$A$4:$A$40,0)),"?"))</f>
        <v/>
      </c>
      <c r="H396" s="27" t="n"/>
      <c r="I396" s="11">
        <f>IF($F396="","",IF($G396="Einnahme",$F396,-$F396))</f>
        <v/>
      </c>
    </row>
    <row r="397" ht="15" customHeight="1" s="52">
      <c r="A397" s="20" t="n"/>
      <c r="B397" s="21">
        <f>IF($A397="","",YEAR($A397))</f>
        <v/>
      </c>
      <c r="C397" s="21">
        <f>IF($A397="","",MONTH($A397))</f>
        <v/>
      </c>
      <c r="D397" s="22" t="n"/>
      <c r="E397" s="22" t="n"/>
      <c r="F397" s="23" t="n"/>
      <c r="G397" s="24">
        <f>IF($D397="","",IFERROR(INDEX(Einstellungen!$B$4:$B$40,MATCH($D397,Einstellungen!$A$4:$A$40,0)),"?"))</f>
        <v/>
      </c>
      <c r="H397" s="22" t="n"/>
      <c r="I397" s="25">
        <f>IF($F397="","",IF($G397="Einnahme",$F397,-$F397))</f>
        <v/>
      </c>
    </row>
    <row r="398" ht="15" customHeight="1" s="52">
      <c r="A398" s="26" t="n"/>
      <c r="B398" s="17">
        <f>IF($A398="","",YEAR($A398))</f>
        <v/>
      </c>
      <c r="C398" s="17">
        <f>IF($A398="","",MONTH($A398))</f>
        <v/>
      </c>
      <c r="D398" s="27" t="n"/>
      <c r="E398" s="27" t="n"/>
      <c r="F398" s="28" t="n"/>
      <c r="G398" s="14">
        <f>IF($D398="","",IFERROR(INDEX(Einstellungen!$B$4:$B$40,MATCH($D398,Einstellungen!$A$4:$A$40,0)),"?"))</f>
        <v/>
      </c>
      <c r="H398" s="27" t="n"/>
      <c r="I398" s="11">
        <f>IF($F398="","",IF($G398="Einnahme",$F398,-$F398))</f>
        <v/>
      </c>
    </row>
    <row r="399" ht="15" customHeight="1" s="52">
      <c r="A399" s="20" t="n"/>
      <c r="B399" s="21">
        <f>IF($A399="","",YEAR($A399))</f>
        <v/>
      </c>
      <c r="C399" s="21">
        <f>IF($A399="","",MONTH($A399))</f>
        <v/>
      </c>
      <c r="D399" s="22" t="n"/>
      <c r="E399" s="22" t="n"/>
      <c r="F399" s="23" t="n"/>
      <c r="G399" s="24">
        <f>IF($D399="","",IFERROR(INDEX(Einstellungen!$B$4:$B$40,MATCH($D399,Einstellungen!$A$4:$A$40,0)),"?"))</f>
        <v/>
      </c>
      <c r="H399" s="22" t="n"/>
      <c r="I399" s="25">
        <f>IF($F399="","",IF($G399="Einnahme",$F399,-$F399))</f>
        <v/>
      </c>
    </row>
    <row r="400" ht="15" customHeight="1" s="52">
      <c r="A400" s="26" t="n"/>
      <c r="B400" s="17">
        <f>IF($A400="","",YEAR($A400))</f>
        <v/>
      </c>
      <c r="C400" s="17">
        <f>IF($A400="","",MONTH($A400))</f>
        <v/>
      </c>
      <c r="D400" s="27" t="n"/>
      <c r="E400" s="27" t="n"/>
      <c r="F400" s="28" t="n"/>
      <c r="G400" s="14">
        <f>IF($D400="","",IFERROR(INDEX(Einstellungen!$B$4:$B$40,MATCH($D400,Einstellungen!$A$4:$A$40,0)),"?"))</f>
        <v/>
      </c>
      <c r="H400" s="27" t="n"/>
      <c r="I400" s="11">
        <f>IF($F400="","",IF($G400="Einnahme",$F400,-$F400))</f>
        <v/>
      </c>
    </row>
    <row r="401" ht="15" customHeight="1" s="52">
      <c r="A401" s="20" t="n"/>
      <c r="B401" s="21">
        <f>IF($A401="","",YEAR($A401))</f>
        <v/>
      </c>
      <c r="C401" s="21">
        <f>IF($A401="","",MONTH($A401))</f>
        <v/>
      </c>
      <c r="D401" s="22" t="n"/>
      <c r="E401" s="22" t="n"/>
      <c r="F401" s="23" t="n"/>
      <c r="G401" s="24">
        <f>IF($D401="","",IFERROR(INDEX(Einstellungen!$B$4:$B$40,MATCH($D401,Einstellungen!$A$4:$A$40,0)),"?"))</f>
        <v/>
      </c>
      <c r="H401" s="22" t="n"/>
      <c r="I401" s="25">
        <f>IF($F401="","",IF($G401="Einnahme",$F401,-$F401))</f>
        <v/>
      </c>
    </row>
    <row r="402" ht="15" customHeight="1" s="52">
      <c r="A402" s="26" t="n"/>
      <c r="B402" s="17">
        <f>IF($A402="","",YEAR($A402))</f>
        <v/>
      </c>
      <c r="C402" s="17">
        <f>IF($A402="","",MONTH($A402))</f>
        <v/>
      </c>
      <c r="D402" s="27" t="n"/>
      <c r="E402" s="27" t="n"/>
      <c r="F402" s="28" t="n"/>
      <c r="G402" s="14">
        <f>IF($D402="","",IFERROR(INDEX(Einstellungen!$B$4:$B$40,MATCH($D402,Einstellungen!$A$4:$A$40,0)),"?"))</f>
        <v/>
      </c>
      <c r="H402" s="27" t="n"/>
      <c r="I402" s="11">
        <f>IF($F402="","",IF($G402="Einnahme",$F402,-$F402))</f>
        <v/>
      </c>
    </row>
    <row r="403" ht="15" customHeight="1" s="52">
      <c r="A403" s="20" t="n"/>
      <c r="B403" s="21">
        <f>IF($A403="","",YEAR($A403))</f>
        <v/>
      </c>
      <c r="C403" s="21">
        <f>IF($A403="","",MONTH($A403))</f>
        <v/>
      </c>
      <c r="D403" s="22" t="n"/>
      <c r="E403" s="22" t="n"/>
      <c r="F403" s="23" t="n"/>
      <c r="G403" s="24">
        <f>IF($D403="","",IFERROR(INDEX(Einstellungen!$B$4:$B$40,MATCH($D403,Einstellungen!$A$4:$A$40,0)),"?"))</f>
        <v/>
      </c>
      <c r="H403" s="22" t="n"/>
      <c r="I403" s="25">
        <f>IF($F403="","",IF($G403="Einnahme",$F403,-$F403))</f>
        <v/>
      </c>
    </row>
    <row r="404" ht="15" customHeight="1" s="52">
      <c r="A404" s="26" t="n"/>
      <c r="B404" s="17">
        <f>IF($A404="","",YEAR($A404))</f>
        <v/>
      </c>
      <c r="C404" s="17">
        <f>IF($A404="","",MONTH($A404))</f>
        <v/>
      </c>
      <c r="D404" s="27" t="n"/>
      <c r="E404" s="27" t="n"/>
      <c r="F404" s="28" t="n"/>
      <c r="G404" s="14">
        <f>IF($D404="","",IFERROR(INDEX(Einstellungen!$B$4:$B$40,MATCH($D404,Einstellungen!$A$4:$A$40,0)),"?"))</f>
        <v/>
      </c>
      <c r="H404" s="27" t="n"/>
      <c r="I404" s="11">
        <f>IF($F404="","",IF($G404="Einnahme",$F404,-$F404))</f>
        <v/>
      </c>
    </row>
    <row r="405" ht="15" customHeight="1" s="52">
      <c r="A405" s="20" t="n"/>
      <c r="B405" s="21">
        <f>IF($A405="","",YEAR($A405))</f>
        <v/>
      </c>
      <c r="C405" s="21">
        <f>IF($A405="","",MONTH($A405))</f>
        <v/>
      </c>
      <c r="D405" s="22" t="n"/>
      <c r="E405" s="22" t="n"/>
      <c r="F405" s="23" t="n"/>
      <c r="G405" s="24">
        <f>IF($D405="","",IFERROR(INDEX(Einstellungen!$B$4:$B$40,MATCH($D405,Einstellungen!$A$4:$A$40,0)),"?"))</f>
        <v/>
      </c>
      <c r="H405" s="22" t="n"/>
      <c r="I405" s="25">
        <f>IF($F405="","",IF($G405="Einnahme",$F405,-$F405))</f>
        <v/>
      </c>
    </row>
    <row r="406" ht="15" customHeight="1" s="52">
      <c r="A406" s="26" t="n"/>
      <c r="B406" s="17">
        <f>IF($A406="","",YEAR($A406))</f>
        <v/>
      </c>
      <c r="C406" s="17">
        <f>IF($A406="","",MONTH($A406))</f>
        <v/>
      </c>
      <c r="D406" s="27" t="n"/>
      <c r="E406" s="27" t="n"/>
      <c r="F406" s="28" t="n"/>
      <c r="G406" s="14">
        <f>IF($D406="","",IFERROR(INDEX(Einstellungen!$B$4:$B$40,MATCH($D406,Einstellungen!$A$4:$A$40,0)),"?"))</f>
        <v/>
      </c>
      <c r="H406" s="27" t="n"/>
      <c r="I406" s="11">
        <f>IF($F406="","",IF($G406="Einnahme",$F406,-$F406))</f>
        <v/>
      </c>
    </row>
    <row r="407" ht="15" customHeight="1" s="52">
      <c r="A407" s="20" t="n"/>
      <c r="B407" s="21">
        <f>IF($A407="","",YEAR($A407))</f>
        <v/>
      </c>
      <c r="C407" s="21">
        <f>IF($A407="","",MONTH($A407))</f>
        <v/>
      </c>
      <c r="D407" s="22" t="n"/>
      <c r="E407" s="22" t="n"/>
      <c r="F407" s="23" t="n"/>
      <c r="G407" s="24">
        <f>IF($D407="","",IFERROR(INDEX(Einstellungen!$B$4:$B$40,MATCH($D407,Einstellungen!$A$4:$A$40,0)),"?"))</f>
        <v/>
      </c>
      <c r="H407" s="22" t="n"/>
      <c r="I407" s="25">
        <f>IF($F407="","",IF($G407="Einnahme",$F407,-$F407))</f>
        <v/>
      </c>
    </row>
    <row r="408" ht="15" customHeight="1" s="52">
      <c r="A408" s="26" t="n"/>
      <c r="B408" s="17">
        <f>IF($A408="","",YEAR($A408))</f>
        <v/>
      </c>
      <c r="C408" s="17">
        <f>IF($A408="","",MONTH($A408))</f>
        <v/>
      </c>
      <c r="D408" s="27" t="n"/>
      <c r="E408" s="27" t="n"/>
      <c r="F408" s="28" t="n"/>
      <c r="G408" s="14">
        <f>IF($D408="","",IFERROR(INDEX(Einstellungen!$B$4:$B$40,MATCH($D408,Einstellungen!$A$4:$A$40,0)),"?"))</f>
        <v/>
      </c>
      <c r="H408" s="27" t="n"/>
      <c r="I408" s="11">
        <f>IF($F408="","",IF($G408="Einnahme",$F408,-$F408))</f>
        <v/>
      </c>
    </row>
    <row r="409" ht="15" customHeight="1" s="52">
      <c r="A409" s="20" t="n"/>
      <c r="B409" s="21">
        <f>IF($A409="","",YEAR($A409))</f>
        <v/>
      </c>
      <c r="C409" s="21">
        <f>IF($A409="","",MONTH($A409))</f>
        <v/>
      </c>
      <c r="D409" s="22" t="n"/>
      <c r="E409" s="22" t="n"/>
      <c r="F409" s="23" t="n"/>
      <c r="G409" s="24">
        <f>IF($D409="","",IFERROR(INDEX(Einstellungen!$B$4:$B$40,MATCH($D409,Einstellungen!$A$4:$A$40,0)),"?"))</f>
        <v/>
      </c>
      <c r="H409" s="22" t="n"/>
      <c r="I409" s="25">
        <f>IF($F409="","",IF($G409="Einnahme",$F409,-$F409))</f>
        <v/>
      </c>
    </row>
    <row r="410" ht="15" customHeight="1" s="52">
      <c r="A410" s="26" t="n"/>
      <c r="B410" s="17">
        <f>IF($A410="","",YEAR($A410))</f>
        <v/>
      </c>
      <c r="C410" s="17">
        <f>IF($A410="","",MONTH($A410))</f>
        <v/>
      </c>
      <c r="D410" s="27" t="n"/>
      <c r="E410" s="27" t="n"/>
      <c r="F410" s="28" t="n"/>
      <c r="G410" s="14">
        <f>IF($D410="","",IFERROR(INDEX(Einstellungen!$B$4:$B$40,MATCH($D410,Einstellungen!$A$4:$A$40,0)),"?"))</f>
        <v/>
      </c>
      <c r="H410" s="27" t="n"/>
      <c r="I410" s="11">
        <f>IF($F410="","",IF($G410="Einnahme",$F410,-$F410))</f>
        <v/>
      </c>
    </row>
    <row r="411" ht="15" customHeight="1" s="52">
      <c r="A411" s="20" t="n"/>
      <c r="B411" s="21">
        <f>IF($A411="","",YEAR($A411))</f>
        <v/>
      </c>
      <c r="C411" s="21">
        <f>IF($A411="","",MONTH($A411))</f>
        <v/>
      </c>
      <c r="D411" s="22" t="n"/>
      <c r="E411" s="22" t="n"/>
      <c r="F411" s="23" t="n"/>
      <c r="G411" s="24">
        <f>IF($D411="","",IFERROR(INDEX(Einstellungen!$B$4:$B$40,MATCH($D411,Einstellungen!$A$4:$A$40,0)),"?"))</f>
        <v/>
      </c>
      <c r="H411" s="22" t="n"/>
      <c r="I411" s="25">
        <f>IF($F411="","",IF($G411="Einnahme",$F411,-$F411))</f>
        <v/>
      </c>
    </row>
    <row r="412" ht="15" customHeight="1" s="52">
      <c r="A412" s="26" t="n"/>
      <c r="B412" s="17">
        <f>IF($A412="","",YEAR($A412))</f>
        <v/>
      </c>
      <c r="C412" s="17">
        <f>IF($A412="","",MONTH($A412))</f>
        <v/>
      </c>
      <c r="D412" s="27" t="n"/>
      <c r="E412" s="27" t="n"/>
      <c r="F412" s="28" t="n"/>
      <c r="G412" s="14">
        <f>IF($D412="","",IFERROR(INDEX(Einstellungen!$B$4:$B$40,MATCH($D412,Einstellungen!$A$4:$A$40,0)),"?"))</f>
        <v/>
      </c>
      <c r="H412" s="27" t="n"/>
      <c r="I412" s="11">
        <f>IF($F412="","",IF($G412="Einnahme",$F412,-$F412))</f>
        <v/>
      </c>
    </row>
    <row r="413" ht="15" customHeight="1" s="52">
      <c r="A413" s="20" t="n"/>
      <c r="B413" s="21">
        <f>IF($A413="","",YEAR($A413))</f>
        <v/>
      </c>
      <c r="C413" s="21">
        <f>IF($A413="","",MONTH($A413))</f>
        <v/>
      </c>
      <c r="D413" s="22" t="n"/>
      <c r="E413" s="22" t="n"/>
      <c r="F413" s="23" t="n"/>
      <c r="G413" s="24">
        <f>IF($D413="","",IFERROR(INDEX(Einstellungen!$B$4:$B$40,MATCH($D413,Einstellungen!$A$4:$A$40,0)),"?"))</f>
        <v/>
      </c>
      <c r="H413" s="22" t="n"/>
      <c r="I413" s="25">
        <f>IF($F413="","",IF($G413="Einnahme",$F413,-$F413))</f>
        <v/>
      </c>
    </row>
    <row r="414" ht="15" customHeight="1" s="52">
      <c r="A414" s="26" t="n"/>
      <c r="B414" s="17">
        <f>IF($A414="","",YEAR($A414))</f>
        <v/>
      </c>
      <c r="C414" s="17">
        <f>IF($A414="","",MONTH($A414))</f>
        <v/>
      </c>
      <c r="D414" s="27" t="n"/>
      <c r="E414" s="27" t="n"/>
      <c r="F414" s="28" t="n"/>
      <c r="G414" s="14">
        <f>IF($D414="","",IFERROR(INDEX(Einstellungen!$B$4:$B$40,MATCH($D414,Einstellungen!$A$4:$A$40,0)),"?"))</f>
        <v/>
      </c>
      <c r="H414" s="27" t="n"/>
      <c r="I414" s="11">
        <f>IF($F414="","",IF($G414="Einnahme",$F414,-$F414))</f>
        <v/>
      </c>
    </row>
    <row r="415" ht="15" customHeight="1" s="52">
      <c r="A415" s="20" t="n"/>
      <c r="B415" s="21">
        <f>IF($A415="","",YEAR($A415))</f>
        <v/>
      </c>
      <c r="C415" s="21">
        <f>IF($A415="","",MONTH($A415))</f>
        <v/>
      </c>
      <c r="D415" s="22" t="n"/>
      <c r="E415" s="22" t="n"/>
      <c r="F415" s="23" t="n"/>
      <c r="G415" s="24">
        <f>IF($D415="","",IFERROR(INDEX(Einstellungen!$B$4:$B$40,MATCH($D415,Einstellungen!$A$4:$A$40,0)),"?"))</f>
        <v/>
      </c>
      <c r="H415" s="22" t="n"/>
      <c r="I415" s="25">
        <f>IF($F415="","",IF($G415="Einnahme",$F415,-$F415))</f>
        <v/>
      </c>
    </row>
    <row r="416" ht="15" customHeight="1" s="52">
      <c r="A416" s="26" t="n"/>
      <c r="B416" s="17">
        <f>IF($A416="","",YEAR($A416))</f>
        <v/>
      </c>
      <c r="C416" s="17">
        <f>IF($A416="","",MONTH($A416))</f>
        <v/>
      </c>
      <c r="D416" s="27" t="n"/>
      <c r="E416" s="27" t="n"/>
      <c r="F416" s="28" t="n"/>
      <c r="G416" s="14">
        <f>IF($D416="","",IFERROR(INDEX(Einstellungen!$B$4:$B$40,MATCH($D416,Einstellungen!$A$4:$A$40,0)),"?"))</f>
        <v/>
      </c>
      <c r="H416" s="27" t="n"/>
      <c r="I416" s="11">
        <f>IF($F416="","",IF($G416="Einnahme",$F416,-$F416))</f>
        <v/>
      </c>
    </row>
    <row r="417" ht="15" customHeight="1" s="52">
      <c r="A417" s="20" t="n"/>
      <c r="B417" s="21">
        <f>IF($A417="","",YEAR($A417))</f>
        <v/>
      </c>
      <c r="C417" s="21">
        <f>IF($A417="","",MONTH($A417))</f>
        <v/>
      </c>
      <c r="D417" s="22" t="n"/>
      <c r="E417" s="22" t="n"/>
      <c r="F417" s="23" t="n"/>
      <c r="G417" s="24">
        <f>IF($D417="","",IFERROR(INDEX(Einstellungen!$B$4:$B$40,MATCH($D417,Einstellungen!$A$4:$A$40,0)),"?"))</f>
        <v/>
      </c>
      <c r="H417" s="22" t="n"/>
      <c r="I417" s="25">
        <f>IF($F417="","",IF($G417="Einnahme",$F417,-$F417))</f>
        <v/>
      </c>
    </row>
    <row r="418" ht="15" customHeight="1" s="52">
      <c r="A418" s="26" t="n"/>
      <c r="B418" s="17">
        <f>IF($A418="","",YEAR($A418))</f>
        <v/>
      </c>
      <c r="C418" s="17">
        <f>IF($A418="","",MONTH($A418))</f>
        <v/>
      </c>
      <c r="D418" s="27" t="n"/>
      <c r="E418" s="27" t="n"/>
      <c r="F418" s="28" t="n"/>
      <c r="G418" s="14">
        <f>IF($D418="","",IFERROR(INDEX(Einstellungen!$B$4:$B$40,MATCH($D418,Einstellungen!$A$4:$A$40,0)),"?"))</f>
        <v/>
      </c>
      <c r="H418" s="27" t="n"/>
      <c r="I418" s="11">
        <f>IF($F418="","",IF($G418="Einnahme",$F418,-$F418))</f>
        <v/>
      </c>
    </row>
    <row r="419" ht="15" customHeight="1" s="52">
      <c r="A419" s="20" t="n"/>
      <c r="B419" s="21">
        <f>IF($A419="","",YEAR($A419))</f>
        <v/>
      </c>
      <c r="C419" s="21">
        <f>IF($A419="","",MONTH($A419))</f>
        <v/>
      </c>
      <c r="D419" s="22" t="n"/>
      <c r="E419" s="22" t="n"/>
      <c r="F419" s="23" t="n"/>
      <c r="G419" s="24">
        <f>IF($D419="","",IFERROR(INDEX(Einstellungen!$B$4:$B$40,MATCH($D419,Einstellungen!$A$4:$A$40,0)),"?"))</f>
        <v/>
      </c>
      <c r="H419" s="22" t="n"/>
      <c r="I419" s="25">
        <f>IF($F419="","",IF($G419="Einnahme",$F419,-$F419))</f>
        <v/>
      </c>
    </row>
    <row r="420" ht="15" customHeight="1" s="52">
      <c r="A420" s="26" t="n"/>
      <c r="B420" s="17">
        <f>IF($A420="","",YEAR($A420))</f>
        <v/>
      </c>
      <c r="C420" s="17">
        <f>IF($A420="","",MONTH($A420))</f>
        <v/>
      </c>
      <c r="D420" s="27" t="n"/>
      <c r="E420" s="27" t="n"/>
      <c r="F420" s="28" t="n"/>
      <c r="G420" s="14">
        <f>IF($D420="","",IFERROR(INDEX(Einstellungen!$B$4:$B$40,MATCH($D420,Einstellungen!$A$4:$A$40,0)),"?"))</f>
        <v/>
      </c>
      <c r="H420" s="27" t="n"/>
      <c r="I420" s="11">
        <f>IF($F420="","",IF($G420="Einnahme",$F420,-$F420))</f>
        <v/>
      </c>
    </row>
    <row r="421" ht="15" customHeight="1" s="52">
      <c r="A421" s="20" t="n"/>
      <c r="B421" s="21">
        <f>IF($A421="","",YEAR($A421))</f>
        <v/>
      </c>
      <c r="C421" s="21">
        <f>IF($A421="","",MONTH($A421))</f>
        <v/>
      </c>
      <c r="D421" s="22" t="n"/>
      <c r="E421" s="22" t="n"/>
      <c r="F421" s="23" t="n"/>
      <c r="G421" s="24">
        <f>IF($D421="","",IFERROR(INDEX(Einstellungen!$B$4:$B$40,MATCH($D421,Einstellungen!$A$4:$A$40,0)),"?"))</f>
        <v/>
      </c>
      <c r="H421" s="22" t="n"/>
      <c r="I421" s="25">
        <f>IF($F421="","",IF($G421="Einnahme",$F421,-$F421))</f>
        <v/>
      </c>
    </row>
    <row r="422" ht="15" customHeight="1" s="52">
      <c r="A422" s="26" t="n"/>
      <c r="B422" s="17">
        <f>IF($A422="","",YEAR($A422))</f>
        <v/>
      </c>
      <c r="C422" s="17">
        <f>IF($A422="","",MONTH($A422))</f>
        <v/>
      </c>
      <c r="D422" s="27" t="n"/>
      <c r="E422" s="27" t="n"/>
      <c r="F422" s="28" t="n"/>
      <c r="G422" s="14">
        <f>IF($D422="","",IFERROR(INDEX(Einstellungen!$B$4:$B$40,MATCH($D422,Einstellungen!$A$4:$A$40,0)),"?"))</f>
        <v/>
      </c>
      <c r="H422" s="27" t="n"/>
      <c r="I422" s="11">
        <f>IF($F422="","",IF($G422="Einnahme",$F422,-$F422))</f>
        <v/>
      </c>
    </row>
    <row r="423" ht="15" customHeight="1" s="52">
      <c r="A423" s="20" t="n"/>
      <c r="B423" s="21">
        <f>IF($A423="","",YEAR($A423))</f>
        <v/>
      </c>
      <c r="C423" s="21">
        <f>IF($A423="","",MONTH($A423))</f>
        <v/>
      </c>
      <c r="D423" s="22" t="n"/>
      <c r="E423" s="22" t="n"/>
      <c r="F423" s="23" t="n"/>
      <c r="G423" s="24">
        <f>IF($D423="","",IFERROR(INDEX(Einstellungen!$B$4:$B$40,MATCH($D423,Einstellungen!$A$4:$A$40,0)),"?"))</f>
        <v/>
      </c>
      <c r="H423" s="22" t="n"/>
      <c r="I423" s="25">
        <f>IF($F423="","",IF($G423="Einnahme",$F423,-$F423))</f>
        <v/>
      </c>
    </row>
    <row r="424" ht="15" customHeight="1" s="52">
      <c r="A424" s="26" t="n"/>
      <c r="B424" s="17">
        <f>IF($A424="","",YEAR($A424))</f>
        <v/>
      </c>
      <c r="C424" s="17">
        <f>IF($A424="","",MONTH($A424))</f>
        <v/>
      </c>
      <c r="D424" s="27" t="n"/>
      <c r="E424" s="27" t="n"/>
      <c r="F424" s="28" t="n"/>
      <c r="G424" s="14">
        <f>IF($D424="","",IFERROR(INDEX(Einstellungen!$B$4:$B$40,MATCH($D424,Einstellungen!$A$4:$A$40,0)),"?"))</f>
        <v/>
      </c>
      <c r="H424" s="27" t="n"/>
      <c r="I424" s="11">
        <f>IF($F424="","",IF($G424="Einnahme",$F424,-$F424))</f>
        <v/>
      </c>
    </row>
    <row r="425" ht="15" customHeight="1" s="52">
      <c r="A425" s="20" t="n"/>
      <c r="B425" s="21">
        <f>IF($A425="","",YEAR($A425))</f>
        <v/>
      </c>
      <c r="C425" s="21">
        <f>IF($A425="","",MONTH($A425))</f>
        <v/>
      </c>
      <c r="D425" s="22" t="n"/>
      <c r="E425" s="22" t="n"/>
      <c r="F425" s="23" t="n"/>
      <c r="G425" s="24">
        <f>IF($D425="","",IFERROR(INDEX(Einstellungen!$B$4:$B$40,MATCH($D425,Einstellungen!$A$4:$A$40,0)),"?"))</f>
        <v/>
      </c>
      <c r="H425" s="22" t="n"/>
      <c r="I425" s="25">
        <f>IF($F425="","",IF($G425="Einnahme",$F425,-$F425))</f>
        <v/>
      </c>
    </row>
    <row r="426" ht="15" customHeight="1" s="52">
      <c r="A426" s="26" t="n"/>
      <c r="B426" s="17">
        <f>IF($A426="","",YEAR($A426))</f>
        <v/>
      </c>
      <c r="C426" s="17">
        <f>IF($A426="","",MONTH($A426))</f>
        <v/>
      </c>
      <c r="D426" s="27" t="n"/>
      <c r="E426" s="27" t="n"/>
      <c r="F426" s="28" t="n"/>
      <c r="G426" s="14">
        <f>IF($D426="","",IFERROR(INDEX(Einstellungen!$B$4:$B$40,MATCH($D426,Einstellungen!$A$4:$A$40,0)),"?"))</f>
        <v/>
      </c>
      <c r="H426" s="27" t="n"/>
      <c r="I426" s="11">
        <f>IF($F426="","",IF($G426="Einnahme",$F426,-$F426))</f>
        <v/>
      </c>
    </row>
    <row r="427" ht="15" customHeight="1" s="52">
      <c r="A427" s="20" t="n"/>
      <c r="B427" s="21">
        <f>IF($A427="","",YEAR($A427))</f>
        <v/>
      </c>
      <c r="C427" s="21">
        <f>IF($A427="","",MONTH($A427))</f>
        <v/>
      </c>
      <c r="D427" s="22" t="n"/>
      <c r="E427" s="22" t="n"/>
      <c r="F427" s="23" t="n"/>
      <c r="G427" s="24">
        <f>IF($D427="","",IFERROR(INDEX(Einstellungen!$B$4:$B$40,MATCH($D427,Einstellungen!$A$4:$A$40,0)),"?"))</f>
        <v/>
      </c>
      <c r="H427" s="22" t="n"/>
      <c r="I427" s="25">
        <f>IF($F427="","",IF($G427="Einnahme",$F427,-$F427))</f>
        <v/>
      </c>
    </row>
    <row r="428" ht="15" customHeight="1" s="52">
      <c r="A428" s="26" t="n"/>
      <c r="B428" s="17">
        <f>IF($A428="","",YEAR($A428))</f>
        <v/>
      </c>
      <c r="C428" s="17">
        <f>IF($A428="","",MONTH($A428))</f>
        <v/>
      </c>
      <c r="D428" s="27" t="n"/>
      <c r="E428" s="27" t="n"/>
      <c r="F428" s="28" t="n"/>
      <c r="G428" s="14">
        <f>IF($D428="","",IFERROR(INDEX(Einstellungen!$B$4:$B$40,MATCH($D428,Einstellungen!$A$4:$A$40,0)),"?"))</f>
        <v/>
      </c>
      <c r="H428" s="27" t="n"/>
      <c r="I428" s="11">
        <f>IF($F428="","",IF($G428="Einnahme",$F428,-$F428))</f>
        <v/>
      </c>
    </row>
    <row r="429" ht="15" customHeight="1" s="52">
      <c r="A429" s="20" t="n"/>
      <c r="B429" s="21">
        <f>IF($A429="","",YEAR($A429))</f>
        <v/>
      </c>
      <c r="C429" s="21">
        <f>IF($A429="","",MONTH($A429))</f>
        <v/>
      </c>
      <c r="D429" s="22" t="n"/>
      <c r="E429" s="22" t="n"/>
      <c r="F429" s="23" t="n"/>
      <c r="G429" s="24">
        <f>IF($D429="","",IFERROR(INDEX(Einstellungen!$B$4:$B$40,MATCH($D429,Einstellungen!$A$4:$A$40,0)),"?"))</f>
        <v/>
      </c>
      <c r="H429" s="22" t="n"/>
      <c r="I429" s="25">
        <f>IF($F429="","",IF($G429="Einnahme",$F429,-$F429))</f>
        <v/>
      </c>
    </row>
    <row r="430" ht="15" customHeight="1" s="52">
      <c r="A430" s="26" t="n"/>
      <c r="B430" s="17">
        <f>IF($A430="","",YEAR($A430))</f>
        <v/>
      </c>
      <c r="C430" s="17">
        <f>IF($A430="","",MONTH($A430))</f>
        <v/>
      </c>
      <c r="D430" s="27" t="n"/>
      <c r="E430" s="27" t="n"/>
      <c r="F430" s="28" t="n"/>
      <c r="G430" s="14">
        <f>IF($D430="","",IFERROR(INDEX(Einstellungen!$B$4:$B$40,MATCH($D430,Einstellungen!$A$4:$A$40,0)),"?"))</f>
        <v/>
      </c>
      <c r="H430" s="27" t="n"/>
      <c r="I430" s="11">
        <f>IF($F430="","",IF($G430="Einnahme",$F430,-$F430))</f>
        <v/>
      </c>
    </row>
    <row r="431" ht="15" customHeight="1" s="52">
      <c r="A431" s="20" t="n"/>
      <c r="B431" s="21">
        <f>IF($A431="","",YEAR($A431))</f>
        <v/>
      </c>
      <c r="C431" s="21">
        <f>IF($A431="","",MONTH($A431))</f>
        <v/>
      </c>
      <c r="D431" s="22" t="n"/>
      <c r="E431" s="22" t="n"/>
      <c r="F431" s="23" t="n"/>
      <c r="G431" s="24">
        <f>IF($D431="","",IFERROR(INDEX(Einstellungen!$B$4:$B$40,MATCH($D431,Einstellungen!$A$4:$A$40,0)),"?"))</f>
        <v/>
      </c>
      <c r="H431" s="22" t="n"/>
      <c r="I431" s="25">
        <f>IF($F431="","",IF($G431="Einnahme",$F431,-$F431))</f>
        <v/>
      </c>
    </row>
    <row r="432" ht="15" customHeight="1" s="52">
      <c r="A432" s="26" t="n"/>
      <c r="B432" s="17">
        <f>IF($A432="","",YEAR($A432))</f>
        <v/>
      </c>
      <c r="C432" s="17">
        <f>IF($A432="","",MONTH($A432))</f>
        <v/>
      </c>
      <c r="D432" s="27" t="n"/>
      <c r="E432" s="27" t="n"/>
      <c r="F432" s="28" t="n"/>
      <c r="G432" s="14">
        <f>IF($D432="","",IFERROR(INDEX(Einstellungen!$B$4:$B$40,MATCH($D432,Einstellungen!$A$4:$A$40,0)),"?"))</f>
        <v/>
      </c>
      <c r="H432" s="27" t="n"/>
      <c r="I432" s="11">
        <f>IF($F432="","",IF($G432="Einnahme",$F432,-$F432))</f>
        <v/>
      </c>
    </row>
    <row r="433" ht="15" customHeight="1" s="52">
      <c r="A433" s="20" t="n"/>
      <c r="B433" s="21">
        <f>IF($A433="","",YEAR($A433))</f>
        <v/>
      </c>
      <c r="C433" s="21">
        <f>IF($A433="","",MONTH($A433))</f>
        <v/>
      </c>
      <c r="D433" s="22" t="n"/>
      <c r="E433" s="22" t="n"/>
      <c r="F433" s="23" t="n"/>
      <c r="G433" s="24">
        <f>IF($D433="","",IFERROR(INDEX(Einstellungen!$B$4:$B$40,MATCH($D433,Einstellungen!$A$4:$A$40,0)),"?"))</f>
        <v/>
      </c>
      <c r="H433" s="22" t="n"/>
      <c r="I433" s="25">
        <f>IF($F433="","",IF($G433="Einnahme",$F433,-$F433))</f>
        <v/>
      </c>
    </row>
    <row r="434" ht="15" customHeight="1" s="52">
      <c r="A434" s="26" t="n"/>
      <c r="B434" s="17">
        <f>IF($A434="","",YEAR($A434))</f>
        <v/>
      </c>
      <c r="C434" s="17">
        <f>IF($A434="","",MONTH($A434))</f>
        <v/>
      </c>
      <c r="D434" s="27" t="n"/>
      <c r="E434" s="27" t="n"/>
      <c r="F434" s="28" t="n"/>
      <c r="G434" s="14">
        <f>IF($D434="","",IFERROR(INDEX(Einstellungen!$B$4:$B$40,MATCH($D434,Einstellungen!$A$4:$A$40,0)),"?"))</f>
        <v/>
      </c>
      <c r="H434" s="27" t="n"/>
      <c r="I434" s="11">
        <f>IF($F434="","",IF($G434="Einnahme",$F434,-$F434))</f>
        <v/>
      </c>
    </row>
    <row r="435" ht="15" customHeight="1" s="52">
      <c r="A435" s="20" t="n"/>
      <c r="B435" s="21">
        <f>IF($A435="","",YEAR($A435))</f>
        <v/>
      </c>
      <c r="C435" s="21">
        <f>IF($A435="","",MONTH($A435))</f>
        <v/>
      </c>
      <c r="D435" s="22" t="n"/>
      <c r="E435" s="22" t="n"/>
      <c r="F435" s="23" t="n"/>
      <c r="G435" s="24">
        <f>IF($D435="","",IFERROR(INDEX(Einstellungen!$B$4:$B$40,MATCH($D435,Einstellungen!$A$4:$A$40,0)),"?"))</f>
        <v/>
      </c>
      <c r="H435" s="22" t="n"/>
      <c r="I435" s="25">
        <f>IF($F435="","",IF($G435="Einnahme",$F435,-$F435))</f>
        <v/>
      </c>
    </row>
    <row r="436" ht="15" customHeight="1" s="52">
      <c r="A436" s="26" t="n"/>
      <c r="B436" s="17">
        <f>IF($A436="","",YEAR($A436))</f>
        <v/>
      </c>
      <c r="C436" s="17">
        <f>IF($A436="","",MONTH($A436))</f>
        <v/>
      </c>
      <c r="D436" s="27" t="n"/>
      <c r="E436" s="27" t="n"/>
      <c r="F436" s="28" t="n"/>
      <c r="G436" s="14">
        <f>IF($D436="","",IFERROR(INDEX(Einstellungen!$B$4:$B$40,MATCH($D436,Einstellungen!$A$4:$A$40,0)),"?"))</f>
        <v/>
      </c>
      <c r="H436" s="27" t="n"/>
      <c r="I436" s="11">
        <f>IF($F436="","",IF($G436="Einnahme",$F436,-$F436))</f>
        <v/>
      </c>
    </row>
    <row r="437" ht="15" customHeight="1" s="52">
      <c r="A437" s="20" t="n"/>
      <c r="B437" s="21">
        <f>IF($A437="","",YEAR($A437))</f>
        <v/>
      </c>
      <c r="C437" s="21">
        <f>IF($A437="","",MONTH($A437))</f>
        <v/>
      </c>
      <c r="D437" s="22" t="n"/>
      <c r="E437" s="22" t="n"/>
      <c r="F437" s="23" t="n"/>
      <c r="G437" s="24">
        <f>IF($D437="","",IFERROR(INDEX(Einstellungen!$B$4:$B$40,MATCH($D437,Einstellungen!$A$4:$A$40,0)),"?"))</f>
        <v/>
      </c>
      <c r="H437" s="22" t="n"/>
      <c r="I437" s="25">
        <f>IF($F437="","",IF($G437="Einnahme",$F437,-$F437))</f>
        <v/>
      </c>
    </row>
    <row r="438" ht="15" customHeight="1" s="52">
      <c r="A438" s="26" t="n"/>
      <c r="B438" s="17">
        <f>IF($A438="","",YEAR($A438))</f>
        <v/>
      </c>
      <c r="C438" s="17">
        <f>IF($A438="","",MONTH($A438))</f>
        <v/>
      </c>
      <c r="D438" s="27" t="n"/>
      <c r="E438" s="27" t="n"/>
      <c r="F438" s="28" t="n"/>
      <c r="G438" s="14">
        <f>IF($D438="","",IFERROR(INDEX(Einstellungen!$B$4:$B$40,MATCH($D438,Einstellungen!$A$4:$A$40,0)),"?"))</f>
        <v/>
      </c>
      <c r="H438" s="27" t="n"/>
      <c r="I438" s="11">
        <f>IF($F438="","",IF($G438="Einnahme",$F438,-$F438))</f>
        <v/>
      </c>
    </row>
    <row r="439" ht="15" customHeight="1" s="52">
      <c r="A439" s="20" t="n"/>
      <c r="B439" s="21">
        <f>IF($A439="","",YEAR($A439))</f>
        <v/>
      </c>
      <c r="C439" s="21">
        <f>IF($A439="","",MONTH($A439))</f>
        <v/>
      </c>
      <c r="D439" s="22" t="n"/>
      <c r="E439" s="22" t="n"/>
      <c r="F439" s="23" t="n"/>
      <c r="G439" s="24">
        <f>IF($D439="","",IFERROR(INDEX(Einstellungen!$B$4:$B$40,MATCH($D439,Einstellungen!$A$4:$A$40,0)),"?"))</f>
        <v/>
      </c>
      <c r="H439" s="22" t="n"/>
      <c r="I439" s="25">
        <f>IF($F439="","",IF($G439="Einnahme",$F439,-$F439))</f>
        <v/>
      </c>
    </row>
    <row r="440" ht="15" customHeight="1" s="52">
      <c r="A440" s="26" t="n"/>
      <c r="B440" s="17">
        <f>IF($A440="","",YEAR($A440))</f>
        <v/>
      </c>
      <c r="C440" s="17">
        <f>IF($A440="","",MONTH($A440))</f>
        <v/>
      </c>
      <c r="D440" s="27" t="n"/>
      <c r="E440" s="27" t="n"/>
      <c r="F440" s="28" t="n"/>
      <c r="G440" s="14">
        <f>IF($D440="","",IFERROR(INDEX(Einstellungen!$B$4:$B$40,MATCH($D440,Einstellungen!$A$4:$A$40,0)),"?"))</f>
        <v/>
      </c>
      <c r="H440" s="27" t="n"/>
      <c r="I440" s="11">
        <f>IF($F440="","",IF($G440="Einnahme",$F440,-$F440))</f>
        <v/>
      </c>
    </row>
    <row r="441" ht="15" customHeight="1" s="52">
      <c r="A441" s="20" t="n"/>
      <c r="B441" s="21">
        <f>IF($A441="","",YEAR($A441))</f>
        <v/>
      </c>
      <c r="C441" s="21">
        <f>IF($A441="","",MONTH($A441))</f>
        <v/>
      </c>
      <c r="D441" s="22" t="n"/>
      <c r="E441" s="22" t="n"/>
      <c r="F441" s="23" t="n"/>
      <c r="G441" s="24">
        <f>IF($D441="","",IFERROR(INDEX(Einstellungen!$B$4:$B$40,MATCH($D441,Einstellungen!$A$4:$A$40,0)),"?"))</f>
        <v/>
      </c>
      <c r="H441" s="22" t="n"/>
      <c r="I441" s="25">
        <f>IF($F441="","",IF($G441="Einnahme",$F441,-$F441))</f>
        <v/>
      </c>
    </row>
    <row r="442" ht="15" customHeight="1" s="52">
      <c r="A442" s="26" t="n"/>
      <c r="B442" s="17">
        <f>IF($A442="","",YEAR($A442))</f>
        <v/>
      </c>
      <c r="C442" s="17">
        <f>IF($A442="","",MONTH($A442))</f>
        <v/>
      </c>
      <c r="D442" s="27" t="n"/>
      <c r="E442" s="27" t="n"/>
      <c r="F442" s="28" t="n"/>
      <c r="G442" s="14">
        <f>IF($D442="","",IFERROR(INDEX(Einstellungen!$B$4:$B$40,MATCH($D442,Einstellungen!$A$4:$A$40,0)),"?"))</f>
        <v/>
      </c>
      <c r="H442" s="27" t="n"/>
      <c r="I442" s="11">
        <f>IF($F442="","",IF($G442="Einnahme",$F442,-$F442))</f>
        <v/>
      </c>
    </row>
    <row r="443" ht="15" customHeight="1" s="52">
      <c r="A443" s="20" t="n"/>
      <c r="B443" s="21">
        <f>IF($A443="","",YEAR($A443))</f>
        <v/>
      </c>
      <c r="C443" s="21">
        <f>IF($A443="","",MONTH($A443))</f>
        <v/>
      </c>
      <c r="D443" s="22" t="n"/>
      <c r="E443" s="22" t="n"/>
      <c r="F443" s="23" t="n"/>
      <c r="G443" s="24">
        <f>IF($D443="","",IFERROR(INDEX(Einstellungen!$B$4:$B$40,MATCH($D443,Einstellungen!$A$4:$A$40,0)),"?"))</f>
        <v/>
      </c>
      <c r="H443" s="22" t="n"/>
      <c r="I443" s="25">
        <f>IF($F443="","",IF($G443="Einnahme",$F443,-$F443))</f>
        <v/>
      </c>
    </row>
    <row r="444" ht="15" customHeight="1" s="52">
      <c r="A444" s="26" t="n"/>
      <c r="B444" s="17">
        <f>IF($A444="","",YEAR($A444))</f>
        <v/>
      </c>
      <c r="C444" s="17">
        <f>IF($A444="","",MONTH($A444))</f>
        <v/>
      </c>
      <c r="D444" s="27" t="n"/>
      <c r="E444" s="27" t="n"/>
      <c r="F444" s="28" t="n"/>
      <c r="G444" s="14">
        <f>IF($D444="","",IFERROR(INDEX(Einstellungen!$B$4:$B$40,MATCH($D444,Einstellungen!$A$4:$A$40,0)),"?"))</f>
        <v/>
      </c>
      <c r="H444" s="27" t="n"/>
      <c r="I444" s="11">
        <f>IF($F444="","",IF($G444="Einnahme",$F444,-$F444))</f>
        <v/>
      </c>
    </row>
    <row r="445" ht="15" customHeight="1" s="52">
      <c r="A445" s="20" t="n"/>
      <c r="B445" s="21">
        <f>IF($A445="","",YEAR($A445))</f>
        <v/>
      </c>
      <c r="C445" s="21">
        <f>IF($A445="","",MONTH($A445))</f>
        <v/>
      </c>
      <c r="D445" s="22" t="n"/>
      <c r="E445" s="22" t="n"/>
      <c r="F445" s="23" t="n"/>
      <c r="G445" s="24">
        <f>IF($D445="","",IFERROR(INDEX(Einstellungen!$B$4:$B$40,MATCH($D445,Einstellungen!$A$4:$A$40,0)),"?"))</f>
        <v/>
      </c>
      <c r="H445" s="22" t="n"/>
      <c r="I445" s="25">
        <f>IF($F445="","",IF($G445="Einnahme",$F445,-$F445))</f>
        <v/>
      </c>
    </row>
    <row r="446" ht="15" customHeight="1" s="52">
      <c r="A446" s="26" t="n"/>
      <c r="B446" s="17">
        <f>IF($A446="","",YEAR($A446))</f>
        <v/>
      </c>
      <c r="C446" s="17">
        <f>IF($A446="","",MONTH($A446))</f>
        <v/>
      </c>
      <c r="D446" s="27" t="n"/>
      <c r="E446" s="27" t="n"/>
      <c r="F446" s="28" t="n"/>
      <c r="G446" s="14">
        <f>IF($D446="","",IFERROR(INDEX(Einstellungen!$B$4:$B$40,MATCH($D446,Einstellungen!$A$4:$A$40,0)),"?"))</f>
        <v/>
      </c>
      <c r="H446" s="27" t="n"/>
      <c r="I446" s="11">
        <f>IF($F446="","",IF($G446="Einnahme",$F446,-$F446))</f>
        <v/>
      </c>
    </row>
    <row r="447" ht="15" customHeight="1" s="52">
      <c r="A447" s="20" t="n"/>
      <c r="B447" s="21">
        <f>IF($A447="","",YEAR($A447))</f>
        <v/>
      </c>
      <c r="C447" s="21">
        <f>IF($A447="","",MONTH($A447))</f>
        <v/>
      </c>
      <c r="D447" s="22" t="n"/>
      <c r="E447" s="22" t="n"/>
      <c r="F447" s="23" t="n"/>
      <c r="G447" s="24">
        <f>IF($D447="","",IFERROR(INDEX(Einstellungen!$B$4:$B$40,MATCH($D447,Einstellungen!$A$4:$A$40,0)),"?"))</f>
        <v/>
      </c>
      <c r="H447" s="22" t="n"/>
      <c r="I447" s="25">
        <f>IF($F447="","",IF($G447="Einnahme",$F447,-$F447))</f>
        <v/>
      </c>
    </row>
    <row r="448" ht="15" customHeight="1" s="52">
      <c r="A448" s="26" t="n"/>
      <c r="B448" s="17">
        <f>IF($A448="","",YEAR($A448))</f>
        <v/>
      </c>
      <c r="C448" s="17">
        <f>IF($A448="","",MONTH($A448))</f>
        <v/>
      </c>
      <c r="D448" s="27" t="n"/>
      <c r="E448" s="27" t="n"/>
      <c r="F448" s="28" t="n"/>
      <c r="G448" s="14">
        <f>IF($D448="","",IFERROR(INDEX(Einstellungen!$B$4:$B$40,MATCH($D448,Einstellungen!$A$4:$A$40,0)),"?"))</f>
        <v/>
      </c>
      <c r="H448" s="27" t="n"/>
      <c r="I448" s="11">
        <f>IF($F448="","",IF($G448="Einnahme",$F448,-$F448))</f>
        <v/>
      </c>
    </row>
    <row r="449" ht="15" customHeight="1" s="52">
      <c r="A449" s="20" t="n"/>
      <c r="B449" s="21">
        <f>IF($A449="","",YEAR($A449))</f>
        <v/>
      </c>
      <c r="C449" s="21">
        <f>IF($A449="","",MONTH($A449))</f>
        <v/>
      </c>
      <c r="D449" s="22" t="n"/>
      <c r="E449" s="22" t="n"/>
      <c r="F449" s="23" t="n"/>
      <c r="G449" s="24">
        <f>IF($D449="","",IFERROR(INDEX(Einstellungen!$B$4:$B$40,MATCH($D449,Einstellungen!$A$4:$A$40,0)),"?"))</f>
        <v/>
      </c>
      <c r="H449" s="22" t="n"/>
      <c r="I449" s="25">
        <f>IF($F449="","",IF($G449="Einnahme",$F449,-$F449))</f>
        <v/>
      </c>
    </row>
    <row r="450" ht="15" customHeight="1" s="52">
      <c r="A450" s="26" t="n"/>
      <c r="B450" s="17">
        <f>IF($A450="","",YEAR($A450))</f>
        <v/>
      </c>
      <c r="C450" s="17">
        <f>IF($A450="","",MONTH($A450))</f>
        <v/>
      </c>
      <c r="D450" s="27" t="n"/>
      <c r="E450" s="27" t="n"/>
      <c r="F450" s="28" t="n"/>
      <c r="G450" s="14">
        <f>IF($D450="","",IFERROR(INDEX(Einstellungen!$B$4:$B$40,MATCH($D450,Einstellungen!$A$4:$A$40,0)),"?"))</f>
        <v/>
      </c>
      <c r="H450" s="27" t="n"/>
      <c r="I450" s="11">
        <f>IF($F450="","",IF($G450="Einnahme",$F450,-$F450))</f>
        <v/>
      </c>
    </row>
    <row r="451" ht="15" customHeight="1" s="52">
      <c r="A451" s="20" t="n"/>
      <c r="B451" s="21">
        <f>IF($A451="","",YEAR($A451))</f>
        <v/>
      </c>
      <c r="C451" s="21">
        <f>IF($A451="","",MONTH($A451))</f>
        <v/>
      </c>
      <c r="D451" s="22" t="n"/>
      <c r="E451" s="22" t="n"/>
      <c r="F451" s="23" t="n"/>
      <c r="G451" s="24">
        <f>IF($D451="","",IFERROR(INDEX(Einstellungen!$B$4:$B$40,MATCH($D451,Einstellungen!$A$4:$A$40,0)),"?"))</f>
        <v/>
      </c>
      <c r="H451" s="22" t="n"/>
      <c r="I451" s="25">
        <f>IF($F451="","",IF($G451="Einnahme",$F451,-$F451))</f>
        <v/>
      </c>
    </row>
    <row r="452" ht="15" customHeight="1" s="52">
      <c r="A452" s="26" t="n"/>
      <c r="B452" s="17">
        <f>IF($A452="","",YEAR($A452))</f>
        <v/>
      </c>
      <c r="C452" s="17">
        <f>IF($A452="","",MONTH($A452))</f>
        <v/>
      </c>
      <c r="D452" s="27" t="n"/>
      <c r="E452" s="27" t="n"/>
      <c r="F452" s="28" t="n"/>
      <c r="G452" s="14">
        <f>IF($D452="","",IFERROR(INDEX(Einstellungen!$B$4:$B$40,MATCH($D452,Einstellungen!$A$4:$A$40,0)),"?"))</f>
        <v/>
      </c>
      <c r="H452" s="27" t="n"/>
      <c r="I452" s="11">
        <f>IF($F452="","",IF($G452="Einnahme",$F452,-$F452))</f>
        <v/>
      </c>
    </row>
    <row r="453" ht="15" customHeight="1" s="52">
      <c r="A453" s="20" t="n"/>
      <c r="B453" s="21">
        <f>IF($A453="","",YEAR($A453))</f>
        <v/>
      </c>
      <c r="C453" s="21">
        <f>IF($A453="","",MONTH($A453))</f>
        <v/>
      </c>
      <c r="D453" s="22" t="n"/>
      <c r="E453" s="22" t="n"/>
      <c r="F453" s="23" t="n"/>
      <c r="G453" s="24">
        <f>IF($D453="","",IFERROR(INDEX(Einstellungen!$B$4:$B$40,MATCH($D453,Einstellungen!$A$4:$A$40,0)),"?"))</f>
        <v/>
      </c>
      <c r="H453" s="22" t="n"/>
      <c r="I453" s="25">
        <f>IF($F453="","",IF($G453="Einnahme",$F453,-$F453))</f>
        <v/>
      </c>
    </row>
    <row r="454" ht="15" customHeight="1" s="52">
      <c r="A454" s="26" t="n"/>
      <c r="B454" s="17">
        <f>IF($A454="","",YEAR($A454))</f>
        <v/>
      </c>
      <c r="C454" s="17">
        <f>IF($A454="","",MONTH($A454))</f>
        <v/>
      </c>
      <c r="D454" s="27" t="n"/>
      <c r="E454" s="27" t="n"/>
      <c r="F454" s="28" t="n"/>
      <c r="G454" s="14">
        <f>IF($D454="","",IFERROR(INDEX(Einstellungen!$B$4:$B$40,MATCH($D454,Einstellungen!$A$4:$A$40,0)),"?"))</f>
        <v/>
      </c>
      <c r="H454" s="27" t="n"/>
      <c r="I454" s="11">
        <f>IF($F454="","",IF($G454="Einnahme",$F454,-$F454))</f>
        <v/>
      </c>
    </row>
    <row r="455" ht="15" customHeight="1" s="52">
      <c r="A455" s="20" t="n"/>
      <c r="B455" s="21">
        <f>IF($A455="","",YEAR($A455))</f>
        <v/>
      </c>
      <c r="C455" s="21">
        <f>IF($A455="","",MONTH($A455))</f>
        <v/>
      </c>
      <c r="D455" s="22" t="n"/>
      <c r="E455" s="22" t="n"/>
      <c r="F455" s="23" t="n"/>
      <c r="G455" s="24">
        <f>IF($D455="","",IFERROR(INDEX(Einstellungen!$B$4:$B$40,MATCH($D455,Einstellungen!$A$4:$A$40,0)),"?"))</f>
        <v/>
      </c>
      <c r="H455" s="22" t="n"/>
      <c r="I455" s="25">
        <f>IF($F455="","",IF($G455="Einnahme",$F455,-$F455))</f>
        <v/>
      </c>
    </row>
    <row r="456" ht="15" customHeight="1" s="52">
      <c r="A456" s="26" t="n"/>
      <c r="B456" s="17">
        <f>IF($A456="","",YEAR($A456))</f>
        <v/>
      </c>
      <c r="C456" s="17">
        <f>IF($A456="","",MONTH($A456))</f>
        <v/>
      </c>
      <c r="D456" s="27" t="n"/>
      <c r="E456" s="27" t="n"/>
      <c r="F456" s="28" t="n"/>
      <c r="G456" s="14">
        <f>IF($D456="","",IFERROR(INDEX(Einstellungen!$B$4:$B$40,MATCH($D456,Einstellungen!$A$4:$A$40,0)),"?"))</f>
        <v/>
      </c>
      <c r="H456" s="27" t="n"/>
      <c r="I456" s="11">
        <f>IF($F456="","",IF($G456="Einnahme",$F456,-$F456))</f>
        <v/>
      </c>
    </row>
    <row r="457" ht="15" customHeight="1" s="52">
      <c r="A457" s="20" t="n"/>
      <c r="B457" s="21">
        <f>IF($A457="","",YEAR($A457))</f>
        <v/>
      </c>
      <c r="C457" s="21">
        <f>IF($A457="","",MONTH($A457))</f>
        <v/>
      </c>
      <c r="D457" s="22" t="n"/>
      <c r="E457" s="22" t="n"/>
      <c r="F457" s="23" t="n"/>
      <c r="G457" s="24">
        <f>IF($D457="","",IFERROR(INDEX(Einstellungen!$B$4:$B$40,MATCH($D457,Einstellungen!$A$4:$A$40,0)),"?"))</f>
        <v/>
      </c>
      <c r="H457" s="22" t="n"/>
      <c r="I457" s="25">
        <f>IF($F457="","",IF($G457="Einnahme",$F457,-$F457))</f>
        <v/>
      </c>
    </row>
    <row r="458" ht="15" customHeight="1" s="52">
      <c r="A458" s="26" t="n"/>
      <c r="B458" s="17">
        <f>IF($A458="","",YEAR($A458))</f>
        <v/>
      </c>
      <c r="C458" s="17">
        <f>IF($A458="","",MONTH($A458))</f>
        <v/>
      </c>
      <c r="D458" s="27" t="n"/>
      <c r="E458" s="27" t="n"/>
      <c r="F458" s="28" t="n"/>
      <c r="G458" s="14">
        <f>IF($D458="","",IFERROR(INDEX(Einstellungen!$B$4:$B$40,MATCH($D458,Einstellungen!$A$4:$A$40,0)),"?"))</f>
        <v/>
      </c>
      <c r="H458" s="27" t="n"/>
      <c r="I458" s="11">
        <f>IF($F458="","",IF($G458="Einnahme",$F458,-$F458))</f>
        <v/>
      </c>
    </row>
    <row r="459" ht="15" customHeight="1" s="52">
      <c r="A459" s="20" t="n"/>
      <c r="B459" s="21">
        <f>IF($A459="","",YEAR($A459))</f>
        <v/>
      </c>
      <c r="C459" s="21">
        <f>IF($A459="","",MONTH($A459))</f>
        <v/>
      </c>
      <c r="D459" s="22" t="n"/>
      <c r="E459" s="22" t="n"/>
      <c r="F459" s="23" t="n"/>
      <c r="G459" s="24">
        <f>IF($D459="","",IFERROR(INDEX(Einstellungen!$B$4:$B$40,MATCH($D459,Einstellungen!$A$4:$A$40,0)),"?"))</f>
        <v/>
      </c>
      <c r="H459" s="22" t="n"/>
      <c r="I459" s="25">
        <f>IF($F459="","",IF($G459="Einnahme",$F459,-$F459))</f>
        <v/>
      </c>
    </row>
    <row r="460" ht="15" customHeight="1" s="52">
      <c r="A460" s="26" t="n"/>
      <c r="B460" s="17">
        <f>IF($A460="","",YEAR($A460))</f>
        <v/>
      </c>
      <c r="C460" s="17">
        <f>IF($A460="","",MONTH($A460))</f>
        <v/>
      </c>
      <c r="D460" s="27" t="n"/>
      <c r="E460" s="27" t="n"/>
      <c r="F460" s="28" t="n"/>
      <c r="G460" s="14">
        <f>IF($D460="","",IFERROR(INDEX(Einstellungen!$B$4:$B$40,MATCH($D460,Einstellungen!$A$4:$A$40,0)),"?"))</f>
        <v/>
      </c>
      <c r="H460" s="27" t="n"/>
      <c r="I460" s="11">
        <f>IF($F460="","",IF($G460="Einnahme",$F460,-$F460))</f>
        <v/>
      </c>
    </row>
    <row r="461" ht="15" customHeight="1" s="52">
      <c r="A461" s="20" t="n"/>
      <c r="B461" s="21">
        <f>IF($A461="","",YEAR($A461))</f>
        <v/>
      </c>
      <c r="C461" s="21">
        <f>IF($A461="","",MONTH($A461))</f>
        <v/>
      </c>
      <c r="D461" s="22" t="n"/>
      <c r="E461" s="22" t="n"/>
      <c r="F461" s="23" t="n"/>
      <c r="G461" s="24">
        <f>IF($D461="","",IFERROR(INDEX(Einstellungen!$B$4:$B$40,MATCH($D461,Einstellungen!$A$4:$A$40,0)),"?"))</f>
        <v/>
      </c>
      <c r="H461" s="22" t="n"/>
      <c r="I461" s="25">
        <f>IF($F461="","",IF($G461="Einnahme",$F461,-$F461))</f>
        <v/>
      </c>
    </row>
    <row r="462" ht="15" customHeight="1" s="52">
      <c r="A462" s="26" t="n"/>
      <c r="B462" s="17">
        <f>IF($A462="","",YEAR($A462))</f>
        <v/>
      </c>
      <c r="C462" s="17">
        <f>IF($A462="","",MONTH($A462))</f>
        <v/>
      </c>
      <c r="D462" s="27" t="n"/>
      <c r="E462" s="27" t="n"/>
      <c r="F462" s="28" t="n"/>
      <c r="G462" s="14">
        <f>IF($D462="","",IFERROR(INDEX(Einstellungen!$B$4:$B$40,MATCH($D462,Einstellungen!$A$4:$A$40,0)),"?"))</f>
        <v/>
      </c>
      <c r="H462" s="27" t="n"/>
      <c r="I462" s="11">
        <f>IF($F462="","",IF($G462="Einnahme",$F462,-$F462))</f>
        <v/>
      </c>
    </row>
    <row r="463" ht="15" customHeight="1" s="52">
      <c r="A463" s="20" t="n"/>
      <c r="B463" s="21">
        <f>IF($A463="","",YEAR($A463))</f>
        <v/>
      </c>
      <c r="C463" s="21">
        <f>IF($A463="","",MONTH($A463))</f>
        <v/>
      </c>
      <c r="D463" s="22" t="n"/>
      <c r="E463" s="22" t="n"/>
      <c r="F463" s="23" t="n"/>
      <c r="G463" s="24">
        <f>IF($D463="","",IFERROR(INDEX(Einstellungen!$B$4:$B$40,MATCH($D463,Einstellungen!$A$4:$A$40,0)),"?"))</f>
        <v/>
      </c>
      <c r="H463" s="22" t="n"/>
      <c r="I463" s="25">
        <f>IF($F463="","",IF($G463="Einnahme",$F463,-$F463))</f>
        <v/>
      </c>
    </row>
    <row r="464" ht="15" customHeight="1" s="52">
      <c r="A464" s="26" t="n"/>
      <c r="B464" s="17">
        <f>IF($A464="","",YEAR($A464))</f>
        <v/>
      </c>
      <c r="C464" s="17">
        <f>IF($A464="","",MONTH($A464))</f>
        <v/>
      </c>
      <c r="D464" s="27" t="n"/>
      <c r="E464" s="27" t="n"/>
      <c r="F464" s="28" t="n"/>
      <c r="G464" s="14">
        <f>IF($D464="","",IFERROR(INDEX(Einstellungen!$B$4:$B$40,MATCH($D464,Einstellungen!$A$4:$A$40,0)),"?"))</f>
        <v/>
      </c>
      <c r="H464" s="27" t="n"/>
      <c r="I464" s="11">
        <f>IF($F464="","",IF($G464="Einnahme",$F464,-$F464))</f>
        <v/>
      </c>
    </row>
    <row r="465" ht="15" customHeight="1" s="52">
      <c r="A465" s="20" t="n"/>
      <c r="B465" s="21">
        <f>IF($A465="","",YEAR($A465))</f>
        <v/>
      </c>
      <c r="C465" s="21">
        <f>IF($A465="","",MONTH($A465))</f>
        <v/>
      </c>
      <c r="D465" s="22" t="n"/>
      <c r="E465" s="22" t="n"/>
      <c r="F465" s="23" t="n"/>
      <c r="G465" s="24">
        <f>IF($D465="","",IFERROR(INDEX(Einstellungen!$B$4:$B$40,MATCH($D465,Einstellungen!$A$4:$A$40,0)),"?"))</f>
        <v/>
      </c>
      <c r="H465" s="22" t="n"/>
      <c r="I465" s="25">
        <f>IF($F465="","",IF($G465="Einnahme",$F465,-$F465))</f>
        <v/>
      </c>
    </row>
    <row r="466" ht="15" customHeight="1" s="52">
      <c r="A466" s="26" t="n"/>
      <c r="B466" s="17">
        <f>IF($A466="","",YEAR($A466))</f>
        <v/>
      </c>
      <c r="C466" s="17">
        <f>IF($A466="","",MONTH($A466))</f>
        <v/>
      </c>
      <c r="D466" s="27" t="n"/>
      <c r="E466" s="27" t="n"/>
      <c r="F466" s="28" t="n"/>
      <c r="G466" s="14">
        <f>IF($D466="","",IFERROR(INDEX(Einstellungen!$B$4:$B$40,MATCH($D466,Einstellungen!$A$4:$A$40,0)),"?"))</f>
        <v/>
      </c>
      <c r="H466" s="27" t="n"/>
      <c r="I466" s="11">
        <f>IF($F466="","",IF($G466="Einnahme",$F466,-$F466))</f>
        <v/>
      </c>
    </row>
    <row r="467" ht="15" customHeight="1" s="52">
      <c r="A467" s="20" t="n"/>
      <c r="B467" s="21">
        <f>IF($A467="","",YEAR($A467))</f>
        <v/>
      </c>
      <c r="C467" s="21">
        <f>IF($A467="","",MONTH($A467))</f>
        <v/>
      </c>
      <c r="D467" s="22" t="n"/>
      <c r="E467" s="22" t="n"/>
      <c r="F467" s="23" t="n"/>
      <c r="G467" s="24">
        <f>IF($D467="","",IFERROR(INDEX(Einstellungen!$B$4:$B$40,MATCH($D467,Einstellungen!$A$4:$A$40,0)),"?"))</f>
        <v/>
      </c>
      <c r="H467" s="22" t="n"/>
      <c r="I467" s="25">
        <f>IF($F467="","",IF($G467="Einnahme",$F467,-$F467))</f>
        <v/>
      </c>
    </row>
    <row r="468" ht="15" customHeight="1" s="52">
      <c r="A468" s="26" t="n"/>
      <c r="B468" s="17">
        <f>IF($A468="","",YEAR($A468))</f>
        <v/>
      </c>
      <c r="C468" s="17">
        <f>IF($A468="","",MONTH($A468))</f>
        <v/>
      </c>
      <c r="D468" s="27" t="n"/>
      <c r="E468" s="27" t="n"/>
      <c r="F468" s="28" t="n"/>
      <c r="G468" s="14">
        <f>IF($D468="","",IFERROR(INDEX(Einstellungen!$B$4:$B$40,MATCH($D468,Einstellungen!$A$4:$A$40,0)),"?"))</f>
        <v/>
      </c>
      <c r="H468" s="27" t="n"/>
      <c r="I468" s="11">
        <f>IF($F468="","",IF($G468="Einnahme",$F468,-$F468))</f>
        <v/>
      </c>
    </row>
    <row r="469" ht="15" customHeight="1" s="52">
      <c r="A469" s="20" t="n"/>
      <c r="B469" s="21">
        <f>IF($A469="","",YEAR($A469))</f>
        <v/>
      </c>
      <c r="C469" s="21">
        <f>IF($A469="","",MONTH($A469))</f>
        <v/>
      </c>
      <c r="D469" s="22" t="n"/>
      <c r="E469" s="22" t="n"/>
      <c r="F469" s="23" t="n"/>
      <c r="G469" s="24">
        <f>IF($D469="","",IFERROR(INDEX(Einstellungen!$B$4:$B$40,MATCH($D469,Einstellungen!$A$4:$A$40,0)),"?"))</f>
        <v/>
      </c>
      <c r="H469" s="22" t="n"/>
      <c r="I469" s="25">
        <f>IF($F469="","",IF($G469="Einnahme",$F469,-$F469))</f>
        <v/>
      </c>
    </row>
    <row r="470" ht="15" customHeight="1" s="52">
      <c r="A470" s="26" t="n"/>
      <c r="B470" s="17">
        <f>IF($A470="","",YEAR($A470))</f>
        <v/>
      </c>
      <c r="C470" s="17">
        <f>IF($A470="","",MONTH($A470))</f>
        <v/>
      </c>
      <c r="D470" s="27" t="n"/>
      <c r="E470" s="27" t="n"/>
      <c r="F470" s="28" t="n"/>
      <c r="G470" s="14">
        <f>IF($D470="","",IFERROR(INDEX(Einstellungen!$B$4:$B$40,MATCH($D470,Einstellungen!$A$4:$A$40,0)),"?"))</f>
        <v/>
      </c>
      <c r="H470" s="27" t="n"/>
      <c r="I470" s="11">
        <f>IF($F470="","",IF($G470="Einnahme",$F470,-$F470))</f>
        <v/>
      </c>
    </row>
    <row r="471" ht="15" customHeight="1" s="52">
      <c r="A471" s="20" t="n"/>
      <c r="B471" s="21">
        <f>IF($A471="","",YEAR($A471))</f>
        <v/>
      </c>
      <c r="C471" s="21">
        <f>IF($A471="","",MONTH($A471))</f>
        <v/>
      </c>
      <c r="D471" s="22" t="n"/>
      <c r="E471" s="22" t="n"/>
      <c r="F471" s="23" t="n"/>
      <c r="G471" s="24">
        <f>IF($D471="","",IFERROR(INDEX(Einstellungen!$B$4:$B$40,MATCH($D471,Einstellungen!$A$4:$A$40,0)),"?"))</f>
        <v/>
      </c>
      <c r="H471" s="22" t="n"/>
      <c r="I471" s="25">
        <f>IF($F471="","",IF($G471="Einnahme",$F471,-$F471))</f>
        <v/>
      </c>
    </row>
    <row r="472" ht="15" customHeight="1" s="52">
      <c r="A472" s="26" t="n"/>
      <c r="B472" s="17">
        <f>IF($A472="","",YEAR($A472))</f>
        <v/>
      </c>
      <c r="C472" s="17">
        <f>IF($A472="","",MONTH($A472))</f>
        <v/>
      </c>
      <c r="D472" s="27" t="n"/>
      <c r="E472" s="27" t="n"/>
      <c r="F472" s="28" t="n"/>
      <c r="G472" s="14">
        <f>IF($D472="","",IFERROR(INDEX(Einstellungen!$B$4:$B$40,MATCH($D472,Einstellungen!$A$4:$A$40,0)),"?"))</f>
        <v/>
      </c>
      <c r="H472" s="27" t="n"/>
      <c r="I472" s="11">
        <f>IF($F472="","",IF($G472="Einnahme",$F472,-$F472))</f>
        <v/>
      </c>
    </row>
    <row r="473" ht="15" customHeight="1" s="52">
      <c r="A473" s="20" t="n"/>
      <c r="B473" s="21">
        <f>IF($A473="","",YEAR($A473))</f>
        <v/>
      </c>
      <c r="C473" s="21">
        <f>IF($A473="","",MONTH($A473))</f>
        <v/>
      </c>
      <c r="D473" s="22" t="n"/>
      <c r="E473" s="22" t="n"/>
      <c r="F473" s="23" t="n"/>
      <c r="G473" s="24">
        <f>IF($D473="","",IFERROR(INDEX(Einstellungen!$B$4:$B$40,MATCH($D473,Einstellungen!$A$4:$A$40,0)),"?"))</f>
        <v/>
      </c>
      <c r="H473" s="22" t="n"/>
      <c r="I473" s="25">
        <f>IF($F473="","",IF($G473="Einnahme",$F473,-$F473))</f>
        <v/>
      </c>
    </row>
    <row r="474" ht="15" customHeight="1" s="52">
      <c r="A474" s="26" t="n"/>
      <c r="B474" s="17">
        <f>IF($A474="","",YEAR($A474))</f>
        <v/>
      </c>
      <c r="C474" s="17">
        <f>IF($A474="","",MONTH($A474))</f>
        <v/>
      </c>
      <c r="D474" s="27" t="n"/>
      <c r="E474" s="27" t="n"/>
      <c r="F474" s="28" t="n"/>
      <c r="G474" s="14">
        <f>IF($D474="","",IFERROR(INDEX(Einstellungen!$B$4:$B$40,MATCH($D474,Einstellungen!$A$4:$A$40,0)),"?"))</f>
        <v/>
      </c>
      <c r="H474" s="27" t="n"/>
      <c r="I474" s="11">
        <f>IF($F474="","",IF($G474="Einnahme",$F474,-$F474))</f>
        <v/>
      </c>
    </row>
    <row r="475" ht="15" customHeight="1" s="52">
      <c r="A475" s="20" t="n"/>
      <c r="B475" s="21">
        <f>IF($A475="","",YEAR($A475))</f>
        <v/>
      </c>
      <c r="C475" s="21">
        <f>IF($A475="","",MONTH($A475))</f>
        <v/>
      </c>
      <c r="D475" s="22" t="n"/>
      <c r="E475" s="22" t="n"/>
      <c r="F475" s="23" t="n"/>
      <c r="G475" s="24">
        <f>IF($D475="","",IFERROR(INDEX(Einstellungen!$B$4:$B$40,MATCH($D475,Einstellungen!$A$4:$A$40,0)),"?"))</f>
        <v/>
      </c>
      <c r="H475" s="22" t="n"/>
      <c r="I475" s="25">
        <f>IF($F475="","",IF($G475="Einnahme",$F475,-$F475))</f>
        <v/>
      </c>
    </row>
    <row r="476" ht="15" customHeight="1" s="52">
      <c r="A476" s="26" t="n"/>
      <c r="B476" s="17">
        <f>IF($A476="","",YEAR($A476))</f>
        <v/>
      </c>
      <c r="C476" s="17">
        <f>IF($A476="","",MONTH($A476))</f>
        <v/>
      </c>
      <c r="D476" s="27" t="n"/>
      <c r="E476" s="27" t="n"/>
      <c r="F476" s="28" t="n"/>
      <c r="G476" s="14">
        <f>IF($D476="","",IFERROR(INDEX(Einstellungen!$B$4:$B$40,MATCH($D476,Einstellungen!$A$4:$A$40,0)),"?"))</f>
        <v/>
      </c>
      <c r="H476" s="27" t="n"/>
      <c r="I476" s="11">
        <f>IF($F476="","",IF($G476="Einnahme",$F476,-$F476))</f>
        <v/>
      </c>
    </row>
    <row r="477" ht="15" customHeight="1" s="52">
      <c r="A477" s="20" t="n"/>
      <c r="B477" s="21">
        <f>IF($A477="","",YEAR($A477))</f>
        <v/>
      </c>
      <c r="C477" s="21">
        <f>IF($A477="","",MONTH($A477))</f>
        <v/>
      </c>
      <c r="D477" s="22" t="n"/>
      <c r="E477" s="22" t="n"/>
      <c r="F477" s="23" t="n"/>
      <c r="G477" s="24">
        <f>IF($D477="","",IFERROR(INDEX(Einstellungen!$B$4:$B$40,MATCH($D477,Einstellungen!$A$4:$A$40,0)),"?"))</f>
        <v/>
      </c>
      <c r="H477" s="22" t="n"/>
      <c r="I477" s="25">
        <f>IF($F477="","",IF($G477="Einnahme",$F477,-$F477))</f>
        <v/>
      </c>
    </row>
    <row r="478" ht="15" customHeight="1" s="52">
      <c r="A478" s="26" t="n"/>
      <c r="B478" s="17">
        <f>IF($A478="","",YEAR($A478))</f>
        <v/>
      </c>
      <c r="C478" s="17">
        <f>IF($A478="","",MONTH($A478))</f>
        <v/>
      </c>
      <c r="D478" s="27" t="n"/>
      <c r="E478" s="27" t="n"/>
      <c r="F478" s="28" t="n"/>
      <c r="G478" s="14">
        <f>IF($D478="","",IFERROR(INDEX(Einstellungen!$B$4:$B$40,MATCH($D478,Einstellungen!$A$4:$A$40,0)),"?"))</f>
        <v/>
      </c>
      <c r="H478" s="27" t="n"/>
      <c r="I478" s="11">
        <f>IF($F478="","",IF($G478="Einnahme",$F478,-$F478))</f>
        <v/>
      </c>
    </row>
    <row r="479" ht="15" customHeight="1" s="52">
      <c r="A479" s="20" t="n"/>
      <c r="B479" s="21">
        <f>IF($A479="","",YEAR($A479))</f>
        <v/>
      </c>
      <c r="C479" s="21">
        <f>IF($A479="","",MONTH($A479))</f>
        <v/>
      </c>
      <c r="D479" s="22" t="n"/>
      <c r="E479" s="22" t="n"/>
      <c r="F479" s="23" t="n"/>
      <c r="G479" s="24">
        <f>IF($D479="","",IFERROR(INDEX(Einstellungen!$B$4:$B$40,MATCH($D479,Einstellungen!$A$4:$A$40,0)),"?"))</f>
        <v/>
      </c>
      <c r="H479" s="22" t="n"/>
      <c r="I479" s="25">
        <f>IF($F479="","",IF($G479="Einnahme",$F479,-$F479))</f>
        <v/>
      </c>
    </row>
    <row r="480" ht="15" customHeight="1" s="52">
      <c r="A480" s="26" t="n"/>
      <c r="B480" s="17">
        <f>IF($A480="","",YEAR($A480))</f>
        <v/>
      </c>
      <c r="C480" s="17">
        <f>IF($A480="","",MONTH($A480))</f>
        <v/>
      </c>
      <c r="D480" s="27" t="n"/>
      <c r="E480" s="27" t="n"/>
      <c r="F480" s="28" t="n"/>
      <c r="G480" s="14">
        <f>IF($D480="","",IFERROR(INDEX(Einstellungen!$B$4:$B$40,MATCH($D480,Einstellungen!$A$4:$A$40,0)),"?"))</f>
        <v/>
      </c>
      <c r="H480" s="27" t="n"/>
      <c r="I480" s="11">
        <f>IF($F480="","",IF($G480="Einnahme",$F480,-$F480))</f>
        <v/>
      </c>
    </row>
    <row r="481" ht="15" customHeight="1" s="52">
      <c r="A481" s="20" t="n"/>
      <c r="B481" s="21">
        <f>IF($A481="","",YEAR($A481))</f>
        <v/>
      </c>
      <c r="C481" s="21">
        <f>IF($A481="","",MONTH($A481))</f>
        <v/>
      </c>
      <c r="D481" s="22" t="n"/>
      <c r="E481" s="22" t="n"/>
      <c r="F481" s="23" t="n"/>
      <c r="G481" s="24">
        <f>IF($D481="","",IFERROR(INDEX(Einstellungen!$B$4:$B$40,MATCH($D481,Einstellungen!$A$4:$A$40,0)),"?"))</f>
        <v/>
      </c>
      <c r="H481" s="22" t="n"/>
      <c r="I481" s="25">
        <f>IF($F481="","",IF($G481="Einnahme",$F481,-$F481))</f>
        <v/>
      </c>
    </row>
    <row r="482" ht="15" customHeight="1" s="52">
      <c r="A482" s="26" t="n"/>
      <c r="B482" s="17">
        <f>IF($A482="","",YEAR($A482))</f>
        <v/>
      </c>
      <c r="C482" s="17">
        <f>IF($A482="","",MONTH($A482))</f>
        <v/>
      </c>
      <c r="D482" s="27" t="n"/>
      <c r="E482" s="27" t="n"/>
      <c r="F482" s="28" t="n"/>
      <c r="G482" s="14">
        <f>IF($D482="","",IFERROR(INDEX(Einstellungen!$B$4:$B$40,MATCH($D482,Einstellungen!$A$4:$A$40,0)),"?"))</f>
        <v/>
      </c>
      <c r="H482" s="27" t="n"/>
      <c r="I482" s="11">
        <f>IF($F482="","",IF($G482="Einnahme",$F482,-$F482))</f>
        <v/>
      </c>
    </row>
    <row r="483" ht="15" customHeight="1" s="52">
      <c r="A483" s="20" t="n"/>
      <c r="B483" s="21">
        <f>IF($A483="","",YEAR($A483))</f>
        <v/>
      </c>
      <c r="C483" s="21">
        <f>IF($A483="","",MONTH($A483))</f>
        <v/>
      </c>
      <c r="D483" s="22" t="n"/>
      <c r="E483" s="22" t="n"/>
      <c r="F483" s="23" t="n"/>
      <c r="G483" s="24">
        <f>IF($D483="","",IFERROR(INDEX(Einstellungen!$B$4:$B$40,MATCH($D483,Einstellungen!$A$4:$A$40,0)),"?"))</f>
        <v/>
      </c>
      <c r="H483" s="22" t="n"/>
      <c r="I483" s="25">
        <f>IF($F483="","",IF($G483="Einnahme",$F483,-$F483))</f>
        <v/>
      </c>
    </row>
    <row r="484" ht="15" customHeight="1" s="52">
      <c r="A484" s="26" t="n"/>
      <c r="B484" s="17">
        <f>IF($A484="","",YEAR($A484))</f>
        <v/>
      </c>
      <c r="C484" s="17">
        <f>IF($A484="","",MONTH($A484))</f>
        <v/>
      </c>
      <c r="D484" s="27" t="n"/>
      <c r="E484" s="27" t="n"/>
      <c r="F484" s="28" t="n"/>
      <c r="G484" s="14">
        <f>IF($D484="","",IFERROR(INDEX(Einstellungen!$B$4:$B$40,MATCH($D484,Einstellungen!$A$4:$A$40,0)),"?"))</f>
        <v/>
      </c>
      <c r="H484" s="27" t="n"/>
      <c r="I484" s="11">
        <f>IF($F484="","",IF($G484="Einnahme",$F484,-$F484))</f>
        <v/>
      </c>
    </row>
    <row r="485" ht="15" customHeight="1" s="52">
      <c r="A485" s="20" t="n"/>
      <c r="B485" s="21">
        <f>IF($A485="","",YEAR($A485))</f>
        <v/>
      </c>
      <c r="C485" s="21">
        <f>IF($A485="","",MONTH($A485))</f>
        <v/>
      </c>
      <c r="D485" s="22" t="n"/>
      <c r="E485" s="22" t="n"/>
      <c r="F485" s="23" t="n"/>
      <c r="G485" s="24">
        <f>IF($D485="","",IFERROR(INDEX(Einstellungen!$B$4:$B$40,MATCH($D485,Einstellungen!$A$4:$A$40,0)),"?"))</f>
        <v/>
      </c>
      <c r="H485" s="22" t="n"/>
      <c r="I485" s="25">
        <f>IF($F485="","",IF($G485="Einnahme",$F485,-$F485))</f>
        <v/>
      </c>
    </row>
    <row r="486" ht="15" customHeight="1" s="52">
      <c r="A486" s="26" t="n"/>
      <c r="B486" s="17">
        <f>IF($A486="","",YEAR($A486))</f>
        <v/>
      </c>
      <c r="C486" s="17">
        <f>IF($A486="","",MONTH($A486))</f>
        <v/>
      </c>
      <c r="D486" s="27" t="n"/>
      <c r="E486" s="27" t="n"/>
      <c r="F486" s="28" t="n"/>
      <c r="G486" s="14">
        <f>IF($D486="","",IFERROR(INDEX(Einstellungen!$B$4:$B$40,MATCH($D486,Einstellungen!$A$4:$A$40,0)),"?"))</f>
        <v/>
      </c>
      <c r="H486" s="27" t="n"/>
      <c r="I486" s="11">
        <f>IF($F486="","",IF($G486="Einnahme",$F486,-$F486))</f>
        <v/>
      </c>
    </row>
    <row r="487" ht="15" customHeight="1" s="52">
      <c r="A487" s="20" t="n"/>
      <c r="B487" s="21">
        <f>IF($A487="","",YEAR($A487))</f>
        <v/>
      </c>
      <c r="C487" s="21">
        <f>IF($A487="","",MONTH($A487))</f>
        <v/>
      </c>
      <c r="D487" s="22" t="n"/>
      <c r="E487" s="22" t="n"/>
      <c r="F487" s="23" t="n"/>
      <c r="G487" s="24">
        <f>IF($D487="","",IFERROR(INDEX(Einstellungen!$B$4:$B$40,MATCH($D487,Einstellungen!$A$4:$A$40,0)),"?"))</f>
        <v/>
      </c>
      <c r="H487" s="22" t="n"/>
      <c r="I487" s="25">
        <f>IF($F487="","",IF($G487="Einnahme",$F487,-$F487))</f>
        <v/>
      </c>
    </row>
    <row r="488" ht="15" customHeight="1" s="52">
      <c r="A488" s="26" t="n"/>
      <c r="B488" s="17">
        <f>IF($A488="","",YEAR($A488))</f>
        <v/>
      </c>
      <c r="C488" s="17">
        <f>IF($A488="","",MONTH($A488))</f>
        <v/>
      </c>
      <c r="D488" s="27" t="n"/>
      <c r="E488" s="27" t="n"/>
      <c r="F488" s="28" t="n"/>
      <c r="G488" s="14">
        <f>IF($D488="","",IFERROR(INDEX(Einstellungen!$B$4:$B$40,MATCH($D488,Einstellungen!$A$4:$A$40,0)),"?"))</f>
        <v/>
      </c>
      <c r="H488" s="27" t="n"/>
      <c r="I488" s="11">
        <f>IF($F488="","",IF($G488="Einnahme",$F488,-$F488))</f>
        <v/>
      </c>
    </row>
    <row r="489" ht="15" customHeight="1" s="52">
      <c r="A489" s="20" t="n"/>
      <c r="B489" s="21">
        <f>IF($A489="","",YEAR($A489))</f>
        <v/>
      </c>
      <c r="C489" s="21">
        <f>IF($A489="","",MONTH($A489))</f>
        <v/>
      </c>
      <c r="D489" s="22" t="n"/>
      <c r="E489" s="22" t="n"/>
      <c r="F489" s="23" t="n"/>
      <c r="G489" s="24">
        <f>IF($D489="","",IFERROR(INDEX(Einstellungen!$B$4:$B$40,MATCH($D489,Einstellungen!$A$4:$A$40,0)),"?"))</f>
        <v/>
      </c>
      <c r="H489" s="22" t="n"/>
      <c r="I489" s="25">
        <f>IF($F489="","",IF($G489="Einnahme",$F489,-$F489))</f>
        <v/>
      </c>
    </row>
    <row r="490" ht="15" customHeight="1" s="52">
      <c r="A490" s="26" t="n"/>
      <c r="B490" s="17">
        <f>IF($A490="","",YEAR($A490))</f>
        <v/>
      </c>
      <c r="C490" s="17">
        <f>IF($A490="","",MONTH($A490))</f>
        <v/>
      </c>
      <c r="D490" s="27" t="n"/>
      <c r="E490" s="27" t="n"/>
      <c r="F490" s="28" t="n"/>
      <c r="G490" s="14">
        <f>IF($D490="","",IFERROR(INDEX(Einstellungen!$B$4:$B$40,MATCH($D490,Einstellungen!$A$4:$A$40,0)),"?"))</f>
        <v/>
      </c>
      <c r="H490" s="27" t="n"/>
      <c r="I490" s="11">
        <f>IF($F490="","",IF($G490="Einnahme",$F490,-$F490))</f>
        <v/>
      </c>
    </row>
    <row r="491" ht="15" customHeight="1" s="52">
      <c r="A491" s="20" t="n"/>
      <c r="B491" s="21">
        <f>IF($A491="","",YEAR($A491))</f>
        <v/>
      </c>
      <c r="C491" s="21">
        <f>IF($A491="","",MONTH($A491))</f>
        <v/>
      </c>
      <c r="D491" s="22" t="n"/>
      <c r="E491" s="22" t="n"/>
      <c r="F491" s="23" t="n"/>
      <c r="G491" s="24">
        <f>IF($D491="","",IFERROR(INDEX(Einstellungen!$B$4:$B$40,MATCH($D491,Einstellungen!$A$4:$A$40,0)),"?"))</f>
        <v/>
      </c>
      <c r="H491" s="22" t="n"/>
      <c r="I491" s="25">
        <f>IF($F491="","",IF($G491="Einnahme",$F491,-$F491))</f>
        <v/>
      </c>
    </row>
    <row r="492" ht="15" customHeight="1" s="52">
      <c r="A492" s="26" t="n"/>
      <c r="B492" s="17">
        <f>IF($A492="","",YEAR($A492))</f>
        <v/>
      </c>
      <c r="C492" s="17">
        <f>IF($A492="","",MONTH($A492))</f>
        <v/>
      </c>
      <c r="D492" s="27" t="n"/>
      <c r="E492" s="27" t="n"/>
      <c r="F492" s="28" t="n"/>
      <c r="G492" s="14">
        <f>IF($D492="","",IFERROR(INDEX(Einstellungen!$B$4:$B$40,MATCH($D492,Einstellungen!$A$4:$A$40,0)),"?"))</f>
        <v/>
      </c>
      <c r="H492" s="27" t="n"/>
      <c r="I492" s="11">
        <f>IF($F492="","",IF($G492="Einnahme",$F492,-$F492))</f>
        <v/>
      </c>
    </row>
    <row r="493" ht="15" customHeight="1" s="52">
      <c r="A493" s="20" t="n"/>
      <c r="B493" s="21">
        <f>IF($A493="","",YEAR($A493))</f>
        <v/>
      </c>
      <c r="C493" s="21">
        <f>IF($A493="","",MONTH($A493))</f>
        <v/>
      </c>
      <c r="D493" s="22" t="n"/>
      <c r="E493" s="22" t="n"/>
      <c r="F493" s="23" t="n"/>
      <c r="G493" s="24">
        <f>IF($D493="","",IFERROR(INDEX(Einstellungen!$B$4:$B$40,MATCH($D493,Einstellungen!$A$4:$A$40,0)),"?"))</f>
        <v/>
      </c>
      <c r="H493" s="22" t="n"/>
      <c r="I493" s="25">
        <f>IF($F493="","",IF($G493="Einnahme",$F493,-$F493))</f>
        <v/>
      </c>
    </row>
    <row r="494" ht="15" customHeight="1" s="52">
      <c r="A494" s="26" t="n"/>
      <c r="B494" s="17">
        <f>IF($A494="","",YEAR($A494))</f>
        <v/>
      </c>
      <c r="C494" s="17">
        <f>IF($A494="","",MONTH($A494))</f>
        <v/>
      </c>
      <c r="D494" s="27" t="n"/>
      <c r="E494" s="27" t="n"/>
      <c r="F494" s="28" t="n"/>
      <c r="G494" s="14">
        <f>IF($D494="","",IFERROR(INDEX(Einstellungen!$B$4:$B$40,MATCH($D494,Einstellungen!$A$4:$A$40,0)),"?"))</f>
        <v/>
      </c>
      <c r="H494" s="27" t="n"/>
      <c r="I494" s="11">
        <f>IF($F494="","",IF($G494="Einnahme",$F494,-$F494))</f>
        <v/>
      </c>
    </row>
    <row r="495" ht="15" customHeight="1" s="52">
      <c r="A495" s="20" t="n"/>
      <c r="B495" s="21">
        <f>IF($A495="","",YEAR($A495))</f>
        <v/>
      </c>
      <c r="C495" s="21">
        <f>IF($A495="","",MONTH($A495))</f>
        <v/>
      </c>
      <c r="D495" s="22" t="n"/>
      <c r="E495" s="22" t="n"/>
      <c r="F495" s="23" t="n"/>
      <c r="G495" s="24">
        <f>IF($D495="","",IFERROR(INDEX(Einstellungen!$B$4:$B$40,MATCH($D495,Einstellungen!$A$4:$A$40,0)),"?"))</f>
        <v/>
      </c>
      <c r="H495" s="22" t="n"/>
      <c r="I495" s="25">
        <f>IF($F495="","",IF($G495="Einnahme",$F495,-$F495))</f>
        <v/>
      </c>
    </row>
    <row r="496" ht="15" customHeight="1" s="52">
      <c r="A496" s="26" t="n"/>
      <c r="B496" s="17">
        <f>IF($A496="","",YEAR($A496))</f>
        <v/>
      </c>
      <c r="C496" s="17">
        <f>IF($A496="","",MONTH($A496))</f>
        <v/>
      </c>
      <c r="D496" s="27" t="n"/>
      <c r="E496" s="27" t="n"/>
      <c r="F496" s="28" t="n"/>
      <c r="G496" s="14">
        <f>IF($D496="","",IFERROR(INDEX(Einstellungen!$B$4:$B$40,MATCH($D496,Einstellungen!$A$4:$A$40,0)),"?"))</f>
        <v/>
      </c>
      <c r="H496" s="27" t="n"/>
      <c r="I496" s="11">
        <f>IF($F496="","",IF($G496="Einnahme",$F496,-$F496))</f>
        <v/>
      </c>
    </row>
    <row r="497" ht="15" customHeight="1" s="52">
      <c r="A497" s="20" t="n"/>
      <c r="B497" s="21">
        <f>IF($A497="","",YEAR($A497))</f>
        <v/>
      </c>
      <c r="C497" s="21">
        <f>IF($A497="","",MONTH($A497))</f>
        <v/>
      </c>
      <c r="D497" s="22" t="n"/>
      <c r="E497" s="22" t="n"/>
      <c r="F497" s="23" t="n"/>
      <c r="G497" s="24">
        <f>IF($D497="","",IFERROR(INDEX(Einstellungen!$B$4:$B$40,MATCH($D497,Einstellungen!$A$4:$A$40,0)),"?"))</f>
        <v/>
      </c>
      <c r="H497" s="22" t="n"/>
      <c r="I497" s="25">
        <f>IF($F497="","",IF($G497="Einnahme",$F497,-$F497))</f>
        <v/>
      </c>
    </row>
    <row r="498" ht="15" customHeight="1" s="52">
      <c r="A498" s="26" t="n"/>
      <c r="B498" s="17">
        <f>IF($A498="","",YEAR($A498))</f>
        <v/>
      </c>
      <c r="C498" s="17">
        <f>IF($A498="","",MONTH($A498))</f>
        <v/>
      </c>
      <c r="D498" s="27" t="n"/>
      <c r="E498" s="27" t="n"/>
      <c r="F498" s="28" t="n"/>
      <c r="G498" s="14">
        <f>IF($D498="","",IFERROR(INDEX(Einstellungen!$B$4:$B$40,MATCH($D498,Einstellungen!$A$4:$A$40,0)),"?"))</f>
        <v/>
      </c>
      <c r="H498" s="27" t="n"/>
      <c r="I498" s="11">
        <f>IF($F498="","",IF($G498="Einnahme",$F498,-$F498))</f>
        <v/>
      </c>
    </row>
    <row r="499" ht="15" customHeight="1" s="52">
      <c r="A499" s="20" t="n"/>
      <c r="B499" s="21">
        <f>IF($A499="","",YEAR($A499))</f>
        <v/>
      </c>
      <c r="C499" s="21">
        <f>IF($A499="","",MONTH($A499))</f>
        <v/>
      </c>
      <c r="D499" s="22" t="n"/>
      <c r="E499" s="22" t="n"/>
      <c r="F499" s="23" t="n"/>
      <c r="G499" s="24">
        <f>IF($D499="","",IFERROR(INDEX(Einstellungen!$B$4:$B$40,MATCH($D499,Einstellungen!$A$4:$A$40,0)),"?"))</f>
        <v/>
      </c>
      <c r="H499" s="22" t="n"/>
      <c r="I499" s="25">
        <f>IF($F499="","",IF($G499="Einnahme",$F499,-$F499))</f>
        <v/>
      </c>
    </row>
    <row r="500" ht="15" customHeight="1" s="52">
      <c r="A500" s="26" t="n"/>
      <c r="B500" s="17">
        <f>IF($A500="","",YEAR($A500))</f>
        <v/>
      </c>
      <c r="C500" s="17">
        <f>IF($A500="","",MONTH($A500))</f>
        <v/>
      </c>
      <c r="D500" s="27" t="n"/>
      <c r="E500" s="27" t="n"/>
      <c r="F500" s="28" t="n"/>
      <c r="G500" s="14">
        <f>IF($D500="","",IFERROR(INDEX(Einstellungen!$B$4:$B$40,MATCH($D500,Einstellungen!$A$4:$A$40,0)),"?"))</f>
        <v/>
      </c>
      <c r="H500" s="27" t="n"/>
      <c r="I500" s="11">
        <f>IF($F500="","",IF($G500="Einnahme",$F500,-$F500))</f>
        <v/>
      </c>
    </row>
    <row r="501" ht="15" customHeight="1" s="52">
      <c r="A501" s="20" t="n"/>
      <c r="B501" s="21">
        <f>IF($A501="","",YEAR($A501))</f>
        <v/>
      </c>
      <c r="C501" s="21">
        <f>IF($A501="","",MONTH($A501))</f>
        <v/>
      </c>
      <c r="D501" s="22" t="n"/>
      <c r="E501" s="22" t="n"/>
      <c r="F501" s="23" t="n"/>
      <c r="G501" s="24">
        <f>IF($D501="","",IFERROR(INDEX(Einstellungen!$B$4:$B$40,MATCH($D501,Einstellungen!$A$4:$A$40,0)),"?"))</f>
        <v/>
      </c>
      <c r="H501" s="22" t="n"/>
      <c r="I501" s="25">
        <f>IF($F501="","",IF($G501="Einnahme",$F501,-$F501))</f>
        <v/>
      </c>
    </row>
    <row r="502" ht="15" customHeight="1" s="52">
      <c r="A502" s="26" t="n"/>
      <c r="B502" s="17">
        <f>IF($A502="","",YEAR($A502))</f>
        <v/>
      </c>
      <c r="C502" s="17">
        <f>IF($A502="","",MONTH($A502))</f>
        <v/>
      </c>
      <c r="D502" s="27" t="n"/>
      <c r="E502" s="27" t="n"/>
      <c r="F502" s="28" t="n"/>
      <c r="G502" s="14">
        <f>IF($D502="","",IFERROR(INDEX(Einstellungen!$B$4:$B$40,MATCH($D502,Einstellungen!$A$4:$A$40,0)),"?"))</f>
        <v/>
      </c>
      <c r="H502" s="27" t="n"/>
      <c r="I502" s="11">
        <f>IF($F502="","",IF($G502="Einnahme",$F502,-$F502))</f>
        <v/>
      </c>
    </row>
    <row r="503" ht="15" customHeight="1" s="52">
      <c r="A503" s="20" t="n"/>
      <c r="B503" s="21">
        <f>IF($A503="","",YEAR($A503))</f>
        <v/>
      </c>
      <c r="C503" s="21">
        <f>IF($A503="","",MONTH($A503))</f>
        <v/>
      </c>
      <c r="D503" s="22" t="n"/>
      <c r="E503" s="22" t="n"/>
      <c r="F503" s="23" t="n"/>
      <c r="G503" s="24">
        <f>IF($D503="","",IFERROR(INDEX(Einstellungen!$B$4:$B$40,MATCH($D503,Einstellungen!$A$4:$A$40,0)),"?"))</f>
        <v/>
      </c>
      <c r="H503" s="22" t="n"/>
      <c r="I503" s="25">
        <f>IF($F503="","",IF($G503="Einnahme",$F503,-$F503))</f>
        <v/>
      </c>
    </row>
    <row r="504" ht="15" customHeight="1" s="52">
      <c r="A504" s="26" t="n"/>
      <c r="B504" s="17">
        <f>IF($A504="","",YEAR($A504))</f>
        <v/>
      </c>
      <c r="C504" s="17">
        <f>IF($A504="","",MONTH($A504))</f>
        <v/>
      </c>
      <c r="D504" s="27" t="n"/>
      <c r="E504" s="27" t="n"/>
      <c r="F504" s="28" t="n"/>
      <c r="G504" s="14">
        <f>IF($D504="","",IFERROR(INDEX(Einstellungen!$B$4:$B$40,MATCH($D504,Einstellungen!$A$4:$A$40,0)),"?"))</f>
        <v/>
      </c>
      <c r="H504" s="27" t="n"/>
      <c r="I504" s="11">
        <f>IF($F504="","",IF($G504="Einnahme",$F504,-$F504))</f>
        <v/>
      </c>
    </row>
    <row r="505" ht="15" customHeight="1" s="52">
      <c r="A505" s="20" t="n"/>
      <c r="B505" s="21">
        <f>IF($A505="","",YEAR($A505))</f>
        <v/>
      </c>
      <c r="C505" s="21">
        <f>IF($A505="","",MONTH($A505))</f>
        <v/>
      </c>
      <c r="D505" s="22" t="n"/>
      <c r="E505" s="22" t="n"/>
      <c r="F505" s="23" t="n"/>
      <c r="G505" s="24">
        <f>IF($D505="","",IFERROR(INDEX(Einstellungen!$B$4:$B$40,MATCH($D505,Einstellungen!$A$4:$A$40,0)),"?"))</f>
        <v/>
      </c>
      <c r="H505" s="22" t="n"/>
      <c r="I505" s="25">
        <f>IF($F505="","",IF($G505="Einnahme",$F505,-$F505))</f>
        <v/>
      </c>
    </row>
    <row r="506" ht="15" customHeight="1" s="52">
      <c r="A506" s="26" t="n"/>
      <c r="B506" s="17">
        <f>IF($A506="","",YEAR($A506))</f>
        <v/>
      </c>
      <c r="C506" s="17">
        <f>IF($A506="","",MONTH($A506))</f>
        <v/>
      </c>
      <c r="D506" s="27" t="n"/>
      <c r="E506" s="27" t="n"/>
      <c r="F506" s="28" t="n"/>
      <c r="G506" s="14">
        <f>IF($D506="","",IFERROR(INDEX(Einstellungen!$B$4:$B$40,MATCH($D506,Einstellungen!$A$4:$A$40,0)),"?"))</f>
        <v/>
      </c>
      <c r="H506" s="27" t="n"/>
      <c r="I506" s="11">
        <f>IF($F506="","",IF($G506="Einnahme",$F506,-$F506))</f>
        <v/>
      </c>
    </row>
    <row r="507" ht="15" customHeight="1" s="52">
      <c r="A507" s="20" t="n"/>
      <c r="B507" s="21">
        <f>IF($A507="","",YEAR($A507))</f>
        <v/>
      </c>
      <c r="C507" s="21">
        <f>IF($A507="","",MONTH($A507))</f>
        <v/>
      </c>
      <c r="D507" s="22" t="n"/>
      <c r="E507" s="22" t="n"/>
      <c r="F507" s="23" t="n"/>
      <c r="G507" s="24">
        <f>IF($D507="","",IFERROR(INDEX(Einstellungen!$B$4:$B$40,MATCH($D507,Einstellungen!$A$4:$A$40,0)),"?"))</f>
        <v/>
      </c>
      <c r="H507" s="22" t="n"/>
      <c r="I507" s="25">
        <f>IF($F507="","",IF($G507="Einnahme",$F507,-$F507))</f>
        <v/>
      </c>
    </row>
    <row r="508" ht="15" customHeight="1" s="52">
      <c r="A508" s="26" t="n"/>
      <c r="B508" s="17">
        <f>IF($A508="","",YEAR($A508))</f>
        <v/>
      </c>
      <c r="C508" s="17">
        <f>IF($A508="","",MONTH($A508))</f>
        <v/>
      </c>
      <c r="D508" s="27" t="n"/>
      <c r="E508" s="27" t="n"/>
      <c r="F508" s="28" t="n"/>
      <c r="G508" s="14">
        <f>IF($D508="","",IFERROR(INDEX(Einstellungen!$B$4:$B$40,MATCH($D508,Einstellungen!$A$4:$A$40,0)),"?"))</f>
        <v/>
      </c>
      <c r="H508" s="27" t="n"/>
      <c r="I508" s="11">
        <f>IF($F508="","",IF($G508="Einnahme",$F508,-$F508))</f>
        <v/>
      </c>
    </row>
    <row r="509" ht="15" customHeight="1" s="52">
      <c r="A509" s="20" t="n"/>
      <c r="B509" s="21">
        <f>IF($A509="","",YEAR($A509))</f>
        <v/>
      </c>
      <c r="C509" s="21">
        <f>IF($A509="","",MONTH($A509))</f>
        <v/>
      </c>
      <c r="D509" s="22" t="n"/>
      <c r="E509" s="22" t="n"/>
      <c r="F509" s="23" t="n"/>
      <c r="G509" s="24">
        <f>IF($D509="","",IFERROR(INDEX(Einstellungen!$B$4:$B$40,MATCH($D509,Einstellungen!$A$4:$A$40,0)),"?"))</f>
        <v/>
      </c>
      <c r="H509" s="22" t="n"/>
      <c r="I509" s="25">
        <f>IF($F509="","",IF($G509="Einnahme",$F509,-$F509))</f>
        <v/>
      </c>
    </row>
    <row r="510" ht="15" customHeight="1" s="52">
      <c r="A510" s="26" t="n"/>
      <c r="B510" s="17">
        <f>IF($A510="","",YEAR($A510))</f>
        <v/>
      </c>
      <c r="C510" s="17">
        <f>IF($A510="","",MONTH($A510))</f>
        <v/>
      </c>
      <c r="D510" s="27" t="n"/>
      <c r="E510" s="27" t="n"/>
      <c r="F510" s="28" t="n"/>
      <c r="G510" s="14">
        <f>IF($D510="","",IFERROR(INDEX(Einstellungen!$B$4:$B$40,MATCH($D510,Einstellungen!$A$4:$A$40,0)),"?"))</f>
        <v/>
      </c>
      <c r="H510" s="27" t="n"/>
      <c r="I510" s="11">
        <f>IF($F510="","",IF($G510="Einnahme",$F510,-$F510))</f>
        <v/>
      </c>
    </row>
    <row r="511" ht="15" customHeight="1" s="52">
      <c r="A511" s="20" t="n"/>
      <c r="B511" s="21">
        <f>IF($A511="","",YEAR($A511))</f>
        <v/>
      </c>
      <c r="C511" s="21">
        <f>IF($A511="","",MONTH($A511))</f>
        <v/>
      </c>
      <c r="D511" s="22" t="n"/>
      <c r="E511" s="22" t="n"/>
      <c r="F511" s="23" t="n"/>
      <c r="G511" s="24">
        <f>IF($D511="","",IFERROR(INDEX(Einstellungen!$B$4:$B$40,MATCH($D511,Einstellungen!$A$4:$A$40,0)),"?"))</f>
        <v/>
      </c>
      <c r="H511" s="22" t="n"/>
      <c r="I511" s="25">
        <f>IF($F511="","",IF($G511="Einnahme",$F511,-$F511))</f>
        <v/>
      </c>
    </row>
    <row r="512" ht="15" customHeight="1" s="52">
      <c r="A512" s="26" t="n"/>
      <c r="B512" s="17">
        <f>IF($A512="","",YEAR($A512))</f>
        <v/>
      </c>
      <c r="C512" s="17">
        <f>IF($A512="","",MONTH($A512))</f>
        <v/>
      </c>
      <c r="D512" s="27" t="n"/>
      <c r="E512" s="27" t="n"/>
      <c r="F512" s="28" t="n"/>
      <c r="G512" s="14">
        <f>IF($D512="","",IFERROR(INDEX(Einstellungen!$B$4:$B$40,MATCH($D512,Einstellungen!$A$4:$A$40,0)),"?"))</f>
        <v/>
      </c>
      <c r="H512" s="27" t="n"/>
      <c r="I512" s="11">
        <f>IF($F512="","",IF($G512="Einnahme",$F512,-$F512))</f>
        <v/>
      </c>
    </row>
    <row r="513" ht="15" customHeight="1" s="52">
      <c r="A513" s="20" t="n"/>
      <c r="B513" s="21">
        <f>IF($A513="","",YEAR($A513))</f>
        <v/>
      </c>
      <c r="C513" s="21">
        <f>IF($A513="","",MONTH($A513))</f>
        <v/>
      </c>
      <c r="D513" s="22" t="n"/>
      <c r="E513" s="22" t="n"/>
      <c r="F513" s="23" t="n"/>
      <c r="G513" s="24">
        <f>IF($D513="","",IFERROR(INDEX(Einstellungen!$B$4:$B$40,MATCH($D513,Einstellungen!$A$4:$A$40,0)),"?"))</f>
        <v/>
      </c>
      <c r="H513" s="22" t="n"/>
      <c r="I513" s="25">
        <f>IF($F513="","",IF($G513="Einnahme",$F513,-$F513))</f>
        <v/>
      </c>
    </row>
    <row r="514" ht="15" customHeight="1" s="52">
      <c r="A514" s="26" t="n"/>
      <c r="B514" s="17">
        <f>IF($A514="","",YEAR($A514))</f>
        <v/>
      </c>
      <c r="C514" s="17">
        <f>IF($A514="","",MONTH($A514))</f>
        <v/>
      </c>
      <c r="D514" s="27" t="n"/>
      <c r="E514" s="27" t="n"/>
      <c r="F514" s="28" t="n"/>
      <c r="G514" s="14">
        <f>IF($D514="","",IFERROR(INDEX(Einstellungen!$B$4:$B$40,MATCH($D514,Einstellungen!$A$4:$A$40,0)),"?"))</f>
        <v/>
      </c>
      <c r="H514" s="27" t="n"/>
      <c r="I514" s="11">
        <f>IF($F514="","",IF($G514="Einnahme",$F514,-$F514))</f>
        <v/>
      </c>
    </row>
    <row r="515" ht="15" customHeight="1" s="52">
      <c r="A515" s="20" t="n"/>
      <c r="B515" s="21">
        <f>IF($A515="","",YEAR($A515))</f>
        <v/>
      </c>
      <c r="C515" s="21">
        <f>IF($A515="","",MONTH($A515))</f>
        <v/>
      </c>
      <c r="D515" s="22" t="n"/>
      <c r="E515" s="22" t="n"/>
      <c r="F515" s="23" t="n"/>
      <c r="G515" s="24">
        <f>IF($D515="","",IFERROR(INDEX(Einstellungen!$B$4:$B$40,MATCH($D515,Einstellungen!$A$4:$A$40,0)),"?"))</f>
        <v/>
      </c>
      <c r="H515" s="22" t="n"/>
      <c r="I515" s="25">
        <f>IF($F515="","",IF($G515="Einnahme",$F515,-$F515))</f>
        <v/>
      </c>
    </row>
    <row r="516" ht="15" customHeight="1" s="52">
      <c r="A516" s="26" t="n"/>
      <c r="B516" s="17">
        <f>IF($A516="","",YEAR($A516))</f>
        <v/>
      </c>
      <c r="C516" s="17">
        <f>IF($A516="","",MONTH($A516))</f>
        <v/>
      </c>
      <c r="D516" s="27" t="n"/>
      <c r="E516" s="27" t="n"/>
      <c r="F516" s="28" t="n"/>
      <c r="G516" s="14">
        <f>IF($D516="","",IFERROR(INDEX(Einstellungen!$B$4:$B$40,MATCH($D516,Einstellungen!$A$4:$A$40,0)),"?"))</f>
        <v/>
      </c>
      <c r="H516" s="27" t="n"/>
      <c r="I516" s="11">
        <f>IF($F516="","",IF($G516="Einnahme",$F516,-$F516))</f>
        <v/>
      </c>
    </row>
    <row r="517" ht="15" customHeight="1" s="52">
      <c r="A517" s="20" t="n"/>
      <c r="B517" s="21">
        <f>IF($A517="","",YEAR($A517))</f>
        <v/>
      </c>
      <c r="C517" s="21">
        <f>IF($A517="","",MONTH($A517))</f>
        <v/>
      </c>
      <c r="D517" s="22" t="n"/>
      <c r="E517" s="22" t="n"/>
      <c r="F517" s="23" t="n"/>
      <c r="G517" s="24">
        <f>IF($D517="","",IFERROR(INDEX(Einstellungen!$B$4:$B$40,MATCH($D517,Einstellungen!$A$4:$A$40,0)),"?"))</f>
        <v/>
      </c>
      <c r="H517" s="22" t="n"/>
      <c r="I517" s="25">
        <f>IF($F517="","",IF($G517="Einnahme",$F517,-$F517))</f>
        <v/>
      </c>
    </row>
    <row r="518" ht="15" customHeight="1" s="52">
      <c r="A518" s="26" t="n"/>
      <c r="B518" s="17">
        <f>IF($A518="","",YEAR($A518))</f>
        <v/>
      </c>
      <c r="C518" s="17">
        <f>IF($A518="","",MONTH($A518))</f>
        <v/>
      </c>
      <c r="D518" s="27" t="n"/>
      <c r="E518" s="27" t="n"/>
      <c r="F518" s="28" t="n"/>
      <c r="G518" s="14">
        <f>IF($D518="","",IFERROR(INDEX(Einstellungen!$B$4:$B$40,MATCH($D518,Einstellungen!$A$4:$A$40,0)),"?"))</f>
        <v/>
      </c>
      <c r="H518" s="27" t="n"/>
      <c r="I518" s="11">
        <f>IF($F518="","",IF($G518="Einnahme",$F518,-$F518))</f>
        <v/>
      </c>
    </row>
    <row r="519" ht="15" customHeight="1" s="52">
      <c r="A519" s="20" t="n"/>
      <c r="B519" s="21">
        <f>IF($A519="","",YEAR($A519))</f>
        <v/>
      </c>
      <c r="C519" s="21">
        <f>IF($A519="","",MONTH($A519))</f>
        <v/>
      </c>
      <c r="D519" s="22" t="n"/>
      <c r="E519" s="22" t="n"/>
      <c r="F519" s="23" t="n"/>
      <c r="G519" s="24">
        <f>IF($D519="","",IFERROR(INDEX(Einstellungen!$B$4:$B$40,MATCH($D519,Einstellungen!$A$4:$A$40,0)),"?"))</f>
        <v/>
      </c>
      <c r="H519" s="22" t="n"/>
      <c r="I519" s="25">
        <f>IF($F519="","",IF($G519="Einnahme",$F519,-$F519))</f>
        <v/>
      </c>
    </row>
    <row r="520" ht="15" customHeight="1" s="52">
      <c r="A520" s="26" t="n"/>
      <c r="B520" s="17">
        <f>IF($A520="","",YEAR($A520))</f>
        <v/>
      </c>
      <c r="C520" s="17">
        <f>IF($A520="","",MONTH($A520))</f>
        <v/>
      </c>
      <c r="D520" s="27" t="n"/>
      <c r="E520" s="27" t="n"/>
      <c r="F520" s="28" t="n"/>
      <c r="G520" s="14">
        <f>IF($D520="","",IFERROR(INDEX(Einstellungen!$B$4:$B$40,MATCH($D520,Einstellungen!$A$4:$A$40,0)),"?"))</f>
        <v/>
      </c>
      <c r="H520" s="27" t="n"/>
      <c r="I520" s="11">
        <f>IF($F520="","",IF($G520="Einnahme",$F520,-$F520))</f>
        <v/>
      </c>
    </row>
    <row r="521" ht="15" customHeight="1" s="52">
      <c r="A521" s="20" t="n"/>
      <c r="B521" s="21">
        <f>IF($A521="","",YEAR($A521))</f>
        <v/>
      </c>
      <c r="C521" s="21">
        <f>IF($A521="","",MONTH($A521))</f>
        <v/>
      </c>
      <c r="D521" s="22" t="n"/>
      <c r="E521" s="22" t="n"/>
      <c r="F521" s="23" t="n"/>
      <c r="G521" s="24">
        <f>IF($D521="","",IFERROR(INDEX(Einstellungen!$B$4:$B$40,MATCH($D521,Einstellungen!$A$4:$A$40,0)),"?"))</f>
        <v/>
      </c>
      <c r="H521" s="22" t="n"/>
      <c r="I521" s="25">
        <f>IF($F521="","",IF($G521="Einnahme",$F521,-$F521))</f>
        <v/>
      </c>
    </row>
    <row r="522" ht="15" customHeight="1" s="52">
      <c r="A522" s="26" t="n"/>
      <c r="B522" s="17">
        <f>IF($A522="","",YEAR($A522))</f>
        <v/>
      </c>
      <c r="C522" s="17">
        <f>IF($A522="","",MONTH($A522))</f>
        <v/>
      </c>
      <c r="D522" s="27" t="n"/>
      <c r="E522" s="27" t="n"/>
      <c r="F522" s="28" t="n"/>
      <c r="G522" s="14">
        <f>IF($D522="","",IFERROR(INDEX(Einstellungen!$B$4:$B$40,MATCH($D522,Einstellungen!$A$4:$A$40,0)),"?"))</f>
        <v/>
      </c>
      <c r="H522" s="27" t="n"/>
      <c r="I522" s="11">
        <f>IF($F522="","",IF($G522="Einnahme",$F522,-$F522))</f>
        <v/>
      </c>
    </row>
    <row r="523" ht="15" customHeight="1" s="52">
      <c r="A523" s="20" t="n"/>
      <c r="B523" s="21">
        <f>IF($A523="","",YEAR($A523))</f>
        <v/>
      </c>
      <c r="C523" s="21">
        <f>IF($A523="","",MONTH($A523))</f>
        <v/>
      </c>
      <c r="D523" s="22" t="n"/>
      <c r="E523" s="22" t="n"/>
      <c r="F523" s="23" t="n"/>
      <c r="G523" s="24">
        <f>IF($D523="","",IFERROR(INDEX(Einstellungen!$B$4:$B$40,MATCH($D523,Einstellungen!$A$4:$A$40,0)),"?"))</f>
        <v/>
      </c>
      <c r="H523" s="22" t="n"/>
      <c r="I523" s="25">
        <f>IF($F523="","",IF($G523="Einnahme",$F523,-$F523))</f>
        <v/>
      </c>
    </row>
    <row r="524" ht="15" customHeight="1" s="52">
      <c r="A524" s="26" t="n"/>
      <c r="B524" s="17">
        <f>IF($A524="","",YEAR($A524))</f>
        <v/>
      </c>
      <c r="C524" s="17">
        <f>IF($A524="","",MONTH($A524))</f>
        <v/>
      </c>
      <c r="D524" s="27" t="n"/>
      <c r="E524" s="27" t="n"/>
      <c r="F524" s="28" t="n"/>
      <c r="G524" s="14">
        <f>IF($D524="","",IFERROR(INDEX(Einstellungen!$B$4:$B$40,MATCH($D524,Einstellungen!$A$4:$A$40,0)),"?"))</f>
        <v/>
      </c>
      <c r="H524" s="27" t="n"/>
      <c r="I524" s="11">
        <f>IF($F524="","",IF($G524="Einnahme",$F524,-$F524))</f>
        <v/>
      </c>
    </row>
    <row r="525" ht="15" customHeight="1" s="52">
      <c r="A525" s="20" t="n"/>
      <c r="B525" s="21">
        <f>IF($A525="","",YEAR($A525))</f>
        <v/>
      </c>
      <c r="C525" s="21">
        <f>IF($A525="","",MONTH($A525))</f>
        <v/>
      </c>
      <c r="D525" s="22" t="n"/>
      <c r="E525" s="22" t="n"/>
      <c r="F525" s="23" t="n"/>
      <c r="G525" s="24">
        <f>IF($D525="","",IFERROR(INDEX(Einstellungen!$B$4:$B$40,MATCH($D525,Einstellungen!$A$4:$A$40,0)),"?"))</f>
        <v/>
      </c>
      <c r="H525" s="22" t="n"/>
      <c r="I525" s="25">
        <f>IF($F525="","",IF($G525="Einnahme",$F525,-$F525))</f>
        <v/>
      </c>
    </row>
    <row r="526" ht="15" customHeight="1" s="52">
      <c r="A526" s="26" t="n"/>
      <c r="B526" s="17">
        <f>IF($A526="","",YEAR($A526))</f>
        <v/>
      </c>
      <c r="C526" s="17">
        <f>IF($A526="","",MONTH($A526))</f>
        <v/>
      </c>
      <c r="D526" s="27" t="n"/>
      <c r="E526" s="27" t="n"/>
      <c r="F526" s="28" t="n"/>
      <c r="G526" s="14">
        <f>IF($D526="","",IFERROR(INDEX(Einstellungen!$B$4:$B$40,MATCH($D526,Einstellungen!$A$4:$A$40,0)),"?"))</f>
        <v/>
      </c>
      <c r="H526" s="27" t="n"/>
      <c r="I526" s="11">
        <f>IF($F526="","",IF($G526="Einnahme",$F526,-$F526))</f>
        <v/>
      </c>
    </row>
    <row r="527" ht="15" customHeight="1" s="52">
      <c r="A527" s="20" t="n"/>
      <c r="B527" s="21">
        <f>IF($A527="","",YEAR($A527))</f>
        <v/>
      </c>
      <c r="C527" s="21">
        <f>IF($A527="","",MONTH($A527))</f>
        <v/>
      </c>
      <c r="D527" s="22" t="n"/>
      <c r="E527" s="22" t="n"/>
      <c r="F527" s="23" t="n"/>
      <c r="G527" s="24">
        <f>IF($D527="","",IFERROR(INDEX(Einstellungen!$B$4:$B$40,MATCH($D527,Einstellungen!$A$4:$A$40,0)),"?"))</f>
        <v/>
      </c>
      <c r="H527" s="22" t="n"/>
      <c r="I527" s="25">
        <f>IF($F527="","",IF($G527="Einnahme",$F527,-$F527))</f>
        <v/>
      </c>
    </row>
    <row r="528" ht="15" customHeight="1" s="52">
      <c r="A528" s="26" t="n"/>
      <c r="B528" s="17">
        <f>IF($A528="","",YEAR($A528))</f>
        <v/>
      </c>
      <c r="C528" s="17">
        <f>IF($A528="","",MONTH($A528))</f>
        <v/>
      </c>
      <c r="D528" s="27" t="n"/>
      <c r="E528" s="27" t="n"/>
      <c r="F528" s="28" t="n"/>
      <c r="G528" s="14">
        <f>IF($D528="","",IFERROR(INDEX(Einstellungen!$B$4:$B$40,MATCH($D528,Einstellungen!$A$4:$A$40,0)),"?"))</f>
        <v/>
      </c>
      <c r="H528" s="27" t="n"/>
      <c r="I528" s="11">
        <f>IF($F528="","",IF($G528="Einnahme",$F528,-$F528))</f>
        <v/>
      </c>
    </row>
    <row r="529" ht="15" customHeight="1" s="52">
      <c r="A529" s="20" t="n"/>
      <c r="B529" s="21">
        <f>IF($A529="","",YEAR($A529))</f>
        <v/>
      </c>
      <c r="C529" s="21">
        <f>IF($A529="","",MONTH($A529))</f>
        <v/>
      </c>
      <c r="D529" s="22" t="n"/>
      <c r="E529" s="22" t="n"/>
      <c r="F529" s="23" t="n"/>
      <c r="G529" s="24">
        <f>IF($D529="","",IFERROR(INDEX(Einstellungen!$B$4:$B$40,MATCH($D529,Einstellungen!$A$4:$A$40,0)),"?"))</f>
        <v/>
      </c>
      <c r="H529" s="22" t="n"/>
      <c r="I529" s="25">
        <f>IF($F529="","",IF($G529="Einnahme",$F529,-$F529))</f>
        <v/>
      </c>
    </row>
    <row r="530" ht="15" customHeight="1" s="52">
      <c r="A530" s="26" t="n"/>
      <c r="B530" s="17">
        <f>IF($A530="","",YEAR($A530))</f>
        <v/>
      </c>
      <c r="C530" s="17">
        <f>IF($A530="","",MONTH($A530))</f>
        <v/>
      </c>
      <c r="D530" s="27" t="n"/>
      <c r="E530" s="27" t="n"/>
      <c r="F530" s="28" t="n"/>
      <c r="G530" s="14">
        <f>IF($D530="","",IFERROR(INDEX(Einstellungen!$B$4:$B$40,MATCH($D530,Einstellungen!$A$4:$A$40,0)),"?"))</f>
        <v/>
      </c>
      <c r="H530" s="27" t="n"/>
      <c r="I530" s="11">
        <f>IF($F530="","",IF($G530="Einnahme",$F530,-$F530))</f>
        <v/>
      </c>
    </row>
    <row r="531" ht="15" customHeight="1" s="52">
      <c r="A531" s="20" t="n"/>
      <c r="B531" s="21">
        <f>IF($A531="","",YEAR($A531))</f>
        <v/>
      </c>
      <c r="C531" s="21">
        <f>IF($A531="","",MONTH($A531))</f>
        <v/>
      </c>
      <c r="D531" s="22" t="n"/>
      <c r="E531" s="22" t="n"/>
      <c r="F531" s="23" t="n"/>
      <c r="G531" s="24">
        <f>IF($D531="","",IFERROR(INDEX(Einstellungen!$B$4:$B$40,MATCH($D531,Einstellungen!$A$4:$A$40,0)),"?"))</f>
        <v/>
      </c>
      <c r="H531" s="22" t="n"/>
      <c r="I531" s="25">
        <f>IF($F531="","",IF($G531="Einnahme",$F531,-$F531))</f>
        <v/>
      </c>
    </row>
    <row r="532" ht="15" customHeight="1" s="52">
      <c r="A532" s="26" t="n"/>
      <c r="B532" s="17">
        <f>IF($A532="","",YEAR($A532))</f>
        <v/>
      </c>
      <c r="C532" s="17">
        <f>IF($A532="","",MONTH($A532))</f>
        <v/>
      </c>
      <c r="D532" s="27" t="n"/>
      <c r="E532" s="27" t="n"/>
      <c r="F532" s="28" t="n"/>
      <c r="G532" s="14">
        <f>IF($D532="","",IFERROR(INDEX(Einstellungen!$B$4:$B$40,MATCH($D532,Einstellungen!$A$4:$A$40,0)),"?"))</f>
        <v/>
      </c>
      <c r="H532" s="27" t="n"/>
      <c r="I532" s="11">
        <f>IF($F532="","",IF($G532="Einnahme",$F532,-$F532))</f>
        <v/>
      </c>
    </row>
    <row r="533" ht="15" customHeight="1" s="52">
      <c r="A533" s="20" t="n"/>
      <c r="B533" s="21">
        <f>IF($A533="","",YEAR($A533))</f>
        <v/>
      </c>
      <c r="C533" s="21">
        <f>IF($A533="","",MONTH($A533))</f>
        <v/>
      </c>
      <c r="D533" s="22" t="n"/>
      <c r="E533" s="22" t="n"/>
      <c r="F533" s="23" t="n"/>
      <c r="G533" s="24">
        <f>IF($D533="","",IFERROR(INDEX(Einstellungen!$B$4:$B$40,MATCH($D533,Einstellungen!$A$4:$A$40,0)),"?"))</f>
        <v/>
      </c>
      <c r="H533" s="22" t="n"/>
      <c r="I533" s="25">
        <f>IF($F533="","",IF($G533="Einnahme",$F533,-$F533))</f>
        <v/>
      </c>
    </row>
    <row r="534" ht="15" customHeight="1" s="52">
      <c r="A534" s="26" t="n"/>
      <c r="B534" s="17">
        <f>IF($A534="","",YEAR($A534))</f>
        <v/>
      </c>
      <c r="C534" s="17">
        <f>IF($A534="","",MONTH($A534))</f>
        <v/>
      </c>
      <c r="D534" s="27" t="n"/>
      <c r="E534" s="27" t="n"/>
      <c r="F534" s="28" t="n"/>
      <c r="G534" s="14">
        <f>IF($D534="","",IFERROR(INDEX(Einstellungen!$B$4:$B$40,MATCH($D534,Einstellungen!$A$4:$A$40,0)),"?"))</f>
        <v/>
      </c>
      <c r="H534" s="27" t="n"/>
      <c r="I534" s="11">
        <f>IF($F534="","",IF($G534="Einnahme",$F534,-$F534))</f>
        <v/>
      </c>
    </row>
    <row r="535" ht="15" customHeight="1" s="52">
      <c r="A535" s="20" t="n"/>
      <c r="B535" s="21">
        <f>IF($A535="","",YEAR($A535))</f>
        <v/>
      </c>
      <c r="C535" s="21">
        <f>IF($A535="","",MONTH($A535))</f>
        <v/>
      </c>
      <c r="D535" s="22" t="n"/>
      <c r="E535" s="22" t="n"/>
      <c r="F535" s="23" t="n"/>
      <c r="G535" s="24">
        <f>IF($D535="","",IFERROR(INDEX(Einstellungen!$B$4:$B$40,MATCH($D535,Einstellungen!$A$4:$A$40,0)),"?"))</f>
        <v/>
      </c>
      <c r="H535" s="22" t="n"/>
      <c r="I535" s="25">
        <f>IF($F535="","",IF($G535="Einnahme",$F535,-$F535))</f>
        <v/>
      </c>
    </row>
    <row r="536" ht="15" customHeight="1" s="52">
      <c r="A536" s="26" t="n"/>
      <c r="B536" s="17">
        <f>IF($A536="","",YEAR($A536))</f>
        <v/>
      </c>
      <c r="C536" s="17">
        <f>IF($A536="","",MONTH($A536))</f>
        <v/>
      </c>
      <c r="D536" s="27" t="n"/>
      <c r="E536" s="27" t="n"/>
      <c r="F536" s="28" t="n"/>
      <c r="G536" s="14">
        <f>IF($D536="","",IFERROR(INDEX(Einstellungen!$B$4:$B$40,MATCH($D536,Einstellungen!$A$4:$A$40,0)),"?"))</f>
        <v/>
      </c>
      <c r="H536" s="27" t="n"/>
      <c r="I536" s="11">
        <f>IF($F536="","",IF($G536="Einnahme",$F536,-$F536))</f>
        <v/>
      </c>
    </row>
    <row r="537" ht="15" customHeight="1" s="52">
      <c r="A537" s="20" t="n"/>
      <c r="B537" s="21">
        <f>IF($A537="","",YEAR($A537))</f>
        <v/>
      </c>
      <c r="C537" s="21">
        <f>IF($A537="","",MONTH($A537))</f>
        <v/>
      </c>
      <c r="D537" s="22" t="n"/>
      <c r="E537" s="22" t="n"/>
      <c r="F537" s="23" t="n"/>
      <c r="G537" s="24">
        <f>IF($D537="","",IFERROR(INDEX(Einstellungen!$B$4:$B$40,MATCH($D537,Einstellungen!$A$4:$A$40,0)),"?"))</f>
        <v/>
      </c>
      <c r="H537" s="22" t="n"/>
      <c r="I537" s="25">
        <f>IF($F537="","",IF($G537="Einnahme",$F537,-$F537))</f>
        <v/>
      </c>
    </row>
    <row r="538" ht="15" customHeight="1" s="52">
      <c r="A538" s="26" t="n"/>
      <c r="B538" s="17">
        <f>IF($A538="","",YEAR($A538))</f>
        <v/>
      </c>
      <c r="C538" s="17">
        <f>IF($A538="","",MONTH($A538))</f>
        <v/>
      </c>
      <c r="D538" s="27" t="n"/>
      <c r="E538" s="27" t="n"/>
      <c r="F538" s="28" t="n"/>
      <c r="G538" s="14">
        <f>IF($D538="","",IFERROR(INDEX(Einstellungen!$B$4:$B$40,MATCH($D538,Einstellungen!$A$4:$A$40,0)),"?"))</f>
        <v/>
      </c>
      <c r="H538" s="27" t="n"/>
      <c r="I538" s="11">
        <f>IF($F538="","",IF($G538="Einnahme",$F538,-$F538))</f>
        <v/>
      </c>
    </row>
    <row r="539" ht="15" customHeight="1" s="52">
      <c r="A539" s="20" t="n"/>
      <c r="B539" s="21">
        <f>IF($A539="","",YEAR($A539))</f>
        <v/>
      </c>
      <c r="C539" s="21">
        <f>IF($A539="","",MONTH($A539))</f>
        <v/>
      </c>
      <c r="D539" s="22" t="n"/>
      <c r="E539" s="22" t="n"/>
      <c r="F539" s="23" t="n"/>
      <c r="G539" s="24">
        <f>IF($D539="","",IFERROR(INDEX(Einstellungen!$B$4:$B$40,MATCH($D539,Einstellungen!$A$4:$A$40,0)),"?"))</f>
        <v/>
      </c>
      <c r="H539" s="22" t="n"/>
      <c r="I539" s="25">
        <f>IF($F539="","",IF($G539="Einnahme",$F539,-$F539))</f>
        <v/>
      </c>
    </row>
    <row r="540" ht="15" customHeight="1" s="52">
      <c r="A540" s="26" t="n"/>
      <c r="B540" s="17">
        <f>IF($A540="","",YEAR($A540))</f>
        <v/>
      </c>
      <c r="C540" s="17">
        <f>IF($A540="","",MONTH($A540))</f>
        <v/>
      </c>
      <c r="D540" s="27" t="n"/>
      <c r="E540" s="27" t="n"/>
      <c r="F540" s="28" t="n"/>
      <c r="G540" s="14">
        <f>IF($D540="","",IFERROR(INDEX(Einstellungen!$B$4:$B$40,MATCH($D540,Einstellungen!$A$4:$A$40,0)),"?"))</f>
        <v/>
      </c>
      <c r="H540" s="27" t="n"/>
      <c r="I540" s="11">
        <f>IF($F540="","",IF($G540="Einnahme",$F540,-$F540))</f>
        <v/>
      </c>
    </row>
    <row r="541" ht="15" customHeight="1" s="52">
      <c r="A541" s="20" t="n"/>
      <c r="B541" s="21">
        <f>IF($A541="","",YEAR($A541))</f>
        <v/>
      </c>
      <c r="C541" s="21">
        <f>IF($A541="","",MONTH($A541))</f>
        <v/>
      </c>
      <c r="D541" s="22" t="n"/>
      <c r="E541" s="22" t="n"/>
      <c r="F541" s="23" t="n"/>
      <c r="G541" s="24">
        <f>IF($D541="","",IFERROR(INDEX(Einstellungen!$B$4:$B$40,MATCH($D541,Einstellungen!$A$4:$A$40,0)),"?"))</f>
        <v/>
      </c>
      <c r="H541" s="22" t="n"/>
      <c r="I541" s="25">
        <f>IF($F541="","",IF($G541="Einnahme",$F541,-$F541))</f>
        <v/>
      </c>
    </row>
    <row r="542" ht="15" customHeight="1" s="52">
      <c r="A542" s="26" t="n"/>
      <c r="B542" s="17">
        <f>IF($A542="","",YEAR($A542))</f>
        <v/>
      </c>
      <c r="C542" s="17">
        <f>IF($A542="","",MONTH($A542))</f>
        <v/>
      </c>
      <c r="D542" s="27" t="n"/>
      <c r="E542" s="27" t="n"/>
      <c r="F542" s="28" t="n"/>
      <c r="G542" s="14">
        <f>IF($D542="","",IFERROR(INDEX(Einstellungen!$B$4:$B$40,MATCH($D542,Einstellungen!$A$4:$A$40,0)),"?"))</f>
        <v/>
      </c>
      <c r="H542" s="27" t="n"/>
      <c r="I542" s="11">
        <f>IF($F542="","",IF($G542="Einnahme",$F542,-$F542))</f>
        <v/>
      </c>
    </row>
    <row r="543" ht="15" customHeight="1" s="52">
      <c r="A543" s="20" t="n"/>
      <c r="B543" s="21">
        <f>IF($A543="","",YEAR($A543))</f>
        <v/>
      </c>
      <c r="C543" s="21">
        <f>IF($A543="","",MONTH($A543))</f>
        <v/>
      </c>
      <c r="D543" s="22" t="n"/>
      <c r="E543" s="22" t="n"/>
      <c r="F543" s="23" t="n"/>
      <c r="G543" s="24">
        <f>IF($D543="","",IFERROR(INDEX(Einstellungen!$B$4:$B$40,MATCH($D543,Einstellungen!$A$4:$A$40,0)),"?"))</f>
        <v/>
      </c>
      <c r="H543" s="22" t="n"/>
      <c r="I543" s="25">
        <f>IF($F543="","",IF($G543="Einnahme",$F543,-$F543))</f>
        <v/>
      </c>
    </row>
    <row r="544" ht="15" customHeight="1" s="52">
      <c r="A544" s="26" t="n"/>
      <c r="B544" s="17">
        <f>IF($A544="","",YEAR($A544))</f>
        <v/>
      </c>
      <c r="C544" s="17">
        <f>IF($A544="","",MONTH($A544))</f>
        <v/>
      </c>
      <c r="D544" s="27" t="n"/>
      <c r="E544" s="27" t="n"/>
      <c r="F544" s="28" t="n"/>
      <c r="G544" s="14">
        <f>IF($D544="","",IFERROR(INDEX(Einstellungen!$B$4:$B$40,MATCH($D544,Einstellungen!$A$4:$A$40,0)),"?"))</f>
        <v/>
      </c>
      <c r="H544" s="27" t="n"/>
      <c r="I544" s="11">
        <f>IF($F544="","",IF($G544="Einnahme",$F544,-$F544))</f>
        <v/>
      </c>
    </row>
    <row r="545" ht="15" customHeight="1" s="52">
      <c r="A545" s="20" t="n"/>
      <c r="B545" s="21">
        <f>IF($A545="","",YEAR($A545))</f>
        <v/>
      </c>
      <c r="C545" s="21">
        <f>IF($A545="","",MONTH($A545))</f>
        <v/>
      </c>
      <c r="D545" s="22" t="n"/>
      <c r="E545" s="22" t="n"/>
      <c r="F545" s="23" t="n"/>
      <c r="G545" s="24">
        <f>IF($D545="","",IFERROR(INDEX(Einstellungen!$B$4:$B$40,MATCH($D545,Einstellungen!$A$4:$A$40,0)),"?"))</f>
        <v/>
      </c>
      <c r="H545" s="22" t="n"/>
      <c r="I545" s="25">
        <f>IF($F545="","",IF($G545="Einnahme",$F545,-$F545))</f>
        <v/>
      </c>
    </row>
    <row r="546" ht="15" customHeight="1" s="52">
      <c r="A546" s="26" t="n"/>
      <c r="B546" s="17">
        <f>IF($A546="","",YEAR($A546))</f>
        <v/>
      </c>
      <c r="C546" s="17">
        <f>IF($A546="","",MONTH($A546))</f>
        <v/>
      </c>
      <c r="D546" s="27" t="n"/>
      <c r="E546" s="27" t="n"/>
      <c r="F546" s="28" t="n"/>
      <c r="G546" s="14">
        <f>IF($D546="","",IFERROR(INDEX(Einstellungen!$B$4:$B$40,MATCH($D546,Einstellungen!$A$4:$A$40,0)),"?"))</f>
        <v/>
      </c>
      <c r="H546" s="27" t="n"/>
      <c r="I546" s="11">
        <f>IF($F546="","",IF($G546="Einnahme",$F546,-$F546))</f>
        <v/>
      </c>
    </row>
    <row r="547" ht="15" customHeight="1" s="52">
      <c r="A547" s="20" t="n"/>
      <c r="B547" s="21">
        <f>IF($A547="","",YEAR($A547))</f>
        <v/>
      </c>
      <c r="C547" s="21">
        <f>IF($A547="","",MONTH($A547))</f>
        <v/>
      </c>
      <c r="D547" s="22" t="n"/>
      <c r="E547" s="22" t="n"/>
      <c r="F547" s="23" t="n"/>
      <c r="G547" s="24">
        <f>IF($D547="","",IFERROR(INDEX(Einstellungen!$B$4:$B$40,MATCH($D547,Einstellungen!$A$4:$A$40,0)),"?"))</f>
        <v/>
      </c>
      <c r="H547" s="22" t="n"/>
      <c r="I547" s="25">
        <f>IF($F547="","",IF($G547="Einnahme",$F547,-$F547))</f>
        <v/>
      </c>
    </row>
    <row r="548" ht="15" customHeight="1" s="52">
      <c r="A548" s="26" t="n"/>
      <c r="B548" s="17">
        <f>IF($A548="","",YEAR($A548))</f>
        <v/>
      </c>
      <c r="C548" s="17">
        <f>IF($A548="","",MONTH($A548))</f>
        <v/>
      </c>
      <c r="D548" s="27" t="n"/>
      <c r="E548" s="27" t="n"/>
      <c r="F548" s="28" t="n"/>
      <c r="G548" s="14">
        <f>IF($D548="","",IFERROR(INDEX(Einstellungen!$B$4:$B$40,MATCH($D548,Einstellungen!$A$4:$A$40,0)),"?"))</f>
        <v/>
      </c>
      <c r="H548" s="27" t="n"/>
      <c r="I548" s="11">
        <f>IF($F548="","",IF($G548="Einnahme",$F548,-$F548))</f>
        <v/>
      </c>
    </row>
    <row r="549" ht="15" customHeight="1" s="52">
      <c r="A549" s="20" t="n"/>
      <c r="B549" s="21">
        <f>IF($A549="","",YEAR($A549))</f>
        <v/>
      </c>
      <c r="C549" s="21">
        <f>IF($A549="","",MONTH($A549))</f>
        <v/>
      </c>
      <c r="D549" s="22" t="n"/>
      <c r="E549" s="22" t="n"/>
      <c r="F549" s="23" t="n"/>
      <c r="G549" s="24">
        <f>IF($D549="","",IFERROR(INDEX(Einstellungen!$B$4:$B$40,MATCH($D549,Einstellungen!$A$4:$A$40,0)),"?"))</f>
        <v/>
      </c>
      <c r="H549" s="22" t="n"/>
      <c r="I549" s="25">
        <f>IF($F549="","",IF($G549="Einnahme",$F549,-$F549))</f>
        <v/>
      </c>
    </row>
    <row r="550" ht="15" customHeight="1" s="52">
      <c r="A550" s="26" t="n"/>
      <c r="B550" s="17">
        <f>IF($A550="","",YEAR($A550))</f>
        <v/>
      </c>
      <c r="C550" s="17">
        <f>IF($A550="","",MONTH($A550))</f>
        <v/>
      </c>
      <c r="D550" s="27" t="n"/>
      <c r="E550" s="27" t="n"/>
      <c r="F550" s="28" t="n"/>
      <c r="G550" s="14">
        <f>IF($D550="","",IFERROR(INDEX(Einstellungen!$B$4:$B$40,MATCH($D550,Einstellungen!$A$4:$A$40,0)),"?"))</f>
        <v/>
      </c>
      <c r="H550" s="27" t="n"/>
      <c r="I550" s="11">
        <f>IF($F550="","",IF($G550="Einnahme",$F550,-$F550))</f>
        <v/>
      </c>
    </row>
    <row r="551" ht="15" customHeight="1" s="52">
      <c r="A551" s="20" t="n"/>
      <c r="B551" s="21">
        <f>IF($A551="","",YEAR($A551))</f>
        <v/>
      </c>
      <c r="C551" s="21">
        <f>IF($A551="","",MONTH($A551))</f>
        <v/>
      </c>
      <c r="D551" s="22" t="n"/>
      <c r="E551" s="22" t="n"/>
      <c r="F551" s="23" t="n"/>
      <c r="G551" s="24">
        <f>IF($D551="","",IFERROR(INDEX(Einstellungen!$B$4:$B$40,MATCH($D551,Einstellungen!$A$4:$A$40,0)),"?"))</f>
        <v/>
      </c>
      <c r="H551" s="22" t="n"/>
      <c r="I551" s="25">
        <f>IF($F551="","",IF($G551="Einnahme",$F551,-$F551))</f>
        <v/>
      </c>
    </row>
    <row r="552" ht="15" customHeight="1" s="52">
      <c r="A552" s="26" t="n"/>
      <c r="B552" s="17">
        <f>IF($A552="","",YEAR($A552))</f>
        <v/>
      </c>
      <c r="C552" s="17">
        <f>IF($A552="","",MONTH($A552))</f>
        <v/>
      </c>
      <c r="D552" s="27" t="n"/>
      <c r="E552" s="27" t="n"/>
      <c r="F552" s="28" t="n"/>
      <c r="G552" s="14">
        <f>IF($D552="","",IFERROR(INDEX(Einstellungen!$B$4:$B$40,MATCH($D552,Einstellungen!$A$4:$A$40,0)),"?"))</f>
        <v/>
      </c>
      <c r="H552" s="27" t="n"/>
      <c r="I552" s="11">
        <f>IF($F552="","",IF($G552="Einnahme",$F552,-$F552))</f>
        <v/>
      </c>
    </row>
    <row r="553" ht="15" customHeight="1" s="52">
      <c r="A553" s="20" t="n"/>
      <c r="B553" s="21">
        <f>IF($A553="","",YEAR($A553))</f>
        <v/>
      </c>
      <c r="C553" s="21">
        <f>IF($A553="","",MONTH($A553))</f>
        <v/>
      </c>
      <c r="D553" s="22" t="n"/>
      <c r="E553" s="22" t="n"/>
      <c r="F553" s="23" t="n"/>
      <c r="G553" s="24">
        <f>IF($D553="","",IFERROR(INDEX(Einstellungen!$B$4:$B$40,MATCH($D553,Einstellungen!$A$4:$A$40,0)),"?"))</f>
        <v/>
      </c>
      <c r="H553" s="22" t="n"/>
      <c r="I553" s="25">
        <f>IF($F553="","",IF($G553="Einnahme",$F553,-$F553))</f>
        <v/>
      </c>
    </row>
    <row r="554" ht="15" customHeight="1" s="52">
      <c r="A554" s="26" t="n"/>
      <c r="B554" s="17">
        <f>IF($A554="","",YEAR($A554))</f>
        <v/>
      </c>
      <c r="C554" s="17">
        <f>IF($A554="","",MONTH($A554))</f>
        <v/>
      </c>
      <c r="D554" s="27" t="n"/>
      <c r="E554" s="27" t="n"/>
      <c r="F554" s="28" t="n"/>
      <c r="G554" s="14">
        <f>IF($D554="","",IFERROR(INDEX(Einstellungen!$B$4:$B$40,MATCH($D554,Einstellungen!$A$4:$A$40,0)),"?"))</f>
        <v/>
      </c>
      <c r="H554" s="27" t="n"/>
      <c r="I554" s="11">
        <f>IF($F554="","",IF($G554="Einnahme",$F554,-$F554))</f>
        <v/>
      </c>
    </row>
    <row r="555" ht="15" customHeight="1" s="52">
      <c r="A555" s="20" t="n"/>
      <c r="B555" s="21">
        <f>IF($A555="","",YEAR($A555))</f>
        <v/>
      </c>
      <c r="C555" s="21">
        <f>IF($A555="","",MONTH($A555))</f>
        <v/>
      </c>
      <c r="D555" s="22" t="n"/>
      <c r="E555" s="22" t="n"/>
      <c r="F555" s="23" t="n"/>
      <c r="G555" s="24">
        <f>IF($D555="","",IFERROR(INDEX(Einstellungen!$B$4:$B$40,MATCH($D555,Einstellungen!$A$4:$A$40,0)),"?"))</f>
        <v/>
      </c>
      <c r="H555" s="22" t="n"/>
      <c r="I555" s="25">
        <f>IF($F555="","",IF($G555="Einnahme",$F555,-$F555))</f>
        <v/>
      </c>
    </row>
    <row r="556" ht="15" customHeight="1" s="52">
      <c r="A556" s="26" t="n"/>
      <c r="B556" s="17">
        <f>IF($A556="","",YEAR($A556))</f>
        <v/>
      </c>
      <c r="C556" s="17">
        <f>IF($A556="","",MONTH($A556))</f>
        <v/>
      </c>
      <c r="D556" s="27" t="n"/>
      <c r="E556" s="27" t="n"/>
      <c r="F556" s="28" t="n"/>
      <c r="G556" s="14">
        <f>IF($D556="","",IFERROR(INDEX(Einstellungen!$B$4:$B$40,MATCH($D556,Einstellungen!$A$4:$A$40,0)),"?"))</f>
        <v/>
      </c>
      <c r="H556" s="27" t="n"/>
      <c r="I556" s="11">
        <f>IF($F556="","",IF($G556="Einnahme",$F556,-$F556))</f>
        <v/>
      </c>
    </row>
    <row r="557" ht="15" customHeight="1" s="52">
      <c r="A557" s="20" t="n"/>
      <c r="B557" s="21">
        <f>IF($A557="","",YEAR($A557))</f>
        <v/>
      </c>
      <c r="C557" s="21">
        <f>IF($A557="","",MONTH($A557))</f>
        <v/>
      </c>
      <c r="D557" s="22" t="n"/>
      <c r="E557" s="22" t="n"/>
      <c r="F557" s="23" t="n"/>
      <c r="G557" s="24">
        <f>IF($D557="","",IFERROR(INDEX(Einstellungen!$B$4:$B$40,MATCH($D557,Einstellungen!$A$4:$A$40,0)),"?"))</f>
        <v/>
      </c>
      <c r="H557" s="22" t="n"/>
      <c r="I557" s="25">
        <f>IF($F557="","",IF($G557="Einnahme",$F557,-$F557))</f>
        <v/>
      </c>
    </row>
    <row r="558" ht="15" customHeight="1" s="52">
      <c r="A558" s="26" t="n"/>
      <c r="B558" s="17">
        <f>IF($A558="","",YEAR($A558))</f>
        <v/>
      </c>
      <c r="C558" s="17">
        <f>IF($A558="","",MONTH($A558))</f>
        <v/>
      </c>
      <c r="D558" s="27" t="n"/>
      <c r="E558" s="27" t="n"/>
      <c r="F558" s="28" t="n"/>
      <c r="G558" s="14">
        <f>IF($D558="","",IFERROR(INDEX(Einstellungen!$B$4:$B$40,MATCH($D558,Einstellungen!$A$4:$A$40,0)),"?"))</f>
        <v/>
      </c>
      <c r="H558" s="27" t="n"/>
      <c r="I558" s="11">
        <f>IF($F558="","",IF($G558="Einnahme",$F558,-$F558))</f>
        <v/>
      </c>
    </row>
    <row r="559" ht="15" customHeight="1" s="52">
      <c r="A559" s="20" t="n"/>
      <c r="B559" s="21">
        <f>IF($A559="","",YEAR($A559))</f>
        <v/>
      </c>
      <c r="C559" s="21">
        <f>IF($A559="","",MONTH($A559))</f>
        <v/>
      </c>
      <c r="D559" s="22" t="n"/>
      <c r="E559" s="22" t="n"/>
      <c r="F559" s="23" t="n"/>
      <c r="G559" s="24">
        <f>IF($D559="","",IFERROR(INDEX(Einstellungen!$B$4:$B$40,MATCH($D559,Einstellungen!$A$4:$A$40,0)),"?"))</f>
        <v/>
      </c>
      <c r="H559" s="22" t="n"/>
      <c r="I559" s="25">
        <f>IF($F559="","",IF($G559="Einnahme",$F559,-$F559))</f>
        <v/>
      </c>
    </row>
    <row r="560" ht="15" customHeight="1" s="52">
      <c r="A560" s="26" t="n"/>
      <c r="B560" s="17">
        <f>IF($A560="","",YEAR($A560))</f>
        <v/>
      </c>
      <c r="C560" s="17">
        <f>IF($A560="","",MONTH($A560))</f>
        <v/>
      </c>
      <c r="D560" s="27" t="n"/>
      <c r="E560" s="27" t="n"/>
      <c r="F560" s="28" t="n"/>
      <c r="G560" s="14">
        <f>IF($D560="","",IFERROR(INDEX(Einstellungen!$B$4:$B$40,MATCH($D560,Einstellungen!$A$4:$A$40,0)),"?"))</f>
        <v/>
      </c>
      <c r="H560" s="27" t="n"/>
      <c r="I560" s="11">
        <f>IF($F560="","",IF($G560="Einnahme",$F560,-$F560))</f>
        <v/>
      </c>
    </row>
    <row r="561" ht="15" customHeight="1" s="52">
      <c r="A561" s="20" t="n"/>
      <c r="B561" s="21">
        <f>IF($A561="","",YEAR($A561))</f>
        <v/>
      </c>
      <c r="C561" s="21">
        <f>IF($A561="","",MONTH($A561))</f>
        <v/>
      </c>
      <c r="D561" s="22" t="n"/>
      <c r="E561" s="22" t="n"/>
      <c r="F561" s="23" t="n"/>
      <c r="G561" s="24">
        <f>IF($D561="","",IFERROR(INDEX(Einstellungen!$B$4:$B$40,MATCH($D561,Einstellungen!$A$4:$A$40,0)),"?"))</f>
        <v/>
      </c>
      <c r="H561" s="22" t="n"/>
      <c r="I561" s="25">
        <f>IF($F561="","",IF($G561="Einnahme",$F561,-$F561))</f>
        <v/>
      </c>
    </row>
    <row r="562" ht="15" customHeight="1" s="52">
      <c r="A562" s="26" t="n"/>
      <c r="B562" s="17">
        <f>IF($A562="","",YEAR($A562))</f>
        <v/>
      </c>
      <c r="C562" s="17">
        <f>IF($A562="","",MONTH($A562))</f>
        <v/>
      </c>
      <c r="D562" s="27" t="n"/>
      <c r="E562" s="27" t="n"/>
      <c r="F562" s="28" t="n"/>
      <c r="G562" s="14">
        <f>IF($D562="","",IFERROR(INDEX(Einstellungen!$B$4:$B$40,MATCH($D562,Einstellungen!$A$4:$A$40,0)),"?"))</f>
        <v/>
      </c>
      <c r="H562" s="27" t="n"/>
      <c r="I562" s="11">
        <f>IF($F562="","",IF($G562="Einnahme",$F562,-$F562))</f>
        <v/>
      </c>
    </row>
    <row r="563" ht="15" customHeight="1" s="52">
      <c r="A563" s="20" t="n"/>
      <c r="B563" s="21">
        <f>IF($A563="","",YEAR($A563))</f>
        <v/>
      </c>
      <c r="C563" s="21">
        <f>IF($A563="","",MONTH($A563))</f>
        <v/>
      </c>
      <c r="D563" s="22" t="n"/>
      <c r="E563" s="22" t="n"/>
      <c r="F563" s="23" t="n"/>
      <c r="G563" s="24">
        <f>IF($D563="","",IFERROR(INDEX(Einstellungen!$B$4:$B$40,MATCH($D563,Einstellungen!$A$4:$A$40,0)),"?"))</f>
        <v/>
      </c>
      <c r="H563" s="22" t="n"/>
      <c r="I563" s="25">
        <f>IF($F563="","",IF($G563="Einnahme",$F563,-$F563))</f>
        <v/>
      </c>
    </row>
    <row r="564" ht="15" customHeight="1" s="52">
      <c r="A564" s="26" t="n"/>
      <c r="B564" s="17">
        <f>IF($A564="","",YEAR($A564))</f>
        <v/>
      </c>
      <c r="C564" s="17">
        <f>IF($A564="","",MONTH($A564))</f>
        <v/>
      </c>
      <c r="D564" s="27" t="n"/>
      <c r="E564" s="27" t="n"/>
      <c r="F564" s="28" t="n"/>
      <c r="G564" s="14">
        <f>IF($D564="","",IFERROR(INDEX(Einstellungen!$B$4:$B$40,MATCH($D564,Einstellungen!$A$4:$A$40,0)),"?"))</f>
        <v/>
      </c>
      <c r="H564" s="27" t="n"/>
      <c r="I564" s="11">
        <f>IF($F564="","",IF($G564="Einnahme",$F564,-$F564))</f>
        <v/>
      </c>
    </row>
    <row r="565" ht="15" customHeight="1" s="52">
      <c r="A565" s="20" t="n"/>
      <c r="B565" s="21">
        <f>IF($A565="","",YEAR($A565))</f>
        <v/>
      </c>
      <c r="C565" s="21">
        <f>IF($A565="","",MONTH($A565))</f>
        <v/>
      </c>
      <c r="D565" s="22" t="n"/>
      <c r="E565" s="22" t="n"/>
      <c r="F565" s="23" t="n"/>
      <c r="G565" s="24">
        <f>IF($D565="","",IFERROR(INDEX(Einstellungen!$B$4:$B$40,MATCH($D565,Einstellungen!$A$4:$A$40,0)),"?"))</f>
        <v/>
      </c>
      <c r="H565" s="22" t="n"/>
      <c r="I565" s="25">
        <f>IF($F565="","",IF($G565="Einnahme",$F565,-$F565))</f>
        <v/>
      </c>
    </row>
    <row r="566" ht="15" customHeight="1" s="52">
      <c r="A566" s="26" t="n"/>
      <c r="B566" s="17">
        <f>IF($A566="","",YEAR($A566))</f>
        <v/>
      </c>
      <c r="C566" s="17">
        <f>IF($A566="","",MONTH($A566))</f>
        <v/>
      </c>
      <c r="D566" s="27" t="n"/>
      <c r="E566" s="27" t="n"/>
      <c r="F566" s="28" t="n"/>
      <c r="G566" s="14">
        <f>IF($D566="","",IFERROR(INDEX(Einstellungen!$B$4:$B$40,MATCH($D566,Einstellungen!$A$4:$A$40,0)),"?"))</f>
        <v/>
      </c>
      <c r="H566" s="27" t="n"/>
      <c r="I566" s="11">
        <f>IF($F566="","",IF($G566="Einnahme",$F566,-$F566))</f>
        <v/>
      </c>
    </row>
    <row r="567" ht="15" customHeight="1" s="52">
      <c r="A567" s="20" t="n"/>
      <c r="B567" s="21">
        <f>IF($A567="","",YEAR($A567))</f>
        <v/>
      </c>
      <c r="C567" s="21">
        <f>IF($A567="","",MONTH($A567))</f>
        <v/>
      </c>
      <c r="D567" s="22" t="n"/>
      <c r="E567" s="22" t="n"/>
      <c r="F567" s="23" t="n"/>
      <c r="G567" s="24">
        <f>IF($D567="","",IFERROR(INDEX(Einstellungen!$B$4:$B$40,MATCH($D567,Einstellungen!$A$4:$A$40,0)),"?"))</f>
        <v/>
      </c>
      <c r="H567" s="22" t="n"/>
      <c r="I567" s="25">
        <f>IF($F567="","",IF($G567="Einnahme",$F567,-$F567))</f>
        <v/>
      </c>
    </row>
    <row r="568" ht="15" customHeight="1" s="52">
      <c r="A568" s="26" t="n"/>
      <c r="B568" s="17">
        <f>IF($A568="","",YEAR($A568))</f>
        <v/>
      </c>
      <c r="C568" s="17">
        <f>IF($A568="","",MONTH($A568))</f>
        <v/>
      </c>
      <c r="D568" s="27" t="n"/>
      <c r="E568" s="27" t="n"/>
      <c r="F568" s="28" t="n"/>
      <c r="G568" s="14">
        <f>IF($D568="","",IFERROR(INDEX(Einstellungen!$B$4:$B$40,MATCH($D568,Einstellungen!$A$4:$A$40,0)),"?"))</f>
        <v/>
      </c>
      <c r="H568" s="27" t="n"/>
      <c r="I568" s="11">
        <f>IF($F568="","",IF($G568="Einnahme",$F568,-$F568))</f>
        <v/>
      </c>
    </row>
    <row r="569" ht="15" customHeight="1" s="52">
      <c r="A569" s="20" t="n"/>
      <c r="B569" s="21">
        <f>IF($A569="","",YEAR($A569))</f>
        <v/>
      </c>
      <c r="C569" s="21">
        <f>IF($A569="","",MONTH($A569))</f>
        <v/>
      </c>
      <c r="D569" s="22" t="n"/>
      <c r="E569" s="22" t="n"/>
      <c r="F569" s="23" t="n"/>
      <c r="G569" s="24">
        <f>IF($D569="","",IFERROR(INDEX(Einstellungen!$B$4:$B$40,MATCH($D569,Einstellungen!$A$4:$A$40,0)),"?"))</f>
        <v/>
      </c>
      <c r="H569" s="22" t="n"/>
      <c r="I569" s="25">
        <f>IF($F569="","",IF($G569="Einnahme",$F569,-$F569))</f>
        <v/>
      </c>
    </row>
    <row r="570" ht="15" customHeight="1" s="52">
      <c r="A570" s="26" t="n"/>
      <c r="B570" s="17">
        <f>IF($A570="","",YEAR($A570))</f>
        <v/>
      </c>
      <c r="C570" s="17">
        <f>IF($A570="","",MONTH($A570))</f>
        <v/>
      </c>
      <c r="D570" s="27" t="n"/>
      <c r="E570" s="27" t="n"/>
      <c r="F570" s="28" t="n"/>
      <c r="G570" s="14">
        <f>IF($D570="","",IFERROR(INDEX(Einstellungen!$B$4:$B$40,MATCH($D570,Einstellungen!$A$4:$A$40,0)),"?"))</f>
        <v/>
      </c>
      <c r="H570" s="27" t="n"/>
      <c r="I570" s="11">
        <f>IF($F570="","",IF($G570="Einnahme",$F570,-$F570))</f>
        <v/>
      </c>
    </row>
    <row r="571" ht="15" customHeight="1" s="52">
      <c r="A571" s="20" t="n"/>
      <c r="B571" s="21">
        <f>IF($A571="","",YEAR($A571))</f>
        <v/>
      </c>
      <c r="C571" s="21">
        <f>IF($A571="","",MONTH($A571))</f>
        <v/>
      </c>
      <c r="D571" s="22" t="n"/>
      <c r="E571" s="22" t="n"/>
      <c r="F571" s="23" t="n"/>
      <c r="G571" s="24">
        <f>IF($D571="","",IFERROR(INDEX(Einstellungen!$B$4:$B$40,MATCH($D571,Einstellungen!$A$4:$A$40,0)),"?"))</f>
        <v/>
      </c>
      <c r="H571" s="22" t="n"/>
      <c r="I571" s="25">
        <f>IF($F571="","",IF($G571="Einnahme",$F571,-$F571))</f>
        <v/>
      </c>
    </row>
    <row r="572" ht="15" customHeight="1" s="52">
      <c r="A572" s="26" t="n"/>
      <c r="B572" s="17">
        <f>IF($A572="","",YEAR($A572))</f>
        <v/>
      </c>
      <c r="C572" s="17">
        <f>IF($A572="","",MONTH($A572))</f>
        <v/>
      </c>
      <c r="D572" s="27" t="n"/>
      <c r="E572" s="27" t="n"/>
      <c r="F572" s="28" t="n"/>
      <c r="G572" s="14">
        <f>IF($D572="","",IFERROR(INDEX(Einstellungen!$B$4:$B$40,MATCH($D572,Einstellungen!$A$4:$A$40,0)),"?"))</f>
        <v/>
      </c>
      <c r="H572" s="27" t="n"/>
      <c r="I572" s="11">
        <f>IF($F572="","",IF($G572="Einnahme",$F572,-$F572))</f>
        <v/>
      </c>
    </row>
    <row r="573" ht="15" customHeight="1" s="52">
      <c r="A573" s="20" t="n"/>
      <c r="B573" s="21">
        <f>IF($A573="","",YEAR($A573))</f>
        <v/>
      </c>
      <c r="C573" s="21">
        <f>IF($A573="","",MONTH($A573))</f>
        <v/>
      </c>
      <c r="D573" s="22" t="n"/>
      <c r="E573" s="22" t="n"/>
      <c r="F573" s="23" t="n"/>
      <c r="G573" s="24">
        <f>IF($D573="","",IFERROR(INDEX(Einstellungen!$B$4:$B$40,MATCH($D573,Einstellungen!$A$4:$A$40,0)),"?"))</f>
        <v/>
      </c>
      <c r="H573" s="22" t="n"/>
      <c r="I573" s="25">
        <f>IF($F573="","",IF($G573="Einnahme",$F573,-$F573))</f>
        <v/>
      </c>
    </row>
    <row r="574" ht="15" customHeight="1" s="52">
      <c r="A574" s="26" t="n"/>
      <c r="B574" s="17">
        <f>IF($A574="","",YEAR($A574))</f>
        <v/>
      </c>
      <c r="C574" s="17">
        <f>IF($A574="","",MONTH($A574))</f>
        <v/>
      </c>
      <c r="D574" s="27" t="n"/>
      <c r="E574" s="27" t="n"/>
      <c r="F574" s="28" t="n"/>
      <c r="G574" s="14">
        <f>IF($D574="","",IFERROR(INDEX(Einstellungen!$B$4:$B$40,MATCH($D574,Einstellungen!$A$4:$A$40,0)),"?"))</f>
        <v/>
      </c>
      <c r="H574" s="27" t="n"/>
      <c r="I574" s="11">
        <f>IF($F574="","",IF($G574="Einnahme",$F574,-$F574))</f>
        <v/>
      </c>
    </row>
    <row r="575" ht="15" customHeight="1" s="52">
      <c r="A575" s="20" t="n"/>
      <c r="B575" s="21">
        <f>IF($A575="","",YEAR($A575))</f>
        <v/>
      </c>
      <c r="C575" s="21">
        <f>IF($A575="","",MONTH($A575))</f>
        <v/>
      </c>
      <c r="D575" s="22" t="n"/>
      <c r="E575" s="22" t="n"/>
      <c r="F575" s="23" t="n"/>
      <c r="G575" s="24">
        <f>IF($D575="","",IFERROR(INDEX(Einstellungen!$B$4:$B$40,MATCH($D575,Einstellungen!$A$4:$A$40,0)),"?"))</f>
        <v/>
      </c>
      <c r="H575" s="22" t="n"/>
      <c r="I575" s="25">
        <f>IF($F575="","",IF($G575="Einnahme",$F575,-$F575))</f>
        <v/>
      </c>
    </row>
    <row r="576" ht="15" customHeight="1" s="52">
      <c r="A576" s="26" t="n"/>
      <c r="B576" s="17">
        <f>IF($A576="","",YEAR($A576))</f>
        <v/>
      </c>
      <c r="C576" s="17">
        <f>IF($A576="","",MONTH($A576))</f>
        <v/>
      </c>
      <c r="D576" s="27" t="n"/>
      <c r="E576" s="27" t="n"/>
      <c r="F576" s="28" t="n"/>
      <c r="G576" s="14">
        <f>IF($D576="","",IFERROR(INDEX(Einstellungen!$B$4:$B$40,MATCH($D576,Einstellungen!$A$4:$A$40,0)),"?"))</f>
        <v/>
      </c>
      <c r="H576" s="27" t="n"/>
      <c r="I576" s="11">
        <f>IF($F576="","",IF($G576="Einnahme",$F576,-$F576))</f>
        <v/>
      </c>
    </row>
    <row r="577" ht="15" customHeight="1" s="52">
      <c r="A577" s="20" t="n"/>
      <c r="B577" s="21">
        <f>IF($A577="","",YEAR($A577))</f>
        <v/>
      </c>
      <c r="C577" s="21">
        <f>IF($A577="","",MONTH($A577))</f>
        <v/>
      </c>
      <c r="D577" s="22" t="n"/>
      <c r="E577" s="22" t="n"/>
      <c r="F577" s="23" t="n"/>
      <c r="G577" s="24">
        <f>IF($D577="","",IFERROR(INDEX(Einstellungen!$B$4:$B$40,MATCH($D577,Einstellungen!$A$4:$A$40,0)),"?"))</f>
        <v/>
      </c>
      <c r="H577" s="22" t="n"/>
      <c r="I577" s="25">
        <f>IF($F577="","",IF($G577="Einnahme",$F577,-$F577))</f>
        <v/>
      </c>
    </row>
    <row r="578" ht="15" customHeight="1" s="52">
      <c r="A578" s="26" t="n"/>
      <c r="B578" s="17">
        <f>IF($A578="","",YEAR($A578))</f>
        <v/>
      </c>
      <c r="C578" s="17">
        <f>IF($A578="","",MONTH($A578))</f>
        <v/>
      </c>
      <c r="D578" s="27" t="n"/>
      <c r="E578" s="27" t="n"/>
      <c r="F578" s="28" t="n"/>
      <c r="G578" s="14">
        <f>IF($D578="","",IFERROR(INDEX(Einstellungen!$B$4:$B$40,MATCH($D578,Einstellungen!$A$4:$A$40,0)),"?"))</f>
        <v/>
      </c>
      <c r="H578" s="27" t="n"/>
      <c r="I578" s="11">
        <f>IF($F578="","",IF($G578="Einnahme",$F578,-$F578))</f>
        <v/>
      </c>
    </row>
    <row r="579" ht="15" customHeight="1" s="52">
      <c r="A579" s="20" t="n"/>
      <c r="B579" s="21">
        <f>IF($A579="","",YEAR($A579))</f>
        <v/>
      </c>
      <c r="C579" s="21">
        <f>IF($A579="","",MONTH($A579))</f>
        <v/>
      </c>
      <c r="D579" s="22" t="n"/>
      <c r="E579" s="22" t="n"/>
      <c r="F579" s="23" t="n"/>
      <c r="G579" s="24">
        <f>IF($D579="","",IFERROR(INDEX(Einstellungen!$B$4:$B$40,MATCH($D579,Einstellungen!$A$4:$A$40,0)),"?"))</f>
        <v/>
      </c>
      <c r="H579" s="22" t="n"/>
      <c r="I579" s="25">
        <f>IF($F579="","",IF($G579="Einnahme",$F579,-$F579))</f>
        <v/>
      </c>
    </row>
    <row r="580" ht="15" customHeight="1" s="52">
      <c r="A580" s="26" t="n"/>
      <c r="B580" s="17">
        <f>IF($A580="","",YEAR($A580))</f>
        <v/>
      </c>
      <c r="C580" s="17">
        <f>IF($A580="","",MONTH($A580))</f>
        <v/>
      </c>
      <c r="D580" s="27" t="n"/>
      <c r="E580" s="27" t="n"/>
      <c r="F580" s="28" t="n"/>
      <c r="G580" s="14">
        <f>IF($D580="","",IFERROR(INDEX(Einstellungen!$B$4:$B$40,MATCH($D580,Einstellungen!$A$4:$A$40,0)),"?"))</f>
        <v/>
      </c>
      <c r="H580" s="27" t="n"/>
      <c r="I580" s="11">
        <f>IF($F580="","",IF($G580="Einnahme",$F580,-$F580))</f>
        <v/>
      </c>
    </row>
    <row r="581" ht="15" customHeight="1" s="52">
      <c r="A581" s="20" t="n"/>
      <c r="B581" s="21">
        <f>IF($A581="","",YEAR($A581))</f>
        <v/>
      </c>
      <c r="C581" s="21">
        <f>IF($A581="","",MONTH($A581))</f>
        <v/>
      </c>
      <c r="D581" s="22" t="n"/>
      <c r="E581" s="22" t="n"/>
      <c r="F581" s="23" t="n"/>
      <c r="G581" s="24">
        <f>IF($D581="","",IFERROR(INDEX(Einstellungen!$B$4:$B$40,MATCH($D581,Einstellungen!$A$4:$A$40,0)),"?"))</f>
        <v/>
      </c>
      <c r="H581" s="22" t="n"/>
      <c r="I581" s="25">
        <f>IF($F581="","",IF($G581="Einnahme",$F581,-$F581))</f>
        <v/>
      </c>
    </row>
    <row r="582" ht="15" customHeight="1" s="52">
      <c r="A582" s="26" t="n"/>
      <c r="B582" s="17">
        <f>IF($A582="","",YEAR($A582))</f>
        <v/>
      </c>
      <c r="C582" s="17">
        <f>IF($A582="","",MONTH($A582))</f>
        <v/>
      </c>
      <c r="D582" s="27" t="n"/>
      <c r="E582" s="27" t="n"/>
      <c r="F582" s="28" t="n"/>
      <c r="G582" s="14">
        <f>IF($D582="","",IFERROR(INDEX(Einstellungen!$B$4:$B$40,MATCH($D582,Einstellungen!$A$4:$A$40,0)),"?"))</f>
        <v/>
      </c>
      <c r="H582" s="27" t="n"/>
      <c r="I582" s="11">
        <f>IF($F582="","",IF($G582="Einnahme",$F582,-$F582))</f>
        <v/>
      </c>
    </row>
    <row r="583" ht="15" customHeight="1" s="52">
      <c r="A583" s="20" t="n"/>
      <c r="B583" s="21">
        <f>IF($A583="","",YEAR($A583))</f>
        <v/>
      </c>
      <c r="C583" s="21">
        <f>IF($A583="","",MONTH($A583))</f>
        <v/>
      </c>
      <c r="D583" s="22" t="n"/>
      <c r="E583" s="22" t="n"/>
      <c r="F583" s="23" t="n"/>
      <c r="G583" s="24">
        <f>IF($D583="","",IFERROR(INDEX(Einstellungen!$B$4:$B$40,MATCH($D583,Einstellungen!$A$4:$A$40,0)),"?"))</f>
        <v/>
      </c>
      <c r="H583" s="22" t="n"/>
      <c r="I583" s="25">
        <f>IF($F583="","",IF($G583="Einnahme",$F583,-$F583))</f>
        <v/>
      </c>
    </row>
    <row r="584" ht="15" customHeight="1" s="52">
      <c r="A584" s="26" t="n"/>
      <c r="B584" s="17">
        <f>IF($A584="","",YEAR($A584))</f>
        <v/>
      </c>
      <c r="C584" s="17">
        <f>IF($A584="","",MONTH($A584))</f>
        <v/>
      </c>
      <c r="D584" s="27" t="n"/>
      <c r="E584" s="27" t="n"/>
      <c r="F584" s="28" t="n"/>
      <c r="G584" s="14">
        <f>IF($D584="","",IFERROR(INDEX(Einstellungen!$B$4:$B$40,MATCH($D584,Einstellungen!$A$4:$A$40,0)),"?"))</f>
        <v/>
      </c>
      <c r="H584" s="27" t="n"/>
      <c r="I584" s="11">
        <f>IF($F584="","",IF($G584="Einnahme",$F584,-$F584))</f>
        <v/>
      </c>
    </row>
    <row r="585" ht="15" customHeight="1" s="52">
      <c r="A585" s="20" t="n"/>
      <c r="B585" s="21">
        <f>IF($A585="","",YEAR($A585))</f>
        <v/>
      </c>
      <c r="C585" s="21">
        <f>IF($A585="","",MONTH($A585))</f>
        <v/>
      </c>
      <c r="D585" s="22" t="n"/>
      <c r="E585" s="22" t="n"/>
      <c r="F585" s="23" t="n"/>
      <c r="G585" s="24">
        <f>IF($D585="","",IFERROR(INDEX(Einstellungen!$B$4:$B$40,MATCH($D585,Einstellungen!$A$4:$A$40,0)),"?"))</f>
        <v/>
      </c>
      <c r="H585" s="22" t="n"/>
      <c r="I585" s="25">
        <f>IF($F585="","",IF($G585="Einnahme",$F585,-$F585))</f>
        <v/>
      </c>
    </row>
    <row r="586" ht="15" customHeight="1" s="52">
      <c r="A586" s="26" t="n"/>
      <c r="B586" s="17">
        <f>IF($A586="","",YEAR($A586))</f>
        <v/>
      </c>
      <c r="C586" s="17">
        <f>IF($A586="","",MONTH($A586))</f>
        <v/>
      </c>
      <c r="D586" s="27" t="n"/>
      <c r="E586" s="27" t="n"/>
      <c r="F586" s="28" t="n"/>
      <c r="G586" s="14">
        <f>IF($D586="","",IFERROR(INDEX(Einstellungen!$B$4:$B$40,MATCH($D586,Einstellungen!$A$4:$A$40,0)),"?"))</f>
        <v/>
      </c>
      <c r="H586" s="27" t="n"/>
      <c r="I586" s="11">
        <f>IF($F586="","",IF($G586="Einnahme",$F586,-$F586))</f>
        <v/>
      </c>
    </row>
    <row r="587" ht="15" customHeight="1" s="52">
      <c r="A587" s="20" t="n"/>
      <c r="B587" s="21">
        <f>IF($A587="","",YEAR($A587))</f>
        <v/>
      </c>
      <c r="C587" s="21">
        <f>IF($A587="","",MONTH($A587))</f>
        <v/>
      </c>
      <c r="D587" s="22" t="n"/>
      <c r="E587" s="22" t="n"/>
      <c r="F587" s="23" t="n"/>
      <c r="G587" s="24">
        <f>IF($D587="","",IFERROR(INDEX(Einstellungen!$B$4:$B$40,MATCH($D587,Einstellungen!$A$4:$A$40,0)),"?"))</f>
        <v/>
      </c>
      <c r="H587" s="22" t="n"/>
      <c r="I587" s="25">
        <f>IF($F587="","",IF($G587="Einnahme",$F587,-$F587))</f>
        <v/>
      </c>
    </row>
    <row r="588" ht="15" customHeight="1" s="52">
      <c r="A588" s="26" t="n"/>
      <c r="B588" s="17">
        <f>IF($A588="","",YEAR($A588))</f>
        <v/>
      </c>
      <c r="C588" s="17">
        <f>IF($A588="","",MONTH($A588))</f>
        <v/>
      </c>
      <c r="D588" s="27" t="n"/>
      <c r="E588" s="27" t="n"/>
      <c r="F588" s="28" t="n"/>
      <c r="G588" s="14">
        <f>IF($D588="","",IFERROR(INDEX(Einstellungen!$B$4:$B$40,MATCH($D588,Einstellungen!$A$4:$A$40,0)),"?"))</f>
        <v/>
      </c>
      <c r="H588" s="27" t="n"/>
      <c r="I588" s="11">
        <f>IF($F588="","",IF($G588="Einnahme",$F588,-$F588))</f>
        <v/>
      </c>
    </row>
    <row r="589" ht="15" customHeight="1" s="52">
      <c r="A589" s="20" t="n"/>
      <c r="B589" s="21">
        <f>IF($A589="","",YEAR($A589))</f>
        <v/>
      </c>
      <c r="C589" s="21">
        <f>IF($A589="","",MONTH($A589))</f>
        <v/>
      </c>
      <c r="D589" s="22" t="n"/>
      <c r="E589" s="22" t="n"/>
      <c r="F589" s="23" t="n"/>
      <c r="G589" s="24">
        <f>IF($D589="","",IFERROR(INDEX(Einstellungen!$B$4:$B$40,MATCH($D589,Einstellungen!$A$4:$A$40,0)),"?"))</f>
        <v/>
      </c>
      <c r="H589" s="22" t="n"/>
      <c r="I589" s="25">
        <f>IF($F589="","",IF($G589="Einnahme",$F589,-$F589))</f>
        <v/>
      </c>
    </row>
    <row r="590" ht="15" customHeight="1" s="52">
      <c r="A590" s="26" t="n"/>
      <c r="B590" s="17">
        <f>IF($A590="","",YEAR($A590))</f>
        <v/>
      </c>
      <c r="C590" s="17">
        <f>IF($A590="","",MONTH($A590))</f>
        <v/>
      </c>
      <c r="D590" s="27" t="n"/>
      <c r="E590" s="27" t="n"/>
      <c r="F590" s="28" t="n"/>
      <c r="G590" s="14">
        <f>IF($D590="","",IFERROR(INDEX(Einstellungen!$B$4:$B$40,MATCH($D590,Einstellungen!$A$4:$A$40,0)),"?"))</f>
        <v/>
      </c>
      <c r="H590" s="27" t="n"/>
      <c r="I590" s="11">
        <f>IF($F590="","",IF($G590="Einnahme",$F590,-$F590))</f>
        <v/>
      </c>
    </row>
    <row r="591" ht="15" customHeight="1" s="52">
      <c r="A591" s="20" t="n"/>
      <c r="B591" s="21">
        <f>IF($A591="","",YEAR($A591))</f>
        <v/>
      </c>
      <c r="C591" s="21">
        <f>IF($A591="","",MONTH($A591))</f>
        <v/>
      </c>
      <c r="D591" s="22" t="n"/>
      <c r="E591" s="22" t="n"/>
      <c r="F591" s="23" t="n"/>
      <c r="G591" s="24">
        <f>IF($D591="","",IFERROR(INDEX(Einstellungen!$B$4:$B$40,MATCH($D591,Einstellungen!$A$4:$A$40,0)),"?"))</f>
        <v/>
      </c>
      <c r="H591" s="22" t="n"/>
      <c r="I591" s="25">
        <f>IF($F591="","",IF($G591="Einnahme",$F591,-$F591))</f>
        <v/>
      </c>
    </row>
    <row r="592" ht="15" customHeight="1" s="52">
      <c r="A592" s="26" t="n"/>
      <c r="B592" s="17">
        <f>IF($A592="","",YEAR($A592))</f>
        <v/>
      </c>
      <c r="C592" s="17">
        <f>IF($A592="","",MONTH($A592))</f>
        <v/>
      </c>
      <c r="D592" s="27" t="n"/>
      <c r="E592" s="27" t="n"/>
      <c r="F592" s="28" t="n"/>
      <c r="G592" s="14">
        <f>IF($D592="","",IFERROR(INDEX(Einstellungen!$B$4:$B$40,MATCH($D592,Einstellungen!$A$4:$A$40,0)),"?"))</f>
        <v/>
      </c>
      <c r="H592" s="27" t="n"/>
      <c r="I592" s="11">
        <f>IF($F592="","",IF($G592="Einnahme",$F592,-$F592))</f>
        <v/>
      </c>
    </row>
    <row r="593" ht="15" customHeight="1" s="52">
      <c r="A593" s="20" t="n"/>
      <c r="B593" s="21">
        <f>IF($A593="","",YEAR($A593))</f>
        <v/>
      </c>
      <c r="C593" s="21">
        <f>IF($A593="","",MONTH($A593))</f>
        <v/>
      </c>
      <c r="D593" s="22" t="n"/>
      <c r="E593" s="22" t="n"/>
      <c r="F593" s="23" t="n"/>
      <c r="G593" s="24">
        <f>IF($D593="","",IFERROR(INDEX(Einstellungen!$B$4:$B$40,MATCH($D593,Einstellungen!$A$4:$A$40,0)),"?"))</f>
        <v/>
      </c>
      <c r="H593" s="22" t="n"/>
      <c r="I593" s="25">
        <f>IF($F593="","",IF($G593="Einnahme",$F593,-$F593))</f>
        <v/>
      </c>
    </row>
    <row r="594" ht="15" customHeight="1" s="52">
      <c r="A594" s="26" t="n"/>
      <c r="B594" s="17">
        <f>IF($A594="","",YEAR($A594))</f>
        <v/>
      </c>
      <c r="C594" s="17">
        <f>IF($A594="","",MONTH($A594))</f>
        <v/>
      </c>
      <c r="D594" s="27" t="n"/>
      <c r="E594" s="27" t="n"/>
      <c r="F594" s="28" t="n"/>
      <c r="G594" s="14">
        <f>IF($D594="","",IFERROR(INDEX(Einstellungen!$B$4:$B$40,MATCH($D594,Einstellungen!$A$4:$A$40,0)),"?"))</f>
        <v/>
      </c>
      <c r="H594" s="27" t="n"/>
      <c r="I594" s="11">
        <f>IF($F594="","",IF($G594="Einnahme",$F594,-$F594))</f>
        <v/>
      </c>
    </row>
    <row r="595" ht="15" customHeight="1" s="52">
      <c r="A595" s="20" t="n"/>
      <c r="B595" s="21">
        <f>IF($A595="","",YEAR($A595))</f>
        <v/>
      </c>
      <c r="C595" s="21">
        <f>IF($A595="","",MONTH($A595))</f>
        <v/>
      </c>
      <c r="D595" s="22" t="n"/>
      <c r="E595" s="22" t="n"/>
      <c r="F595" s="23" t="n"/>
      <c r="G595" s="24">
        <f>IF($D595="","",IFERROR(INDEX(Einstellungen!$B$4:$B$40,MATCH($D595,Einstellungen!$A$4:$A$40,0)),"?"))</f>
        <v/>
      </c>
      <c r="H595" s="22" t="n"/>
      <c r="I595" s="25">
        <f>IF($F595="","",IF($G595="Einnahme",$F595,-$F595))</f>
        <v/>
      </c>
    </row>
    <row r="596" ht="15" customHeight="1" s="52">
      <c r="A596" s="26" t="n"/>
      <c r="B596" s="17">
        <f>IF($A596="","",YEAR($A596))</f>
        <v/>
      </c>
      <c r="C596" s="17">
        <f>IF($A596="","",MONTH($A596))</f>
        <v/>
      </c>
      <c r="D596" s="27" t="n"/>
      <c r="E596" s="27" t="n"/>
      <c r="F596" s="28" t="n"/>
      <c r="G596" s="14">
        <f>IF($D596="","",IFERROR(INDEX(Einstellungen!$B$4:$B$40,MATCH($D596,Einstellungen!$A$4:$A$40,0)),"?"))</f>
        <v/>
      </c>
      <c r="H596" s="27" t="n"/>
      <c r="I596" s="11">
        <f>IF($F596="","",IF($G596="Einnahme",$F596,-$F596))</f>
        <v/>
      </c>
    </row>
    <row r="597" ht="15" customHeight="1" s="52">
      <c r="A597" s="20" t="n"/>
      <c r="B597" s="21">
        <f>IF($A597="","",YEAR($A597))</f>
        <v/>
      </c>
      <c r="C597" s="21">
        <f>IF($A597="","",MONTH($A597))</f>
        <v/>
      </c>
      <c r="D597" s="22" t="n"/>
      <c r="E597" s="22" t="n"/>
      <c r="F597" s="23" t="n"/>
      <c r="G597" s="24">
        <f>IF($D597="","",IFERROR(INDEX(Einstellungen!$B$4:$B$40,MATCH($D597,Einstellungen!$A$4:$A$40,0)),"?"))</f>
        <v/>
      </c>
      <c r="H597" s="22" t="n"/>
      <c r="I597" s="25">
        <f>IF($F597="","",IF($G597="Einnahme",$F597,-$F597))</f>
        <v/>
      </c>
    </row>
    <row r="598" ht="15" customHeight="1" s="52">
      <c r="A598" s="26" t="n"/>
      <c r="B598" s="17">
        <f>IF($A598="","",YEAR($A598))</f>
        <v/>
      </c>
      <c r="C598" s="17">
        <f>IF($A598="","",MONTH($A598))</f>
        <v/>
      </c>
      <c r="D598" s="27" t="n"/>
      <c r="E598" s="27" t="n"/>
      <c r="F598" s="28" t="n"/>
      <c r="G598" s="14">
        <f>IF($D598="","",IFERROR(INDEX(Einstellungen!$B$4:$B$40,MATCH($D598,Einstellungen!$A$4:$A$40,0)),"?"))</f>
        <v/>
      </c>
      <c r="H598" s="27" t="n"/>
      <c r="I598" s="11">
        <f>IF($F598="","",IF($G598="Einnahme",$F598,-$F598))</f>
        <v/>
      </c>
    </row>
    <row r="599" ht="15" customHeight="1" s="52">
      <c r="A599" s="20" t="n"/>
      <c r="B599" s="21">
        <f>IF($A599="","",YEAR($A599))</f>
        <v/>
      </c>
      <c r="C599" s="21">
        <f>IF($A599="","",MONTH($A599))</f>
        <v/>
      </c>
      <c r="D599" s="22" t="n"/>
      <c r="E599" s="22" t="n"/>
      <c r="F599" s="23" t="n"/>
      <c r="G599" s="24">
        <f>IF($D599="","",IFERROR(INDEX(Einstellungen!$B$4:$B$40,MATCH($D599,Einstellungen!$A$4:$A$40,0)),"?"))</f>
        <v/>
      </c>
      <c r="H599" s="22" t="n"/>
      <c r="I599" s="25">
        <f>IF($F599="","",IF($G599="Einnahme",$F599,-$F599))</f>
        <v/>
      </c>
    </row>
    <row r="600" ht="15" customHeight="1" s="52">
      <c r="A600" s="26" t="n"/>
      <c r="B600" s="17">
        <f>IF($A600="","",YEAR($A600))</f>
        <v/>
      </c>
      <c r="C600" s="17">
        <f>IF($A600="","",MONTH($A600))</f>
        <v/>
      </c>
      <c r="D600" s="27" t="n"/>
      <c r="E600" s="27" t="n"/>
      <c r="F600" s="28" t="n"/>
      <c r="G600" s="14">
        <f>IF($D600="","",IFERROR(INDEX(Einstellungen!$B$4:$B$40,MATCH($D600,Einstellungen!$A$4:$A$40,0)),"?"))</f>
        <v/>
      </c>
      <c r="H600" s="27" t="n"/>
      <c r="I600" s="11">
        <f>IF($F600="","",IF($G600="Einnahme",$F600,-$F600))</f>
        <v/>
      </c>
    </row>
    <row r="601" ht="15" customHeight="1" s="52">
      <c r="A601" s="20" t="n"/>
      <c r="B601" s="21">
        <f>IF($A601="","",YEAR($A601))</f>
        <v/>
      </c>
      <c r="C601" s="21">
        <f>IF($A601="","",MONTH($A601))</f>
        <v/>
      </c>
      <c r="D601" s="22" t="n"/>
      <c r="E601" s="22" t="n"/>
      <c r="F601" s="23" t="n"/>
      <c r="G601" s="24">
        <f>IF($D601="","",IFERROR(INDEX(Einstellungen!$B$4:$B$40,MATCH($D601,Einstellungen!$A$4:$A$40,0)),"?"))</f>
        <v/>
      </c>
      <c r="H601" s="22" t="n"/>
      <c r="I601" s="25">
        <f>IF($F601="","",IF($G601="Einnahme",$F601,-$F601))</f>
        <v/>
      </c>
    </row>
    <row r="602" ht="15" customHeight="1" s="52">
      <c r="A602" s="26" t="n"/>
      <c r="B602" s="17">
        <f>IF($A602="","",YEAR($A602))</f>
        <v/>
      </c>
      <c r="C602" s="17">
        <f>IF($A602="","",MONTH($A602))</f>
        <v/>
      </c>
      <c r="D602" s="27" t="n"/>
      <c r="E602" s="27" t="n"/>
      <c r="F602" s="28" t="n"/>
      <c r="G602" s="14">
        <f>IF($D602="","",IFERROR(INDEX(Einstellungen!$B$4:$B$40,MATCH($D602,Einstellungen!$A$4:$A$40,0)),"?"))</f>
        <v/>
      </c>
      <c r="H602" s="27" t="n"/>
      <c r="I602" s="11">
        <f>IF($F602="","",IF($G602="Einnahme",$F602,-$F602))</f>
        <v/>
      </c>
    </row>
    <row r="603" ht="15" customHeight="1" s="52">
      <c r="A603" s="20" t="n"/>
      <c r="B603" s="21">
        <f>IF($A603="","",YEAR($A603))</f>
        <v/>
      </c>
      <c r="C603" s="21">
        <f>IF($A603="","",MONTH($A603))</f>
        <v/>
      </c>
      <c r="D603" s="22" t="n"/>
      <c r="E603" s="22" t="n"/>
      <c r="F603" s="23" t="n"/>
      <c r="G603" s="24">
        <f>IF($D603="","",IFERROR(INDEX(Einstellungen!$B$4:$B$40,MATCH($D603,Einstellungen!$A$4:$A$40,0)),"?"))</f>
        <v/>
      </c>
      <c r="H603" s="22" t="n"/>
      <c r="I603" s="25">
        <f>IF($F603="","",IF($G603="Einnahme",$F603,-$F603))</f>
        <v/>
      </c>
    </row>
    <row r="604" ht="15" customHeight="1" s="52">
      <c r="A604" s="26" t="n"/>
      <c r="B604" s="17">
        <f>IF($A604="","",YEAR($A604))</f>
        <v/>
      </c>
      <c r="C604" s="17">
        <f>IF($A604="","",MONTH($A604))</f>
        <v/>
      </c>
      <c r="D604" s="27" t="n"/>
      <c r="E604" s="27" t="n"/>
      <c r="F604" s="28" t="n"/>
      <c r="G604" s="14">
        <f>IF($D604="","",IFERROR(INDEX(Einstellungen!$B$4:$B$40,MATCH($D604,Einstellungen!$A$4:$A$40,0)),"?"))</f>
        <v/>
      </c>
      <c r="H604" s="27" t="n"/>
      <c r="I604" s="11">
        <f>IF($F604="","",IF($G604="Einnahme",$F604,-$F604))</f>
        <v/>
      </c>
    </row>
    <row r="605" ht="15" customHeight="1" s="52">
      <c r="A605" s="20" t="n"/>
      <c r="B605" s="21">
        <f>IF($A605="","",YEAR($A605))</f>
        <v/>
      </c>
      <c r="C605" s="21">
        <f>IF($A605="","",MONTH($A605))</f>
        <v/>
      </c>
      <c r="D605" s="22" t="n"/>
      <c r="E605" s="22" t="n"/>
      <c r="F605" s="23" t="n"/>
      <c r="G605" s="24">
        <f>IF($D605="","",IFERROR(INDEX(Einstellungen!$B$4:$B$40,MATCH($D605,Einstellungen!$A$4:$A$40,0)),"?"))</f>
        <v/>
      </c>
      <c r="H605" s="22" t="n"/>
      <c r="I605" s="25">
        <f>IF($F605="","",IF($G605="Einnahme",$F605,-$F605))</f>
        <v/>
      </c>
    </row>
    <row r="606" ht="15" customHeight="1" s="52">
      <c r="A606" s="26" t="n"/>
      <c r="B606" s="17">
        <f>IF($A606="","",YEAR($A606))</f>
        <v/>
      </c>
      <c r="C606" s="17">
        <f>IF($A606="","",MONTH($A606))</f>
        <v/>
      </c>
      <c r="D606" s="27" t="n"/>
      <c r="E606" s="27" t="n"/>
      <c r="F606" s="28" t="n"/>
      <c r="G606" s="14">
        <f>IF($D606="","",IFERROR(INDEX(Einstellungen!$B$4:$B$40,MATCH($D606,Einstellungen!$A$4:$A$40,0)),"?"))</f>
        <v/>
      </c>
      <c r="H606" s="27" t="n"/>
      <c r="I606" s="11">
        <f>IF($F606="","",IF($G606="Einnahme",$F606,-$F606))</f>
        <v/>
      </c>
    </row>
    <row r="607" ht="15" customHeight="1" s="52">
      <c r="A607" s="20" t="n"/>
      <c r="B607" s="21">
        <f>IF($A607="","",YEAR($A607))</f>
        <v/>
      </c>
      <c r="C607" s="21">
        <f>IF($A607="","",MONTH($A607))</f>
        <v/>
      </c>
      <c r="D607" s="22" t="n"/>
      <c r="E607" s="22" t="n"/>
      <c r="F607" s="23" t="n"/>
      <c r="G607" s="24">
        <f>IF($D607="","",IFERROR(INDEX(Einstellungen!$B$4:$B$40,MATCH($D607,Einstellungen!$A$4:$A$40,0)),"?"))</f>
        <v/>
      </c>
      <c r="H607" s="22" t="n"/>
      <c r="I607" s="25">
        <f>IF($F607="","",IF($G607="Einnahme",$F607,-$F607))</f>
        <v/>
      </c>
    </row>
    <row r="608" ht="15" customHeight="1" s="52">
      <c r="A608" s="26" t="n"/>
      <c r="B608" s="17">
        <f>IF($A608="","",YEAR($A608))</f>
        <v/>
      </c>
      <c r="C608" s="17">
        <f>IF($A608="","",MONTH($A608))</f>
        <v/>
      </c>
      <c r="D608" s="27" t="n"/>
      <c r="E608" s="27" t="n"/>
      <c r="F608" s="28" t="n"/>
      <c r="G608" s="14">
        <f>IF($D608="","",IFERROR(INDEX(Einstellungen!$B$4:$B$40,MATCH($D608,Einstellungen!$A$4:$A$40,0)),"?"))</f>
        <v/>
      </c>
      <c r="H608" s="27" t="n"/>
      <c r="I608" s="11">
        <f>IF($F608="","",IF($G608="Einnahme",$F608,-$F608))</f>
        <v/>
      </c>
    </row>
    <row r="609" ht="15" customHeight="1" s="52">
      <c r="A609" s="20" t="n"/>
      <c r="B609" s="21">
        <f>IF($A609="","",YEAR($A609))</f>
        <v/>
      </c>
      <c r="C609" s="21">
        <f>IF($A609="","",MONTH($A609))</f>
        <v/>
      </c>
      <c r="D609" s="22" t="n"/>
      <c r="E609" s="22" t="n"/>
      <c r="F609" s="23" t="n"/>
      <c r="G609" s="24">
        <f>IF($D609="","",IFERROR(INDEX(Einstellungen!$B$4:$B$40,MATCH($D609,Einstellungen!$A$4:$A$40,0)),"?"))</f>
        <v/>
      </c>
      <c r="H609" s="22" t="n"/>
      <c r="I609" s="25">
        <f>IF($F609="","",IF($G609="Einnahme",$F609,-$F609))</f>
        <v/>
      </c>
    </row>
    <row r="610" ht="15" customHeight="1" s="52">
      <c r="A610" s="26" t="n"/>
      <c r="B610" s="17">
        <f>IF($A610="","",YEAR($A610))</f>
        <v/>
      </c>
      <c r="C610" s="17">
        <f>IF($A610="","",MONTH($A610))</f>
        <v/>
      </c>
      <c r="D610" s="27" t="n"/>
      <c r="E610" s="27" t="n"/>
      <c r="F610" s="28" t="n"/>
      <c r="G610" s="14">
        <f>IF($D610="","",IFERROR(INDEX(Einstellungen!$B$4:$B$40,MATCH($D610,Einstellungen!$A$4:$A$40,0)),"?"))</f>
        <v/>
      </c>
      <c r="H610" s="27" t="n"/>
      <c r="I610" s="11">
        <f>IF($F610="","",IF($G610="Einnahme",$F610,-$F610))</f>
        <v/>
      </c>
    </row>
    <row r="611" ht="15" customHeight="1" s="52">
      <c r="A611" s="20" t="n"/>
      <c r="B611" s="21">
        <f>IF($A611="","",YEAR($A611))</f>
        <v/>
      </c>
      <c r="C611" s="21">
        <f>IF($A611="","",MONTH($A611))</f>
        <v/>
      </c>
      <c r="D611" s="22" t="n"/>
      <c r="E611" s="22" t="n"/>
      <c r="F611" s="23" t="n"/>
      <c r="G611" s="24">
        <f>IF($D611="","",IFERROR(INDEX(Einstellungen!$B$4:$B$40,MATCH($D611,Einstellungen!$A$4:$A$40,0)),"?"))</f>
        <v/>
      </c>
      <c r="H611" s="22" t="n"/>
      <c r="I611" s="25">
        <f>IF($F611="","",IF($G611="Einnahme",$F611,-$F611))</f>
        <v/>
      </c>
    </row>
    <row r="612" ht="15" customHeight="1" s="52">
      <c r="A612" s="26" t="n"/>
      <c r="B612" s="17">
        <f>IF($A612="","",YEAR($A612))</f>
        <v/>
      </c>
      <c r="C612" s="17">
        <f>IF($A612="","",MONTH($A612))</f>
        <v/>
      </c>
      <c r="D612" s="27" t="n"/>
      <c r="E612" s="27" t="n"/>
      <c r="F612" s="28" t="n"/>
      <c r="G612" s="14">
        <f>IF($D612="","",IFERROR(INDEX(Einstellungen!$B$4:$B$40,MATCH($D612,Einstellungen!$A$4:$A$40,0)),"?"))</f>
        <v/>
      </c>
      <c r="H612" s="27" t="n"/>
      <c r="I612" s="11">
        <f>IF($F612="","",IF($G612="Einnahme",$F612,-$F612))</f>
        <v/>
      </c>
    </row>
    <row r="613" ht="15" customHeight="1" s="52">
      <c r="A613" s="20" t="n"/>
      <c r="B613" s="21">
        <f>IF($A613="","",YEAR($A613))</f>
        <v/>
      </c>
      <c r="C613" s="21">
        <f>IF($A613="","",MONTH($A613))</f>
        <v/>
      </c>
      <c r="D613" s="22" t="n"/>
      <c r="E613" s="22" t="n"/>
      <c r="F613" s="23" t="n"/>
      <c r="G613" s="24">
        <f>IF($D613="","",IFERROR(INDEX(Einstellungen!$B$4:$B$40,MATCH($D613,Einstellungen!$A$4:$A$40,0)),"?"))</f>
        <v/>
      </c>
      <c r="H613" s="22" t="n"/>
      <c r="I613" s="25">
        <f>IF($F613="","",IF($G613="Einnahme",$F613,-$F613))</f>
        <v/>
      </c>
    </row>
    <row r="614" ht="15" customHeight="1" s="52">
      <c r="A614" s="26" t="n"/>
      <c r="B614" s="17">
        <f>IF($A614="","",YEAR($A614))</f>
        <v/>
      </c>
      <c r="C614" s="17">
        <f>IF($A614="","",MONTH($A614))</f>
        <v/>
      </c>
      <c r="D614" s="27" t="n"/>
      <c r="E614" s="27" t="n"/>
      <c r="F614" s="28" t="n"/>
      <c r="G614" s="14">
        <f>IF($D614="","",IFERROR(INDEX(Einstellungen!$B$4:$B$40,MATCH($D614,Einstellungen!$A$4:$A$40,0)),"?"))</f>
        <v/>
      </c>
      <c r="H614" s="27" t="n"/>
      <c r="I614" s="11">
        <f>IF($F614="","",IF($G614="Einnahme",$F614,-$F614))</f>
        <v/>
      </c>
    </row>
    <row r="615" ht="15" customHeight="1" s="52">
      <c r="A615" s="20" t="n"/>
      <c r="B615" s="21">
        <f>IF($A615="","",YEAR($A615))</f>
        <v/>
      </c>
      <c r="C615" s="21">
        <f>IF($A615="","",MONTH($A615))</f>
        <v/>
      </c>
      <c r="D615" s="22" t="n"/>
      <c r="E615" s="22" t="n"/>
      <c r="F615" s="23" t="n"/>
      <c r="G615" s="24">
        <f>IF($D615="","",IFERROR(INDEX(Einstellungen!$B$4:$B$40,MATCH($D615,Einstellungen!$A$4:$A$40,0)),"?"))</f>
        <v/>
      </c>
      <c r="H615" s="22" t="n"/>
      <c r="I615" s="25">
        <f>IF($F615="","",IF($G615="Einnahme",$F615,-$F615))</f>
        <v/>
      </c>
    </row>
    <row r="616" ht="15" customHeight="1" s="52">
      <c r="A616" s="26" t="n"/>
      <c r="B616" s="17">
        <f>IF($A616="","",YEAR($A616))</f>
        <v/>
      </c>
      <c r="C616" s="17">
        <f>IF($A616="","",MONTH($A616))</f>
        <v/>
      </c>
      <c r="D616" s="27" t="n"/>
      <c r="E616" s="27" t="n"/>
      <c r="F616" s="28" t="n"/>
      <c r="G616" s="14">
        <f>IF($D616="","",IFERROR(INDEX(Einstellungen!$B$4:$B$40,MATCH($D616,Einstellungen!$A$4:$A$40,0)),"?"))</f>
        <v/>
      </c>
      <c r="H616" s="27" t="n"/>
      <c r="I616" s="11">
        <f>IF($F616="","",IF($G616="Einnahme",$F616,-$F616))</f>
        <v/>
      </c>
    </row>
    <row r="617" ht="15" customHeight="1" s="52">
      <c r="A617" s="20" t="n"/>
      <c r="B617" s="21">
        <f>IF($A617="","",YEAR($A617))</f>
        <v/>
      </c>
      <c r="C617" s="21">
        <f>IF($A617="","",MONTH($A617))</f>
        <v/>
      </c>
      <c r="D617" s="22" t="n"/>
      <c r="E617" s="22" t="n"/>
      <c r="F617" s="23" t="n"/>
      <c r="G617" s="24">
        <f>IF($D617="","",IFERROR(INDEX(Einstellungen!$B$4:$B$40,MATCH($D617,Einstellungen!$A$4:$A$40,0)),"?"))</f>
        <v/>
      </c>
      <c r="H617" s="22" t="n"/>
      <c r="I617" s="25">
        <f>IF($F617="","",IF($G617="Einnahme",$F617,-$F617))</f>
        <v/>
      </c>
    </row>
    <row r="618" ht="15" customHeight="1" s="52">
      <c r="A618" s="26" t="n"/>
      <c r="B618" s="17">
        <f>IF($A618="","",YEAR($A618))</f>
        <v/>
      </c>
      <c r="C618" s="17">
        <f>IF($A618="","",MONTH($A618))</f>
        <v/>
      </c>
      <c r="D618" s="27" t="n"/>
      <c r="E618" s="27" t="n"/>
      <c r="F618" s="28" t="n"/>
      <c r="G618" s="14">
        <f>IF($D618="","",IFERROR(INDEX(Einstellungen!$B$4:$B$40,MATCH($D618,Einstellungen!$A$4:$A$40,0)),"?"))</f>
        <v/>
      </c>
      <c r="H618" s="27" t="n"/>
      <c r="I618" s="11">
        <f>IF($F618="","",IF($G618="Einnahme",$F618,-$F618))</f>
        <v/>
      </c>
    </row>
    <row r="619" ht="15" customHeight="1" s="52">
      <c r="A619" s="20" t="n"/>
      <c r="B619" s="21">
        <f>IF($A619="","",YEAR($A619))</f>
        <v/>
      </c>
      <c r="C619" s="21">
        <f>IF($A619="","",MONTH($A619))</f>
        <v/>
      </c>
      <c r="D619" s="22" t="n"/>
      <c r="E619" s="22" t="n"/>
      <c r="F619" s="23" t="n"/>
      <c r="G619" s="24">
        <f>IF($D619="","",IFERROR(INDEX(Einstellungen!$B$4:$B$40,MATCH($D619,Einstellungen!$A$4:$A$40,0)),"?"))</f>
        <v/>
      </c>
      <c r="H619" s="22" t="n"/>
      <c r="I619" s="25">
        <f>IF($F619="","",IF($G619="Einnahme",$F619,-$F619))</f>
        <v/>
      </c>
    </row>
    <row r="620" ht="15" customHeight="1" s="52">
      <c r="A620" s="26" t="n"/>
      <c r="B620" s="17">
        <f>IF($A620="","",YEAR($A620))</f>
        <v/>
      </c>
      <c r="C620" s="17">
        <f>IF($A620="","",MONTH($A620))</f>
        <v/>
      </c>
      <c r="D620" s="27" t="n"/>
      <c r="E620" s="27" t="n"/>
      <c r="F620" s="28" t="n"/>
      <c r="G620" s="14">
        <f>IF($D620="","",IFERROR(INDEX(Einstellungen!$B$4:$B$40,MATCH($D620,Einstellungen!$A$4:$A$40,0)),"?"))</f>
        <v/>
      </c>
      <c r="H620" s="27" t="n"/>
      <c r="I620" s="11">
        <f>IF($F620="","",IF($G620="Einnahme",$F620,-$F620))</f>
        <v/>
      </c>
    </row>
    <row r="621" ht="15" customHeight="1" s="52">
      <c r="A621" s="20" t="n"/>
      <c r="B621" s="21">
        <f>IF($A621="","",YEAR($A621))</f>
        <v/>
      </c>
      <c r="C621" s="21">
        <f>IF($A621="","",MONTH($A621))</f>
        <v/>
      </c>
      <c r="D621" s="22" t="n"/>
      <c r="E621" s="22" t="n"/>
      <c r="F621" s="23" t="n"/>
      <c r="G621" s="24">
        <f>IF($D621="","",IFERROR(INDEX(Einstellungen!$B$4:$B$40,MATCH($D621,Einstellungen!$A$4:$A$40,0)),"?"))</f>
        <v/>
      </c>
      <c r="H621" s="22" t="n"/>
      <c r="I621" s="25">
        <f>IF($F621="","",IF($G621="Einnahme",$F621,-$F621))</f>
        <v/>
      </c>
    </row>
    <row r="622" ht="15" customHeight="1" s="52">
      <c r="A622" s="26" t="n"/>
      <c r="B622" s="17">
        <f>IF($A622="","",YEAR($A622))</f>
        <v/>
      </c>
      <c r="C622" s="17">
        <f>IF($A622="","",MONTH($A622))</f>
        <v/>
      </c>
      <c r="D622" s="27" t="n"/>
      <c r="E622" s="27" t="n"/>
      <c r="F622" s="28" t="n"/>
      <c r="G622" s="14">
        <f>IF($D622="","",IFERROR(INDEX(Einstellungen!$B$4:$B$40,MATCH($D622,Einstellungen!$A$4:$A$40,0)),"?"))</f>
        <v/>
      </c>
      <c r="H622" s="27" t="n"/>
      <c r="I622" s="11">
        <f>IF($F622="","",IF($G622="Einnahme",$F622,-$F622))</f>
        <v/>
      </c>
    </row>
    <row r="623" ht="15" customHeight="1" s="52">
      <c r="A623" s="20" t="n"/>
      <c r="B623" s="21">
        <f>IF($A623="","",YEAR($A623))</f>
        <v/>
      </c>
      <c r="C623" s="21">
        <f>IF($A623="","",MONTH($A623))</f>
        <v/>
      </c>
      <c r="D623" s="22" t="n"/>
      <c r="E623" s="22" t="n"/>
      <c r="F623" s="23" t="n"/>
      <c r="G623" s="24">
        <f>IF($D623="","",IFERROR(INDEX(Einstellungen!$B$4:$B$40,MATCH($D623,Einstellungen!$A$4:$A$40,0)),"?"))</f>
        <v/>
      </c>
      <c r="H623" s="22" t="n"/>
      <c r="I623" s="25">
        <f>IF($F623="","",IF($G623="Einnahme",$F623,-$F623))</f>
        <v/>
      </c>
    </row>
    <row r="624" ht="15" customHeight="1" s="52">
      <c r="A624" s="26" t="n"/>
      <c r="B624" s="17">
        <f>IF($A624="","",YEAR($A624))</f>
        <v/>
      </c>
      <c r="C624" s="17">
        <f>IF($A624="","",MONTH($A624))</f>
        <v/>
      </c>
      <c r="D624" s="27" t="n"/>
      <c r="E624" s="27" t="n"/>
      <c r="F624" s="28" t="n"/>
      <c r="G624" s="14">
        <f>IF($D624="","",IFERROR(INDEX(Einstellungen!$B$4:$B$40,MATCH($D624,Einstellungen!$A$4:$A$40,0)),"?"))</f>
        <v/>
      </c>
      <c r="H624" s="27" t="n"/>
      <c r="I624" s="11">
        <f>IF($F624="","",IF($G624="Einnahme",$F624,-$F624))</f>
        <v/>
      </c>
    </row>
    <row r="625" ht="15" customHeight="1" s="52">
      <c r="A625" s="20" t="n"/>
      <c r="B625" s="21">
        <f>IF($A625="","",YEAR($A625))</f>
        <v/>
      </c>
      <c r="C625" s="21">
        <f>IF($A625="","",MONTH($A625))</f>
        <v/>
      </c>
      <c r="D625" s="22" t="n"/>
      <c r="E625" s="22" t="n"/>
      <c r="F625" s="23" t="n"/>
      <c r="G625" s="24">
        <f>IF($D625="","",IFERROR(INDEX(Einstellungen!$B$4:$B$40,MATCH($D625,Einstellungen!$A$4:$A$40,0)),"?"))</f>
        <v/>
      </c>
      <c r="H625" s="22" t="n"/>
      <c r="I625" s="25">
        <f>IF($F625="","",IF($G625="Einnahme",$F625,-$F625))</f>
        <v/>
      </c>
    </row>
    <row r="626" ht="15" customHeight="1" s="52">
      <c r="A626" s="26" t="n"/>
      <c r="B626" s="17">
        <f>IF($A626="","",YEAR($A626))</f>
        <v/>
      </c>
      <c r="C626" s="17">
        <f>IF($A626="","",MONTH($A626))</f>
        <v/>
      </c>
      <c r="D626" s="27" t="n"/>
      <c r="E626" s="27" t="n"/>
      <c r="F626" s="28" t="n"/>
      <c r="G626" s="14">
        <f>IF($D626="","",IFERROR(INDEX(Einstellungen!$B$4:$B$40,MATCH($D626,Einstellungen!$A$4:$A$40,0)),"?"))</f>
        <v/>
      </c>
      <c r="H626" s="27" t="n"/>
      <c r="I626" s="11">
        <f>IF($F626="","",IF($G626="Einnahme",$F626,-$F626))</f>
        <v/>
      </c>
    </row>
    <row r="627" ht="15" customHeight="1" s="52">
      <c r="A627" s="20" t="n"/>
      <c r="B627" s="21">
        <f>IF($A627="","",YEAR($A627))</f>
        <v/>
      </c>
      <c r="C627" s="21">
        <f>IF($A627="","",MONTH($A627))</f>
        <v/>
      </c>
      <c r="D627" s="22" t="n"/>
      <c r="E627" s="22" t="n"/>
      <c r="F627" s="23" t="n"/>
      <c r="G627" s="24">
        <f>IF($D627="","",IFERROR(INDEX(Einstellungen!$B$4:$B$40,MATCH($D627,Einstellungen!$A$4:$A$40,0)),"?"))</f>
        <v/>
      </c>
      <c r="H627" s="22" t="n"/>
      <c r="I627" s="25">
        <f>IF($F627="","",IF($G627="Einnahme",$F627,-$F627))</f>
        <v/>
      </c>
    </row>
    <row r="628" ht="15" customHeight="1" s="52">
      <c r="A628" s="26" t="n"/>
      <c r="B628" s="17">
        <f>IF($A628="","",YEAR($A628))</f>
        <v/>
      </c>
      <c r="C628" s="17">
        <f>IF($A628="","",MONTH($A628))</f>
        <v/>
      </c>
      <c r="D628" s="27" t="n"/>
      <c r="E628" s="27" t="n"/>
      <c r="F628" s="28" t="n"/>
      <c r="G628" s="14">
        <f>IF($D628="","",IFERROR(INDEX(Einstellungen!$B$4:$B$40,MATCH($D628,Einstellungen!$A$4:$A$40,0)),"?"))</f>
        <v/>
      </c>
      <c r="H628" s="27" t="n"/>
      <c r="I628" s="11">
        <f>IF($F628="","",IF($G628="Einnahme",$F628,-$F628))</f>
        <v/>
      </c>
    </row>
    <row r="629" ht="15" customHeight="1" s="52">
      <c r="A629" s="20" t="n"/>
      <c r="B629" s="21">
        <f>IF($A629="","",YEAR($A629))</f>
        <v/>
      </c>
      <c r="C629" s="21">
        <f>IF($A629="","",MONTH($A629))</f>
        <v/>
      </c>
      <c r="D629" s="22" t="n"/>
      <c r="E629" s="22" t="n"/>
      <c r="F629" s="23" t="n"/>
      <c r="G629" s="24">
        <f>IF($D629="","",IFERROR(INDEX(Einstellungen!$B$4:$B$40,MATCH($D629,Einstellungen!$A$4:$A$40,0)),"?"))</f>
        <v/>
      </c>
      <c r="H629" s="22" t="n"/>
      <c r="I629" s="25">
        <f>IF($F629="","",IF($G629="Einnahme",$F629,-$F629))</f>
        <v/>
      </c>
    </row>
    <row r="630" ht="15" customHeight="1" s="52">
      <c r="A630" s="26" t="n"/>
      <c r="B630" s="17">
        <f>IF($A630="","",YEAR($A630))</f>
        <v/>
      </c>
      <c r="C630" s="17">
        <f>IF($A630="","",MONTH($A630))</f>
        <v/>
      </c>
      <c r="D630" s="27" t="n"/>
      <c r="E630" s="27" t="n"/>
      <c r="F630" s="28" t="n"/>
      <c r="G630" s="14">
        <f>IF($D630="","",IFERROR(INDEX(Einstellungen!$B$4:$B$40,MATCH($D630,Einstellungen!$A$4:$A$40,0)),"?"))</f>
        <v/>
      </c>
      <c r="H630" s="27" t="n"/>
      <c r="I630" s="11">
        <f>IF($F630="","",IF($G630="Einnahme",$F630,-$F630))</f>
        <v/>
      </c>
    </row>
    <row r="631" ht="15" customHeight="1" s="52">
      <c r="A631" s="20" t="n"/>
      <c r="B631" s="21">
        <f>IF($A631="","",YEAR($A631))</f>
        <v/>
      </c>
      <c r="C631" s="21">
        <f>IF($A631="","",MONTH($A631))</f>
        <v/>
      </c>
      <c r="D631" s="22" t="n"/>
      <c r="E631" s="22" t="n"/>
      <c r="F631" s="23" t="n"/>
      <c r="G631" s="24">
        <f>IF($D631="","",IFERROR(INDEX(Einstellungen!$B$4:$B$40,MATCH($D631,Einstellungen!$A$4:$A$40,0)),"?"))</f>
        <v/>
      </c>
      <c r="H631" s="22" t="n"/>
      <c r="I631" s="25">
        <f>IF($F631="","",IF($G631="Einnahme",$F631,-$F631))</f>
        <v/>
      </c>
    </row>
    <row r="632" ht="15" customHeight="1" s="52">
      <c r="A632" s="26" t="n"/>
      <c r="B632" s="17">
        <f>IF($A632="","",YEAR($A632))</f>
        <v/>
      </c>
      <c r="C632" s="17">
        <f>IF($A632="","",MONTH($A632))</f>
        <v/>
      </c>
      <c r="D632" s="27" t="n"/>
      <c r="E632" s="27" t="n"/>
      <c r="F632" s="28" t="n"/>
      <c r="G632" s="14">
        <f>IF($D632="","",IFERROR(INDEX(Einstellungen!$B$4:$B$40,MATCH($D632,Einstellungen!$A$4:$A$40,0)),"?"))</f>
        <v/>
      </c>
      <c r="H632" s="27" t="n"/>
      <c r="I632" s="11">
        <f>IF($F632="","",IF($G632="Einnahme",$F632,-$F632))</f>
        <v/>
      </c>
    </row>
    <row r="633" ht="15" customHeight="1" s="52">
      <c r="A633" s="20" t="n"/>
      <c r="B633" s="21">
        <f>IF($A633="","",YEAR($A633))</f>
        <v/>
      </c>
      <c r="C633" s="21">
        <f>IF($A633="","",MONTH($A633))</f>
        <v/>
      </c>
      <c r="D633" s="22" t="n"/>
      <c r="E633" s="22" t="n"/>
      <c r="F633" s="23" t="n"/>
      <c r="G633" s="24">
        <f>IF($D633="","",IFERROR(INDEX(Einstellungen!$B$4:$B$40,MATCH($D633,Einstellungen!$A$4:$A$40,0)),"?"))</f>
        <v/>
      </c>
      <c r="H633" s="22" t="n"/>
      <c r="I633" s="25">
        <f>IF($F633="","",IF($G633="Einnahme",$F633,-$F633))</f>
        <v/>
      </c>
    </row>
    <row r="634" ht="15" customHeight="1" s="52">
      <c r="A634" s="26" t="n"/>
      <c r="B634" s="17">
        <f>IF($A634="","",YEAR($A634))</f>
        <v/>
      </c>
      <c r="C634" s="17">
        <f>IF($A634="","",MONTH($A634))</f>
        <v/>
      </c>
      <c r="D634" s="27" t="n"/>
      <c r="E634" s="27" t="n"/>
      <c r="F634" s="28" t="n"/>
      <c r="G634" s="14">
        <f>IF($D634="","",IFERROR(INDEX(Einstellungen!$B$4:$B$40,MATCH($D634,Einstellungen!$A$4:$A$40,0)),"?"))</f>
        <v/>
      </c>
      <c r="H634" s="27" t="n"/>
      <c r="I634" s="11">
        <f>IF($F634="","",IF($G634="Einnahme",$F634,-$F634))</f>
        <v/>
      </c>
    </row>
    <row r="635" ht="15" customHeight="1" s="52">
      <c r="A635" s="20" t="n"/>
      <c r="B635" s="21">
        <f>IF($A635="","",YEAR($A635))</f>
        <v/>
      </c>
      <c r="C635" s="21">
        <f>IF($A635="","",MONTH($A635))</f>
        <v/>
      </c>
      <c r="D635" s="22" t="n"/>
      <c r="E635" s="22" t="n"/>
      <c r="F635" s="23" t="n"/>
      <c r="G635" s="24">
        <f>IF($D635="","",IFERROR(INDEX(Einstellungen!$B$4:$B$40,MATCH($D635,Einstellungen!$A$4:$A$40,0)),"?"))</f>
        <v/>
      </c>
      <c r="H635" s="22" t="n"/>
      <c r="I635" s="25">
        <f>IF($F635="","",IF($G635="Einnahme",$F635,-$F635))</f>
        <v/>
      </c>
    </row>
    <row r="636" ht="15" customHeight="1" s="52">
      <c r="A636" s="26" t="n"/>
      <c r="B636" s="17">
        <f>IF($A636="","",YEAR($A636))</f>
        <v/>
      </c>
      <c r="C636" s="17">
        <f>IF($A636="","",MONTH($A636))</f>
        <v/>
      </c>
      <c r="D636" s="27" t="n"/>
      <c r="E636" s="27" t="n"/>
      <c r="F636" s="28" t="n"/>
      <c r="G636" s="14">
        <f>IF($D636="","",IFERROR(INDEX(Einstellungen!$B$4:$B$40,MATCH($D636,Einstellungen!$A$4:$A$40,0)),"?"))</f>
        <v/>
      </c>
      <c r="H636" s="27" t="n"/>
      <c r="I636" s="11">
        <f>IF($F636="","",IF($G636="Einnahme",$F636,-$F636))</f>
        <v/>
      </c>
    </row>
    <row r="637" ht="15" customHeight="1" s="52">
      <c r="A637" s="20" t="n"/>
      <c r="B637" s="21">
        <f>IF($A637="","",YEAR($A637))</f>
        <v/>
      </c>
      <c r="C637" s="21">
        <f>IF($A637="","",MONTH($A637))</f>
        <v/>
      </c>
      <c r="D637" s="22" t="n"/>
      <c r="E637" s="22" t="n"/>
      <c r="F637" s="23" t="n"/>
      <c r="G637" s="24">
        <f>IF($D637="","",IFERROR(INDEX(Einstellungen!$B$4:$B$40,MATCH($D637,Einstellungen!$A$4:$A$40,0)),"?"))</f>
        <v/>
      </c>
      <c r="H637" s="22" t="n"/>
      <c r="I637" s="25">
        <f>IF($F637="","",IF($G637="Einnahme",$F637,-$F637))</f>
        <v/>
      </c>
    </row>
    <row r="638" ht="15" customHeight="1" s="52">
      <c r="A638" s="26" t="n"/>
      <c r="B638" s="17">
        <f>IF($A638="","",YEAR($A638))</f>
        <v/>
      </c>
      <c r="C638" s="17">
        <f>IF($A638="","",MONTH($A638))</f>
        <v/>
      </c>
      <c r="D638" s="27" t="n"/>
      <c r="E638" s="27" t="n"/>
      <c r="F638" s="28" t="n"/>
      <c r="G638" s="14">
        <f>IF($D638="","",IFERROR(INDEX(Einstellungen!$B$4:$B$40,MATCH($D638,Einstellungen!$A$4:$A$40,0)),"?"))</f>
        <v/>
      </c>
      <c r="H638" s="27" t="n"/>
      <c r="I638" s="11">
        <f>IF($F638="","",IF($G638="Einnahme",$F638,-$F638))</f>
        <v/>
      </c>
    </row>
    <row r="639" ht="15" customHeight="1" s="52">
      <c r="A639" s="20" t="n"/>
      <c r="B639" s="21">
        <f>IF($A639="","",YEAR($A639))</f>
        <v/>
      </c>
      <c r="C639" s="21">
        <f>IF($A639="","",MONTH($A639))</f>
        <v/>
      </c>
      <c r="D639" s="22" t="n"/>
      <c r="E639" s="22" t="n"/>
      <c r="F639" s="23" t="n"/>
      <c r="G639" s="24">
        <f>IF($D639="","",IFERROR(INDEX(Einstellungen!$B$4:$B$40,MATCH($D639,Einstellungen!$A$4:$A$40,0)),"?"))</f>
        <v/>
      </c>
      <c r="H639" s="22" t="n"/>
      <c r="I639" s="25">
        <f>IF($F639="","",IF($G639="Einnahme",$F639,-$F639))</f>
        <v/>
      </c>
    </row>
    <row r="640" ht="15" customHeight="1" s="52">
      <c r="A640" s="26" t="n"/>
      <c r="B640" s="17">
        <f>IF($A640="","",YEAR($A640))</f>
        <v/>
      </c>
      <c r="C640" s="17">
        <f>IF($A640="","",MONTH($A640))</f>
        <v/>
      </c>
      <c r="D640" s="27" t="n"/>
      <c r="E640" s="27" t="n"/>
      <c r="F640" s="28" t="n"/>
      <c r="G640" s="14">
        <f>IF($D640="","",IFERROR(INDEX(Einstellungen!$B$4:$B$40,MATCH($D640,Einstellungen!$A$4:$A$40,0)),"?"))</f>
        <v/>
      </c>
      <c r="H640" s="27" t="n"/>
      <c r="I640" s="11">
        <f>IF($F640="","",IF($G640="Einnahme",$F640,-$F640))</f>
        <v/>
      </c>
    </row>
    <row r="641" ht="15" customHeight="1" s="52">
      <c r="A641" s="20" t="n"/>
      <c r="B641" s="21">
        <f>IF($A641="","",YEAR($A641))</f>
        <v/>
      </c>
      <c r="C641" s="21">
        <f>IF($A641="","",MONTH($A641))</f>
        <v/>
      </c>
      <c r="D641" s="22" t="n"/>
      <c r="E641" s="22" t="n"/>
      <c r="F641" s="23" t="n"/>
      <c r="G641" s="24">
        <f>IF($D641="","",IFERROR(INDEX(Einstellungen!$B$4:$B$40,MATCH($D641,Einstellungen!$A$4:$A$40,0)),"?"))</f>
        <v/>
      </c>
      <c r="H641" s="22" t="n"/>
      <c r="I641" s="25">
        <f>IF($F641="","",IF($G641="Einnahme",$F641,-$F641))</f>
        <v/>
      </c>
    </row>
    <row r="642" ht="15" customHeight="1" s="52">
      <c r="A642" s="26" t="n"/>
      <c r="B642" s="17">
        <f>IF($A642="","",YEAR($A642))</f>
        <v/>
      </c>
      <c r="C642" s="17">
        <f>IF($A642="","",MONTH($A642))</f>
        <v/>
      </c>
      <c r="D642" s="27" t="n"/>
      <c r="E642" s="27" t="n"/>
      <c r="F642" s="28" t="n"/>
      <c r="G642" s="14">
        <f>IF($D642="","",IFERROR(INDEX(Einstellungen!$B$4:$B$40,MATCH($D642,Einstellungen!$A$4:$A$40,0)),"?"))</f>
        <v/>
      </c>
      <c r="H642" s="27" t="n"/>
      <c r="I642" s="11">
        <f>IF($F642="","",IF($G642="Einnahme",$F642,-$F642))</f>
        <v/>
      </c>
    </row>
    <row r="643" ht="15" customHeight="1" s="52">
      <c r="A643" s="20" t="n"/>
      <c r="B643" s="21">
        <f>IF($A643="","",YEAR($A643))</f>
        <v/>
      </c>
      <c r="C643" s="21">
        <f>IF($A643="","",MONTH($A643))</f>
        <v/>
      </c>
      <c r="D643" s="22" t="n"/>
      <c r="E643" s="22" t="n"/>
      <c r="F643" s="23" t="n"/>
      <c r="G643" s="24">
        <f>IF($D643="","",IFERROR(INDEX(Einstellungen!$B$4:$B$40,MATCH($D643,Einstellungen!$A$4:$A$40,0)),"?"))</f>
        <v/>
      </c>
      <c r="H643" s="22" t="n"/>
      <c r="I643" s="25">
        <f>IF($F643="","",IF($G643="Einnahme",$F643,-$F643))</f>
        <v/>
      </c>
    </row>
    <row r="644" ht="15" customHeight="1" s="52">
      <c r="A644" s="26" t="n"/>
      <c r="B644" s="17">
        <f>IF($A644="","",YEAR($A644))</f>
        <v/>
      </c>
      <c r="C644" s="17">
        <f>IF($A644="","",MONTH($A644))</f>
        <v/>
      </c>
      <c r="D644" s="27" t="n"/>
      <c r="E644" s="27" t="n"/>
      <c r="F644" s="28" t="n"/>
      <c r="G644" s="14">
        <f>IF($D644="","",IFERROR(INDEX(Einstellungen!$B$4:$B$40,MATCH($D644,Einstellungen!$A$4:$A$40,0)),"?"))</f>
        <v/>
      </c>
      <c r="H644" s="27" t="n"/>
      <c r="I644" s="11">
        <f>IF($F644="","",IF($G644="Einnahme",$F644,-$F644))</f>
        <v/>
      </c>
    </row>
    <row r="645" ht="15" customHeight="1" s="52">
      <c r="A645" s="20" t="n"/>
      <c r="B645" s="21">
        <f>IF($A645="","",YEAR($A645))</f>
        <v/>
      </c>
      <c r="C645" s="21">
        <f>IF($A645="","",MONTH($A645))</f>
        <v/>
      </c>
      <c r="D645" s="22" t="n"/>
      <c r="E645" s="22" t="n"/>
      <c r="F645" s="23" t="n"/>
      <c r="G645" s="24">
        <f>IF($D645="","",IFERROR(INDEX(Einstellungen!$B$4:$B$40,MATCH($D645,Einstellungen!$A$4:$A$40,0)),"?"))</f>
        <v/>
      </c>
      <c r="H645" s="22" t="n"/>
      <c r="I645" s="25">
        <f>IF($F645="","",IF($G645="Einnahme",$F645,-$F645))</f>
        <v/>
      </c>
    </row>
    <row r="646" ht="15" customHeight="1" s="52">
      <c r="A646" s="26" t="n"/>
      <c r="B646" s="17">
        <f>IF($A646="","",YEAR($A646))</f>
        <v/>
      </c>
      <c r="C646" s="17">
        <f>IF($A646="","",MONTH($A646))</f>
        <v/>
      </c>
      <c r="D646" s="27" t="n"/>
      <c r="E646" s="27" t="n"/>
      <c r="F646" s="28" t="n"/>
      <c r="G646" s="14">
        <f>IF($D646="","",IFERROR(INDEX(Einstellungen!$B$4:$B$40,MATCH($D646,Einstellungen!$A$4:$A$40,0)),"?"))</f>
        <v/>
      </c>
      <c r="H646" s="27" t="n"/>
      <c r="I646" s="11">
        <f>IF($F646="","",IF($G646="Einnahme",$F646,-$F646))</f>
        <v/>
      </c>
    </row>
    <row r="647" ht="15" customHeight="1" s="52">
      <c r="A647" s="20" t="n"/>
      <c r="B647" s="21">
        <f>IF($A647="","",YEAR($A647))</f>
        <v/>
      </c>
      <c r="C647" s="21">
        <f>IF($A647="","",MONTH($A647))</f>
        <v/>
      </c>
      <c r="D647" s="22" t="n"/>
      <c r="E647" s="22" t="n"/>
      <c r="F647" s="23" t="n"/>
      <c r="G647" s="24">
        <f>IF($D647="","",IFERROR(INDEX(Einstellungen!$B$4:$B$40,MATCH($D647,Einstellungen!$A$4:$A$40,0)),"?"))</f>
        <v/>
      </c>
      <c r="H647" s="22" t="n"/>
      <c r="I647" s="25">
        <f>IF($F647="","",IF($G647="Einnahme",$F647,-$F647))</f>
        <v/>
      </c>
    </row>
    <row r="648" ht="15" customHeight="1" s="52">
      <c r="A648" s="26" t="n"/>
      <c r="B648" s="17">
        <f>IF($A648="","",YEAR($A648))</f>
        <v/>
      </c>
      <c r="C648" s="17">
        <f>IF($A648="","",MONTH($A648))</f>
        <v/>
      </c>
      <c r="D648" s="27" t="n"/>
      <c r="E648" s="27" t="n"/>
      <c r="F648" s="28" t="n"/>
      <c r="G648" s="14">
        <f>IF($D648="","",IFERROR(INDEX(Einstellungen!$B$4:$B$40,MATCH($D648,Einstellungen!$A$4:$A$40,0)),"?"))</f>
        <v/>
      </c>
      <c r="H648" s="27" t="n"/>
      <c r="I648" s="11">
        <f>IF($F648="","",IF($G648="Einnahme",$F648,-$F648))</f>
        <v/>
      </c>
    </row>
    <row r="649" ht="15" customHeight="1" s="52">
      <c r="A649" s="20" t="n"/>
      <c r="B649" s="21">
        <f>IF($A649="","",YEAR($A649))</f>
        <v/>
      </c>
      <c r="C649" s="21">
        <f>IF($A649="","",MONTH($A649))</f>
        <v/>
      </c>
      <c r="D649" s="22" t="n"/>
      <c r="E649" s="22" t="n"/>
      <c r="F649" s="23" t="n"/>
      <c r="G649" s="24">
        <f>IF($D649="","",IFERROR(INDEX(Einstellungen!$B$4:$B$40,MATCH($D649,Einstellungen!$A$4:$A$40,0)),"?"))</f>
        <v/>
      </c>
      <c r="H649" s="22" t="n"/>
      <c r="I649" s="25">
        <f>IF($F649="","",IF($G649="Einnahme",$F649,-$F649))</f>
        <v/>
      </c>
    </row>
    <row r="650" ht="15" customHeight="1" s="52">
      <c r="A650" s="26" t="n"/>
      <c r="B650" s="17">
        <f>IF($A650="","",YEAR($A650))</f>
        <v/>
      </c>
      <c r="C650" s="17">
        <f>IF($A650="","",MONTH($A650))</f>
        <v/>
      </c>
      <c r="D650" s="27" t="n"/>
      <c r="E650" s="27" t="n"/>
      <c r="F650" s="28" t="n"/>
      <c r="G650" s="14">
        <f>IF($D650="","",IFERROR(INDEX(Einstellungen!$B$4:$B$40,MATCH($D650,Einstellungen!$A$4:$A$40,0)),"?"))</f>
        <v/>
      </c>
      <c r="H650" s="27" t="n"/>
      <c r="I650" s="11">
        <f>IF($F650="","",IF($G650="Einnahme",$F650,-$F650))</f>
        <v/>
      </c>
    </row>
    <row r="651" ht="15" customHeight="1" s="52">
      <c r="A651" s="20" t="n"/>
      <c r="B651" s="21">
        <f>IF($A651="","",YEAR($A651))</f>
        <v/>
      </c>
      <c r="C651" s="21">
        <f>IF($A651="","",MONTH($A651))</f>
        <v/>
      </c>
      <c r="D651" s="22" t="n"/>
      <c r="E651" s="22" t="n"/>
      <c r="F651" s="23" t="n"/>
      <c r="G651" s="24">
        <f>IF($D651="","",IFERROR(INDEX(Einstellungen!$B$4:$B$40,MATCH($D651,Einstellungen!$A$4:$A$40,0)),"?"))</f>
        <v/>
      </c>
      <c r="H651" s="22" t="n"/>
      <c r="I651" s="25">
        <f>IF($F651="","",IF($G651="Einnahme",$F651,-$F651))</f>
        <v/>
      </c>
    </row>
    <row r="652" ht="15" customHeight="1" s="52">
      <c r="A652" s="26" t="n"/>
      <c r="B652" s="17">
        <f>IF($A652="","",YEAR($A652))</f>
        <v/>
      </c>
      <c r="C652" s="17">
        <f>IF($A652="","",MONTH($A652))</f>
        <v/>
      </c>
      <c r="D652" s="27" t="n"/>
      <c r="E652" s="27" t="n"/>
      <c r="F652" s="28" t="n"/>
      <c r="G652" s="14">
        <f>IF($D652="","",IFERROR(INDEX(Einstellungen!$B$4:$B$40,MATCH($D652,Einstellungen!$A$4:$A$40,0)),"?"))</f>
        <v/>
      </c>
      <c r="H652" s="27" t="n"/>
      <c r="I652" s="11">
        <f>IF($F652="","",IF($G652="Einnahme",$F652,-$F652))</f>
        <v/>
      </c>
    </row>
    <row r="653" ht="15" customHeight="1" s="52">
      <c r="A653" s="20" t="n"/>
      <c r="B653" s="21">
        <f>IF($A653="","",YEAR($A653))</f>
        <v/>
      </c>
      <c r="C653" s="21">
        <f>IF($A653="","",MONTH($A653))</f>
        <v/>
      </c>
      <c r="D653" s="22" t="n"/>
      <c r="E653" s="22" t="n"/>
      <c r="F653" s="23" t="n"/>
      <c r="G653" s="24">
        <f>IF($D653="","",IFERROR(INDEX(Einstellungen!$B$4:$B$40,MATCH($D653,Einstellungen!$A$4:$A$40,0)),"?"))</f>
        <v/>
      </c>
      <c r="H653" s="22" t="n"/>
      <c r="I653" s="25">
        <f>IF($F653="","",IF($G653="Einnahme",$F653,-$F653))</f>
        <v/>
      </c>
    </row>
    <row r="654" ht="15" customHeight="1" s="52">
      <c r="A654" s="26" t="n"/>
      <c r="B654" s="17">
        <f>IF($A654="","",YEAR($A654))</f>
        <v/>
      </c>
      <c r="C654" s="17">
        <f>IF($A654="","",MONTH($A654))</f>
        <v/>
      </c>
      <c r="D654" s="27" t="n"/>
      <c r="E654" s="27" t="n"/>
      <c r="F654" s="28" t="n"/>
      <c r="G654" s="14">
        <f>IF($D654="","",IFERROR(INDEX(Einstellungen!$B$4:$B$40,MATCH($D654,Einstellungen!$A$4:$A$40,0)),"?"))</f>
        <v/>
      </c>
      <c r="H654" s="27" t="n"/>
      <c r="I654" s="11">
        <f>IF($F654="","",IF($G654="Einnahme",$F654,-$F654))</f>
        <v/>
      </c>
    </row>
    <row r="655" ht="15" customHeight="1" s="52">
      <c r="A655" s="20" t="n"/>
      <c r="B655" s="21">
        <f>IF($A655="","",YEAR($A655))</f>
        <v/>
      </c>
      <c r="C655" s="21">
        <f>IF($A655="","",MONTH($A655))</f>
        <v/>
      </c>
      <c r="D655" s="22" t="n"/>
      <c r="E655" s="22" t="n"/>
      <c r="F655" s="23" t="n"/>
      <c r="G655" s="24">
        <f>IF($D655="","",IFERROR(INDEX(Einstellungen!$B$4:$B$40,MATCH($D655,Einstellungen!$A$4:$A$40,0)),"?"))</f>
        <v/>
      </c>
      <c r="H655" s="22" t="n"/>
      <c r="I655" s="25">
        <f>IF($F655="","",IF($G655="Einnahme",$F655,-$F655))</f>
        <v/>
      </c>
    </row>
    <row r="656" ht="15" customHeight="1" s="52">
      <c r="A656" s="26" t="n"/>
      <c r="B656" s="17">
        <f>IF($A656="","",YEAR($A656))</f>
        <v/>
      </c>
      <c r="C656" s="17">
        <f>IF($A656="","",MONTH($A656))</f>
        <v/>
      </c>
      <c r="D656" s="27" t="n"/>
      <c r="E656" s="27" t="n"/>
      <c r="F656" s="28" t="n"/>
      <c r="G656" s="14">
        <f>IF($D656="","",IFERROR(INDEX(Einstellungen!$B$4:$B$40,MATCH($D656,Einstellungen!$A$4:$A$40,0)),"?"))</f>
        <v/>
      </c>
      <c r="H656" s="27" t="n"/>
      <c r="I656" s="11">
        <f>IF($F656="","",IF($G656="Einnahme",$F656,-$F656))</f>
        <v/>
      </c>
    </row>
    <row r="657" ht="15" customHeight="1" s="52">
      <c r="A657" s="20" t="n"/>
      <c r="B657" s="21">
        <f>IF($A657="","",YEAR($A657))</f>
        <v/>
      </c>
      <c r="C657" s="21">
        <f>IF($A657="","",MONTH($A657))</f>
        <v/>
      </c>
      <c r="D657" s="22" t="n"/>
      <c r="E657" s="22" t="n"/>
      <c r="F657" s="23" t="n"/>
      <c r="G657" s="24">
        <f>IF($D657="","",IFERROR(INDEX(Einstellungen!$B$4:$B$40,MATCH($D657,Einstellungen!$A$4:$A$40,0)),"?"))</f>
        <v/>
      </c>
      <c r="H657" s="22" t="n"/>
      <c r="I657" s="25">
        <f>IF($F657="","",IF($G657="Einnahme",$F657,-$F657))</f>
        <v/>
      </c>
    </row>
    <row r="658" ht="15" customHeight="1" s="52">
      <c r="A658" s="26" t="n"/>
      <c r="B658" s="17">
        <f>IF($A658="","",YEAR($A658))</f>
        <v/>
      </c>
      <c r="C658" s="17">
        <f>IF($A658="","",MONTH($A658))</f>
        <v/>
      </c>
      <c r="D658" s="27" t="n"/>
      <c r="E658" s="27" t="n"/>
      <c r="F658" s="28" t="n"/>
      <c r="G658" s="14">
        <f>IF($D658="","",IFERROR(INDEX(Einstellungen!$B$4:$B$40,MATCH($D658,Einstellungen!$A$4:$A$40,0)),"?"))</f>
        <v/>
      </c>
      <c r="H658" s="27" t="n"/>
      <c r="I658" s="11">
        <f>IF($F658="","",IF($G658="Einnahme",$F658,-$F658))</f>
        <v/>
      </c>
    </row>
    <row r="659" ht="15" customHeight="1" s="52">
      <c r="A659" s="20" t="n"/>
      <c r="B659" s="21">
        <f>IF($A659="","",YEAR($A659))</f>
        <v/>
      </c>
      <c r="C659" s="21">
        <f>IF($A659="","",MONTH($A659))</f>
        <v/>
      </c>
      <c r="D659" s="22" t="n"/>
      <c r="E659" s="22" t="n"/>
      <c r="F659" s="23" t="n"/>
      <c r="G659" s="24">
        <f>IF($D659="","",IFERROR(INDEX(Einstellungen!$B$4:$B$40,MATCH($D659,Einstellungen!$A$4:$A$40,0)),"?"))</f>
        <v/>
      </c>
      <c r="H659" s="22" t="n"/>
      <c r="I659" s="25">
        <f>IF($F659="","",IF($G659="Einnahme",$F659,-$F659))</f>
        <v/>
      </c>
    </row>
    <row r="660" ht="15" customHeight="1" s="52">
      <c r="A660" s="26" t="n"/>
      <c r="B660" s="17">
        <f>IF($A660="","",YEAR($A660))</f>
        <v/>
      </c>
      <c r="C660" s="17">
        <f>IF($A660="","",MONTH($A660))</f>
        <v/>
      </c>
      <c r="D660" s="27" t="n"/>
      <c r="E660" s="27" t="n"/>
      <c r="F660" s="28" t="n"/>
      <c r="G660" s="14">
        <f>IF($D660="","",IFERROR(INDEX(Einstellungen!$B$4:$B$40,MATCH($D660,Einstellungen!$A$4:$A$40,0)),"?"))</f>
        <v/>
      </c>
      <c r="H660" s="27" t="n"/>
      <c r="I660" s="11">
        <f>IF($F660="","",IF($G660="Einnahme",$F660,-$F660))</f>
        <v/>
      </c>
    </row>
    <row r="661" ht="15" customHeight="1" s="52">
      <c r="A661" s="20" t="n"/>
      <c r="B661" s="21">
        <f>IF($A661="","",YEAR($A661))</f>
        <v/>
      </c>
      <c r="C661" s="21">
        <f>IF($A661="","",MONTH($A661))</f>
        <v/>
      </c>
      <c r="D661" s="22" t="n"/>
      <c r="E661" s="22" t="n"/>
      <c r="F661" s="23" t="n"/>
      <c r="G661" s="24">
        <f>IF($D661="","",IFERROR(INDEX(Einstellungen!$B$4:$B$40,MATCH($D661,Einstellungen!$A$4:$A$40,0)),"?"))</f>
        <v/>
      </c>
      <c r="H661" s="22" t="n"/>
      <c r="I661" s="25">
        <f>IF($F661="","",IF($G661="Einnahme",$F661,-$F661))</f>
        <v/>
      </c>
    </row>
    <row r="662" ht="15" customHeight="1" s="52">
      <c r="A662" s="26" t="n"/>
      <c r="B662" s="17">
        <f>IF($A662="","",YEAR($A662))</f>
        <v/>
      </c>
      <c r="C662" s="17">
        <f>IF($A662="","",MONTH($A662))</f>
        <v/>
      </c>
      <c r="D662" s="27" t="n"/>
      <c r="E662" s="27" t="n"/>
      <c r="F662" s="28" t="n"/>
      <c r="G662" s="14">
        <f>IF($D662="","",IFERROR(INDEX(Einstellungen!$B$4:$B$40,MATCH($D662,Einstellungen!$A$4:$A$40,0)),"?"))</f>
        <v/>
      </c>
      <c r="H662" s="27" t="n"/>
      <c r="I662" s="11">
        <f>IF($F662="","",IF($G662="Einnahme",$F662,-$F662))</f>
        <v/>
      </c>
    </row>
    <row r="663" ht="15" customHeight="1" s="52">
      <c r="A663" s="20" t="n"/>
      <c r="B663" s="21">
        <f>IF($A663="","",YEAR($A663))</f>
        <v/>
      </c>
      <c r="C663" s="21">
        <f>IF($A663="","",MONTH($A663))</f>
        <v/>
      </c>
      <c r="D663" s="22" t="n"/>
      <c r="E663" s="22" t="n"/>
      <c r="F663" s="23" t="n"/>
      <c r="G663" s="24">
        <f>IF($D663="","",IFERROR(INDEX(Einstellungen!$B$4:$B$40,MATCH($D663,Einstellungen!$A$4:$A$40,0)),"?"))</f>
        <v/>
      </c>
      <c r="H663" s="22" t="n"/>
      <c r="I663" s="25">
        <f>IF($F663="","",IF($G663="Einnahme",$F663,-$F663))</f>
        <v/>
      </c>
    </row>
    <row r="664" ht="15" customHeight="1" s="52">
      <c r="A664" s="26" t="n"/>
      <c r="B664" s="17">
        <f>IF($A664="","",YEAR($A664))</f>
        <v/>
      </c>
      <c r="C664" s="17">
        <f>IF($A664="","",MONTH($A664))</f>
        <v/>
      </c>
      <c r="D664" s="27" t="n"/>
      <c r="E664" s="27" t="n"/>
      <c r="F664" s="28" t="n"/>
      <c r="G664" s="14">
        <f>IF($D664="","",IFERROR(INDEX(Einstellungen!$B$4:$B$40,MATCH($D664,Einstellungen!$A$4:$A$40,0)),"?"))</f>
        <v/>
      </c>
      <c r="H664" s="27" t="n"/>
      <c r="I664" s="11">
        <f>IF($F664="","",IF($G664="Einnahme",$F664,-$F664))</f>
        <v/>
      </c>
    </row>
    <row r="665" ht="15" customHeight="1" s="52">
      <c r="A665" s="20" t="n"/>
      <c r="B665" s="21">
        <f>IF($A665="","",YEAR($A665))</f>
        <v/>
      </c>
      <c r="C665" s="21">
        <f>IF($A665="","",MONTH($A665))</f>
        <v/>
      </c>
      <c r="D665" s="22" t="n"/>
      <c r="E665" s="22" t="n"/>
      <c r="F665" s="23" t="n"/>
      <c r="G665" s="24">
        <f>IF($D665="","",IFERROR(INDEX(Einstellungen!$B$4:$B$40,MATCH($D665,Einstellungen!$A$4:$A$40,0)),"?"))</f>
        <v/>
      </c>
      <c r="H665" s="22" t="n"/>
      <c r="I665" s="25">
        <f>IF($F665="","",IF($G665="Einnahme",$F665,-$F665))</f>
        <v/>
      </c>
    </row>
    <row r="666" ht="15" customHeight="1" s="52">
      <c r="A666" s="26" t="n"/>
      <c r="B666" s="17">
        <f>IF($A666="","",YEAR($A666))</f>
        <v/>
      </c>
      <c r="C666" s="17">
        <f>IF($A666="","",MONTH($A666))</f>
        <v/>
      </c>
      <c r="D666" s="27" t="n"/>
      <c r="E666" s="27" t="n"/>
      <c r="F666" s="28" t="n"/>
      <c r="G666" s="14">
        <f>IF($D666="","",IFERROR(INDEX(Einstellungen!$B$4:$B$40,MATCH($D666,Einstellungen!$A$4:$A$40,0)),"?"))</f>
        <v/>
      </c>
      <c r="H666" s="27" t="n"/>
      <c r="I666" s="11">
        <f>IF($F666="","",IF($G666="Einnahme",$F666,-$F666))</f>
        <v/>
      </c>
    </row>
    <row r="667" ht="15" customHeight="1" s="52">
      <c r="A667" s="20" t="n"/>
      <c r="B667" s="21">
        <f>IF($A667="","",YEAR($A667))</f>
        <v/>
      </c>
      <c r="C667" s="21">
        <f>IF($A667="","",MONTH($A667))</f>
        <v/>
      </c>
      <c r="D667" s="22" t="n"/>
      <c r="E667" s="22" t="n"/>
      <c r="F667" s="23" t="n"/>
      <c r="G667" s="24">
        <f>IF($D667="","",IFERROR(INDEX(Einstellungen!$B$4:$B$40,MATCH($D667,Einstellungen!$A$4:$A$40,0)),"?"))</f>
        <v/>
      </c>
      <c r="H667" s="22" t="n"/>
      <c r="I667" s="25">
        <f>IF($F667="","",IF($G667="Einnahme",$F667,-$F667))</f>
        <v/>
      </c>
    </row>
    <row r="668" ht="15" customHeight="1" s="52">
      <c r="A668" s="26" t="n"/>
      <c r="B668" s="17">
        <f>IF($A668="","",YEAR($A668))</f>
        <v/>
      </c>
      <c r="C668" s="17">
        <f>IF($A668="","",MONTH($A668))</f>
        <v/>
      </c>
      <c r="D668" s="27" t="n"/>
      <c r="E668" s="27" t="n"/>
      <c r="F668" s="28" t="n"/>
      <c r="G668" s="14">
        <f>IF($D668="","",IFERROR(INDEX(Einstellungen!$B$4:$B$40,MATCH($D668,Einstellungen!$A$4:$A$40,0)),"?"))</f>
        <v/>
      </c>
      <c r="H668" s="27" t="n"/>
      <c r="I668" s="11">
        <f>IF($F668="","",IF($G668="Einnahme",$F668,-$F668))</f>
        <v/>
      </c>
    </row>
    <row r="669" ht="15" customHeight="1" s="52">
      <c r="A669" s="20" t="n"/>
      <c r="B669" s="21">
        <f>IF($A669="","",YEAR($A669))</f>
        <v/>
      </c>
      <c r="C669" s="21">
        <f>IF($A669="","",MONTH($A669))</f>
        <v/>
      </c>
      <c r="D669" s="22" t="n"/>
      <c r="E669" s="22" t="n"/>
      <c r="F669" s="23" t="n"/>
      <c r="G669" s="24">
        <f>IF($D669="","",IFERROR(INDEX(Einstellungen!$B$4:$B$40,MATCH($D669,Einstellungen!$A$4:$A$40,0)),"?"))</f>
        <v/>
      </c>
      <c r="H669" s="22" t="n"/>
      <c r="I669" s="25">
        <f>IF($F669="","",IF($G669="Einnahme",$F669,-$F669))</f>
        <v/>
      </c>
    </row>
    <row r="670" ht="15" customHeight="1" s="52">
      <c r="A670" s="26" t="n"/>
      <c r="B670" s="17">
        <f>IF($A670="","",YEAR($A670))</f>
        <v/>
      </c>
      <c r="C670" s="17">
        <f>IF($A670="","",MONTH($A670))</f>
        <v/>
      </c>
      <c r="D670" s="27" t="n"/>
      <c r="E670" s="27" t="n"/>
      <c r="F670" s="28" t="n"/>
      <c r="G670" s="14">
        <f>IF($D670="","",IFERROR(INDEX(Einstellungen!$B$4:$B$40,MATCH($D670,Einstellungen!$A$4:$A$40,0)),"?"))</f>
        <v/>
      </c>
      <c r="H670" s="27" t="n"/>
      <c r="I670" s="11">
        <f>IF($F670="","",IF($G670="Einnahme",$F670,-$F670))</f>
        <v/>
      </c>
    </row>
    <row r="671" ht="15" customHeight="1" s="52">
      <c r="A671" s="20" t="n"/>
      <c r="B671" s="21">
        <f>IF($A671="","",YEAR($A671))</f>
        <v/>
      </c>
      <c r="C671" s="21">
        <f>IF($A671="","",MONTH($A671))</f>
        <v/>
      </c>
      <c r="D671" s="22" t="n"/>
      <c r="E671" s="22" t="n"/>
      <c r="F671" s="23" t="n"/>
      <c r="G671" s="24">
        <f>IF($D671="","",IFERROR(INDEX(Einstellungen!$B$4:$B$40,MATCH($D671,Einstellungen!$A$4:$A$40,0)),"?"))</f>
        <v/>
      </c>
      <c r="H671" s="22" t="n"/>
      <c r="I671" s="25">
        <f>IF($F671="","",IF($G671="Einnahme",$F671,-$F671))</f>
        <v/>
      </c>
    </row>
    <row r="672" ht="15" customHeight="1" s="52">
      <c r="A672" s="26" t="n"/>
      <c r="B672" s="17">
        <f>IF($A672="","",YEAR($A672))</f>
        <v/>
      </c>
      <c r="C672" s="17">
        <f>IF($A672="","",MONTH($A672))</f>
        <v/>
      </c>
      <c r="D672" s="27" t="n"/>
      <c r="E672" s="27" t="n"/>
      <c r="F672" s="28" t="n"/>
      <c r="G672" s="14">
        <f>IF($D672="","",IFERROR(INDEX(Einstellungen!$B$4:$B$40,MATCH($D672,Einstellungen!$A$4:$A$40,0)),"?"))</f>
        <v/>
      </c>
      <c r="H672" s="27" t="n"/>
      <c r="I672" s="11">
        <f>IF($F672="","",IF($G672="Einnahme",$F672,-$F672))</f>
        <v/>
      </c>
    </row>
    <row r="673" ht="15" customHeight="1" s="52">
      <c r="A673" s="20" t="n"/>
      <c r="B673" s="21">
        <f>IF($A673="","",YEAR($A673))</f>
        <v/>
      </c>
      <c r="C673" s="21">
        <f>IF($A673="","",MONTH($A673))</f>
        <v/>
      </c>
      <c r="D673" s="22" t="n"/>
      <c r="E673" s="22" t="n"/>
      <c r="F673" s="23" t="n"/>
      <c r="G673" s="24">
        <f>IF($D673="","",IFERROR(INDEX(Einstellungen!$B$4:$B$40,MATCH($D673,Einstellungen!$A$4:$A$40,0)),"?"))</f>
        <v/>
      </c>
      <c r="H673" s="22" t="n"/>
      <c r="I673" s="25">
        <f>IF($F673="","",IF($G673="Einnahme",$F673,-$F673))</f>
        <v/>
      </c>
    </row>
    <row r="674" ht="15" customHeight="1" s="52">
      <c r="A674" s="26" t="n"/>
      <c r="B674" s="17">
        <f>IF($A674="","",YEAR($A674))</f>
        <v/>
      </c>
      <c r="C674" s="17">
        <f>IF($A674="","",MONTH($A674))</f>
        <v/>
      </c>
      <c r="D674" s="27" t="n"/>
      <c r="E674" s="27" t="n"/>
      <c r="F674" s="28" t="n"/>
      <c r="G674" s="14">
        <f>IF($D674="","",IFERROR(INDEX(Einstellungen!$B$4:$B$40,MATCH($D674,Einstellungen!$A$4:$A$40,0)),"?"))</f>
        <v/>
      </c>
      <c r="H674" s="27" t="n"/>
      <c r="I674" s="11">
        <f>IF($F674="","",IF($G674="Einnahme",$F674,-$F674))</f>
        <v/>
      </c>
    </row>
    <row r="675" ht="15" customHeight="1" s="52">
      <c r="A675" s="20" t="n"/>
      <c r="B675" s="21">
        <f>IF($A675="","",YEAR($A675))</f>
        <v/>
      </c>
      <c r="C675" s="21">
        <f>IF($A675="","",MONTH($A675))</f>
        <v/>
      </c>
      <c r="D675" s="22" t="n"/>
      <c r="E675" s="22" t="n"/>
      <c r="F675" s="23" t="n"/>
      <c r="G675" s="24">
        <f>IF($D675="","",IFERROR(INDEX(Einstellungen!$B$4:$B$40,MATCH($D675,Einstellungen!$A$4:$A$40,0)),"?"))</f>
        <v/>
      </c>
      <c r="H675" s="22" t="n"/>
      <c r="I675" s="25">
        <f>IF($F675="","",IF($G675="Einnahme",$F675,-$F675))</f>
        <v/>
      </c>
    </row>
    <row r="676" ht="15" customHeight="1" s="52">
      <c r="A676" s="26" t="n"/>
      <c r="B676" s="17">
        <f>IF($A676="","",YEAR($A676))</f>
        <v/>
      </c>
      <c r="C676" s="17">
        <f>IF($A676="","",MONTH($A676))</f>
        <v/>
      </c>
      <c r="D676" s="27" t="n"/>
      <c r="E676" s="27" t="n"/>
      <c r="F676" s="28" t="n"/>
      <c r="G676" s="14">
        <f>IF($D676="","",IFERROR(INDEX(Einstellungen!$B$4:$B$40,MATCH($D676,Einstellungen!$A$4:$A$40,0)),"?"))</f>
        <v/>
      </c>
      <c r="H676" s="27" t="n"/>
      <c r="I676" s="11">
        <f>IF($F676="","",IF($G676="Einnahme",$F676,-$F676))</f>
        <v/>
      </c>
    </row>
    <row r="677" ht="15" customHeight="1" s="52">
      <c r="A677" s="20" t="n"/>
      <c r="B677" s="21">
        <f>IF($A677="","",YEAR($A677))</f>
        <v/>
      </c>
      <c r="C677" s="21">
        <f>IF($A677="","",MONTH($A677))</f>
        <v/>
      </c>
      <c r="D677" s="22" t="n"/>
      <c r="E677" s="22" t="n"/>
      <c r="F677" s="23" t="n"/>
      <c r="G677" s="24">
        <f>IF($D677="","",IFERROR(INDEX(Einstellungen!$B$4:$B$40,MATCH($D677,Einstellungen!$A$4:$A$40,0)),"?"))</f>
        <v/>
      </c>
      <c r="H677" s="22" t="n"/>
      <c r="I677" s="25">
        <f>IF($F677="","",IF($G677="Einnahme",$F677,-$F677))</f>
        <v/>
      </c>
    </row>
    <row r="678" ht="15" customHeight="1" s="52">
      <c r="A678" s="26" t="n"/>
      <c r="B678" s="17">
        <f>IF($A678="","",YEAR($A678))</f>
        <v/>
      </c>
      <c r="C678" s="17">
        <f>IF($A678="","",MONTH($A678))</f>
        <v/>
      </c>
      <c r="D678" s="27" t="n"/>
      <c r="E678" s="27" t="n"/>
      <c r="F678" s="28" t="n"/>
      <c r="G678" s="14">
        <f>IF($D678="","",IFERROR(INDEX(Einstellungen!$B$4:$B$40,MATCH($D678,Einstellungen!$A$4:$A$40,0)),"?"))</f>
        <v/>
      </c>
      <c r="H678" s="27" t="n"/>
      <c r="I678" s="11">
        <f>IF($F678="","",IF($G678="Einnahme",$F678,-$F678))</f>
        <v/>
      </c>
    </row>
    <row r="679" ht="15" customHeight="1" s="52">
      <c r="A679" s="20" t="n"/>
      <c r="B679" s="21">
        <f>IF($A679="","",YEAR($A679))</f>
        <v/>
      </c>
      <c r="C679" s="21">
        <f>IF($A679="","",MONTH($A679))</f>
        <v/>
      </c>
      <c r="D679" s="22" t="n"/>
      <c r="E679" s="22" t="n"/>
      <c r="F679" s="23" t="n"/>
      <c r="G679" s="24">
        <f>IF($D679="","",IFERROR(INDEX(Einstellungen!$B$4:$B$40,MATCH($D679,Einstellungen!$A$4:$A$40,0)),"?"))</f>
        <v/>
      </c>
      <c r="H679" s="22" t="n"/>
      <c r="I679" s="25">
        <f>IF($F679="","",IF($G679="Einnahme",$F679,-$F679))</f>
        <v/>
      </c>
    </row>
    <row r="680" ht="15" customHeight="1" s="52">
      <c r="A680" s="26" t="n"/>
      <c r="B680" s="17">
        <f>IF($A680="","",YEAR($A680))</f>
        <v/>
      </c>
      <c r="C680" s="17">
        <f>IF($A680="","",MONTH($A680))</f>
        <v/>
      </c>
      <c r="D680" s="27" t="n"/>
      <c r="E680" s="27" t="n"/>
      <c r="F680" s="28" t="n"/>
      <c r="G680" s="14">
        <f>IF($D680="","",IFERROR(INDEX(Einstellungen!$B$4:$B$40,MATCH($D680,Einstellungen!$A$4:$A$40,0)),"?"))</f>
        <v/>
      </c>
      <c r="H680" s="27" t="n"/>
      <c r="I680" s="11">
        <f>IF($F680="","",IF($G680="Einnahme",$F680,-$F680))</f>
        <v/>
      </c>
    </row>
    <row r="681" ht="15" customHeight="1" s="52">
      <c r="A681" s="20" t="n"/>
      <c r="B681" s="21">
        <f>IF($A681="","",YEAR($A681))</f>
        <v/>
      </c>
      <c r="C681" s="21">
        <f>IF($A681="","",MONTH($A681))</f>
        <v/>
      </c>
      <c r="D681" s="22" t="n"/>
      <c r="E681" s="22" t="n"/>
      <c r="F681" s="23" t="n"/>
      <c r="G681" s="24">
        <f>IF($D681="","",IFERROR(INDEX(Einstellungen!$B$4:$B$40,MATCH($D681,Einstellungen!$A$4:$A$40,0)),"?"))</f>
        <v/>
      </c>
      <c r="H681" s="22" t="n"/>
      <c r="I681" s="25">
        <f>IF($F681="","",IF($G681="Einnahme",$F681,-$F681))</f>
        <v/>
      </c>
    </row>
    <row r="682" ht="15" customHeight="1" s="52">
      <c r="A682" s="26" t="n"/>
      <c r="B682" s="17">
        <f>IF($A682="","",YEAR($A682))</f>
        <v/>
      </c>
      <c r="C682" s="17">
        <f>IF($A682="","",MONTH($A682))</f>
        <v/>
      </c>
      <c r="D682" s="27" t="n"/>
      <c r="E682" s="27" t="n"/>
      <c r="F682" s="28" t="n"/>
      <c r="G682" s="14">
        <f>IF($D682="","",IFERROR(INDEX(Einstellungen!$B$4:$B$40,MATCH($D682,Einstellungen!$A$4:$A$40,0)),"?"))</f>
        <v/>
      </c>
      <c r="H682" s="27" t="n"/>
      <c r="I682" s="11">
        <f>IF($F682="","",IF($G682="Einnahme",$F682,-$F682))</f>
        <v/>
      </c>
    </row>
    <row r="683" ht="15" customHeight="1" s="52">
      <c r="A683" s="20" t="n"/>
      <c r="B683" s="21">
        <f>IF($A683="","",YEAR($A683))</f>
        <v/>
      </c>
      <c r="C683" s="21">
        <f>IF($A683="","",MONTH($A683))</f>
        <v/>
      </c>
      <c r="D683" s="22" t="n"/>
      <c r="E683" s="22" t="n"/>
      <c r="F683" s="23" t="n"/>
      <c r="G683" s="24">
        <f>IF($D683="","",IFERROR(INDEX(Einstellungen!$B$4:$B$40,MATCH($D683,Einstellungen!$A$4:$A$40,0)),"?"))</f>
        <v/>
      </c>
      <c r="H683" s="22" t="n"/>
      <c r="I683" s="25">
        <f>IF($F683="","",IF($G683="Einnahme",$F683,-$F683))</f>
        <v/>
      </c>
    </row>
    <row r="684" ht="15" customHeight="1" s="52">
      <c r="A684" s="26" t="n"/>
      <c r="B684" s="17">
        <f>IF($A684="","",YEAR($A684))</f>
        <v/>
      </c>
      <c r="C684" s="17">
        <f>IF($A684="","",MONTH($A684))</f>
        <v/>
      </c>
      <c r="D684" s="27" t="n"/>
      <c r="E684" s="27" t="n"/>
      <c r="F684" s="28" t="n"/>
      <c r="G684" s="14">
        <f>IF($D684="","",IFERROR(INDEX(Einstellungen!$B$4:$B$40,MATCH($D684,Einstellungen!$A$4:$A$40,0)),"?"))</f>
        <v/>
      </c>
      <c r="H684" s="27" t="n"/>
      <c r="I684" s="11">
        <f>IF($F684="","",IF($G684="Einnahme",$F684,-$F684))</f>
        <v/>
      </c>
    </row>
    <row r="685" ht="15" customHeight="1" s="52">
      <c r="A685" s="20" t="n"/>
      <c r="B685" s="21">
        <f>IF($A685="","",YEAR($A685))</f>
        <v/>
      </c>
      <c r="C685" s="21">
        <f>IF($A685="","",MONTH($A685))</f>
        <v/>
      </c>
      <c r="D685" s="22" t="n"/>
      <c r="E685" s="22" t="n"/>
      <c r="F685" s="23" t="n"/>
      <c r="G685" s="24">
        <f>IF($D685="","",IFERROR(INDEX(Einstellungen!$B$4:$B$40,MATCH($D685,Einstellungen!$A$4:$A$40,0)),"?"))</f>
        <v/>
      </c>
      <c r="H685" s="22" t="n"/>
      <c r="I685" s="25">
        <f>IF($F685="","",IF($G685="Einnahme",$F685,-$F685))</f>
        <v/>
      </c>
    </row>
    <row r="686" ht="15" customHeight="1" s="52">
      <c r="A686" s="26" t="n"/>
      <c r="B686" s="17">
        <f>IF($A686="","",YEAR($A686))</f>
        <v/>
      </c>
      <c r="C686" s="17">
        <f>IF($A686="","",MONTH($A686))</f>
        <v/>
      </c>
      <c r="D686" s="27" t="n"/>
      <c r="E686" s="27" t="n"/>
      <c r="F686" s="28" t="n"/>
      <c r="G686" s="14">
        <f>IF($D686="","",IFERROR(INDEX(Einstellungen!$B$4:$B$40,MATCH($D686,Einstellungen!$A$4:$A$40,0)),"?"))</f>
        <v/>
      </c>
      <c r="H686" s="27" t="n"/>
      <c r="I686" s="11">
        <f>IF($F686="","",IF($G686="Einnahme",$F686,-$F686))</f>
        <v/>
      </c>
    </row>
    <row r="687" ht="15" customHeight="1" s="52">
      <c r="A687" s="20" t="n"/>
      <c r="B687" s="21">
        <f>IF($A687="","",YEAR($A687))</f>
        <v/>
      </c>
      <c r="C687" s="21">
        <f>IF($A687="","",MONTH($A687))</f>
        <v/>
      </c>
      <c r="D687" s="22" t="n"/>
      <c r="E687" s="22" t="n"/>
      <c r="F687" s="23" t="n"/>
      <c r="G687" s="24">
        <f>IF($D687="","",IFERROR(INDEX(Einstellungen!$B$4:$B$40,MATCH($D687,Einstellungen!$A$4:$A$40,0)),"?"))</f>
        <v/>
      </c>
      <c r="H687" s="22" t="n"/>
      <c r="I687" s="25">
        <f>IF($F687="","",IF($G687="Einnahme",$F687,-$F687))</f>
        <v/>
      </c>
    </row>
    <row r="688" ht="15" customHeight="1" s="52">
      <c r="A688" s="26" t="n"/>
      <c r="B688" s="17">
        <f>IF($A688="","",YEAR($A688))</f>
        <v/>
      </c>
      <c r="C688" s="17">
        <f>IF($A688="","",MONTH($A688))</f>
        <v/>
      </c>
      <c r="D688" s="27" t="n"/>
      <c r="E688" s="27" t="n"/>
      <c r="F688" s="28" t="n"/>
      <c r="G688" s="14">
        <f>IF($D688="","",IFERROR(INDEX(Einstellungen!$B$4:$B$40,MATCH($D688,Einstellungen!$A$4:$A$40,0)),"?"))</f>
        <v/>
      </c>
      <c r="H688" s="27" t="n"/>
      <c r="I688" s="11">
        <f>IF($F688="","",IF($G688="Einnahme",$F688,-$F688))</f>
        <v/>
      </c>
    </row>
    <row r="689" ht="15" customHeight="1" s="52">
      <c r="A689" s="20" t="n"/>
      <c r="B689" s="21">
        <f>IF($A689="","",YEAR($A689))</f>
        <v/>
      </c>
      <c r="C689" s="21">
        <f>IF($A689="","",MONTH($A689))</f>
        <v/>
      </c>
      <c r="D689" s="22" t="n"/>
      <c r="E689" s="22" t="n"/>
      <c r="F689" s="23" t="n"/>
      <c r="G689" s="24">
        <f>IF($D689="","",IFERROR(INDEX(Einstellungen!$B$4:$B$40,MATCH($D689,Einstellungen!$A$4:$A$40,0)),"?"))</f>
        <v/>
      </c>
      <c r="H689" s="22" t="n"/>
      <c r="I689" s="25">
        <f>IF($F689="","",IF($G689="Einnahme",$F689,-$F689))</f>
        <v/>
      </c>
    </row>
    <row r="690" ht="15" customHeight="1" s="52">
      <c r="A690" s="26" t="n"/>
      <c r="B690" s="17">
        <f>IF($A690="","",YEAR($A690))</f>
        <v/>
      </c>
      <c r="C690" s="17">
        <f>IF($A690="","",MONTH($A690))</f>
        <v/>
      </c>
      <c r="D690" s="27" t="n"/>
      <c r="E690" s="27" t="n"/>
      <c r="F690" s="28" t="n"/>
      <c r="G690" s="14">
        <f>IF($D690="","",IFERROR(INDEX(Einstellungen!$B$4:$B$40,MATCH($D690,Einstellungen!$A$4:$A$40,0)),"?"))</f>
        <v/>
      </c>
      <c r="H690" s="27" t="n"/>
      <c r="I690" s="11">
        <f>IF($F690="","",IF($G690="Einnahme",$F690,-$F690))</f>
        <v/>
      </c>
    </row>
    <row r="691" ht="15" customHeight="1" s="52">
      <c r="A691" s="20" t="n"/>
      <c r="B691" s="21">
        <f>IF($A691="","",YEAR($A691))</f>
        <v/>
      </c>
      <c r="C691" s="21">
        <f>IF($A691="","",MONTH($A691))</f>
        <v/>
      </c>
      <c r="D691" s="22" t="n"/>
      <c r="E691" s="22" t="n"/>
      <c r="F691" s="23" t="n"/>
      <c r="G691" s="24">
        <f>IF($D691="","",IFERROR(INDEX(Einstellungen!$B$4:$B$40,MATCH($D691,Einstellungen!$A$4:$A$40,0)),"?"))</f>
        <v/>
      </c>
      <c r="H691" s="22" t="n"/>
      <c r="I691" s="25">
        <f>IF($F691="","",IF($G691="Einnahme",$F691,-$F691))</f>
        <v/>
      </c>
    </row>
    <row r="692" ht="15" customHeight="1" s="52">
      <c r="A692" s="26" t="n"/>
      <c r="B692" s="17">
        <f>IF($A692="","",YEAR($A692))</f>
        <v/>
      </c>
      <c r="C692" s="17">
        <f>IF($A692="","",MONTH($A692))</f>
        <v/>
      </c>
      <c r="D692" s="27" t="n"/>
      <c r="E692" s="27" t="n"/>
      <c r="F692" s="28" t="n"/>
      <c r="G692" s="14">
        <f>IF($D692="","",IFERROR(INDEX(Einstellungen!$B$4:$B$40,MATCH($D692,Einstellungen!$A$4:$A$40,0)),"?"))</f>
        <v/>
      </c>
      <c r="H692" s="27" t="n"/>
      <c r="I692" s="11">
        <f>IF($F692="","",IF($G692="Einnahme",$F692,-$F692))</f>
        <v/>
      </c>
    </row>
    <row r="693" ht="15" customHeight="1" s="52">
      <c r="A693" s="20" t="n"/>
      <c r="B693" s="21">
        <f>IF($A693="","",YEAR($A693))</f>
        <v/>
      </c>
      <c r="C693" s="21">
        <f>IF($A693="","",MONTH($A693))</f>
        <v/>
      </c>
      <c r="D693" s="22" t="n"/>
      <c r="E693" s="22" t="n"/>
      <c r="F693" s="23" t="n"/>
      <c r="G693" s="24">
        <f>IF($D693="","",IFERROR(INDEX(Einstellungen!$B$4:$B$40,MATCH($D693,Einstellungen!$A$4:$A$40,0)),"?"))</f>
        <v/>
      </c>
      <c r="H693" s="22" t="n"/>
      <c r="I693" s="25">
        <f>IF($F693="","",IF($G693="Einnahme",$F693,-$F693))</f>
        <v/>
      </c>
    </row>
    <row r="694" ht="15" customHeight="1" s="52">
      <c r="A694" s="26" t="n"/>
      <c r="B694" s="17">
        <f>IF($A694="","",YEAR($A694))</f>
        <v/>
      </c>
      <c r="C694" s="17">
        <f>IF($A694="","",MONTH($A694))</f>
        <v/>
      </c>
      <c r="D694" s="27" t="n"/>
      <c r="E694" s="27" t="n"/>
      <c r="F694" s="28" t="n"/>
      <c r="G694" s="14">
        <f>IF($D694="","",IFERROR(INDEX(Einstellungen!$B$4:$B$40,MATCH($D694,Einstellungen!$A$4:$A$40,0)),"?"))</f>
        <v/>
      </c>
      <c r="H694" s="27" t="n"/>
      <c r="I694" s="11">
        <f>IF($F694="","",IF($G694="Einnahme",$F694,-$F694))</f>
        <v/>
      </c>
    </row>
    <row r="695" ht="15" customHeight="1" s="52">
      <c r="A695" s="20" t="n"/>
      <c r="B695" s="21">
        <f>IF($A695="","",YEAR($A695))</f>
        <v/>
      </c>
      <c r="C695" s="21">
        <f>IF($A695="","",MONTH($A695))</f>
        <v/>
      </c>
      <c r="D695" s="22" t="n"/>
      <c r="E695" s="22" t="n"/>
      <c r="F695" s="23" t="n"/>
      <c r="G695" s="24">
        <f>IF($D695="","",IFERROR(INDEX(Einstellungen!$B$4:$B$40,MATCH($D695,Einstellungen!$A$4:$A$40,0)),"?"))</f>
        <v/>
      </c>
      <c r="H695" s="22" t="n"/>
      <c r="I695" s="25">
        <f>IF($F695="","",IF($G695="Einnahme",$F695,-$F695))</f>
        <v/>
      </c>
    </row>
    <row r="696" ht="15" customHeight="1" s="52">
      <c r="A696" s="26" t="n"/>
      <c r="B696" s="17">
        <f>IF($A696="","",YEAR($A696))</f>
        <v/>
      </c>
      <c r="C696" s="17">
        <f>IF($A696="","",MONTH($A696))</f>
        <v/>
      </c>
      <c r="D696" s="27" t="n"/>
      <c r="E696" s="27" t="n"/>
      <c r="F696" s="28" t="n"/>
      <c r="G696" s="14">
        <f>IF($D696="","",IFERROR(INDEX(Einstellungen!$B$4:$B$40,MATCH($D696,Einstellungen!$A$4:$A$40,0)),"?"))</f>
        <v/>
      </c>
      <c r="H696" s="27" t="n"/>
      <c r="I696" s="11">
        <f>IF($F696="","",IF($G696="Einnahme",$F696,-$F696))</f>
        <v/>
      </c>
    </row>
    <row r="697" ht="15" customHeight="1" s="52">
      <c r="A697" s="20" t="n"/>
      <c r="B697" s="21">
        <f>IF($A697="","",YEAR($A697))</f>
        <v/>
      </c>
      <c r="C697" s="21">
        <f>IF($A697="","",MONTH($A697))</f>
        <v/>
      </c>
      <c r="D697" s="22" t="n"/>
      <c r="E697" s="22" t="n"/>
      <c r="F697" s="23" t="n"/>
      <c r="G697" s="24">
        <f>IF($D697="","",IFERROR(INDEX(Einstellungen!$B$4:$B$40,MATCH($D697,Einstellungen!$A$4:$A$40,0)),"?"))</f>
        <v/>
      </c>
      <c r="H697" s="22" t="n"/>
      <c r="I697" s="25">
        <f>IF($F697="","",IF($G697="Einnahme",$F697,-$F697))</f>
        <v/>
      </c>
    </row>
    <row r="698" ht="15" customHeight="1" s="52">
      <c r="A698" s="26" t="n"/>
      <c r="B698" s="17">
        <f>IF($A698="","",YEAR($A698))</f>
        <v/>
      </c>
      <c r="C698" s="17">
        <f>IF($A698="","",MONTH($A698))</f>
        <v/>
      </c>
      <c r="D698" s="27" t="n"/>
      <c r="E698" s="27" t="n"/>
      <c r="F698" s="28" t="n"/>
      <c r="G698" s="14">
        <f>IF($D698="","",IFERROR(INDEX(Einstellungen!$B$4:$B$40,MATCH($D698,Einstellungen!$A$4:$A$40,0)),"?"))</f>
        <v/>
      </c>
      <c r="H698" s="27" t="n"/>
      <c r="I698" s="11">
        <f>IF($F698="","",IF($G698="Einnahme",$F698,-$F698))</f>
        <v/>
      </c>
    </row>
    <row r="699" ht="15" customHeight="1" s="52">
      <c r="A699" s="20" t="n"/>
      <c r="B699" s="21">
        <f>IF($A699="","",YEAR($A699))</f>
        <v/>
      </c>
      <c r="C699" s="21">
        <f>IF($A699="","",MONTH($A699))</f>
        <v/>
      </c>
      <c r="D699" s="22" t="n"/>
      <c r="E699" s="22" t="n"/>
      <c r="F699" s="23" t="n"/>
      <c r="G699" s="24">
        <f>IF($D699="","",IFERROR(INDEX(Einstellungen!$B$4:$B$40,MATCH($D699,Einstellungen!$A$4:$A$40,0)),"?"))</f>
        <v/>
      </c>
      <c r="H699" s="22" t="n"/>
      <c r="I699" s="25">
        <f>IF($F699="","",IF($G699="Einnahme",$F699,-$F699))</f>
        <v/>
      </c>
    </row>
    <row r="700" ht="15" customHeight="1" s="52">
      <c r="A700" s="26" t="n"/>
      <c r="B700" s="17">
        <f>IF($A700="","",YEAR($A700))</f>
        <v/>
      </c>
      <c r="C700" s="17">
        <f>IF($A700="","",MONTH($A700))</f>
        <v/>
      </c>
      <c r="D700" s="27" t="n"/>
      <c r="E700" s="27" t="n"/>
      <c r="F700" s="28" t="n"/>
      <c r="G700" s="14">
        <f>IF($D700="","",IFERROR(INDEX(Einstellungen!$B$4:$B$40,MATCH($D700,Einstellungen!$A$4:$A$40,0)),"?"))</f>
        <v/>
      </c>
      <c r="H700" s="27" t="n"/>
      <c r="I700" s="11">
        <f>IF($F700="","",IF($G700="Einnahme",$F700,-$F700))</f>
        <v/>
      </c>
    </row>
    <row r="701" ht="15" customHeight="1" s="52">
      <c r="A701" s="20" t="n"/>
      <c r="B701" s="21">
        <f>IF($A701="","",YEAR($A701))</f>
        <v/>
      </c>
      <c r="C701" s="21">
        <f>IF($A701="","",MONTH($A701))</f>
        <v/>
      </c>
      <c r="D701" s="22" t="n"/>
      <c r="E701" s="22" t="n"/>
      <c r="F701" s="23" t="n"/>
      <c r="G701" s="24">
        <f>IF($D701="","",IFERROR(INDEX(Einstellungen!$B$4:$B$40,MATCH($D701,Einstellungen!$A$4:$A$40,0)),"?"))</f>
        <v/>
      </c>
      <c r="H701" s="22" t="n"/>
      <c r="I701" s="25">
        <f>IF($F701="","",IF($G701="Einnahme",$F701,-$F701))</f>
        <v/>
      </c>
    </row>
    <row r="702" ht="15" customHeight="1" s="52">
      <c r="A702" s="26" t="n"/>
      <c r="B702" s="17">
        <f>IF($A702="","",YEAR($A702))</f>
        <v/>
      </c>
      <c r="C702" s="17">
        <f>IF($A702="","",MONTH($A702))</f>
        <v/>
      </c>
      <c r="D702" s="27" t="n"/>
      <c r="E702" s="27" t="n"/>
      <c r="F702" s="28" t="n"/>
      <c r="G702" s="14">
        <f>IF($D702="","",IFERROR(INDEX(Einstellungen!$B$4:$B$40,MATCH($D702,Einstellungen!$A$4:$A$40,0)),"?"))</f>
        <v/>
      </c>
      <c r="H702" s="27" t="n"/>
      <c r="I702" s="11">
        <f>IF($F702="","",IF($G702="Einnahme",$F702,-$F702))</f>
        <v/>
      </c>
    </row>
    <row r="703" ht="15" customHeight="1" s="52">
      <c r="A703" s="20" t="n"/>
      <c r="B703" s="21">
        <f>IF($A703="","",YEAR($A703))</f>
        <v/>
      </c>
      <c r="C703" s="21">
        <f>IF($A703="","",MONTH($A703))</f>
        <v/>
      </c>
      <c r="D703" s="22" t="n"/>
      <c r="E703" s="22" t="n"/>
      <c r="F703" s="23" t="n"/>
      <c r="G703" s="24">
        <f>IF($D703="","",IFERROR(INDEX(Einstellungen!$B$4:$B$40,MATCH($D703,Einstellungen!$A$4:$A$40,0)),"?"))</f>
        <v/>
      </c>
      <c r="H703" s="22" t="n"/>
      <c r="I703" s="25">
        <f>IF($F703="","",IF($G703="Einnahme",$F703,-$F703))</f>
        <v/>
      </c>
    </row>
    <row r="704" ht="15" customHeight="1" s="52">
      <c r="A704" s="26" t="n"/>
      <c r="B704" s="17">
        <f>IF($A704="","",YEAR($A704))</f>
        <v/>
      </c>
      <c r="C704" s="17">
        <f>IF($A704="","",MONTH($A704))</f>
        <v/>
      </c>
      <c r="D704" s="27" t="n"/>
      <c r="E704" s="27" t="n"/>
      <c r="F704" s="28" t="n"/>
      <c r="G704" s="14">
        <f>IF($D704="","",IFERROR(INDEX(Einstellungen!$B$4:$B$40,MATCH($D704,Einstellungen!$A$4:$A$40,0)),"?"))</f>
        <v/>
      </c>
      <c r="H704" s="27" t="n"/>
      <c r="I704" s="11">
        <f>IF($F704="","",IF($G704="Einnahme",$F704,-$F704))</f>
        <v/>
      </c>
    </row>
    <row r="705" ht="15" customHeight="1" s="52">
      <c r="A705" s="20" t="n"/>
      <c r="B705" s="21">
        <f>IF($A705="","",YEAR($A705))</f>
        <v/>
      </c>
      <c r="C705" s="21">
        <f>IF($A705="","",MONTH($A705))</f>
        <v/>
      </c>
      <c r="D705" s="22" t="n"/>
      <c r="E705" s="22" t="n"/>
      <c r="F705" s="23" t="n"/>
      <c r="G705" s="24">
        <f>IF($D705="","",IFERROR(INDEX(Einstellungen!$B$4:$B$40,MATCH($D705,Einstellungen!$A$4:$A$40,0)),"?"))</f>
        <v/>
      </c>
      <c r="H705" s="22" t="n"/>
      <c r="I705" s="25">
        <f>IF($F705="","",IF($G705="Einnahme",$F705,-$F705))</f>
        <v/>
      </c>
    </row>
    <row r="706" ht="15" customHeight="1" s="52">
      <c r="A706" s="26" t="n"/>
      <c r="B706" s="17">
        <f>IF($A706="","",YEAR($A706))</f>
        <v/>
      </c>
      <c r="C706" s="17">
        <f>IF($A706="","",MONTH($A706))</f>
        <v/>
      </c>
      <c r="D706" s="27" t="n"/>
      <c r="E706" s="27" t="n"/>
      <c r="F706" s="28" t="n"/>
      <c r="G706" s="14">
        <f>IF($D706="","",IFERROR(INDEX(Einstellungen!$B$4:$B$40,MATCH($D706,Einstellungen!$A$4:$A$40,0)),"?"))</f>
        <v/>
      </c>
      <c r="H706" s="27" t="n"/>
      <c r="I706" s="11">
        <f>IF($F706="","",IF($G706="Einnahme",$F706,-$F706))</f>
        <v/>
      </c>
    </row>
    <row r="707" ht="15" customHeight="1" s="52">
      <c r="A707" s="20" t="n"/>
      <c r="B707" s="21">
        <f>IF($A707="","",YEAR($A707))</f>
        <v/>
      </c>
      <c r="C707" s="21">
        <f>IF($A707="","",MONTH($A707))</f>
        <v/>
      </c>
      <c r="D707" s="22" t="n"/>
      <c r="E707" s="22" t="n"/>
      <c r="F707" s="23" t="n"/>
      <c r="G707" s="24">
        <f>IF($D707="","",IFERROR(INDEX(Einstellungen!$B$4:$B$40,MATCH($D707,Einstellungen!$A$4:$A$40,0)),"?"))</f>
        <v/>
      </c>
      <c r="H707" s="22" t="n"/>
      <c r="I707" s="25">
        <f>IF($F707="","",IF($G707="Einnahme",$F707,-$F707))</f>
        <v/>
      </c>
    </row>
    <row r="708" ht="15" customHeight="1" s="52">
      <c r="A708" s="26" t="n"/>
      <c r="B708" s="17">
        <f>IF($A708="","",YEAR($A708))</f>
        <v/>
      </c>
      <c r="C708" s="17">
        <f>IF($A708="","",MONTH($A708))</f>
        <v/>
      </c>
      <c r="D708" s="27" t="n"/>
      <c r="E708" s="27" t="n"/>
      <c r="F708" s="28" t="n"/>
      <c r="G708" s="14">
        <f>IF($D708="","",IFERROR(INDEX(Einstellungen!$B$4:$B$40,MATCH($D708,Einstellungen!$A$4:$A$40,0)),"?"))</f>
        <v/>
      </c>
      <c r="H708" s="27" t="n"/>
      <c r="I708" s="11">
        <f>IF($F708="","",IF($G708="Einnahme",$F708,-$F708))</f>
        <v/>
      </c>
    </row>
    <row r="709" ht="15" customHeight="1" s="52">
      <c r="A709" s="20" t="n"/>
      <c r="B709" s="21">
        <f>IF($A709="","",YEAR($A709))</f>
        <v/>
      </c>
      <c r="C709" s="21">
        <f>IF($A709="","",MONTH($A709))</f>
        <v/>
      </c>
      <c r="D709" s="22" t="n"/>
      <c r="E709" s="22" t="n"/>
      <c r="F709" s="23" t="n"/>
      <c r="G709" s="24">
        <f>IF($D709="","",IFERROR(INDEX(Einstellungen!$B$4:$B$40,MATCH($D709,Einstellungen!$A$4:$A$40,0)),"?"))</f>
        <v/>
      </c>
      <c r="H709" s="22" t="n"/>
      <c r="I709" s="25">
        <f>IF($F709="","",IF($G709="Einnahme",$F709,-$F709))</f>
        <v/>
      </c>
    </row>
    <row r="710" ht="15" customHeight="1" s="52">
      <c r="A710" s="26" t="n"/>
      <c r="B710" s="17">
        <f>IF($A710="","",YEAR($A710))</f>
        <v/>
      </c>
      <c r="C710" s="17">
        <f>IF($A710="","",MONTH($A710))</f>
        <v/>
      </c>
      <c r="D710" s="27" t="n"/>
      <c r="E710" s="27" t="n"/>
      <c r="F710" s="28" t="n"/>
      <c r="G710" s="14">
        <f>IF($D710="","",IFERROR(INDEX(Einstellungen!$B$4:$B$40,MATCH($D710,Einstellungen!$A$4:$A$40,0)),"?"))</f>
        <v/>
      </c>
      <c r="H710" s="27" t="n"/>
      <c r="I710" s="11">
        <f>IF($F710="","",IF($G710="Einnahme",$F710,-$F710))</f>
        <v/>
      </c>
    </row>
    <row r="711" ht="15" customHeight="1" s="52">
      <c r="A711" s="20" t="n"/>
      <c r="B711" s="21">
        <f>IF($A711="","",YEAR($A711))</f>
        <v/>
      </c>
      <c r="C711" s="21">
        <f>IF($A711="","",MONTH($A711))</f>
        <v/>
      </c>
      <c r="D711" s="22" t="n"/>
      <c r="E711" s="22" t="n"/>
      <c r="F711" s="23" t="n"/>
      <c r="G711" s="24">
        <f>IF($D711="","",IFERROR(INDEX(Einstellungen!$B$4:$B$40,MATCH($D711,Einstellungen!$A$4:$A$40,0)),"?"))</f>
        <v/>
      </c>
      <c r="H711" s="22" t="n"/>
      <c r="I711" s="25">
        <f>IF($F711="","",IF($G711="Einnahme",$F711,-$F711))</f>
        <v/>
      </c>
    </row>
    <row r="712" ht="15" customHeight="1" s="52">
      <c r="A712" s="26" t="n"/>
      <c r="B712" s="17">
        <f>IF($A712="","",YEAR($A712))</f>
        <v/>
      </c>
      <c r="C712" s="17">
        <f>IF($A712="","",MONTH($A712))</f>
        <v/>
      </c>
      <c r="D712" s="27" t="n"/>
      <c r="E712" s="27" t="n"/>
      <c r="F712" s="28" t="n"/>
      <c r="G712" s="14">
        <f>IF($D712="","",IFERROR(INDEX(Einstellungen!$B$4:$B$40,MATCH($D712,Einstellungen!$A$4:$A$40,0)),"?"))</f>
        <v/>
      </c>
      <c r="H712" s="27" t="n"/>
      <c r="I712" s="11">
        <f>IF($F712="","",IF($G712="Einnahme",$F712,-$F712))</f>
        <v/>
      </c>
    </row>
    <row r="713" ht="15" customHeight="1" s="52">
      <c r="A713" s="20" t="n"/>
      <c r="B713" s="21">
        <f>IF($A713="","",YEAR($A713))</f>
        <v/>
      </c>
      <c r="C713" s="21">
        <f>IF($A713="","",MONTH($A713))</f>
        <v/>
      </c>
      <c r="D713" s="22" t="n"/>
      <c r="E713" s="22" t="n"/>
      <c r="F713" s="23" t="n"/>
      <c r="G713" s="24">
        <f>IF($D713="","",IFERROR(INDEX(Einstellungen!$B$4:$B$40,MATCH($D713,Einstellungen!$A$4:$A$40,0)),"?"))</f>
        <v/>
      </c>
      <c r="H713" s="22" t="n"/>
      <c r="I713" s="25">
        <f>IF($F713="","",IF($G713="Einnahme",$F713,-$F713))</f>
        <v/>
      </c>
    </row>
    <row r="714" ht="15" customHeight="1" s="52">
      <c r="A714" s="26" t="n"/>
      <c r="B714" s="17">
        <f>IF($A714="","",YEAR($A714))</f>
        <v/>
      </c>
      <c r="C714" s="17">
        <f>IF($A714="","",MONTH($A714))</f>
        <v/>
      </c>
      <c r="D714" s="27" t="n"/>
      <c r="E714" s="27" t="n"/>
      <c r="F714" s="28" t="n"/>
      <c r="G714" s="14">
        <f>IF($D714="","",IFERROR(INDEX(Einstellungen!$B$4:$B$40,MATCH($D714,Einstellungen!$A$4:$A$40,0)),"?"))</f>
        <v/>
      </c>
      <c r="H714" s="27" t="n"/>
      <c r="I714" s="11">
        <f>IF($F714="","",IF($G714="Einnahme",$F714,-$F714))</f>
        <v/>
      </c>
    </row>
    <row r="715" ht="15" customHeight="1" s="52">
      <c r="A715" s="20" t="n"/>
      <c r="B715" s="21">
        <f>IF($A715="","",YEAR($A715))</f>
        <v/>
      </c>
      <c r="C715" s="21">
        <f>IF($A715="","",MONTH($A715))</f>
        <v/>
      </c>
      <c r="D715" s="22" t="n"/>
      <c r="E715" s="22" t="n"/>
      <c r="F715" s="23" t="n"/>
      <c r="G715" s="24">
        <f>IF($D715="","",IFERROR(INDEX(Einstellungen!$B$4:$B$40,MATCH($D715,Einstellungen!$A$4:$A$40,0)),"?"))</f>
        <v/>
      </c>
      <c r="H715" s="22" t="n"/>
      <c r="I715" s="25">
        <f>IF($F715="","",IF($G715="Einnahme",$F715,-$F715))</f>
        <v/>
      </c>
    </row>
    <row r="716" ht="15" customHeight="1" s="52">
      <c r="A716" s="26" t="n"/>
      <c r="B716" s="17">
        <f>IF($A716="","",YEAR($A716))</f>
        <v/>
      </c>
      <c r="C716" s="17">
        <f>IF($A716="","",MONTH($A716))</f>
        <v/>
      </c>
      <c r="D716" s="27" t="n"/>
      <c r="E716" s="27" t="n"/>
      <c r="F716" s="28" t="n"/>
      <c r="G716" s="14">
        <f>IF($D716="","",IFERROR(INDEX(Einstellungen!$B$4:$B$40,MATCH($D716,Einstellungen!$A$4:$A$40,0)),"?"))</f>
        <v/>
      </c>
      <c r="H716" s="27" t="n"/>
      <c r="I716" s="11">
        <f>IF($F716="","",IF($G716="Einnahme",$F716,-$F716))</f>
        <v/>
      </c>
    </row>
    <row r="717" ht="15" customHeight="1" s="52">
      <c r="A717" s="20" t="n"/>
      <c r="B717" s="21">
        <f>IF($A717="","",YEAR($A717))</f>
        <v/>
      </c>
      <c r="C717" s="21">
        <f>IF($A717="","",MONTH($A717))</f>
        <v/>
      </c>
      <c r="D717" s="22" t="n"/>
      <c r="E717" s="22" t="n"/>
      <c r="F717" s="23" t="n"/>
      <c r="G717" s="24">
        <f>IF($D717="","",IFERROR(INDEX(Einstellungen!$B$4:$B$40,MATCH($D717,Einstellungen!$A$4:$A$40,0)),"?"))</f>
        <v/>
      </c>
      <c r="H717" s="22" t="n"/>
      <c r="I717" s="25">
        <f>IF($F717="","",IF($G717="Einnahme",$F717,-$F717))</f>
        <v/>
      </c>
    </row>
    <row r="718" ht="15" customHeight="1" s="52">
      <c r="A718" s="26" t="n"/>
      <c r="B718" s="17">
        <f>IF($A718="","",YEAR($A718))</f>
        <v/>
      </c>
      <c r="C718" s="17">
        <f>IF($A718="","",MONTH($A718))</f>
        <v/>
      </c>
      <c r="D718" s="27" t="n"/>
      <c r="E718" s="27" t="n"/>
      <c r="F718" s="28" t="n"/>
      <c r="G718" s="14">
        <f>IF($D718="","",IFERROR(INDEX(Einstellungen!$B$4:$B$40,MATCH($D718,Einstellungen!$A$4:$A$40,0)),"?"))</f>
        <v/>
      </c>
      <c r="H718" s="27" t="n"/>
      <c r="I718" s="11">
        <f>IF($F718="","",IF($G718="Einnahme",$F718,-$F718))</f>
        <v/>
      </c>
    </row>
    <row r="719" ht="15" customHeight="1" s="52">
      <c r="A719" s="20" t="n"/>
      <c r="B719" s="21">
        <f>IF($A719="","",YEAR($A719))</f>
        <v/>
      </c>
      <c r="C719" s="21">
        <f>IF($A719="","",MONTH($A719))</f>
        <v/>
      </c>
      <c r="D719" s="22" t="n"/>
      <c r="E719" s="22" t="n"/>
      <c r="F719" s="23" t="n"/>
      <c r="G719" s="24">
        <f>IF($D719="","",IFERROR(INDEX(Einstellungen!$B$4:$B$40,MATCH($D719,Einstellungen!$A$4:$A$40,0)),"?"))</f>
        <v/>
      </c>
      <c r="H719" s="22" t="n"/>
      <c r="I719" s="25">
        <f>IF($F719="","",IF($G719="Einnahme",$F719,-$F719))</f>
        <v/>
      </c>
    </row>
    <row r="720" ht="15" customHeight="1" s="52">
      <c r="A720" s="26" t="n"/>
      <c r="B720" s="17">
        <f>IF($A720="","",YEAR($A720))</f>
        <v/>
      </c>
      <c r="C720" s="17">
        <f>IF($A720="","",MONTH($A720))</f>
        <v/>
      </c>
      <c r="D720" s="27" t="n"/>
      <c r="E720" s="27" t="n"/>
      <c r="F720" s="28" t="n"/>
      <c r="G720" s="14">
        <f>IF($D720="","",IFERROR(INDEX(Einstellungen!$B$4:$B$40,MATCH($D720,Einstellungen!$A$4:$A$40,0)),"?"))</f>
        <v/>
      </c>
      <c r="H720" s="27" t="n"/>
      <c r="I720" s="11">
        <f>IF($F720="","",IF($G720="Einnahme",$F720,-$F720))</f>
        <v/>
      </c>
    </row>
    <row r="721" ht="15" customHeight="1" s="52">
      <c r="A721" s="20" t="n"/>
      <c r="B721" s="21">
        <f>IF($A721="","",YEAR($A721))</f>
        <v/>
      </c>
      <c r="C721" s="21">
        <f>IF($A721="","",MONTH($A721))</f>
        <v/>
      </c>
      <c r="D721" s="22" t="n"/>
      <c r="E721" s="22" t="n"/>
      <c r="F721" s="23" t="n"/>
      <c r="G721" s="24">
        <f>IF($D721="","",IFERROR(INDEX(Einstellungen!$B$4:$B$40,MATCH($D721,Einstellungen!$A$4:$A$40,0)),"?"))</f>
        <v/>
      </c>
      <c r="H721" s="22" t="n"/>
      <c r="I721" s="25">
        <f>IF($F721="","",IF($G721="Einnahme",$F721,-$F721))</f>
        <v/>
      </c>
    </row>
    <row r="722" ht="15" customHeight="1" s="52">
      <c r="A722" s="26" t="n"/>
      <c r="B722" s="17">
        <f>IF($A722="","",YEAR($A722))</f>
        <v/>
      </c>
      <c r="C722" s="17">
        <f>IF($A722="","",MONTH($A722))</f>
        <v/>
      </c>
      <c r="D722" s="27" t="n"/>
      <c r="E722" s="27" t="n"/>
      <c r="F722" s="28" t="n"/>
      <c r="G722" s="14">
        <f>IF($D722="","",IFERROR(INDEX(Einstellungen!$B$4:$B$40,MATCH($D722,Einstellungen!$A$4:$A$40,0)),"?"))</f>
        <v/>
      </c>
      <c r="H722" s="27" t="n"/>
      <c r="I722" s="11">
        <f>IF($F722="","",IF($G722="Einnahme",$F722,-$F722))</f>
        <v/>
      </c>
    </row>
    <row r="723" ht="15" customHeight="1" s="52">
      <c r="A723" s="20" t="n"/>
      <c r="B723" s="21">
        <f>IF($A723="","",YEAR($A723))</f>
        <v/>
      </c>
      <c r="C723" s="21">
        <f>IF($A723="","",MONTH($A723))</f>
        <v/>
      </c>
      <c r="D723" s="22" t="n"/>
      <c r="E723" s="22" t="n"/>
      <c r="F723" s="23" t="n"/>
      <c r="G723" s="24">
        <f>IF($D723="","",IFERROR(INDEX(Einstellungen!$B$4:$B$40,MATCH($D723,Einstellungen!$A$4:$A$40,0)),"?"))</f>
        <v/>
      </c>
      <c r="H723" s="22" t="n"/>
      <c r="I723" s="25">
        <f>IF($F723="","",IF($G723="Einnahme",$F723,-$F723))</f>
        <v/>
      </c>
    </row>
    <row r="724" ht="15" customHeight="1" s="52">
      <c r="A724" s="26" t="n"/>
      <c r="B724" s="17">
        <f>IF($A724="","",YEAR($A724))</f>
        <v/>
      </c>
      <c r="C724" s="17">
        <f>IF($A724="","",MONTH($A724))</f>
        <v/>
      </c>
      <c r="D724" s="27" t="n"/>
      <c r="E724" s="27" t="n"/>
      <c r="F724" s="28" t="n"/>
      <c r="G724" s="14">
        <f>IF($D724="","",IFERROR(INDEX(Einstellungen!$B$4:$B$40,MATCH($D724,Einstellungen!$A$4:$A$40,0)),"?"))</f>
        <v/>
      </c>
      <c r="H724" s="27" t="n"/>
      <c r="I724" s="11">
        <f>IF($F724="","",IF($G724="Einnahme",$F724,-$F724))</f>
        <v/>
      </c>
    </row>
    <row r="725" ht="15" customHeight="1" s="52">
      <c r="A725" s="20" t="n"/>
      <c r="B725" s="21">
        <f>IF($A725="","",YEAR($A725))</f>
        <v/>
      </c>
      <c r="C725" s="21">
        <f>IF($A725="","",MONTH($A725))</f>
        <v/>
      </c>
      <c r="D725" s="22" t="n"/>
      <c r="E725" s="22" t="n"/>
      <c r="F725" s="23" t="n"/>
      <c r="G725" s="24">
        <f>IF($D725="","",IFERROR(INDEX(Einstellungen!$B$4:$B$40,MATCH($D725,Einstellungen!$A$4:$A$40,0)),"?"))</f>
        <v/>
      </c>
      <c r="H725" s="22" t="n"/>
      <c r="I725" s="25">
        <f>IF($F725="","",IF($G725="Einnahme",$F725,-$F725))</f>
        <v/>
      </c>
    </row>
    <row r="726" ht="15" customHeight="1" s="52">
      <c r="A726" s="26" t="n"/>
      <c r="B726" s="17">
        <f>IF($A726="","",YEAR($A726))</f>
        <v/>
      </c>
      <c r="C726" s="17">
        <f>IF($A726="","",MONTH($A726))</f>
        <v/>
      </c>
      <c r="D726" s="27" t="n"/>
      <c r="E726" s="27" t="n"/>
      <c r="F726" s="28" t="n"/>
      <c r="G726" s="14">
        <f>IF($D726="","",IFERROR(INDEX(Einstellungen!$B$4:$B$40,MATCH($D726,Einstellungen!$A$4:$A$40,0)),"?"))</f>
        <v/>
      </c>
      <c r="H726" s="27" t="n"/>
      <c r="I726" s="11">
        <f>IF($F726="","",IF($G726="Einnahme",$F726,-$F726))</f>
        <v/>
      </c>
    </row>
    <row r="727" ht="15" customHeight="1" s="52">
      <c r="A727" s="20" t="n"/>
      <c r="B727" s="21">
        <f>IF($A727="","",YEAR($A727))</f>
        <v/>
      </c>
      <c r="C727" s="21">
        <f>IF($A727="","",MONTH($A727))</f>
        <v/>
      </c>
      <c r="D727" s="22" t="n"/>
      <c r="E727" s="22" t="n"/>
      <c r="F727" s="23" t="n"/>
      <c r="G727" s="24">
        <f>IF($D727="","",IFERROR(INDEX(Einstellungen!$B$4:$B$40,MATCH($D727,Einstellungen!$A$4:$A$40,0)),"?"))</f>
        <v/>
      </c>
      <c r="H727" s="22" t="n"/>
      <c r="I727" s="25">
        <f>IF($F727="","",IF($G727="Einnahme",$F727,-$F727))</f>
        <v/>
      </c>
    </row>
    <row r="728" ht="15" customHeight="1" s="52">
      <c r="A728" s="26" t="n"/>
      <c r="B728" s="17">
        <f>IF($A728="","",YEAR($A728))</f>
        <v/>
      </c>
      <c r="C728" s="17">
        <f>IF($A728="","",MONTH($A728))</f>
        <v/>
      </c>
      <c r="D728" s="27" t="n"/>
      <c r="E728" s="27" t="n"/>
      <c r="F728" s="28" t="n"/>
      <c r="G728" s="14">
        <f>IF($D728="","",IFERROR(INDEX(Einstellungen!$B$4:$B$40,MATCH($D728,Einstellungen!$A$4:$A$40,0)),"?"))</f>
        <v/>
      </c>
      <c r="H728" s="27" t="n"/>
      <c r="I728" s="11">
        <f>IF($F728="","",IF($G728="Einnahme",$F728,-$F728))</f>
        <v/>
      </c>
    </row>
    <row r="729" ht="15" customHeight="1" s="52">
      <c r="A729" s="20" t="n"/>
      <c r="B729" s="21">
        <f>IF($A729="","",YEAR($A729))</f>
        <v/>
      </c>
      <c r="C729" s="21">
        <f>IF($A729="","",MONTH($A729))</f>
        <v/>
      </c>
      <c r="D729" s="22" t="n"/>
      <c r="E729" s="22" t="n"/>
      <c r="F729" s="23" t="n"/>
      <c r="G729" s="24">
        <f>IF($D729="","",IFERROR(INDEX(Einstellungen!$B$4:$B$40,MATCH($D729,Einstellungen!$A$4:$A$40,0)),"?"))</f>
        <v/>
      </c>
      <c r="H729" s="22" t="n"/>
      <c r="I729" s="25">
        <f>IF($F729="","",IF($G729="Einnahme",$F729,-$F729))</f>
        <v/>
      </c>
    </row>
    <row r="730" ht="15" customHeight="1" s="52">
      <c r="A730" s="26" t="n"/>
      <c r="B730" s="17">
        <f>IF($A730="","",YEAR($A730))</f>
        <v/>
      </c>
      <c r="C730" s="17">
        <f>IF($A730="","",MONTH($A730))</f>
        <v/>
      </c>
      <c r="D730" s="27" t="n"/>
      <c r="E730" s="27" t="n"/>
      <c r="F730" s="28" t="n"/>
      <c r="G730" s="14">
        <f>IF($D730="","",IFERROR(INDEX(Einstellungen!$B$4:$B$40,MATCH($D730,Einstellungen!$A$4:$A$40,0)),"?"))</f>
        <v/>
      </c>
      <c r="H730" s="27" t="n"/>
      <c r="I730" s="11">
        <f>IF($F730="","",IF($G730="Einnahme",$F730,-$F730))</f>
        <v/>
      </c>
    </row>
    <row r="731" ht="15" customHeight="1" s="52">
      <c r="A731" s="20" t="n"/>
      <c r="B731" s="21">
        <f>IF($A731="","",YEAR($A731))</f>
        <v/>
      </c>
      <c r="C731" s="21">
        <f>IF($A731="","",MONTH($A731))</f>
        <v/>
      </c>
      <c r="D731" s="22" t="n"/>
      <c r="E731" s="22" t="n"/>
      <c r="F731" s="23" t="n"/>
      <c r="G731" s="24">
        <f>IF($D731="","",IFERROR(INDEX(Einstellungen!$B$4:$B$40,MATCH($D731,Einstellungen!$A$4:$A$40,0)),"?"))</f>
        <v/>
      </c>
      <c r="H731" s="22" t="n"/>
      <c r="I731" s="25">
        <f>IF($F731="","",IF($G731="Einnahme",$F731,-$F731))</f>
        <v/>
      </c>
    </row>
    <row r="732" ht="15" customHeight="1" s="52">
      <c r="A732" s="26" t="n"/>
      <c r="B732" s="17">
        <f>IF($A732="","",YEAR($A732))</f>
        <v/>
      </c>
      <c r="C732" s="17">
        <f>IF($A732="","",MONTH($A732))</f>
        <v/>
      </c>
      <c r="D732" s="27" t="n"/>
      <c r="E732" s="27" t="n"/>
      <c r="F732" s="28" t="n"/>
      <c r="G732" s="14">
        <f>IF($D732="","",IFERROR(INDEX(Einstellungen!$B$4:$B$40,MATCH($D732,Einstellungen!$A$4:$A$40,0)),"?"))</f>
        <v/>
      </c>
      <c r="H732" s="27" t="n"/>
      <c r="I732" s="11">
        <f>IF($F732="","",IF($G732="Einnahme",$F732,-$F732))</f>
        <v/>
      </c>
    </row>
    <row r="733" ht="15" customHeight="1" s="52">
      <c r="A733" s="20" t="n"/>
      <c r="B733" s="21">
        <f>IF($A733="","",YEAR($A733))</f>
        <v/>
      </c>
      <c r="C733" s="21">
        <f>IF($A733="","",MONTH($A733))</f>
        <v/>
      </c>
      <c r="D733" s="22" t="n"/>
      <c r="E733" s="22" t="n"/>
      <c r="F733" s="23" t="n"/>
      <c r="G733" s="24">
        <f>IF($D733="","",IFERROR(INDEX(Einstellungen!$B$4:$B$40,MATCH($D733,Einstellungen!$A$4:$A$40,0)),"?"))</f>
        <v/>
      </c>
      <c r="H733" s="22" t="n"/>
      <c r="I733" s="25">
        <f>IF($F733="","",IF($G733="Einnahme",$F733,-$F733))</f>
        <v/>
      </c>
    </row>
    <row r="734" ht="15" customHeight="1" s="52">
      <c r="A734" s="26" t="n"/>
      <c r="B734" s="17">
        <f>IF($A734="","",YEAR($A734))</f>
        <v/>
      </c>
      <c r="C734" s="17">
        <f>IF($A734="","",MONTH($A734))</f>
        <v/>
      </c>
      <c r="D734" s="27" t="n"/>
      <c r="E734" s="27" t="n"/>
      <c r="F734" s="28" t="n"/>
      <c r="G734" s="14">
        <f>IF($D734="","",IFERROR(INDEX(Einstellungen!$B$4:$B$40,MATCH($D734,Einstellungen!$A$4:$A$40,0)),"?"))</f>
        <v/>
      </c>
      <c r="H734" s="27" t="n"/>
      <c r="I734" s="11">
        <f>IF($F734="","",IF($G734="Einnahme",$F734,-$F734))</f>
        <v/>
      </c>
    </row>
    <row r="735" ht="15" customHeight="1" s="52">
      <c r="A735" s="20" t="n"/>
      <c r="B735" s="21">
        <f>IF($A735="","",YEAR($A735))</f>
        <v/>
      </c>
      <c r="C735" s="21">
        <f>IF($A735="","",MONTH($A735))</f>
        <v/>
      </c>
      <c r="D735" s="22" t="n"/>
      <c r="E735" s="22" t="n"/>
      <c r="F735" s="23" t="n"/>
      <c r="G735" s="24">
        <f>IF($D735="","",IFERROR(INDEX(Einstellungen!$B$4:$B$40,MATCH($D735,Einstellungen!$A$4:$A$40,0)),"?"))</f>
        <v/>
      </c>
      <c r="H735" s="22" t="n"/>
      <c r="I735" s="25">
        <f>IF($F735="","",IF($G735="Einnahme",$F735,-$F735))</f>
        <v/>
      </c>
    </row>
    <row r="736" ht="15" customHeight="1" s="52">
      <c r="A736" s="26" t="n"/>
      <c r="B736" s="17">
        <f>IF($A736="","",YEAR($A736))</f>
        <v/>
      </c>
      <c r="C736" s="17">
        <f>IF($A736="","",MONTH($A736))</f>
        <v/>
      </c>
      <c r="D736" s="27" t="n"/>
      <c r="E736" s="27" t="n"/>
      <c r="F736" s="28" t="n"/>
      <c r="G736" s="14">
        <f>IF($D736="","",IFERROR(INDEX(Einstellungen!$B$4:$B$40,MATCH($D736,Einstellungen!$A$4:$A$40,0)),"?"))</f>
        <v/>
      </c>
      <c r="H736" s="27" t="n"/>
      <c r="I736" s="11">
        <f>IF($F736="","",IF($G736="Einnahme",$F736,-$F736))</f>
        <v/>
      </c>
    </row>
    <row r="737" ht="15" customHeight="1" s="52">
      <c r="A737" s="20" t="n"/>
      <c r="B737" s="21">
        <f>IF($A737="","",YEAR($A737))</f>
        <v/>
      </c>
      <c r="C737" s="21">
        <f>IF($A737="","",MONTH($A737))</f>
        <v/>
      </c>
      <c r="D737" s="22" t="n"/>
      <c r="E737" s="22" t="n"/>
      <c r="F737" s="23" t="n"/>
      <c r="G737" s="24">
        <f>IF($D737="","",IFERROR(INDEX(Einstellungen!$B$4:$B$40,MATCH($D737,Einstellungen!$A$4:$A$40,0)),"?"))</f>
        <v/>
      </c>
      <c r="H737" s="22" t="n"/>
      <c r="I737" s="25">
        <f>IF($F737="","",IF($G737="Einnahme",$F737,-$F737))</f>
        <v/>
      </c>
    </row>
    <row r="738" ht="15" customHeight="1" s="52">
      <c r="A738" s="26" t="n"/>
      <c r="B738" s="17">
        <f>IF($A738="","",YEAR($A738))</f>
        <v/>
      </c>
      <c r="C738" s="17">
        <f>IF($A738="","",MONTH($A738))</f>
        <v/>
      </c>
      <c r="D738" s="27" t="n"/>
      <c r="E738" s="27" t="n"/>
      <c r="F738" s="28" t="n"/>
      <c r="G738" s="14">
        <f>IF($D738="","",IFERROR(INDEX(Einstellungen!$B$4:$B$40,MATCH($D738,Einstellungen!$A$4:$A$40,0)),"?"))</f>
        <v/>
      </c>
      <c r="H738" s="27" t="n"/>
      <c r="I738" s="11">
        <f>IF($F738="","",IF($G738="Einnahme",$F738,-$F738))</f>
        <v/>
      </c>
    </row>
    <row r="739" ht="15" customHeight="1" s="52">
      <c r="A739" s="20" t="n"/>
      <c r="B739" s="21">
        <f>IF($A739="","",YEAR($A739))</f>
        <v/>
      </c>
      <c r="C739" s="21">
        <f>IF($A739="","",MONTH($A739))</f>
        <v/>
      </c>
      <c r="D739" s="22" t="n"/>
      <c r="E739" s="22" t="n"/>
      <c r="F739" s="23" t="n"/>
      <c r="G739" s="24">
        <f>IF($D739="","",IFERROR(INDEX(Einstellungen!$B$4:$B$40,MATCH($D739,Einstellungen!$A$4:$A$40,0)),"?"))</f>
        <v/>
      </c>
      <c r="H739" s="22" t="n"/>
      <c r="I739" s="25">
        <f>IF($F739="","",IF($G739="Einnahme",$F739,-$F739))</f>
        <v/>
      </c>
    </row>
    <row r="740" ht="15" customHeight="1" s="52">
      <c r="A740" s="26" t="n"/>
      <c r="B740" s="17">
        <f>IF($A740="","",YEAR($A740))</f>
        <v/>
      </c>
      <c r="C740" s="17">
        <f>IF($A740="","",MONTH($A740))</f>
        <v/>
      </c>
      <c r="D740" s="27" t="n"/>
      <c r="E740" s="27" t="n"/>
      <c r="F740" s="28" t="n"/>
      <c r="G740" s="14">
        <f>IF($D740="","",IFERROR(INDEX(Einstellungen!$B$4:$B$40,MATCH($D740,Einstellungen!$A$4:$A$40,0)),"?"))</f>
        <v/>
      </c>
      <c r="H740" s="27" t="n"/>
      <c r="I740" s="11">
        <f>IF($F740="","",IF($G740="Einnahme",$F740,-$F740))</f>
        <v/>
      </c>
    </row>
    <row r="741" ht="15" customHeight="1" s="52">
      <c r="A741" s="20" t="n"/>
      <c r="B741" s="21">
        <f>IF($A741="","",YEAR($A741))</f>
        <v/>
      </c>
      <c r="C741" s="21">
        <f>IF($A741="","",MONTH($A741))</f>
        <v/>
      </c>
      <c r="D741" s="22" t="n"/>
      <c r="E741" s="22" t="n"/>
      <c r="F741" s="23" t="n"/>
      <c r="G741" s="24">
        <f>IF($D741="","",IFERROR(INDEX(Einstellungen!$B$4:$B$40,MATCH($D741,Einstellungen!$A$4:$A$40,0)),"?"))</f>
        <v/>
      </c>
      <c r="H741" s="22" t="n"/>
      <c r="I741" s="25">
        <f>IF($F741="","",IF($G741="Einnahme",$F741,-$F741))</f>
        <v/>
      </c>
    </row>
    <row r="742" ht="15" customHeight="1" s="52">
      <c r="A742" s="26" t="n"/>
      <c r="B742" s="17">
        <f>IF($A742="","",YEAR($A742))</f>
        <v/>
      </c>
      <c r="C742" s="17">
        <f>IF($A742="","",MONTH($A742))</f>
        <v/>
      </c>
      <c r="D742" s="27" t="n"/>
      <c r="E742" s="27" t="n"/>
      <c r="F742" s="28" t="n"/>
      <c r="G742" s="14">
        <f>IF($D742="","",IFERROR(INDEX(Einstellungen!$B$4:$B$40,MATCH($D742,Einstellungen!$A$4:$A$40,0)),"?"))</f>
        <v/>
      </c>
      <c r="H742" s="27" t="n"/>
      <c r="I742" s="11">
        <f>IF($F742="","",IF($G742="Einnahme",$F742,-$F742))</f>
        <v/>
      </c>
    </row>
    <row r="743" ht="15" customHeight="1" s="52">
      <c r="A743" s="20" t="n"/>
      <c r="B743" s="21">
        <f>IF($A743="","",YEAR($A743))</f>
        <v/>
      </c>
      <c r="C743" s="21">
        <f>IF($A743="","",MONTH($A743))</f>
        <v/>
      </c>
      <c r="D743" s="22" t="n"/>
      <c r="E743" s="22" t="n"/>
      <c r="F743" s="23" t="n"/>
      <c r="G743" s="24">
        <f>IF($D743="","",IFERROR(INDEX(Einstellungen!$B$4:$B$40,MATCH($D743,Einstellungen!$A$4:$A$40,0)),"?"))</f>
        <v/>
      </c>
      <c r="H743" s="22" t="n"/>
      <c r="I743" s="25">
        <f>IF($F743="","",IF($G743="Einnahme",$F743,-$F743))</f>
        <v/>
      </c>
    </row>
    <row r="744" ht="15" customHeight="1" s="52">
      <c r="A744" s="26" t="n"/>
      <c r="B744" s="17">
        <f>IF($A744="","",YEAR($A744))</f>
        <v/>
      </c>
      <c r="C744" s="17">
        <f>IF($A744="","",MONTH($A744))</f>
        <v/>
      </c>
      <c r="D744" s="27" t="n"/>
      <c r="E744" s="27" t="n"/>
      <c r="F744" s="28" t="n"/>
      <c r="G744" s="14">
        <f>IF($D744="","",IFERROR(INDEX(Einstellungen!$B$4:$B$40,MATCH($D744,Einstellungen!$A$4:$A$40,0)),"?"))</f>
        <v/>
      </c>
      <c r="H744" s="27" t="n"/>
      <c r="I744" s="11">
        <f>IF($F744="","",IF($G744="Einnahme",$F744,-$F744))</f>
        <v/>
      </c>
    </row>
    <row r="745" ht="15" customHeight="1" s="52">
      <c r="A745" s="20" t="n"/>
      <c r="B745" s="21">
        <f>IF($A745="","",YEAR($A745))</f>
        <v/>
      </c>
      <c r="C745" s="21">
        <f>IF($A745="","",MONTH($A745))</f>
        <v/>
      </c>
      <c r="D745" s="22" t="n"/>
      <c r="E745" s="22" t="n"/>
      <c r="F745" s="23" t="n"/>
      <c r="G745" s="24">
        <f>IF($D745="","",IFERROR(INDEX(Einstellungen!$B$4:$B$40,MATCH($D745,Einstellungen!$A$4:$A$40,0)),"?"))</f>
        <v/>
      </c>
      <c r="H745" s="22" t="n"/>
      <c r="I745" s="25">
        <f>IF($F745="","",IF($G745="Einnahme",$F745,-$F745))</f>
        <v/>
      </c>
    </row>
    <row r="746" ht="15" customHeight="1" s="52">
      <c r="A746" s="26" t="n"/>
      <c r="B746" s="17">
        <f>IF($A746="","",YEAR($A746))</f>
        <v/>
      </c>
      <c r="C746" s="17">
        <f>IF($A746="","",MONTH($A746))</f>
        <v/>
      </c>
      <c r="D746" s="27" t="n"/>
      <c r="E746" s="27" t="n"/>
      <c r="F746" s="28" t="n"/>
      <c r="G746" s="14">
        <f>IF($D746="","",IFERROR(INDEX(Einstellungen!$B$4:$B$40,MATCH($D746,Einstellungen!$A$4:$A$40,0)),"?"))</f>
        <v/>
      </c>
      <c r="H746" s="27" t="n"/>
      <c r="I746" s="11">
        <f>IF($F746="","",IF($G746="Einnahme",$F746,-$F746))</f>
        <v/>
      </c>
    </row>
    <row r="747" ht="15" customHeight="1" s="52">
      <c r="A747" s="20" t="n"/>
      <c r="B747" s="21">
        <f>IF($A747="","",YEAR($A747))</f>
        <v/>
      </c>
      <c r="C747" s="21">
        <f>IF($A747="","",MONTH($A747))</f>
        <v/>
      </c>
      <c r="D747" s="22" t="n"/>
      <c r="E747" s="22" t="n"/>
      <c r="F747" s="23" t="n"/>
      <c r="G747" s="24">
        <f>IF($D747="","",IFERROR(INDEX(Einstellungen!$B$4:$B$40,MATCH($D747,Einstellungen!$A$4:$A$40,0)),"?"))</f>
        <v/>
      </c>
      <c r="H747" s="22" t="n"/>
      <c r="I747" s="25">
        <f>IF($F747="","",IF($G747="Einnahme",$F747,-$F747))</f>
        <v/>
      </c>
    </row>
    <row r="748" ht="15" customHeight="1" s="52">
      <c r="A748" s="26" t="n"/>
      <c r="B748" s="17">
        <f>IF($A748="","",YEAR($A748))</f>
        <v/>
      </c>
      <c r="C748" s="17">
        <f>IF($A748="","",MONTH($A748))</f>
        <v/>
      </c>
      <c r="D748" s="27" t="n"/>
      <c r="E748" s="27" t="n"/>
      <c r="F748" s="28" t="n"/>
      <c r="G748" s="14">
        <f>IF($D748="","",IFERROR(INDEX(Einstellungen!$B$4:$B$40,MATCH($D748,Einstellungen!$A$4:$A$40,0)),"?"))</f>
        <v/>
      </c>
      <c r="H748" s="27" t="n"/>
      <c r="I748" s="11">
        <f>IF($F748="","",IF($G748="Einnahme",$F748,-$F748))</f>
        <v/>
      </c>
    </row>
    <row r="749" ht="15" customHeight="1" s="52">
      <c r="A749" s="20" t="n"/>
      <c r="B749" s="21">
        <f>IF($A749="","",YEAR($A749))</f>
        <v/>
      </c>
      <c r="C749" s="21">
        <f>IF($A749="","",MONTH($A749))</f>
        <v/>
      </c>
      <c r="D749" s="22" t="n"/>
      <c r="E749" s="22" t="n"/>
      <c r="F749" s="23" t="n"/>
      <c r="G749" s="24">
        <f>IF($D749="","",IFERROR(INDEX(Einstellungen!$B$4:$B$40,MATCH($D749,Einstellungen!$A$4:$A$40,0)),"?"))</f>
        <v/>
      </c>
      <c r="H749" s="22" t="n"/>
      <c r="I749" s="25">
        <f>IF($F749="","",IF($G749="Einnahme",$F749,-$F749))</f>
        <v/>
      </c>
    </row>
    <row r="750" ht="15" customHeight="1" s="52">
      <c r="A750" s="26" t="n"/>
      <c r="B750" s="17">
        <f>IF($A750="","",YEAR($A750))</f>
        <v/>
      </c>
      <c r="C750" s="17">
        <f>IF($A750="","",MONTH($A750))</f>
        <v/>
      </c>
      <c r="D750" s="27" t="n"/>
      <c r="E750" s="27" t="n"/>
      <c r="F750" s="28" t="n"/>
      <c r="G750" s="14">
        <f>IF($D750="","",IFERROR(INDEX(Einstellungen!$B$4:$B$40,MATCH($D750,Einstellungen!$A$4:$A$40,0)),"?"))</f>
        <v/>
      </c>
      <c r="H750" s="27" t="n"/>
      <c r="I750" s="11">
        <f>IF($F750="","",IF($G750="Einnahme",$F750,-$F750))</f>
        <v/>
      </c>
    </row>
    <row r="751" ht="15" customHeight="1" s="52">
      <c r="A751" s="20" t="n"/>
      <c r="B751" s="21">
        <f>IF($A751="","",YEAR($A751))</f>
        <v/>
      </c>
      <c r="C751" s="21">
        <f>IF($A751="","",MONTH($A751))</f>
        <v/>
      </c>
      <c r="D751" s="22" t="n"/>
      <c r="E751" s="22" t="n"/>
      <c r="F751" s="23" t="n"/>
      <c r="G751" s="24">
        <f>IF($D751="","",IFERROR(INDEX(Einstellungen!$B$4:$B$40,MATCH($D751,Einstellungen!$A$4:$A$40,0)),"?"))</f>
        <v/>
      </c>
      <c r="H751" s="22" t="n"/>
      <c r="I751" s="25">
        <f>IF($F751="","",IF($G751="Einnahme",$F751,-$F751))</f>
        <v/>
      </c>
    </row>
    <row r="752" ht="15" customHeight="1" s="52">
      <c r="A752" s="26" t="n"/>
      <c r="B752" s="17">
        <f>IF($A752="","",YEAR($A752))</f>
        <v/>
      </c>
      <c r="C752" s="17">
        <f>IF($A752="","",MONTH($A752))</f>
        <v/>
      </c>
      <c r="D752" s="27" t="n"/>
      <c r="E752" s="27" t="n"/>
      <c r="F752" s="28" t="n"/>
      <c r="G752" s="14">
        <f>IF($D752="","",IFERROR(INDEX(Einstellungen!$B$4:$B$40,MATCH($D752,Einstellungen!$A$4:$A$40,0)),"?"))</f>
        <v/>
      </c>
      <c r="H752" s="27" t="n"/>
      <c r="I752" s="11">
        <f>IF($F752="","",IF($G752="Einnahme",$F752,-$F752))</f>
        <v/>
      </c>
    </row>
    <row r="753" ht="15" customHeight="1" s="52">
      <c r="A753" s="20" t="n"/>
      <c r="B753" s="21">
        <f>IF($A753="","",YEAR($A753))</f>
        <v/>
      </c>
      <c r="C753" s="21">
        <f>IF($A753="","",MONTH($A753))</f>
        <v/>
      </c>
      <c r="D753" s="22" t="n"/>
      <c r="E753" s="22" t="n"/>
      <c r="F753" s="23" t="n"/>
      <c r="G753" s="24">
        <f>IF($D753="","",IFERROR(INDEX(Einstellungen!$B$4:$B$40,MATCH($D753,Einstellungen!$A$4:$A$40,0)),"?"))</f>
        <v/>
      </c>
      <c r="H753" s="22" t="n"/>
      <c r="I753" s="25">
        <f>IF($F753="","",IF($G753="Einnahme",$F753,-$F753))</f>
        <v/>
      </c>
    </row>
    <row r="754" ht="15" customHeight="1" s="52">
      <c r="A754" s="26" t="n"/>
      <c r="B754" s="17">
        <f>IF($A754="","",YEAR($A754))</f>
        <v/>
      </c>
      <c r="C754" s="17">
        <f>IF($A754="","",MONTH($A754))</f>
        <v/>
      </c>
      <c r="D754" s="27" t="n"/>
      <c r="E754" s="27" t="n"/>
      <c r="F754" s="28" t="n"/>
      <c r="G754" s="14">
        <f>IF($D754="","",IFERROR(INDEX(Einstellungen!$B$4:$B$40,MATCH($D754,Einstellungen!$A$4:$A$40,0)),"?"))</f>
        <v/>
      </c>
      <c r="H754" s="27" t="n"/>
      <c r="I754" s="11">
        <f>IF($F754="","",IF($G754="Einnahme",$F754,-$F754))</f>
        <v/>
      </c>
    </row>
    <row r="755" ht="15" customHeight="1" s="52">
      <c r="A755" s="20" t="n"/>
      <c r="B755" s="21">
        <f>IF($A755="","",YEAR($A755))</f>
        <v/>
      </c>
      <c r="C755" s="21">
        <f>IF($A755="","",MONTH($A755))</f>
        <v/>
      </c>
      <c r="D755" s="22" t="n"/>
      <c r="E755" s="22" t="n"/>
      <c r="F755" s="23" t="n"/>
      <c r="G755" s="24">
        <f>IF($D755="","",IFERROR(INDEX(Einstellungen!$B$4:$B$40,MATCH($D755,Einstellungen!$A$4:$A$40,0)),"?"))</f>
        <v/>
      </c>
      <c r="H755" s="22" t="n"/>
      <c r="I755" s="25">
        <f>IF($F755="","",IF($G755="Einnahme",$F755,-$F755))</f>
        <v/>
      </c>
    </row>
    <row r="756" ht="15" customHeight="1" s="52">
      <c r="A756" s="26" t="n"/>
      <c r="B756" s="17">
        <f>IF($A756="","",YEAR($A756))</f>
        <v/>
      </c>
      <c r="C756" s="17">
        <f>IF($A756="","",MONTH($A756))</f>
        <v/>
      </c>
      <c r="D756" s="27" t="n"/>
      <c r="E756" s="27" t="n"/>
      <c r="F756" s="28" t="n"/>
      <c r="G756" s="14">
        <f>IF($D756="","",IFERROR(INDEX(Einstellungen!$B$4:$B$40,MATCH($D756,Einstellungen!$A$4:$A$40,0)),"?"))</f>
        <v/>
      </c>
      <c r="H756" s="27" t="n"/>
      <c r="I756" s="11">
        <f>IF($F756="","",IF($G756="Einnahme",$F756,-$F756))</f>
        <v/>
      </c>
    </row>
    <row r="757" ht="15" customHeight="1" s="52">
      <c r="A757" s="20" t="n"/>
      <c r="B757" s="21">
        <f>IF($A757="","",YEAR($A757))</f>
        <v/>
      </c>
      <c r="C757" s="21">
        <f>IF($A757="","",MONTH($A757))</f>
        <v/>
      </c>
      <c r="D757" s="22" t="n"/>
      <c r="E757" s="22" t="n"/>
      <c r="F757" s="23" t="n"/>
      <c r="G757" s="24">
        <f>IF($D757="","",IFERROR(INDEX(Einstellungen!$B$4:$B$40,MATCH($D757,Einstellungen!$A$4:$A$40,0)),"?"))</f>
        <v/>
      </c>
      <c r="H757" s="22" t="n"/>
      <c r="I757" s="25">
        <f>IF($F757="","",IF($G757="Einnahme",$F757,-$F757))</f>
        <v/>
      </c>
    </row>
    <row r="758" ht="15" customHeight="1" s="52">
      <c r="A758" s="26" t="n"/>
      <c r="B758" s="17">
        <f>IF($A758="","",YEAR($A758))</f>
        <v/>
      </c>
      <c r="C758" s="17">
        <f>IF($A758="","",MONTH($A758))</f>
        <v/>
      </c>
      <c r="D758" s="27" t="n"/>
      <c r="E758" s="27" t="n"/>
      <c r="F758" s="28" t="n"/>
      <c r="G758" s="14">
        <f>IF($D758="","",IFERROR(INDEX(Einstellungen!$B$4:$B$40,MATCH($D758,Einstellungen!$A$4:$A$40,0)),"?"))</f>
        <v/>
      </c>
      <c r="H758" s="27" t="n"/>
      <c r="I758" s="11">
        <f>IF($F758="","",IF($G758="Einnahme",$F758,-$F758))</f>
        <v/>
      </c>
    </row>
    <row r="759" ht="15" customHeight="1" s="52">
      <c r="A759" s="20" t="n"/>
      <c r="B759" s="21">
        <f>IF($A759="","",YEAR($A759))</f>
        <v/>
      </c>
      <c r="C759" s="21">
        <f>IF($A759="","",MONTH($A759))</f>
        <v/>
      </c>
      <c r="D759" s="22" t="n"/>
      <c r="E759" s="22" t="n"/>
      <c r="F759" s="23" t="n"/>
      <c r="G759" s="24">
        <f>IF($D759="","",IFERROR(INDEX(Einstellungen!$B$4:$B$40,MATCH($D759,Einstellungen!$A$4:$A$40,0)),"?"))</f>
        <v/>
      </c>
      <c r="H759" s="22" t="n"/>
      <c r="I759" s="25">
        <f>IF($F759="","",IF($G759="Einnahme",$F759,-$F759))</f>
        <v/>
      </c>
    </row>
    <row r="760" ht="15" customHeight="1" s="52">
      <c r="A760" s="26" t="n"/>
      <c r="B760" s="17">
        <f>IF($A760="","",YEAR($A760))</f>
        <v/>
      </c>
      <c r="C760" s="17">
        <f>IF($A760="","",MONTH($A760))</f>
        <v/>
      </c>
      <c r="D760" s="27" t="n"/>
      <c r="E760" s="27" t="n"/>
      <c r="F760" s="28" t="n"/>
      <c r="G760" s="14">
        <f>IF($D760="","",IFERROR(INDEX(Einstellungen!$B$4:$B$40,MATCH($D760,Einstellungen!$A$4:$A$40,0)),"?"))</f>
        <v/>
      </c>
      <c r="H760" s="27" t="n"/>
      <c r="I760" s="11">
        <f>IF($F760="","",IF($G760="Einnahme",$F760,-$F760))</f>
        <v/>
      </c>
    </row>
    <row r="761" ht="15" customHeight="1" s="52">
      <c r="A761" s="20" t="n"/>
      <c r="B761" s="21">
        <f>IF($A761="","",YEAR($A761))</f>
        <v/>
      </c>
      <c r="C761" s="21">
        <f>IF($A761="","",MONTH($A761))</f>
        <v/>
      </c>
      <c r="D761" s="22" t="n"/>
      <c r="E761" s="22" t="n"/>
      <c r="F761" s="23" t="n"/>
      <c r="G761" s="24">
        <f>IF($D761="","",IFERROR(INDEX(Einstellungen!$B$4:$B$40,MATCH($D761,Einstellungen!$A$4:$A$40,0)),"?"))</f>
        <v/>
      </c>
      <c r="H761" s="22" t="n"/>
      <c r="I761" s="25">
        <f>IF($F761="","",IF($G761="Einnahme",$F761,-$F761))</f>
        <v/>
      </c>
    </row>
    <row r="762" ht="15" customHeight="1" s="52">
      <c r="A762" s="26" t="n"/>
      <c r="B762" s="17">
        <f>IF($A762="","",YEAR($A762))</f>
        <v/>
      </c>
      <c r="C762" s="17">
        <f>IF($A762="","",MONTH($A762))</f>
        <v/>
      </c>
      <c r="D762" s="27" t="n"/>
      <c r="E762" s="27" t="n"/>
      <c r="F762" s="28" t="n"/>
      <c r="G762" s="14">
        <f>IF($D762="","",IFERROR(INDEX(Einstellungen!$B$4:$B$40,MATCH($D762,Einstellungen!$A$4:$A$40,0)),"?"))</f>
        <v/>
      </c>
      <c r="H762" s="27" t="n"/>
      <c r="I762" s="11">
        <f>IF($F762="","",IF($G762="Einnahme",$F762,-$F762))</f>
        <v/>
      </c>
    </row>
    <row r="763" ht="15" customHeight="1" s="52">
      <c r="A763" s="20" t="n"/>
      <c r="B763" s="21">
        <f>IF($A763="","",YEAR($A763))</f>
        <v/>
      </c>
      <c r="C763" s="21">
        <f>IF($A763="","",MONTH($A763))</f>
        <v/>
      </c>
      <c r="D763" s="22" t="n"/>
      <c r="E763" s="22" t="n"/>
      <c r="F763" s="23" t="n"/>
      <c r="G763" s="24">
        <f>IF($D763="","",IFERROR(INDEX(Einstellungen!$B$4:$B$40,MATCH($D763,Einstellungen!$A$4:$A$40,0)),"?"))</f>
        <v/>
      </c>
      <c r="H763" s="22" t="n"/>
      <c r="I763" s="25">
        <f>IF($F763="","",IF($G763="Einnahme",$F763,-$F763))</f>
        <v/>
      </c>
    </row>
    <row r="764" ht="15" customHeight="1" s="52">
      <c r="A764" s="26" t="n"/>
      <c r="B764" s="17">
        <f>IF($A764="","",YEAR($A764))</f>
        <v/>
      </c>
      <c r="C764" s="17">
        <f>IF($A764="","",MONTH($A764))</f>
        <v/>
      </c>
      <c r="D764" s="27" t="n"/>
      <c r="E764" s="27" t="n"/>
      <c r="F764" s="28" t="n"/>
      <c r="G764" s="14">
        <f>IF($D764="","",IFERROR(INDEX(Einstellungen!$B$4:$B$40,MATCH($D764,Einstellungen!$A$4:$A$40,0)),"?"))</f>
        <v/>
      </c>
      <c r="H764" s="27" t="n"/>
      <c r="I764" s="11">
        <f>IF($F764="","",IF($G764="Einnahme",$F764,-$F764))</f>
        <v/>
      </c>
    </row>
    <row r="765" ht="15" customHeight="1" s="52">
      <c r="A765" s="20" t="n"/>
      <c r="B765" s="21">
        <f>IF($A765="","",YEAR($A765))</f>
        <v/>
      </c>
      <c r="C765" s="21">
        <f>IF($A765="","",MONTH($A765))</f>
        <v/>
      </c>
      <c r="D765" s="22" t="n"/>
      <c r="E765" s="22" t="n"/>
      <c r="F765" s="23" t="n"/>
      <c r="G765" s="24">
        <f>IF($D765="","",IFERROR(INDEX(Einstellungen!$B$4:$B$40,MATCH($D765,Einstellungen!$A$4:$A$40,0)),"?"))</f>
        <v/>
      </c>
      <c r="H765" s="22" t="n"/>
      <c r="I765" s="25">
        <f>IF($F765="","",IF($G765="Einnahme",$F765,-$F765))</f>
        <v/>
      </c>
    </row>
    <row r="766" ht="15" customHeight="1" s="52">
      <c r="A766" s="26" t="n"/>
      <c r="B766" s="17">
        <f>IF($A766="","",YEAR($A766))</f>
        <v/>
      </c>
      <c r="C766" s="17">
        <f>IF($A766="","",MONTH($A766))</f>
        <v/>
      </c>
      <c r="D766" s="27" t="n"/>
      <c r="E766" s="27" t="n"/>
      <c r="F766" s="28" t="n"/>
      <c r="G766" s="14">
        <f>IF($D766="","",IFERROR(INDEX(Einstellungen!$B$4:$B$40,MATCH($D766,Einstellungen!$A$4:$A$40,0)),"?"))</f>
        <v/>
      </c>
      <c r="H766" s="27" t="n"/>
      <c r="I766" s="11">
        <f>IF($F766="","",IF($G766="Einnahme",$F766,-$F766))</f>
        <v/>
      </c>
    </row>
    <row r="767" ht="15" customHeight="1" s="52">
      <c r="A767" s="20" t="n"/>
      <c r="B767" s="21">
        <f>IF($A767="","",YEAR($A767))</f>
        <v/>
      </c>
      <c r="C767" s="21">
        <f>IF($A767="","",MONTH($A767))</f>
        <v/>
      </c>
      <c r="D767" s="22" t="n"/>
      <c r="E767" s="22" t="n"/>
      <c r="F767" s="23" t="n"/>
      <c r="G767" s="24">
        <f>IF($D767="","",IFERROR(INDEX(Einstellungen!$B$4:$B$40,MATCH($D767,Einstellungen!$A$4:$A$40,0)),"?"))</f>
        <v/>
      </c>
      <c r="H767" s="22" t="n"/>
      <c r="I767" s="25">
        <f>IF($F767="","",IF($G767="Einnahme",$F767,-$F767))</f>
        <v/>
      </c>
    </row>
    <row r="768" ht="15" customHeight="1" s="52">
      <c r="A768" s="26" t="n"/>
      <c r="B768" s="17">
        <f>IF($A768="","",YEAR($A768))</f>
        <v/>
      </c>
      <c r="C768" s="17">
        <f>IF($A768="","",MONTH($A768))</f>
        <v/>
      </c>
      <c r="D768" s="27" t="n"/>
      <c r="E768" s="27" t="n"/>
      <c r="F768" s="28" t="n"/>
      <c r="G768" s="14">
        <f>IF($D768="","",IFERROR(INDEX(Einstellungen!$B$4:$B$40,MATCH($D768,Einstellungen!$A$4:$A$40,0)),"?"))</f>
        <v/>
      </c>
      <c r="H768" s="27" t="n"/>
      <c r="I768" s="11">
        <f>IF($F768="","",IF($G768="Einnahme",$F768,-$F768))</f>
        <v/>
      </c>
    </row>
    <row r="769" ht="15" customHeight="1" s="52">
      <c r="A769" s="20" t="n"/>
      <c r="B769" s="21">
        <f>IF($A769="","",YEAR($A769))</f>
        <v/>
      </c>
      <c r="C769" s="21">
        <f>IF($A769="","",MONTH($A769))</f>
        <v/>
      </c>
      <c r="D769" s="22" t="n"/>
      <c r="E769" s="22" t="n"/>
      <c r="F769" s="23" t="n"/>
      <c r="G769" s="24">
        <f>IF($D769="","",IFERROR(INDEX(Einstellungen!$B$4:$B$40,MATCH($D769,Einstellungen!$A$4:$A$40,0)),"?"))</f>
        <v/>
      </c>
      <c r="H769" s="22" t="n"/>
      <c r="I769" s="25">
        <f>IF($F769="","",IF($G769="Einnahme",$F769,-$F769))</f>
        <v/>
      </c>
    </row>
    <row r="770" ht="15" customHeight="1" s="52">
      <c r="A770" s="26" t="n"/>
      <c r="B770" s="17">
        <f>IF($A770="","",YEAR($A770))</f>
        <v/>
      </c>
      <c r="C770" s="17">
        <f>IF($A770="","",MONTH($A770))</f>
        <v/>
      </c>
      <c r="D770" s="27" t="n"/>
      <c r="E770" s="27" t="n"/>
      <c r="F770" s="28" t="n"/>
      <c r="G770" s="14">
        <f>IF($D770="","",IFERROR(INDEX(Einstellungen!$B$4:$B$40,MATCH($D770,Einstellungen!$A$4:$A$40,0)),"?"))</f>
        <v/>
      </c>
      <c r="H770" s="27" t="n"/>
      <c r="I770" s="11">
        <f>IF($F770="","",IF($G770="Einnahme",$F770,-$F770))</f>
        <v/>
      </c>
    </row>
    <row r="771" ht="15" customHeight="1" s="52">
      <c r="A771" s="20" t="n"/>
      <c r="B771" s="21">
        <f>IF($A771="","",YEAR($A771))</f>
        <v/>
      </c>
      <c r="C771" s="21">
        <f>IF($A771="","",MONTH($A771))</f>
        <v/>
      </c>
      <c r="D771" s="22" t="n"/>
      <c r="E771" s="22" t="n"/>
      <c r="F771" s="23" t="n"/>
      <c r="G771" s="24">
        <f>IF($D771="","",IFERROR(INDEX(Einstellungen!$B$4:$B$40,MATCH($D771,Einstellungen!$A$4:$A$40,0)),"?"))</f>
        <v/>
      </c>
      <c r="H771" s="22" t="n"/>
      <c r="I771" s="25">
        <f>IF($F771="","",IF($G771="Einnahme",$F771,-$F771))</f>
        <v/>
      </c>
    </row>
    <row r="772" ht="15" customHeight="1" s="52">
      <c r="A772" s="26" t="n"/>
      <c r="B772" s="17">
        <f>IF($A772="","",YEAR($A772))</f>
        <v/>
      </c>
      <c r="C772" s="17">
        <f>IF($A772="","",MONTH($A772))</f>
        <v/>
      </c>
      <c r="D772" s="27" t="n"/>
      <c r="E772" s="27" t="n"/>
      <c r="F772" s="28" t="n"/>
      <c r="G772" s="14">
        <f>IF($D772="","",IFERROR(INDEX(Einstellungen!$B$4:$B$40,MATCH($D772,Einstellungen!$A$4:$A$40,0)),"?"))</f>
        <v/>
      </c>
      <c r="H772" s="27" t="n"/>
      <c r="I772" s="11">
        <f>IF($F772="","",IF($G772="Einnahme",$F772,-$F772))</f>
        <v/>
      </c>
    </row>
    <row r="773" ht="15" customHeight="1" s="52">
      <c r="A773" s="20" t="n"/>
      <c r="B773" s="21">
        <f>IF($A773="","",YEAR($A773))</f>
        <v/>
      </c>
      <c r="C773" s="21">
        <f>IF($A773="","",MONTH($A773))</f>
        <v/>
      </c>
      <c r="D773" s="22" t="n"/>
      <c r="E773" s="22" t="n"/>
      <c r="F773" s="23" t="n"/>
      <c r="G773" s="24">
        <f>IF($D773="","",IFERROR(INDEX(Einstellungen!$B$4:$B$40,MATCH($D773,Einstellungen!$A$4:$A$40,0)),"?"))</f>
        <v/>
      </c>
      <c r="H773" s="22" t="n"/>
      <c r="I773" s="25">
        <f>IF($F773="","",IF($G773="Einnahme",$F773,-$F773))</f>
        <v/>
      </c>
    </row>
    <row r="774" ht="15" customHeight="1" s="52">
      <c r="A774" s="26" t="n"/>
      <c r="B774" s="17">
        <f>IF($A774="","",YEAR($A774))</f>
        <v/>
      </c>
      <c r="C774" s="17">
        <f>IF($A774="","",MONTH($A774))</f>
        <v/>
      </c>
      <c r="D774" s="27" t="n"/>
      <c r="E774" s="27" t="n"/>
      <c r="F774" s="28" t="n"/>
      <c r="G774" s="14">
        <f>IF($D774="","",IFERROR(INDEX(Einstellungen!$B$4:$B$40,MATCH($D774,Einstellungen!$A$4:$A$40,0)),"?"))</f>
        <v/>
      </c>
      <c r="H774" s="27" t="n"/>
      <c r="I774" s="11">
        <f>IF($F774="","",IF($G774="Einnahme",$F774,-$F774))</f>
        <v/>
      </c>
    </row>
    <row r="775" ht="15" customHeight="1" s="52">
      <c r="A775" s="20" t="n"/>
      <c r="B775" s="21">
        <f>IF($A775="","",YEAR($A775))</f>
        <v/>
      </c>
      <c r="C775" s="21">
        <f>IF($A775="","",MONTH($A775))</f>
        <v/>
      </c>
      <c r="D775" s="22" t="n"/>
      <c r="E775" s="22" t="n"/>
      <c r="F775" s="23" t="n"/>
      <c r="G775" s="24">
        <f>IF($D775="","",IFERROR(INDEX(Einstellungen!$B$4:$B$40,MATCH($D775,Einstellungen!$A$4:$A$40,0)),"?"))</f>
        <v/>
      </c>
      <c r="H775" s="22" t="n"/>
      <c r="I775" s="25">
        <f>IF($F775="","",IF($G775="Einnahme",$F775,-$F775))</f>
        <v/>
      </c>
    </row>
    <row r="776" ht="15" customHeight="1" s="52">
      <c r="A776" s="26" t="n"/>
      <c r="B776" s="17">
        <f>IF($A776="","",YEAR($A776))</f>
        <v/>
      </c>
      <c r="C776" s="17">
        <f>IF($A776="","",MONTH($A776))</f>
        <v/>
      </c>
      <c r="D776" s="27" t="n"/>
      <c r="E776" s="27" t="n"/>
      <c r="F776" s="28" t="n"/>
      <c r="G776" s="14">
        <f>IF($D776="","",IFERROR(INDEX(Einstellungen!$B$4:$B$40,MATCH($D776,Einstellungen!$A$4:$A$40,0)),"?"))</f>
        <v/>
      </c>
      <c r="H776" s="27" t="n"/>
      <c r="I776" s="11">
        <f>IF($F776="","",IF($G776="Einnahme",$F776,-$F776))</f>
        <v/>
      </c>
    </row>
    <row r="777" ht="15" customHeight="1" s="52">
      <c r="A777" s="20" t="n"/>
      <c r="B777" s="21">
        <f>IF($A777="","",YEAR($A777))</f>
        <v/>
      </c>
      <c r="C777" s="21">
        <f>IF($A777="","",MONTH($A777))</f>
        <v/>
      </c>
      <c r="D777" s="22" t="n"/>
      <c r="E777" s="22" t="n"/>
      <c r="F777" s="23" t="n"/>
      <c r="G777" s="24">
        <f>IF($D777="","",IFERROR(INDEX(Einstellungen!$B$4:$B$40,MATCH($D777,Einstellungen!$A$4:$A$40,0)),"?"))</f>
        <v/>
      </c>
      <c r="H777" s="22" t="n"/>
      <c r="I777" s="25">
        <f>IF($F777="","",IF($G777="Einnahme",$F777,-$F777))</f>
        <v/>
      </c>
    </row>
    <row r="778" ht="15" customHeight="1" s="52">
      <c r="A778" s="26" t="n"/>
      <c r="B778" s="17">
        <f>IF($A778="","",YEAR($A778))</f>
        <v/>
      </c>
      <c r="C778" s="17">
        <f>IF($A778="","",MONTH($A778))</f>
        <v/>
      </c>
      <c r="D778" s="27" t="n"/>
      <c r="E778" s="27" t="n"/>
      <c r="F778" s="28" t="n"/>
      <c r="G778" s="14">
        <f>IF($D778="","",IFERROR(INDEX(Einstellungen!$B$4:$B$40,MATCH($D778,Einstellungen!$A$4:$A$40,0)),"?"))</f>
        <v/>
      </c>
      <c r="H778" s="27" t="n"/>
      <c r="I778" s="11">
        <f>IF($F778="","",IF($G778="Einnahme",$F778,-$F778))</f>
        <v/>
      </c>
    </row>
    <row r="779" ht="15" customHeight="1" s="52">
      <c r="A779" s="20" t="n"/>
      <c r="B779" s="21">
        <f>IF($A779="","",YEAR($A779))</f>
        <v/>
      </c>
      <c r="C779" s="21">
        <f>IF($A779="","",MONTH($A779))</f>
        <v/>
      </c>
      <c r="D779" s="22" t="n"/>
      <c r="E779" s="22" t="n"/>
      <c r="F779" s="23" t="n"/>
      <c r="G779" s="24">
        <f>IF($D779="","",IFERROR(INDEX(Einstellungen!$B$4:$B$40,MATCH($D779,Einstellungen!$A$4:$A$40,0)),"?"))</f>
        <v/>
      </c>
      <c r="H779" s="22" t="n"/>
      <c r="I779" s="25">
        <f>IF($F779="","",IF($G779="Einnahme",$F779,-$F779))</f>
        <v/>
      </c>
    </row>
    <row r="780" ht="15" customHeight="1" s="52">
      <c r="A780" s="26" t="n"/>
      <c r="B780" s="17">
        <f>IF($A780="","",YEAR($A780))</f>
        <v/>
      </c>
      <c r="C780" s="17">
        <f>IF($A780="","",MONTH($A780))</f>
        <v/>
      </c>
      <c r="D780" s="27" t="n"/>
      <c r="E780" s="27" t="n"/>
      <c r="F780" s="28" t="n"/>
      <c r="G780" s="14">
        <f>IF($D780="","",IFERROR(INDEX(Einstellungen!$B$4:$B$40,MATCH($D780,Einstellungen!$A$4:$A$40,0)),"?"))</f>
        <v/>
      </c>
      <c r="H780" s="27" t="n"/>
      <c r="I780" s="11">
        <f>IF($F780="","",IF($G780="Einnahme",$F780,-$F780))</f>
        <v/>
      </c>
    </row>
    <row r="781" ht="15" customHeight="1" s="52">
      <c r="A781" s="20" t="n"/>
      <c r="B781" s="21">
        <f>IF($A781="","",YEAR($A781))</f>
        <v/>
      </c>
      <c r="C781" s="21">
        <f>IF($A781="","",MONTH($A781))</f>
        <v/>
      </c>
      <c r="D781" s="22" t="n"/>
      <c r="E781" s="22" t="n"/>
      <c r="F781" s="23" t="n"/>
      <c r="G781" s="24">
        <f>IF($D781="","",IFERROR(INDEX(Einstellungen!$B$4:$B$40,MATCH($D781,Einstellungen!$A$4:$A$40,0)),"?"))</f>
        <v/>
      </c>
      <c r="H781" s="22" t="n"/>
      <c r="I781" s="25">
        <f>IF($F781="","",IF($G781="Einnahme",$F781,-$F781))</f>
        <v/>
      </c>
    </row>
    <row r="782" ht="15" customHeight="1" s="52">
      <c r="A782" s="26" t="n"/>
      <c r="B782" s="17">
        <f>IF($A782="","",YEAR($A782))</f>
        <v/>
      </c>
      <c r="C782" s="17">
        <f>IF($A782="","",MONTH($A782))</f>
        <v/>
      </c>
      <c r="D782" s="27" t="n"/>
      <c r="E782" s="27" t="n"/>
      <c r="F782" s="28" t="n"/>
      <c r="G782" s="14">
        <f>IF($D782="","",IFERROR(INDEX(Einstellungen!$B$4:$B$40,MATCH($D782,Einstellungen!$A$4:$A$40,0)),"?"))</f>
        <v/>
      </c>
      <c r="H782" s="27" t="n"/>
      <c r="I782" s="11">
        <f>IF($F782="","",IF($G782="Einnahme",$F782,-$F782))</f>
        <v/>
      </c>
    </row>
    <row r="783" ht="15" customHeight="1" s="52">
      <c r="A783" s="20" t="n"/>
      <c r="B783" s="21">
        <f>IF($A783="","",YEAR($A783))</f>
        <v/>
      </c>
      <c r="C783" s="21">
        <f>IF($A783="","",MONTH($A783))</f>
        <v/>
      </c>
      <c r="D783" s="22" t="n"/>
      <c r="E783" s="22" t="n"/>
      <c r="F783" s="23" t="n"/>
      <c r="G783" s="24">
        <f>IF($D783="","",IFERROR(INDEX(Einstellungen!$B$4:$B$40,MATCH($D783,Einstellungen!$A$4:$A$40,0)),"?"))</f>
        <v/>
      </c>
      <c r="H783" s="22" t="n"/>
      <c r="I783" s="25">
        <f>IF($F783="","",IF($G783="Einnahme",$F783,-$F783))</f>
        <v/>
      </c>
    </row>
    <row r="784" ht="15" customHeight="1" s="52">
      <c r="A784" s="26" t="n"/>
      <c r="B784" s="17">
        <f>IF($A784="","",YEAR($A784))</f>
        <v/>
      </c>
      <c r="C784" s="17">
        <f>IF($A784="","",MONTH($A784))</f>
        <v/>
      </c>
      <c r="D784" s="27" t="n"/>
      <c r="E784" s="27" t="n"/>
      <c r="F784" s="28" t="n"/>
      <c r="G784" s="14">
        <f>IF($D784="","",IFERROR(INDEX(Einstellungen!$B$4:$B$40,MATCH($D784,Einstellungen!$A$4:$A$40,0)),"?"))</f>
        <v/>
      </c>
      <c r="H784" s="27" t="n"/>
      <c r="I784" s="11">
        <f>IF($F784="","",IF($G784="Einnahme",$F784,-$F784))</f>
        <v/>
      </c>
    </row>
    <row r="785" ht="15" customHeight="1" s="52">
      <c r="A785" s="20" t="n"/>
      <c r="B785" s="21">
        <f>IF($A785="","",YEAR($A785))</f>
        <v/>
      </c>
      <c r="C785" s="21">
        <f>IF($A785="","",MONTH($A785))</f>
        <v/>
      </c>
      <c r="D785" s="22" t="n"/>
      <c r="E785" s="22" t="n"/>
      <c r="F785" s="23" t="n"/>
      <c r="G785" s="24">
        <f>IF($D785="","",IFERROR(INDEX(Einstellungen!$B$4:$B$40,MATCH($D785,Einstellungen!$A$4:$A$40,0)),"?"))</f>
        <v/>
      </c>
      <c r="H785" s="22" t="n"/>
      <c r="I785" s="25">
        <f>IF($F785="","",IF($G785="Einnahme",$F785,-$F785))</f>
        <v/>
      </c>
    </row>
    <row r="786" ht="15" customHeight="1" s="52">
      <c r="A786" s="26" t="n"/>
      <c r="B786" s="17">
        <f>IF($A786="","",YEAR($A786))</f>
        <v/>
      </c>
      <c r="C786" s="17">
        <f>IF($A786="","",MONTH($A786))</f>
        <v/>
      </c>
      <c r="D786" s="27" t="n"/>
      <c r="E786" s="27" t="n"/>
      <c r="F786" s="28" t="n"/>
      <c r="G786" s="14">
        <f>IF($D786="","",IFERROR(INDEX(Einstellungen!$B$4:$B$40,MATCH($D786,Einstellungen!$A$4:$A$40,0)),"?"))</f>
        <v/>
      </c>
      <c r="H786" s="27" t="n"/>
      <c r="I786" s="11">
        <f>IF($F786="","",IF($G786="Einnahme",$F786,-$F786))</f>
        <v/>
      </c>
    </row>
    <row r="787" ht="15" customHeight="1" s="52">
      <c r="A787" s="20" t="n"/>
      <c r="B787" s="21">
        <f>IF($A787="","",YEAR($A787))</f>
        <v/>
      </c>
      <c r="C787" s="21">
        <f>IF($A787="","",MONTH($A787))</f>
        <v/>
      </c>
      <c r="D787" s="22" t="n"/>
      <c r="E787" s="22" t="n"/>
      <c r="F787" s="23" t="n"/>
      <c r="G787" s="24">
        <f>IF($D787="","",IFERROR(INDEX(Einstellungen!$B$4:$B$40,MATCH($D787,Einstellungen!$A$4:$A$40,0)),"?"))</f>
        <v/>
      </c>
      <c r="H787" s="22" t="n"/>
      <c r="I787" s="25">
        <f>IF($F787="","",IF($G787="Einnahme",$F787,-$F787))</f>
        <v/>
      </c>
    </row>
    <row r="788" ht="15" customHeight="1" s="52">
      <c r="A788" s="26" t="n"/>
      <c r="B788" s="17">
        <f>IF($A788="","",YEAR($A788))</f>
        <v/>
      </c>
      <c r="C788" s="17">
        <f>IF($A788="","",MONTH($A788))</f>
        <v/>
      </c>
      <c r="D788" s="27" t="n"/>
      <c r="E788" s="27" t="n"/>
      <c r="F788" s="28" t="n"/>
      <c r="G788" s="14">
        <f>IF($D788="","",IFERROR(INDEX(Einstellungen!$B$4:$B$40,MATCH($D788,Einstellungen!$A$4:$A$40,0)),"?"))</f>
        <v/>
      </c>
      <c r="H788" s="27" t="n"/>
      <c r="I788" s="11">
        <f>IF($F788="","",IF($G788="Einnahme",$F788,-$F788))</f>
        <v/>
      </c>
    </row>
    <row r="789" ht="15" customHeight="1" s="52">
      <c r="A789" s="20" t="n"/>
      <c r="B789" s="21">
        <f>IF($A789="","",YEAR($A789))</f>
        <v/>
      </c>
      <c r="C789" s="21">
        <f>IF($A789="","",MONTH($A789))</f>
        <v/>
      </c>
      <c r="D789" s="22" t="n"/>
      <c r="E789" s="22" t="n"/>
      <c r="F789" s="23" t="n"/>
      <c r="G789" s="24">
        <f>IF($D789="","",IFERROR(INDEX(Einstellungen!$B$4:$B$40,MATCH($D789,Einstellungen!$A$4:$A$40,0)),"?"))</f>
        <v/>
      </c>
      <c r="H789" s="22" t="n"/>
      <c r="I789" s="25">
        <f>IF($F789="","",IF($G789="Einnahme",$F789,-$F789))</f>
        <v/>
      </c>
    </row>
    <row r="790" ht="15" customHeight="1" s="52">
      <c r="A790" s="26" t="n"/>
      <c r="B790" s="17">
        <f>IF($A790="","",YEAR($A790))</f>
        <v/>
      </c>
      <c r="C790" s="17">
        <f>IF($A790="","",MONTH($A790))</f>
        <v/>
      </c>
      <c r="D790" s="27" t="n"/>
      <c r="E790" s="27" t="n"/>
      <c r="F790" s="28" t="n"/>
      <c r="G790" s="14">
        <f>IF($D790="","",IFERROR(INDEX(Einstellungen!$B$4:$B$40,MATCH($D790,Einstellungen!$A$4:$A$40,0)),"?"))</f>
        <v/>
      </c>
      <c r="H790" s="27" t="n"/>
      <c r="I790" s="11">
        <f>IF($F790="","",IF($G790="Einnahme",$F790,-$F790))</f>
        <v/>
      </c>
    </row>
    <row r="791" ht="15" customHeight="1" s="52">
      <c r="A791" s="20" t="n"/>
      <c r="B791" s="21">
        <f>IF($A791="","",YEAR($A791))</f>
        <v/>
      </c>
      <c r="C791" s="21">
        <f>IF($A791="","",MONTH($A791))</f>
        <v/>
      </c>
      <c r="D791" s="22" t="n"/>
      <c r="E791" s="22" t="n"/>
      <c r="F791" s="23" t="n"/>
      <c r="G791" s="24">
        <f>IF($D791="","",IFERROR(INDEX(Einstellungen!$B$4:$B$40,MATCH($D791,Einstellungen!$A$4:$A$40,0)),"?"))</f>
        <v/>
      </c>
      <c r="H791" s="22" t="n"/>
      <c r="I791" s="25">
        <f>IF($F791="","",IF($G791="Einnahme",$F791,-$F791))</f>
        <v/>
      </c>
    </row>
    <row r="792" ht="15" customHeight="1" s="52">
      <c r="A792" s="26" t="n"/>
      <c r="B792" s="17">
        <f>IF($A792="","",YEAR($A792))</f>
        <v/>
      </c>
      <c r="C792" s="17">
        <f>IF($A792="","",MONTH($A792))</f>
        <v/>
      </c>
      <c r="D792" s="27" t="n"/>
      <c r="E792" s="27" t="n"/>
      <c r="F792" s="28" t="n"/>
      <c r="G792" s="14">
        <f>IF($D792="","",IFERROR(INDEX(Einstellungen!$B$4:$B$40,MATCH($D792,Einstellungen!$A$4:$A$40,0)),"?"))</f>
        <v/>
      </c>
      <c r="H792" s="27" t="n"/>
      <c r="I792" s="11">
        <f>IF($F792="","",IF($G792="Einnahme",$F792,-$F792))</f>
        <v/>
      </c>
    </row>
    <row r="793" ht="15" customHeight="1" s="52">
      <c r="A793" s="20" t="n"/>
      <c r="B793" s="21">
        <f>IF($A793="","",YEAR($A793))</f>
        <v/>
      </c>
      <c r="C793" s="21">
        <f>IF($A793="","",MONTH($A793))</f>
        <v/>
      </c>
      <c r="D793" s="22" t="n"/>
      <c r="E793" s="22" t="n"/>
      <c r="F793" s="23" t="n"/>
      <c r="G793" s="24">
        <f>IF($D793="","",IFERROR(INDEX(Einstellungen!$B$4:$B$40,MATCH($D793,Einstellungen!$A$4:$A$40,0)),"?"))</f>
        <v/>
      </c>
      <c r="H793" s="22" t="n"/>
      <c r="I793" s="25">
        <f>IF($F793="","",IF($G793="Einnahme",$F793,-$F793))</f>
        <v/>
      </c>
    </row>
    <row r="794" ht="15" customHeight="1" s="52">
      <c r="A794" s="26" t="n"/>
      <c r="B794" s="17">
        <f>IF($A794="","",YEAR($A794))</f>
        <v/>
      </c>
      <c r="C794" s="17">
        <f>IF($A794="","",MONTH($A794))</f>
        <v/>
      </c>
      <c r="D794" s="27" t="n"/>
      <c r="E794" s="27" t="n"/>
      <c r="F794" s="28" t="n"/>
      <c r="G794" s="14">
        <f>IF($D794="","",IFERROR(INDEX(Einstellungen!$B$4:$B$40,MATCH($D794,Einstellungen!$A$4:$A$40,0)),"?"))</f>
        <v/>
      </c>
      <c r="H794" s="27" t="n"/>
      <c r="I794" s="11">
        <f>IF($F794="","",IF($G794="Einnahme",$F794,-$F794))</f>
        <v/>
      </c>
    </row>
    <row r="795" ht="15" customHeight="1" s="52">
      <c r="A795" s="20" t="n"/>
      <c r="B795" s="21">
        <f>IF($A795="","",YEAR($A795))</f>
        <v/>
      </c>
      <c r="C795" s="21">
        <f>IF($A795="","",MONTH($A795))</f>
        <v/>
      </c>
      <c r="D795" s="22" t="n"/>
      <c r="E795" s="22" t="n"/>
      <c r="F795" s="23" t="n"/>
      <c r="G795" s="24">
        <f>IF($D795="","",IFERROR(INDEX(Einstellungen!$B$4:$B$40,MATCH($D795,Einstellungen!$A$4:$A$40,0)),"?"))</f>
        <v/>
      </c>
      <c r="H795" s="22" t="n"/>
      <c r="I795" s="25">
        <f>IF($F795="","",IF($G795="Einnahme",$F795,-$F795))</f>
        <v/>
      </c>
    </row>
    <row r="796" ht="15" customHeight="1" s="52">
      <c r="A796" s="26" t="n"/>
      <c r="B796" s="17">
        <f>IF($A796="","",YEAR($A796))</f>
        <v/>
      </c>
      <c r="C796" s="17">
        <f>IF($A796="","",MONTH($A796))</f>
        <v/>
      </c>
      <c r="D796" s="27" t="n"/>
      <c r="E796" s="27" t="n"/>
      <c r="F796" s="28" t="n"/>
      <c r="G796" s="14">
        <f>IF($D796="","",IFERROR(INDEX(Einstellungen!$B$4:$B$40,MATCH($D796,Einstellungen!$A$4:$A$40,0)),"?"))</f>
        <v/>
      </c>
      <c r="H796" s="27" t="n"/>
      <c r="I796" s="11">
        <f>IF($F796="","",IF($G796="Einnahme",$F796,-$F796))</f>
        <v/>
      </c>
    </row>
    <row r="797" ht="15" customHeight="1" s="52">
      <c r="A797" s="20" t="n"/>
      <c r="B797" s="21">
        <f>IF($A797="","",YEAR($A797))</f>
        <v/>
      </c>
      <c r="C797" s="21">
        <f>IF($A797="","",MONTH($A797))</f>
        <v/>
      </c>
      <c r="D797" s="22" t="n"/>
      <c r="E797" s="22" t="n"/>
      <c r="F797" s="23" t="n"/>
      <c r="G797" s="24">
        <f>IF($D797="","",IFERROR(INDEX(Einstellungen!$B$4:$B$40,MATCH($D797,Einstellungen!$A$4:$A$40,0)),"?"))</f>
        <v/>
      </c>
      <c r="H797" s="22" t="n"/>
      <c r="I797" s="25">
        <f>IF($F797="","",IF($G797="Einnahme",$F797,-$F797))</f>
        <v/>
      </c>
    </row>
    <row r="798" ht="15" customHeight="1" s="52">
      <c r="A798" s="26" t="n"/>
      <c r="B798" s="17">
        <f>IF($A798="","",YEAR($A798))</f>
        <v/>
      </c>
      <c r="C798" s="17">
        <f>IF($A798="","",MONTH($A798))</f>
        <v/>
      </c>
      <c r="D798" s="27" t="n"/>
      <c r="E798" s="27" t="n"/>
      <c r="F798" s="28" t="n"/>
      <c r="G798" s="14">
        <f>IF($D798="","",IFERROR(INDEX(Einstellungen!$B$4:$B$40,MATCH($D798,Einstellungen!$A$4:$A$40,0)),"?"))</f>
        <v/>
      </c>
      <c r="H798" s="27" t="n"/>
      <c r="I798" s="11">
        <f>IF($F798="","",IF($G798="Einnahme",$F798,-$F798))</f>
        <v/>
      </c>
    </row>
    <row r="799" ht="15" customHeight="1" s="52">
      <c r="A799" s="20" t="n"/>
      <c r="B799" s="21">
        <f>IF($A799="","",YEAR($A799))</f>
        <v/>
      </c>
      <c r="C799" s="21">
        <f>IF($A799="","",MONTH($A799))</f>
        <v/>
      </c>
      <c r="D799" s="22" t="n"/>
      <c r="E799" s="22" t="n"/>
      <c r="F799" s="23" t="n"/>
      <c r="G799" s="24">
        <f>IF($D799="","",IFERROR(INDEX(Einstellungen!$B$4:$B$40,MATCH($D799,Einstellungen!$A$4:$A$40,0)),"?"))</f>
        <v/>
      </c>
      <c r="H799" s="22" t="n"/>
      <c r="I799" s="25">
        <f>IF($F799="","",IF($G799="Einnahme",$F799,-$F799))</f>
        <v/>
      </c>
    </row>
    <row r="800" ht="15" customHeight="1" s="52">
      <c r="A800" s="26" t="n"/>
      <c r="B800" s="17">
        <f>IF($A800="","",YEAR($A800))</f>
        <v/>
      </c>
      <c r="C800" s="17">
        <f>IF($A800="","",MONTH($A800))</f>
        <v/>
      </c>
      <c r="D800" s="27" t="n"/>
      <c r="E800" s="27" t="n"/>
      <c r="F800" s="28" t="n"/>
      <c r="G800" s="14">
        <f>IF($D800="","",IFERROR(INDEX(Einstellungen!$B$4:$B$40,MATCH($D800,Einstellungen!$A$4:$A$40,0)),"?"))</f>
        <v/>
      </c>
      <c r="H800" s="27" t="n"/>
      <c r="I800" s="11">
        <f>IF($F800="","",IF($G800="Einnahme",$F800,-$F800))</f>
        <v/>
      </c>
    </row>
    <row r="801" ht="15" customHeight="1" s="52">
      <c r="A801" s="20" t="n"/>
      <c r="B801" s="21">
        <f>IF($A801="","",YEAR($A801))</f>
        <v/>
      </c>
      <c r="C801" s="21">
        <f>IF($A801="","",MONTH($A801))</f>
        <v/>
      </c>
      <c r="D801" s="22" t="n"/>
      <c r="E801" s="22" t="n"/>
      <c r="F801" s="23" t="n"/>
      <c r="G801" s="24">
        <f>IF($D801="","",IFERROR(INDEX(Einstellungen!$B$4:$B$40,MATCH($D801,Einstellungen!$A$4:$A$40,0)),"?"))</f>
        <v/>
      </c>
      <c r="H801" s="22" t="n"/>
      <c r="I801" s="25">
        <f>IF($F801="","",IF($G801="Einnahme",$F801,-$F801))</f>
        <v/>
      </c>
    </row>
    <row r="802" ht="15" customHeight="1" s="52">
      <c r="A802" s="26" t="n"/>
      <c r="B802" s="17">
        <f>IF($A802="","",YEAR($A802))</f>
        <v/>
      </c>
      <c r="C802" s="17">
        <f>IF($A802="","",MONTH($A802))</f>
        <v/>
      </c>
      <c r="D802" s="27" t="n"/>
      <c r="E802" s="27" t="n"/>
      <c r="F802" s="28" t="n"/>
      <c r="G802" s="14">
        <f>IF($D802="","",IFERROR(INDEX(Einstellungen!$B$4:$B$40,MATCH($D802,Einstellungen!$A$4:$A$40,0)),"?"))</f>
        <v/>
      </c>
      <c r="H802" s="27" t="n"/>
      <c r="I802" s="11">
        <f>IF($F802="","",IF($G802="Einnahme",$F802,-$F802))</f>
        <v/>
      </c>
    </row>
    <row r="803" ht="15" customHeight="1" s="52">
      <c r="A803" s="20" t="n"/>
      <c r="B803" s="21">
        <f>IF($A803="","",YEAR($A803))</f>
        <v/>
      </c>
      <c r="C803" s="21">
        <f>IF($A803="","",MONTH($A803))</f>
        <v/>
      </c>
      <c r="D803" s="22" t="n"/>
      <c r="E803" s="22" t="n"/>
      <c r="F803" s="23" t="n"/>
      <c r="G803" s="24">
        <f>IF($D803="","",IFERROR(INDEX(Einstellungen!$B$4:$B$40,MATCH($D803,Einstellungen!$A$4:$A$40,0)),"?"))</f>
        <v/>
      </c>
      <c r="H803" s="22" t="n"/>
      <c r="I803" s="25">
        <f>IF($F803="","",IF($G803="Einnahme",$F803,-$F803))</f>
        <v/>
      </c>
    </row>
    <row r="804" ht="15" customHeight="1" s="52">
      <c r="A804" s="26" t="n"/>
      <c r="B804" s="17">
        <f>IF($A804="","",YEAR($A804))</f>
        <v/>
      </c>
      <c r="C804" s="17">
        <f>IF($A804="","",MONTH($A804))</f>
        <v/>
      </c>
      <c r="D804" s="27" t="n"/>
      <c r="E804" s="27" t="n"/>
      <c r="F804" s="28" t="n"/>
      <c r="G804" s="14">
        <f>IF($D804="","",IFERROR(INDEX(Einstellungen!$B$4:$B$40,MATCH($D804,Einstellungen!$A$4:$A$40,0)),"?"))</f>
        <v/>
      </c>
      <c r="H804" s="27" t="n"/>
      <c r="I804" s="11">
        <f>IF($F804="","",IF($G804="Einnahme",$F804,-$F804))</f>
        <v/>
      </c>
    </row>
    <row r="805" ht="15" customHeight="1" s="52">
      <c r="A805" s="20" t="n"/>
      <c r="B805" s="21">
        <f>IF($A805="","",YEAR($A805))</f>
        <v/>
      </c>
      <c r="C805" s="21">
        <f>IF($A805="","",MONTH($A805))</f>
        <v/>
      </c>
      <c r="D805" s="22" t="n"/>
      <c r="E805" s="22" t="n"/>
      <c r="F805" s="23" t="n"/>
      <c r="G805" s="24">
        <f>IF($D805="","",IFERROR(INDEX(Einstellungen!$B$4:$B$40,MATCH($D805,Einstellungen!$A$4:$A$40,0)),"?"))</f>
        <v/>
      </c>
      <c r="H805" s="22" t="n"/>
      <c r="I805" s="25">
        <f>IF($F805="","",IF($G805="Einnahme",$F805,-$F805))</f>
        <v/>
      </c>
    </row>
    <row r="806" ht="15" customHeight="1" s="52">
      <c r="A806" s="26" t="n"/>
      <c r="B806" s="17">
        <f>IF($A806="","",YEAR($A806))</f>
        <v/>
      </c>
      <c r="C806" s="17">
        <f>IF($A806="","",MONTH($A806))</f>
        <v/>
      </c>
      <c r="D806" s="27" t="n"/>
      <c r="E806" s="27" t="n"/>
      <c r="F806" s="28" t="n"/>
      <c r="G806" s="14">
        <f>IF($D806="","",IFERROR(INDEX(Einstellungen!$B$4:$B$40,MATCH($D806,Einstellungen!$A$4:$A$40,0)),"?"))</f>
        <v/>
      </c>
      <c r="H806" s="27" t="n"/>
      <c r="I806" s="11">
        <f>IF($F806="","",IF($G806="Einnahme",$F806,-$F806))</f>
        <v/>
      </c>
    </row>
    <row r="807" ht="15" customHeight="1" s="52">
      <c r="A807" s="20" t="n"/>
      <c r="B807" s="21">
        <f>IF($A807="","",YEAR($A807))</f>
        <v/>
      </c>
      <c r="C807" s="21">
        <f>IF($A807="","",MONTH($A807))</f>
        <v/>
      </c>
      <c r="D807" s="22" t="n"/>
      <c r="E807" s="22" t="n"/>
      <c r="F807" s="23" t="n"/>
      <c r="G807" s="24">
        <f>IF($D807="","",IFERROR(INDEX(Einstellungen!$B$4:$B$40,MATCH($D807,Einstellungen!$A$4:$A$40,0)),"?"))</f>
        <v/>
      </c>
      <c r="H807" s="22" t="n"/>
      <c r="I807" s="25">
        <f>IF($F807="","",IF($G807="Einnahme",$F807,-$F807))</f>
        <v/>
      </c>
    </row>
    <row r="808" ht="15" customHeight="1" s="52">
      <c r="A808" s="26" t="n"/>
      <c r="B808" s="17">
        <f>IF($A808="","",YEAR($A808))</f>
        <v/>
      </c>
      <c r="C808" s="17">
        <f>IF($A808="","",MONTH($A808))</f>
        <v/>
      </c>
      <c r="D808" s="27" t="n"/>
      <c r="E808" s="27" t="n"/>
      <c r="F808" s="28" t="n"/>
      <c r="G808" s="14">
        <f>IF($D808="","",IFERROR(INDEX(Einstellungen!$B$4:$B$40,MATCH($D808,Einstellungen!$A$4:$A$40,0)),"?"))</f>
        <v/>
      </c>
      <c r="H808" s="27" t="n"/>
      <c r="I808" s="11">
        <f>IF($F808="","",IF($G808="Einnahme",$F808,-$F808))</f>
        <v/>
      </c>
    </row>
    <row r="809" ht="15" customHeight="1" s="52">
      <c r="A809" s="20" t="n"/>
      <c r="B809" s="21">
        <f>IF($A809="","",YEAR($A809))</f>
        <v/>
      </c>
      <c r="C809" s="21">
        <f>IF($A809="","",MONTH($A809))</f>
        <v/>
      </c>
      <c r="D809" s="22" t="n"/>
      <c r="E809" s="22" t="n"/>
      <c r="F809" s="23" t="n"/>
      <c r="G809" s="24">
        <f>IF($D809="","",IFERROR(INDEX(Einstellungen!$B$4:$B$40,MATCH($D809,Einstellungen!$A$4:$A$40,0)),"?"))</f>
        <v/>
      </c>
      <c r="H809" s="22" t="n"/>
      <c r="I809" s="25">
        <f>IF($F809="","",IF($G809="Einnahme",$F809,-$F809))</f>
        <v/>
      </c>
    </row>
    <row r="810" ht="15" customHeight="1" s="52">
      <c r="A810" s="26" t="n"/>
      <c r="B810" s="17">
        <f>IF($A810="","",YEAR($A810))</f>
        <v/>
      </c>
      <c r="C810" s="17">
        <f>IF($A810="","",MONTH($A810))</f>
        <v/>
      </c>
      <c r="D810" s="27" t="n"/>
      <c r="E810" s="27" t="n"/>
      <c r="F810" s="28" t="n"/>
      <c r="G810" s="14">
        <f>IF($D810="","",IFERROR(INDEX(Einstellungen!$B$4:$B$40,MATCH($D810,Einstellungen!$A$4:$A$40,0)),"?"))</f>
        <v/>
      </c>
      <c r="H810" s="27" t="n"/>
      <c r="I810" s="11">
        <f>IF($F810="","",IF($G810="Einnahme",$F810,-$F810))</f>
        <v/>
      </c>
    </row>
    <row r="811" ht="15" customHeight="1" s="52">
      <c r="A811" s="20" t="n"/>
      <c r="B811" s="21">
        <f>IF($A811="","",YEAR($A811))</f>
        <v/>
      </c>
      <c r="C811" s="21">
        <f>IF($A811="","",MONTH($A811))</f>
        <v/>
      </c>
      <c r="D811" s="22" t="n"/>
      <c r="E811" s="22" t="n"/>
      <c r="F811" s="23" t="n"/>
      <c r="G811" s="24">
        <f>IF($D811="","",IFERROR(INDEX(Einstellungen!$B$4:$B$40,MATCH($D811,Einstellungen!$A$4:$A$40,0)),"?"))</f>
        <v/>
      </c>
      <c r="H811" s="22" t="n"/>
      <c r="I811" s="25">
        <f>IF($F811="","",IF($G811="Einnahme",$F811,-$F811))</f>
        <v/>
      </c>
    </row>
    <row r="812" ht="15" customHeight="1" s="52">
      <c r="A812" s="26" t="n"/>
      <c r="B812" s="17">
        <f>IF($A812="","",YEAR($A812))</f>
        <v/>
      </c>
      <c r="C812" s="17">
        <f>IF($A812="","",MONTH($A812))</f>
        <v/>
      </c>
      <c r="D812" s="27" t="n"/>
      <c r="E812" s="27" t="n"/>
      <c r="F812" s="28" t="n"/>
      <c r="G812" s="14">
        <f>IF($D812="","",IFERROR(INDEX(Einstellungen!$B$4:$B$40,MATCH($D812,Einstellungen!$A$4:$A$40,0)),"?"))</f>
        <v/>
      </c>
      <c r="H812" s="27" t="n"/>
      <c r="I812" s="11">
        <f>IF($F812="","",IF($G812="Einnahme",$F812,-$F812))</f>
        <v/>
      </c>
    </row>
    <row r="813" ht="15" customHeight="1" s="52">
      <c r="A813" s="20" t="n"/>
      <c r="B813" s="21">
        <f>IF($A813="","",YEAR($A813))</f>
        <v/>
      </c>
      <c r="C813" s="21">
        <f>IF($A813="","",MONTH($A813))</f>
        <v/>
      </c>
      <c r="D813" s="22" t="n"/>
      <c r="E813" s="22" t="n"/>
      <c r="F813" s="23" t="n"/>
      <c r="G813" s="24">
        <f>IF($D813="","",IFERROR(INDEX(Einstellungen!$B$4:$B$40,MATCH($D813,Einstellungen!$A$4:$A$40,0)),"?"))</f>
        <v/>
      </c>
      <c r="H813" s="22" t="n"/>
      <c r="I813" s="25">
        <f>IF($F813="","",IF($G813="Einnahme",$F813,-$F813))</f>
        <v/>
      </c>
    </row>
    <row r="814" ht="15" customHeight="1" s="52">
      <c r="A814" s="26" t="n"/>
      <c r="B814" s="17">
        <f>IF($A814="","",YEAR($A814))</f>
        <v/>
      </c>
      <c r="C814" s="17">
        <f>IF($A814="","",MONTH($A814))</f>
        <v/>
      </c>
      <c r="D814" s="27" t="n"/>
      <c r="E814" s="27" t="n"/>
      <c r="F814" s="28" t="n"/>
      <c r="G814" s="14">
        <f>IF($D814="","",IFERROR(INDEX(Einstellungen!$B$4:$B$40,MATCH($D814,Einstellungen!$A$4:$A$40,0)),"?"))</f>
        <v/>
      </c>
      <c r="H814" s="27" t="n"/>
      <c r="I814" s="11">
        <f>IF($F814="","",IF($G814="Einnahme",$F814,-$F814))</f>
        <v/>
      </c>
    </row>
    <row r="815" ht="15" customHeight="1" s="52">
      <c r="A815" s="20" t="n"/>
      <c r="B815" s="21">
        <f>IF($A815="","",YEAR($A815))</f>
        <v/>
      </c>
      <c r="C815" s="21">
        <f>IF($A815="","",MONTH($A815))</f>
        <v/>
      </c>
      <c r="D815" s="22" t="n"/>
      <c r="E815" s="22" t="n"/>
      <c r="F815" s="23" t="n"/>
      <c r="G815" s="24">
        <f>IF($D815="","",IFERROR(INDEX(Einstellungen!$B$4:$B$40,MATCH($D815,Einstellungen!$A$4:$A$40,0)),"?"))</f>
        <v/>
      </c>
      <c r="H815" s="22" t="n"/>
      <c r="I815" s="25">
        <f>IF($F815="","",IF($G815="Einnahme",$F815,-$F815))</f>
        <v/>
      </c>
    </row>
    <row r="816" ht="15" customHeight="1" s="52">
      <c r="A816" s="26" t="n"/>
      <c r="B816" s="17">
        <f>IF($A816="","",YEAR($A816))</f>
        <v/>
      </c>
      <c r="C816" s="17">
        <f>IF($A816="","",MONTH($A816))</f>
        <v/>
      </c>
      <c r="D816" s="27" t="n"/>
      <c r="E816" s="27" t="n"/>
      <c r="F816" s="28" t="n"/>
      <c r="G816" s="14">
        <f>IF($D816="","",IFERROR(INDEX(Einstellungen!$B$4:$B$40,MATCH($D816,Einstellungen!$A$4:$A$40,0)),"?"))</f>
        <v/>
      </c>
      <c r="H816" s="27" t="n"/>
      <c r="I816" s="11">
        <f>IF($F816="","",IF($G816="Einnahme",$F816,-$F816))</f>
        <v/>
      </c>
    </row>
    <row r="817" ht="15" customHeight="1" s="52">
      <c r="A817" s="20" t="n"/>
      <c r="B817" s="21">
        <f>IF($A817="","",YEAR($A817))</f>
        <v/>
      </c>
      <c r="C817" s="21">
        <f>IF($A817="","",MONTH($A817))</f>
        <v/>
      </c>
      <c r="D817" s="22" t="n"/>
      <c r="E817" s="22" t="n"/>
      <c r="F817" s="23" t="n"/>
      <c r="G817" s="24">
        <f>IF($D817="","",IFERROR(INDEX(Einstellungen!$B$4:$B$40,MATCH($D817,Einstellungen!$A$4:$A$40,0)),"?"))</f>
        <v/>
      </c>
      <c r="H817" s="22" t="n"/>
      <c r="I817" s="25">
        <f>IF($F817="","",IF($G817="Einnahme",$F817,-$F817))</f>
        <v/>
      </c>
    </row>
    <row r="818" ht="15" customHeight="1" s="52">
      <c r="A818" s="26" t="n"/>
      <c r="B818" s="17">
        <f>IF($A818="","",YEAR($A818))</f>
        <v/>
      </c>
      <c r="C818" s="17">
        <f>IF($A818="","",MONTH($A818))</f>
        <v/>
      </c>
      <c r="D818" s="27" t="n"/>
      <c r="E818" s="27" t="n"/>
      <c r="F818" s="28" t="n"/>
      <c r="G818" s="14">
        <f>IF($D818="","",IFERROR(INDEX(Einstellungen!$B$4:$B$40,MATCH($D818,Einstellungen!$A$4:$A$40,0)),"?"))</f>
        <v/>
      </c>
      <c r="H818" s="27" t="n"/>
      <c r="I818" s="11">
        <f>IF($F818="","",IF($G818="Einnahme",$F818,-$F818))</f>
        <v/>
      </c>
    </row>
    <row r="819" ht="15" customHeight="1" s="52">
      <c r="A819" s="20" t="n"/>
      <c r="B819" s="21">
        <f>IF($A819="","",YEAR($A819))</f>
        <v/>
      </c>
      <c r="C819" s="21">
        <f>IF($A819="","",MONTH($A819))</f>
        <v/>
      </c>
      <c r="D819" s="22" t="n"/>
      <c r="E819" s="22" t="n"/>
      <c r="F819" s="23" t="n"/>
      <c r="G819" s="24">
        <f>IF($D819="","",IFERROR(INDEX(Einstellungen!$B$4:$B$40,MATCH($D819,Einstellungen!$A$4:$A$40,0)),"?"))</f>
        <v/>
      </c>
      <c r="H819" s="22" t="n"/>
      <c r="I819" s="25">
        <f>IF($F819="","",IF($G819="Einnahme",$F819,-$F819))</f>
        <v/>
      </c>
    </row>
    <row r="820" ht="15" customHeight="1" s="52">
      <c r="A820" s="26" t="n"/>
      <c r="B820" s="17">
        <f>IF($A820="","",YEAR($A820))</f>
        <v/>
      </c>
      <c r="C820" s="17">
        <f>IF($A820="","",MONTH($A820))</f>
        <v/>
      </c>
      <c r="D820" s="27" t="n"/>
      <c r="E820" s="27" t="n"/>
      <c r="F820" s="28" t="n"/>
      <c r="G820" s="14">
        <f>IF($D820="","",IFERROR(INDEX(Einstellungen!$B$4:$B$40,MATCH($D820,Einstellungen!$A$4:$A$40,0)),"?"))</f>
        <v/>
      </c>
      <c r="H820" s="27" t="n"/>
      <c r="I820" s="11">
        <f>IF($F820="","",IF($G820="Einnahme",$F820,-$F820))</f>
        <v/>
      </c>
    </row>
    <row r="821" ht="15" customHeight="1" s="52">
      <c r="A821" s="20" t="n"/>
      <c r="B821" s="21">
        <f>IF($A821="","",YEAR($A821))</f>
        <v/>
      </c>
      <c r="C821" s="21">
        <f>IF($A821="","",MONTH($A821))</f>
        <v/>
      </c>
      <c r="D821" s="22" t="n"/>
      <c r="E821" s="22" t="n"/>
      <c r="F821" s="23" t="n"/>
      <c r="G821" s="24">
        <f>IF($D821="","",IFERROR(INDEX(Einstellungen!$B$4:$B$40,MATCH($D821,Einstellungen!$A$4:$A$40,0)),"?"))</f>
        <v/>
      </c>
      <c r="H821" s="22" t="n"/>
      <c r="I821" s="25">
        <f>IF($F821="","",IF($G821="Einnahme",$F821,-$F821))</f>
        <v/>
      </c>
    </row>
    <row r="822" ht="15" customHeight="1" s="52">
      <c r="A822" s="26" t="n"/>
      <c r="B822" s="17">
        <f>IF($A822="","",YEAR($A822))</f>
        <v/>
      </c>
      <c r="C822" s="17">
        <f>IF($A822="","",MONTH($A822))</f>
        <v/>
      </c>
      <c r="D822" s="27" t="n"/>
      <c r="E822" s="27" t="n"/>
      <c r="F822" s="28" t="n"/>
      <c r="G822" s="14">
        <f>IF($D822="","",IFERROR(INDEX(Einstellungen!$B$4:$B$40,MATCH($D822,Einstellungen!$A$4:$A$40,0)),"?"))</f>
        <v/>
      </c>
      <c r="H822" s="27" t="n"/>
      <c r="I822" s="11">
        <f>IF($F822="","",IF($G822="Einnahme",$F822,-$F822))</f>
        <v/>
      </c>
    </row>
    <row r="823" ht="15" customHeight="1" s="52">
      <c r="A823" s="20" t="n"/>
      <c r="B823" s="21">
        <f>IF($A823="","",YEAR($A823))</f>
        <v/>
      </c>
      <c r="C823" s="21">
        <f>IF($A823="","",MONTH($A823))</f>
        <v/>
      </c>
      <c r="D823" s="22" t="n"/>
      <c r="E823" s="22" t="n"/>
      <c r="F823" s="23" t="n"/>
      <c r="G823" s="24">
        <f>IF($D823="","",IFERROR(INDEX(Einstellungen!$B$4:$B$40,MATCH($D823,Einstellungen!$A$4:$A$40,0)),"?"))</f>
        <v/>
      </c>
      <c r="H823" s="22" t="n"/>
      <c r="I823" s="25">
        <f>IF($F823="","",IF($G823="Einnahme",$F823,-$F823))</f>
        <v/>
      </c>
    </row>
    <row r="824" ht="15" customHeight="1" s="52">
      <c r="A824" s="26" t="n"/>
      <c r="B824" s="17">
        <f>IF($A824="","",YEAR($A824))</f>
        <v/>
      </c>
      <c r="C824" s="17">
        <f>IF($A824="","",MONTH($A824))</f>
        <v/>
      </c>
      <c r="D824" s="27" t="n"/>
      <c r="E824" s="27" t="n"/>
      <c r="F824" s="28" t="n"/>
      <c r="G824" s="14">
        <f>IF($D824="","",IFERROR(INDEX(Einstellungen!$B$4:$B$40,MATCH($D824,Einstellungen!$A$4:$A$40,0)),"?"))</f>
        <v/>
      </c>
      <c r="H824" s="27" t="n"/>
      <c r="I824" s="11">
        <f>IF($F824="","",IF($G824="Einnahme",$F824,-$F824))</f>
        <v/>
      </c>
    </row>
    <row r="825" ht="15" customHeight="1" s="52">
      <c r="A825" s="20" t="n"/>
      <c r="B825" s="21">
        <f>IF($A825="","",YEAR($A825))</f>
        <v/>
      </c>
      <c r="C825" s="21">
        <f>IF($A825="","",MONTH($A825))</f>
        <v/>
      </c>
      <c r="D825" s="22" t="n"/>
      <c r="E825" s="22" t="n"/>
      <c r="F825" s="23" t="n"/>
      <c r="G825" s="24">
        <f>IF($D825="","",IFERROR(INDEX(Einstellungen!$B$4:$B$40,MATCH($D825,Einstellungen!$A$4:$A$40,0)),"?"))</f>
        <v/>
      </c>
      <c r="H825" s="22" t="n"/>
      <c r="I825" s="25">
        <f>IF($F825="","",IF($G825="Einnahme",$F825,-$F825))</f>
        <v/>
      </c>
    </row>
    <row r="826" ht="15" customHeight="1" s="52">
      <c r="A826" s="26" t="n"/>
      <c r="B826" s="17">
        <f>IF($A826="","",YEAR($A826))</f>
        <v/>
      </c>
      <c r="C826" s="17">
        <f>IF($A826="","",MONTH($A826))</f>
        <v/>
      </c>
      <c r="D826" s="27" t="n"/>
      <c r="E826" s="27" t="n"/>
      <c r="F826" s="28" t="n"/>
      <c r="G826" s="14">
        <f>IF($D826="","",IFERROR(INDEX(Einstellungen!$B$4:$B$40,MATCH($D826,Einstellungen!$A$4:$A$40,0)),"?"))</f>
        <v/>
      </c>
      <c r="H826" s="27" t="n"/>
      <c r="I826" s="11">
        <f>IF($F826="","",IF($G826="Einnahme",$F826,-$F826))</f>
        <v/>
      </c>
    </row>
    <row r="827" ht="15" customHeight="1" s="52">
      <c r="A827" s="20" t="n"/>
      <c r="B827" s="21">
        <f>IF($A827="","",YEAR($A827))</f>
        <v/>
      </c>
      <c r="C827" s="21">
        <f>IF($A827="","",MONTH($A827))</f>
        <v/>
      </c>
      <c r="D827" s="22" t="n"/>
      <c r="E827" s="22" t="n"/>
      <c r="F827" s="23" t="n"/>
      <c r="G827" s="24">
        <f>IF($D827="","",IFERROR(INDEX(Einstellungen!$B$4:$B$40,MATCH($D827,Einstellungen!$A$4:$A$40,0)),"?"))</f>
        <v/>
      </c>
      <c r="H827" s="22" t="n"/>
      <c r="I827" s="25">
        <f>IF($F827="","",IF($G827="Einnahme",$F827,-$F827))</f>
        <v/>
      </c>
    </row>
    <row r="828" ht="15" customHeight="1" s="52">
      <c r="A828" s="26" t="n"/>
      <c r="B828" s="17">
        <f>IF($A828="","",YEAR($A828))</f>
        <v/>
      </c>
      <c r="C828" s="17">
        <f>IF($A828="","",MONTH($A828))</f>
        <v/>
      </c>
      <c r="D828" s="27" t="n"/>
      <c r="E828" s="27" t="n"/>
      <c r="F828" s="28" t="n"/>
      <c r="G828" s="14">
        <f>IF($D828="","",IFERROR(INDEX(Einstellungen!$B$4:$B$40,MATCH($D828,Einstellungen!$A$4:$A$40,0)),"?"))</f>
        <v/>
      </c>
      <c r="H828" s="27" t="n"/>
      <c r="I828" s="11">
        <f>IF($F828="","",IF($G828="Einnahme",$F828,-$F828))</f>
        <v/>
      </c>
    </row>
    <row r="829" ht="15" customHeight="1" s="52">
      <c r="A829" s="20" t="n"/>
      <c r="B829" s="21">
        <f>IF($A829="","",YEAR($A829))</f>
        <v/>
      </c>
      <c r="C829" s="21">
        <f>IF($A829="","",MONTH($A829))</f>
        <v/>
      </c>
      <c r="D829" s="22" t="n"/>
      <c r="E829" s="22" t="n"/>
      <c r="F829" s="23" t="n"/>
      <c r="G829" s="24">
        <f>IF($D829="","",IFERROR(INDEX(Einstellungen!$B$4:$B$40,MATCH($D829,Einstellungen!$A$4:$A$40,0)),"?"))</f>
        <v/>
      </c>
      <c r="H829" s="22" t="n"/>
      <c r="I829" s="25">
        <f>IF($F829="","",IF($G829="Einnahme",$F829,-$F829))</f>
        <v/>
      </c>
    </row>
    <row r="830" ht="15" customHeight="1" s="52">
      <c r="A830" s="26" t="n"/>
      <c r="B830" s="17">
        <f>IF($A830="","",YEAR($A830))</f>
        <v/>
      </c>
      <c r="C830" s="17">
        <f>IF($A830="","",MONTH($A830))</f>
        <v/>
      </c>
      <c r="D830" s="27" t="n"/>
      <c r="E830" s="27" t="n"/>
      <c r="F830" s="28" t="n"/>
      <c r="G830" s="14">
        <f>IF($D830="","",IFERROR(INDEX(Einstellungen!$B$4:$B$40,MATCH($D830,Einstellungen!$A$4:$A$40,0)),"?"))</f>
        <v/>
      </c>
      <c r="H830" s="27" t="n"/>
      <c r="I830" s="11">
        <f>IF($F830="","",IF($G830="Einnahme",$F830,-$F830))</f>
        <v/>
      </c>
    </row>
    <row r="831" ht="15" customHeight="1" s="52">
      <c r="A831" s="20" t="n"/>
      <c r="B831" s="21">
        <f>IF($A831="","",YEAR($A831))</f>
        <v/>
      </c>
      <c r="C831" s="21">
        <f>IF($A831="","",MONTH($A831))</f>
        <v/>
      </c>
      <c r="D831" s="22" t="n"/>
      <c r="E831" s="22" t="n"/>
      <c r="F831" s="23" t="n"/>
      <c r="G831" s="24">
        <f>IF($D831="","",IFERROR(INDEX(Einstellungen!$B$4:$B$40,MATCH($D831,Einstellungen!$A$4:$A$40,0)),"?"))</f>
        <v/>
      </c>
      <c r="H831" s="22" t="n"/>
      <c r="I831" s="25">
        <f>IF($F831="","",IF($G831="Einnahme",$F831,-$F831))</f>
        <v/>
      </c>
    </row>
    <row r="832" ht="15" customHeight="1" s="52">
      <c r="A832" s="26" t="n"/>
      <c r="B832" s="17">
        <f>IF($A832="","",YEAR($A832))</f>
        <v/>
      </c>
      <c r="C832" s="17">
        <f>IF($A832="","",MONTH($A832))</f>
        <v/>
      </c>
      <c r="D832" s="27" t="n"/>
      <c r="E832" s="27" t="n"/>
      <c r="F832" s="28" t="n"/>
      <c r="G832" s="14">
        <f>IF($D832="","",IFERROR(INDEX(Einstellungen!$B$4:$B$40,MATCH($D832,Einstellungen!$A$4:$A$40,0)),"?"))</f>
        <v/>
      </c>
      <c r="H832" s="27" t="n"/>
      <c r="I832" s="11">
        <f>IF($F832="","",IF($G832="Einnahme",$F832,-$F832))</f>
        <v/>
      </c>
    </row>
    <row r="833" ht="15" customHeight="1" s="52">
      <c r="A833" s="20" t="n"/>
      <c r="B833" s="21">
        <f>IF($A833="","",YEAR($A833))</f>
        <v/>
      </c>
      <c r="C833" s="21">
        <f>IF($A833="","",MONTH($A833))</f>
        <v/>
      </c>
      <c r="D833" s="22" t="n"/>
      <c r="E833" s="22" t="n"/>
      <c r="F833" s="23" t="n"/>
      <c r="G833" s="24">
        <f>IF($D833="","",IFERROR(INDEX(Einstellungen!$B$4:$B$40,MATCH($D833,Einstellungen!$A$4:$A$40,0)),"?"))</f>
        <v/>
      </c>
      <c r="H833" s="22" t="n"/>
      <c r="I833" s="25">
        <f>IF($F833="","",IF($G833="Einnahme",$F833,-$F833))</f>
        <v/>
      </c>
    </row>
    <row r="834" ht="15" customHeight="1" s="52">
      <c r="A834" s="26" t="n"/>
      <c r="B834" s="17">
        <f>IF($A834="","",YEAR($A834))</f>
        <v/>
      </c>
      <c r="C834" s="17">
        <f>IF($A834="","",MONTH($A834))</f>
        <v/>
      </c>
      <c r="D834" s="27" t="n"/>
      <c r="E834" s="27" t="n"/>
      <c r="F834" s="28" t="n"/>
      <c r="G834" s="14">
        <f>IF($D834="","",IFERROR(INDEX(Einstellungen!$B$4:$B$40,MATCH($D834,Einstellungen!$A$4:$A$40,0)),"?"))</f>
        <v/>
      </c>
      <c r="H834" s="27" t="n"/>
      <c r="I834" s="11">
        <f>IF($F834="","",IF($G834="Einnahme",$F834,-$F834))</f>
        <v/>
      </c>
    </row>
    <row r="835" ht="15" customHeight="1" s="52">
      <c r="A835" s="20" t="n"/>
      <c r="B835" s="21">
        <f>IF($A835="","",YEAR($A835))</f>
        <v/>
      </c>
      <c r="C835" s="21">
        <f>IF($A835="","",MONTH($A835))</f>
        <v/>
      </c>
      <c r="D835" s="22" t="n"/>
      <c r="E835" s="22" t="n"/>
      <c r="F835" s="23" t="n"/>
      <c r="G835" s="24">
        <f>IF($D835="","",IFERROR(INDEX(Einstellungen!$B$4:$B$40,MATCH($D835,Einstellungen!$A$4:$A$40,0)),"?"))</f>
        <v/>
      </c>
      <c r="H835" s="22" t="n"/>
      <c r="I835" s="25">
        <f>IF($F835="","",IF($G835="Einnahme",$F835,-$F835))</f>
        <v/>
      </c>
    </row>
    <row r="836" ht="15" customHeight="1" s="52">
      <c r="A836" s="26" t="n"/>
      <c r="B836" s="17">
        <f>IF($A836="","",YEAR($A836))</f>
        <v/>
      </c>
      <c r="C836" s="17">
        <f>IF($A836="","",MONTH($A836))</f>
        <v/>
      </c>
      <c r="D836" s="27" t="n"/>
      <c r="E836" s="27" t="n"/>
      <c r="F836" s="28" t="n"/>
      <c r="G836" s="14">
        <f>IF($D836="","",IFERROR(INDEX(Einstellungen!$B$4:$B$40,MATCH($D836,Einstellungen!$A$4:$A$40,0)),"?"))</f>
        <v/>
      </c>
      <c r="H836" s="27" t="n"/>
      <c r="I836" s="11">
        <f>IF($F836="","",IF($G836="Einnahme",$F836,-$F836))</f>
        <v/>
      </c>
    </row>
    <row r="837" ht="15" customHeight="1" s="52">
      <c r="A837" s="20" t="n"/>
      <c r="B837" s="21">
        <f>IF($A837="","",YEAR($A837))</f>
        <v/>
      </c>
      <c r="C837" s="21">
        <f>IF($A837="","",MONTH($A837))</f>
        <v/>
      </c>
      <c r="D837" s="22" t="n"/>
      <c r="E837" s="22" t="n"/>
      <c r="F837" s="23" t="n"/>
      <c r="G837" s="24">
        <f>IF($D837="","",IFERROR(INDEX(Einstellungen!$B$4:$B$40,MATCH($D837,Einstellungen!$A$4:$A$40,0)),"?"))</f>
        <v/>
      </c>
      <c r="H837" s="22" t="n"/>
      <c r="I837" s="25">
        <f>IF($F837="","",IF($G837="Einnahme",$F837,-$F837))</f>
        <v/>
      </c>
    </row>
    <row r="838" ht="15" customHeight="1" s="52">
      <c r="A838" s="26" t="n"/>
      <c r="B838" s="17">
        <f>IF($A838="","",YEAR($A838))</f>
        <v/>
      </c>
      <c r="C838" s="17">
        <f>IF($A838="","",MONTH($A838))</f>
        <v/>
      </c>
      <c r="D838" s="27" t="n"/>
      <c r="E838" s="27" t="n"/>
      <c r="F838" s="28" t="n"/>
      <c r="G838" s="14">
        <f>IF($D838="","",IFERROR(INDEX(Einstellungen!$B$4:$B$40,MATCH($D838,Einstellungen!$A$4:$A$40,0)),"?"))</f>
        <v/>
      </c>
      <c r="H838" s="27" t="n"/>
      <c r="I838" s="11">
        <f>IF($F838="","",IF($G838="Einnahme",$F838,-$F838))</f>
        <v/>
      </c>
    </row>
    <row r="839" ht="15" customHeight="1" s="52">
      <c r="A839" s="20" t="n"/>
      <c r="B839" s="21">
        <f>IF($A839="","",YEAR($A839))</f>
        <v/>
      </c>
      <c r="C839" s="21">
        <f>IF($A839="","",MONTH($A839))</f>
        <v/>
      </c>
      <c r="D839" s="22" t="n"/>
      <c r="E839" s="22" t="n"/>
      <c r="F839" s="23" t="n"/>
      <c r="G839" s="24">
        <f>IF($D839="","",IFERROR(INDEX(Einstellungen!$B$4:$B$40,MATCH($D839,Einstellungen!$A$4:$A$40,0)),"?"))</f>
        <v/>
      </c>
      <c r="H839" s="22" t="n"/>
      <c r="I839" s="25">
        <f>IF($F839="","",IF($G839="Einnahme",$F839,-$F839))</f>
        <v/>
      </c>
    </row>
    <row r="840" ht="15" customHeight="1" s="52">
      <c r="A840" s="26" t="n"/>
      <c r="B840" s="17">
        <f>IF($A840="","",YEAR($A840))</f>
        <v/>
      </c>
      <c r="C840" s="17">
        <f>IF($A840="","",MONTH($A840))</f>
        <v/>
      </c>
      <c r="D840" s="27" t="n"/>
      <c r="E840" s="27" t="n"/>
      <c r="F840" s="28" t="n"/>
      <c r="G840" s="14">
        <f>IF($D840="","",IFERROR(INDEX(Einstellungen!$B$4:$B$40,MATCH($D840,Einstellungen!$A$4:$A$40,0)),"?"))</f>
        <v/>
      </c>
      <c r="H840" s="27" t="n"/>
      <c r="I840" s="11">
        <f>IF($F840="","",IF($G840="Einnahme",$F840,-$F840))</f>
        <v/>
      </c>
    </row>
    <row r="841" ht="15" customHeight="1" s="52">
      <c r="A841" s="20" t="n"/>
      <c r="B841" s="21">
        <f>IF($A841="","",YEAR($A841))</f>
        <v/>
      </c>
      <c r="C841" s="21">
        <f>IF($A841="","",MONTH($A841))</f>
        <v/>
      </c>
      <c r="D841" s="22" t="n"/>
      <c r="E841" s="22" t="n"/>
      <c r="F841" s="23" t="n"/>
      <c r="G841" s="24">
        <f>IF($D841="","",IFERROR(INDEX(Einstellungen!$B$4:$B$40,MATCH($D841,Einstellungen!$A$4:$A$40,0)),"?"))</f>
        <v/>
      </c>
      <c r="H841" s="22" t="n"/>
      <c r="I841" s="25">
        <f>IF($F841="","",IF($G841="Einnahme",$F841,-$F841))</f>
        <v/>
      </c>
    </row>
    <row r="842" ht="15" customHeight="1" s="52">
      <c r="A842" s="26" t="n"/>
      <c r="B842" s="17">
        <f>IF($A842="","",YEAR($A842))</f>
        <v/>
      </c>
      <c r="C842" s="17">
        <f>IF($A842="","",MONTH($A842))</f>
        <v/>
      </c>
      <c r="D842" s="27" t="n"/>
      <c r="E842" s="27" t="n"/>
      <c r="F842" s="28" t="n"/>
      <c r="G842" s="14">
        <f>IF($D842="","",IFERROR(INDEX(Einstellungen!$B$4:$B$40,MATCH($D842,Einstellungen!$A$4:$A$40,0)),"?"))</f>
        <v/>
      </c>
      <c r="H842" s="27" t="n"/>
      <c r="I842" s="11">
        <f>IF($F842="","",IF($G842="Einnahme",$F842,-$F842))</f>
        <v/>
      </c>
    </row>
    <row r="843" ht="15" customHeight="1" s="52">
      <c r="A843" s="20" t="n"/>
      <c r="B843" s="21">
        <f>IF($A843="","",YEAR($A843))</f>
        <v/>
      </c>
      <c r="C843" s="21">
        <f>IF($A843="","",MONTH($A843))</f>
        <v/>
      </c>
      <c r="D843" s="22" t="n"/>
      <c r="E843" s="22" t="n"/>
      <c r="F843" s="23" t="n"/>
      <c r="G843" s="24">
        <f>IF($D843="","",IFERROR(INDEX(Einstellungen!$B$4:$B$40,MATCH($D843,Einstellungen!$A$4:$A$40,0)),"?"))</f>
        <v/>
      </c>
      <c r="H843" s="22" t="n"/>
      <c r="I843" s="25">
        <f>IF($F843="","",IF($G843="Einnahme",$F843,-$F843))</f>
        <v/>
      </c>
    </row>
    <row r="844" ht="15" customHeight="1" s="52">
      <c r="A844" s="26" t="n"/>
      <c r="B844" s="17">
        <f>IF($A844="","",YEAR($A844))</f>
        <v/>
      </c>
      <c r="C844" s="17">
        <f>IF($A844="","",MONTH($A844))</f>
        <v/>
      </c>
      <c r="D844" s="27" t="n"/>
      <c r="E844" s="27" t="n"/>
      <c r="F844" s="28" t="n"/>
      <c r="G844" s="14">
        <f>IF($D844="","",IFERROR(INDEX(Einstellungen!$B$4:$B$40,MATCH($D844,Einstellungen!$A$4:$A$40,0)),"?"))</f>
        <v/>
      </c>
      <c r="H844" s="27" t="n"/>
      <c r="I844" s="11">
        <f>IF($F844="","",IF($G844="Einnahme",$F844,-$F844))</f>
        <v/>
      </c>
    </row>
    <row r="845" ht="15" customHeight="1" s="52">
      <c r="A845" s="20" t="n"/>
      <c r="B845" s="21">
        <f>IF($A845="","",YEAR($A845))</f>
        <v/>
      </c>
      <c r="C845" s="21">
        <f>IF($A845="","",MONTH($A845))</f>
        <v/>
      </c>
      <c r="D845" s="22" t="n"/>
      <c r="E845" s="22" t="n"/>
      <c r="F845" s="23" t="n"/>
      <c r="G845" s="24">
        <f>IF($D845="","",IFERROR(INDEX(Einstellungen!$B$4:$B$40,MATCH($D845,Einstellungen!$A$4:$A$40,0)),"?"))</f>
        <v/>
      </c>
      <c r="H845" s="22" t="n"/>
      <c r="I845" s="25">
        <f>IF($F845="","",IF($G845="Einnahme",$F845,-$F845))</f>
        <v/>
      </c>
    </row>
    <row r="846" ht="15" customHeight="1" s="52">
      <c r="A846" s="26" t="n"/>
      <c r="B846" s="17">
        <f>IF($A846="","",YEAR($A846))</f>
        <v/>
      </c>
      <c r="C846" s="17">
        <f>IF($A846="","",MONTH($A846))</f>
        <v/>
      </c>
      <c r="D846" s="27" t="n"/>
      <c r="E846" s="27" t="n"/>
      <c r="F846" s="28" t="n"/>
      <c r="G846" s="14">
        <f>IF($D846="","",IFERROR(INDEX(Einstellungen!$B$4:$B$40,MATCH($D846,Einstellungen!$A$4:$A$40,0)),"?"))</f>
        <v/>
      </c>
      <c r="H846" s="27" t="n"/>
      <c r="I846" s="11">
        <f>IF($F846="","",IF($G846="Einnahme",$F846,-$F846))</f>
        <v/>
      </c>
    </row>
    <row r="847" ht="15" customHeight="1" s="52">
      <c r="A847" s="20" t="n"/>
      <c r="B847" s="21">
        <f>IF($A847="","",YEAR($A847))</f>
        <v/>
      </c>
      <c r="C847" s="21">
        <f>IF($A847="","",MONTH($A847))</f>
        <v/>
      </c>
      <c r="D847" s="22" t="n"/>
      <c r="E847" s="22" t="n"/>
      <c r="F847" s="23" t="n"/>
      <c r="G847" s="24">
        <f>IF($D847="","",IFERROR(INDEX(Einstellungen!$B$4:$B$40,MATCH($D847,Einstellungen!$A$4:$A$40,0)),"?"))</f>
        <v/>
      </c>
      <c r="H847" s="22" t="n"/>
      <c r="I847" s="25">
        <f>IF($F847="","",IF($G847="Einnahme",$F847,-$F847))</f>
        <v/>
      </c>
    </row>
    <row r="848" ht="15" customHeight="1" s="52">
      <c r="A848" s="26" t="n"/>
      <c r="B848" s="17">
        <f>IF($A848="","",YEAR($A848))</f>
        <v/>
      </c>
      <c r="C848" s="17">
        <f>IF($A848="","",MONTH($A848))</f>
        <v/>
      </c>
      <c r="D848" s="27" t="n"/>
      <c r="E848" s="27" t="n"/>
      <c r="F848" s="28" t="n"/>
      <c r="G848" s="14">
        <f>IF($D848="","",IFERROR(INDEX(Einstellungen!$B$4:$B$40,MATCH($D848,Einstellungen!$A$4:$A$40,0)),"?"))</f>
        <v/>
      </c>
      <c r="H848" s="27" t="n"/>
      <c r="I848" s="11">
        <f>IF($F848="","",IF($G848="Einnahme",$F848,-$F848))</f>
        <v/>
      </c>
    </row>
    <row r="849" ht="15" customHeight="1" s="52">
      <c r="A849" s="20" t="n"/>
      <c r="B849" s="21">
        <f>IF($A849="","",YEAR($A849))</f>
        <v/>
      </c>
      <c r="C849" s="21">
        <f>IF($A849="","",MONTH($A849))</f>
        <v/>
      </c>
      <c r="D849" s="22" t="n"/>
      <c r="E849" s="22" t="n"/>
      <c r="F849" s="23" t="n"/>
      <c r="G849" s="24">
        <f>IF($D849="","",IFERROR(INDEX(Einstellungen!$B$4:$B$40,MATCH($D849,Einstellungen!$A$4:$A$40,0)),"?"))</f>
        <v/>
      </c>
      <c r="H849" s="22" t="n"/>
      <c r="I849" s="25">
        <f>IF($F849="","",IF($G849="Einnahme",$F849,-$F849))</f>
        <v/>
      </c>
    </row>
    <row r="850" ht="15" customHeight="1" s="52">
      <c r="A850" s="26" t="n"/>
      <c r="B850" s="17">
        <f>IF($A850="","",YEAR($A850))</f>
        <v/>
      </c>
      <c r="C850" s="17">
        <f>IF($A850="","",MONTH($A850))</f>
        <v/>
      </c>
      <c r="D850" s="27" t="n"/>
      <c r="E850" s="27" t="n"/>
      <c r="F850" s="28" t="n"/>
      <c r="G850" s="14">
        <f>IF($D850="","",IFERROR(INDEX(Einstellungen!$B$4:$B$40,MATCH($D850,Einstellungen!$A$4:$A$40,0)),"?"))</f>
        <v/>
      </c>
      <c r="H850" s="27" t="n"/>
      <c r="I850" s="11">
        <f>IF($F850="","",IF($G850="Einnahme",$F850,-$F850))</f>
        <v/>
      </c>
    </row>
    <row r="851" ht="15" customHeight="1" s="52">
      <c r="A851" s="20" t="n"/>
      <c r="B851" s="21">
        <f>IF($A851="","",YEAR($A851))</f>
        <v/>
      </c>
      <c r="C851" s="21">
        <f>IF($A851="","",MONTH($A851))</f>
        <v/>
      </c>
      <c r="D851" s="22" t="n"/>
      <c r="E851" s="22" t="n"/>
      <c r="F851" s="23" t="n"/>
      <c r="G851" s="24">
        <f>IF($D851="","",IFERROR(INDEX(Einstellungen!$B$4:$B$40,MATCH($D851,Einstellungen!$A$4:$A$40,0)),"?"))</f>
        <v/>
      </c>
      <c r="H851" s="22" t="n"/>
      <c r="I851" s="25">
        <f>IF($F851="","",IF($G851="Einnahme",$F851,-$F851))</f>
        <v/>
      </c>
    </row>
    <row r="852" ht="15" customHeight="1" s="52">
      <c r="A852" s="26" t="n"/>
      <c r="B852" s="17">
        <f>IF($A852="","",YEAR($A852))</f>
        <v/>
      </c>
      <c r="C852" s="17">
        <f>IF($A852="","",MONTH($A852))</f>
        <v/>
      </c>
      <c r="D852" s="27" t="n"/>
      <c r="E852" s="27" t="n"/>
      <c r="F852" s="28" t="n"/>
      <c r="G852" s="14">
        <f>IF($D852="","",IFERROR(INDEX(Einstellungen!$B$4:$B$40,MATCH($D852,Einstellungen!$A$4:$A$40,0)),"?"))</f>
        <v/>
      </c>
      <c r="H852" s="27" t="n"/>
      <c r="I852" s="11">
        <f>IF($F852="","",IF($G852="Einnahme",$F852,-$F852))</f>
        <v/>
      </c>
    </row>
    <row r="853" ht="15" customHeight="1" s="52">
      <c r="A853" s="20" t="n"/>
      <c r="B853" s="21">
        <f>IF($A853="","",YEAR($A853))</f>
        <v/>
      </c>
      <c r="C853" s="21">
        <f>IF($A853="","",MONTH($A853))</f>
        <v/>
      </c>
      <c r="D853" s="22" t="n"/>
      <c r="E853" s="22" t="n"/>
      <c r="F853" s="23" t="n"/>
      <c r="G853" s="24">
        <f>IF($D853="","",IFERROR(INDEX(Einstellungen!$B$4:$B$40,MATCH($D853,Einstellungen!$A$4:$A$40,0)),"?"))</f>
        <v/>
      </c>
      <c r="H853" s="22" t="n"/>
      <c r="I853" s="25">
        <f>IF($F853="","",IF($G853="Einnahme",$F853,-$F853))</f>
        <v/>
      </c>
    </row>
    <row r="854" ht="15" customHeight="1" s="52">
      <c r="A854" s="26" t="n"/>
      <c r="B854" s="17">
        <f>IF($A854="","",YEAR($A854))</f>
        <v/>
      </c>
      <c r="C854" s="17">
        <f>IF($A854="","",MONTH($A854))</f>
        <v/>
      </c>
      <c r="D854" s="27" t="n"/>
      <c r="E854" s="27" t="n"/>
      <c r="F854" s="28" t="n"/>
      <c r="G854" s="14">
        <f>IF($D854="","",IFERROR(INDEX(Einstellungen!$B$4:$B$40,MATCH($D854,Einstellungen!$A$4:$A$40,0)),"?"))</f>
        <v/>
      </c>
      <c r="H854" s="27" t="n"/>
      <c r="I854" s="11">
        <f>IF($F854="","",IF($G854="Einnahme",$F854,-$F854))</f>
        <v/>
      </c>
    </row>
    <row r="855" ht="15" customHeight="1" s="52">
      <c r="A855" s="20" t="n"/>
      <c r="B855" s="21">
        <f>IF($A855="","",YEAR($A855))</f>
        <v/>
      </c>
      <c r="C855" s="21">
        <f>IF($A855="","",MONTH($A855))</f>
        <v/>
      </c>
      <c r="D855" s="22" t="n"/>
      <c r="E855" s="22" t="n"/>
      <c r="F855" s="23" t="n"/>
      <c r="G855" s="24">
        <f>IF($D855="","",IFERROR(INDEX(Einstellungen!$B$4:$B$40,MATCH($D855,Einstellungen!$A$4:$A$40,0)),"?"))</f>
        <v/>
      </c>
      <c r="H855" s="22" t="n"/>
      <c r="I855" s="25">
        <f>IF($F855="","",IF($G855="Einnahme",$F855,-$F855))</f>
        <v/>
      </c>
    </row>
    <row r="856" ht="15" customHeight="1" s="52">
      <c r="A856" s="26" t="n"/>
      <c r="B856" s="17">
        <f>IF($A856="","",YEAR($A856))</f>
        <v/>
      </c>
      <c r="C856" s="17">
        <f>IF($A856="","",MONTH($A856))</f>
        <v/>
      </c>
      <c r="D856" s="27" t="n"/>
      <c r="E856" s="27" t="n"/>
      <c r="F856" s="28" t="n"/>
      <c r="G856" s="14">
        <f>IF($D856="","",IFERROR(INDEX(Einstellungen!$B$4:$B$40,MATCH($D856,Einstellungen!$A$4:$A$40,0)),"?"))</f>
        <v/>
      </c>
      <c r="H856" s="27" t="n"/>
      <c r="I856" s="11">
        <f>IF($F856="","",IF($G856="Einnahme",$F856,-$F856))</f>
        <v/>
      </c>
    </row>
    <row r="857" ht="15" customHeight="1" s="52">
      <c r="A857" s="20" t="n"/>
      <c r="B857" s="21">
        <f>IF($A857="","",YEAR($A857))</f>
        <v/>
      </c>
      <c r="C857" s="21">
        <f>IF($A857="","",MONTH($A857))</f>
        <v/>
      </c>
      <c r="D857" s="22" t="n"/>
      <c r="E857" s="22" t="n"/>
      <c r="F857" s="23" t="n"/>
      <c r="G857" s="24">
        <f>IF($D857="","",IFERROR(INDEX(Einstellungen!$B$4:$B$40,MATCH($D857,Einstellungen!$A$4:$A$40,0)),"?"))</f>
        <v/>
      </c>
      <c r="H857" s="22" t="n"/>
      <c r="I857" s="25">
        <f>IF($F857="","",IF($G857="Einnahme",$F857,-$F857))</f>
        <v/>
      </c>
    </row>
    <row r="858" ht="15" customHeight="1" s="52">
      <c r="A858" s="26" t="n"/>
      <c r="B858" s="17">
        <f>IF($A858="","",YEAR($A858))</f>
        <v/>
      </c>
      <c r="C858" s="17">
        <f>IF($A858="","",MONTH($A858))</f>
        <v/>
      </c>
      <c r="D858" s="27" t="n"/>
      <c r="E858" s="27" t="n"/>
      <c r="F858" s="28" t="n"/>
      <c r="G858" s="14">
        <f>IF($D858="","",IFERROR(INDEX(Einstellungen!$B$4:$B$40,MATCH($D858,Einstellungen!$A$4:$A$40,0)),"?"))</f>
        <v/>
      </c>
      <c r="H858" s="27" t="n"/>
      <c r="I858" s="11">
        <f>IF($F858="","",IF($G858="Einnahme",$F858,-$F858))</f>
        <v/>
      </c>
    </row>
    <row r="859" ht="15" customHeight="1" s="52">
      <c r="A859" s="20" t="n"/>
      <c r="B859" s="21">
        <f>IF($A859="","",YEAR($A859))</f>
        <v/>
      </c>
      <c r="C859" s="21">
        <f>IF($A859="","",MONTH($A859))</f>
        <v/>
      </c>
      <c r="D859" s="22" t="n"/>
      <c r="E859" s="22" t="n"/>
      <c r="F859" s="23" t="n"/>
      <c r="G859" s="24">
        <f>IF($D859="","",IFERROR(INDEX(Einstellungen!$B$4:$B$40,MATCH($D859,Einstellungen!$A$4:$A$40,0)),"?"))</f>
        <v/>
      </c>
      <c r="H859" s="22" t="n"/>
      <c r="I859" s="25">
        <f>IF($F859="","",IF($G859="Einnahme",$F859,-$F859))</f>
        <v/>
      </c>
    </row>
    <row r="860" ht="15" customHeight="1" s="52">
      <c r="A860" s="26" t="n"/>
      <c r="B860" s="17">
        <f>IF($A860="","",YEAR($A860))</f>
        <v/>
      </c>
      <c r="C860" s="17">
        <f>IF($A860="","",MONTH($A860))</f>
        <v/>
      </c>
      <c r="D860" s="27" t="n"/>
      <c r="E860" s="27" t="n"/>
      <c r="F860" s="28" t="n"/>
      <c r="G860" s="14">
        <f>IF($D860="","",IFERROR(INDEX(Einstellungen!$B$4:$B$40,MATCH($D860,Einstellungen!$A$4:$A$40,0)),"?"))</f>
        <v/>
      </c>
      <c r="H860" s="27" t="n"/>
      <c r="I860" s="11">
        <f>IF($F860="","",IF($G860="Einnahme",$F860,-$F860))</f>
        <v/>
      </c>
    </row>
    <row r="861" ht="15" customHeight="1" s="52">
      <c r="A861" s="20" t="n"/>
      <c r="B861" s="21">
        <f>IF($A861="","",YEAR($A861))</f>
        <v/>
      </c>
      <c r="C861" s="21">
        <f>IF($A861="","",MONTH($A861))</f>
        <v/>
      </c>
      <c r="D861" s="22" t="n"/>
      <c r="E861" s="22" t="n"/>
      <c r="F861" s="23" t="n"/>
      <c r="G861" s="24">
        <f>IF($D861="","",IFERROR(INDEX(Einstellungen!$B$4:$B$40,MATCH($D861,Einstellungen!$A$4:$A$40,0)),"?"))</f>
        <v/>
      </c>
      <c r="H861" s="22" t="n"/>
      <c r="I861" s="25">
        <f>IF($F861="","",IF($G861="Einnahme",$F861,-$F861))</f>
        <v/>
      </c>
    </row>
    <row r="862" ht="15" customHeight="1" s="52">
      <c r="A862" s="26" t="n"/>
      <c r="B862" s="17">
        <f>IF($A862="","",YEAR($A862))</f>
        <v/>
      </c>
      <c r="C862" s="17">
        <f>IF($A862="","",MONTH($A862))</f>
        <v/>
      </c>
      <c r="D862" s="27" t="n"/>
      <c r="E862" s="27" t="n"/>
      <c r="F862" s="28" t="n"/>
      <c r="G862" s="14">
        <f>IF($D862="","",IFERROR(INDEX(Einstellungen!$B$4:$B$40,MATCH($D862,Einstellungen!$A$4:$A$40,0)),"?"))</f>
        <v/>
      </c>
      <c r="H862" s="27" t="n"/>
      <c r="I862" s="11">
        <f>IF($F862="","",IF($G862="Einnahme",$F862,-$F862))</f>
        <v/>
      </c>
    </row>
    <row r="863" ht="15" customHeight="1" s="52">
      <c r="A863" s="20" t="n"/>
      <c r="B863" s="21">
        <f>IF($A863="","",YEAR($A863))</f>
        <v/>
      </c>
      <c r="C863" s="21">
        <f>IF($A863="","",MONTH($A863))</f>
        <v/>
      </c>
      <c r="D863" s="22" t="n"/>
      <c r="E863" s="22" t="n"/>
      <c r="F863" s="23" t="n"/>
      <c r="G863" s="24">
        <f>IF($D863="","",IFERROR(INDEX(Einstellungen!$B$4:$B$40,MATCH($D863,Einstellungen!$A$4:$A$40,0)),"?"))</f>
        <v/>
      </c>
      <c r="H863" s="22" t="n"/>
      <c r="I863" s="25">
        <f>IF($F863="","",IF($G863="Einnahme",$F863,-$F863))</f>
        <v/>
      </c>
    </row>
    <row r="864" ht="15" customHeight="1" s="52">
      <c r="A864" s="26" t="n"/>
      <c r="B864" s="17">
        <f>IF($A864="","",YEAR($A864))</f>
        <v/>
      </c>
      <c r="C864" s="17">
        <f>IF($A864="","",MONTH($A864))</f>
        <v/>
      </c>
      <c r="D864" s="27" t="n"/>
      <c r="E864" s="27" t="n"/>
      <c r="F864" s="28" t="n"/>
      <c r="G864" s="14">
        <f>IF($D864="","",IFERROR(INDEX(Einstellungen!$B$4:$B$40,MATCH($D864,Einstellungen!$A$4:$A$40,0)),"?"))</f>
        <v/>
      </c>
      <c r="H864" s="27" t="n"/>
      <c r="I864" s="11">
        <f>IF($F864="","",IF($G864="Einnahme",$F864,-$F864))</f>
        <v/>
      </c>
    </row>
    <row r="865" ht="15" customHeight="1" s="52">
      <c r="A865" s="20" t="n"/>
      <c r="B865" s="21">
        <f>IF($A865="","",YEAR($A865))</f>
        <v/>
      </c>
      <c r="C865" s="21">
        <f>IF($A865="","",MONTH($A865))</f>
        <v/>
      </c>
      <c r="D865" s="22" t="n"/>
      <c r="E865" s="22" t="n"/>
      <c r="F865" s="23" t="n"/>
      <c r="G865" s="24">
        <f>IF($D865="","",IFERROR(INDEX(Einstellungen!$B$4:$B$40,MATCH($D865,Einstellungen!$A$4:$A$40,0)),"?"))</f>
        <v/>
      </c>
      <c r="H865" s="22" t="n"/>
      <c r="I865" s="25">
        <f>IF($F865="","",IF($G865="Einnahme",$F865,-$F865))</f>
        <v/>
      </c>
    </row>
    <row r="866" ht="15" customHeight="1" s="52">
      <c r="A866" s="26" t="n"/>
      <c r="B866" s="17">
        <f>IF($A866="","",YEAR($A866))</f>
        <v/>
      </c>
      <c r="C866" s="17">
        <f>IF($A866="","",MONTH($A866))</f>
        <v/>
      </c>
      <c r="D866" s="27" t="n"/>
      <c r="E866" s="27" t="n"/>
      <c r="F866" s="28" t="n"/>
      <c r="G866" s="14">
        <f>IF($D866="","",IFERROR(INDEX(Einstellungen!$B$4:$B$40,MATCH($D866,Einstellungen!$A$4:$A$40,0)),"?"))</f>
        <v/>
      </c>
      <c r="H866" s="27" t="n"/>
      <c r="I866" s="11">
        <f>IF($F866="","",IF($G866="Einnahme",$F866,-$F866))</f>
        <v/>
      </c>
    </row>
    <row r="867" ht="15" customHeight="1" s="52">
      <c r="A867" s="20" t="n"/>
      <c r="B867" s="21">
        <f>IF($A867="","",YEAR($A867))</f>
        <v/>
      </c>
      <c r="C867" s="21">
        <f>IF($A867="","",MONTH($A867))</f>
        <v/>
      </c>
      <c r="D867" s="22" t="n"/>
      <c r="E867" s="22" t="n"/>
      <c r="F867" s="23" t="n"/>
      <c r="G867" s="24">
        <f>IF($D867="","",IFERROR(INDEX(Einstellungen!$B$4:$B$40,MATCH($D867,Einstellungen!$A$4:$A$40,0)),"?"))</f>
        <v/>
      </c>
      <c r="H867" s="22" t="n"/>
      <c r="I867" s="25">
        <f>IF($F867="","",IF($G867="Einnahme",$F867,-$F867))</f>
        <v/>
      </c>
    </row>
    <row r="868" ht="15" customHeight="1" s="52">
      <c r="A868" s="26" t="n"/>
      <c r="B868" s="17">
        <f>IF($A868="","",YEAR($A868))</f>
        <v/>
      </c>
      <c r="C868" s="17">
        <f>IF($A868="","",MONTH($A868))</f>
        <v/>
      </c>
      <c r="D868" s="27" t="n"/>
      <c r="E868" s="27" t="n"/>
      <c r="F868" s="28" t="n"/>
      <c r="G868" s="14">
        <f>IF($D868="","",IFERROR(INDEX(Einstellungen!$B$4:$B$40,MATCH($D868,Einstellungen!$A$4:$A$40,0)),"?"))</f>
        <v/>
      </c>
      <c r="H868" s="27" t="n"/>
      <c r="I868" s="11">
        <f>IF($F868="","",IF($G868="Einnahme",$F868,-$F868))</f>
        <v/>
      </c>
    </row>
    <row r="869" ht="15" customHeight="1" s="52">
      <c r="A869" s="20" t="n"/>
      <c r="B869" s="21">
        <f>IF($A869="","",YEAR($A869))</f>
        <v/>
      </c>
      <c r="C869" s="21">
        <f>IF($A869="","",MONTH($A869))</f>
        <v/>
      </c>
      <c r="D869" s="22" t="n"/>
      <c r="E869" s="22" t="n"/>
      <c r="F869" s="23" t="n"/>
      <c r="G869" s="24">
        <f>IF($D869="","",IFERROR(INDEX(Einstellungen!$B$4:$B$40,MATCH($D869,Einstellungen!$A$4:$A$40,0)),"?"))</f>
        <v/>
      </c>
      <c r="H869" s="22" t="n"/>
      <c r="I869" s="25">
        <f>IF($F869="","",IF($G869="Einnahme",$F869,-$F869))</f>
        <v/>
      </c>
    </row>
    <row r="870" ht="15" customHeight="1" s="52">
      <c r="A870" s="26" t="n"/>
      <c r="B870" s="17">
        <f>IF($A870="","",YEAR($A870))</f>
        <v/>
      </c>
      <c r="C870" s="17">
        <f>IF($A870="","",MONTH($A870))</f>
        <v/>
      </c>
      <c r="D870" s="27" t="n"/>
      <c r="E870" s="27" t="n"/>
      <c r="F870" s="28" t="n"/>
      <c r="G870" s="14">
        <f>IF($D870="","",IFERROR(INDEX(Einstellungen!$B$4:$B$40,MATCH($D870,Einstellungen!$A$4:$A$40,0)),"?"))</f>
        <v/>
      </c>
      <c r="H870" s="27" t="n"/>
      <c r="I870" s="11">
        <f>IF($F870="","",IF($G870="Einnahme",$F870,-$F870))</f>
        <v/>
      </c>
    </row>
    <row r="871" ht="15" customHeight="1" s="52">
      <c r="A871" s="20" t="n"/>
      <c r="B871" s="21">
        <f>IF($A871="","",YEAR($A871))</f>
        <v/>
      </c>
      <c r="C871" s="21">
        <f>IF($A871="","",MONTH($A871))</f>
        <v/>
      </c>
      <c r="D871" s="22" t="n"/>
      <c r="E871" s="22" t="n"/>
      <c r="F871" s="23" t="n"/>
      <c r="G871" s="24">
        <f>IF($D871="","",IFERROR(INDEX(Einstellungen!$B$4:$B$40,MATCH($D871,Einstellungen!$A$4:$A$40,0)),"?"))</f>
        <v/>
      </c>
      <c r="H871" s="22" t="n"/>
      <c r="I871" s="25">
        <f>IF($F871="","",IF($G871="Einnahme",$F871,-$F871))</f>
        <v/>
      </c>
    </row>
    <row r="872" ht="15" customHeight="1" s="52">
      <c r="A872" s="26" t="n"/>
      <c r="B872" s="17">
        <f>IF($A872="","",YEAR($A872))</f>
        <v/>
      </c>
      <c r="C872" s="17">
        <f>IF($A872="","",MONTH($A872))</f>
        <v/>
      </c>
      <c r="D872" s="27" t="n"/>
      <c r="E872" s="27" t="n"/>
      <c r="F872" s="28" t="n"/>
      <c r="G872" s="14">
        <f>IF($D872="","",IFERROR(INDEX(Einstellungen!$B$4:$B$40,MATCH($D872,Einstellungen!$A$4:$A$40,0)),"?"))</f>
        <v/>
      </c>
      <c r="H872" s="27" t="n"/>
      <c r="I872" s="11">
        <f>IF($F872="","",IF($G872="Einnahme",$F872,-$F872))</f>
        <v/>
      </c>
    </row>
    <row r="873" ht="15" customHeight="1" s="52">
      <c r="A873" s="20" t="n"/>
      <c r="B873" s="21">
        <f>IF($A873="","",YEAR($A873))</f>
        <v/>
      </c>
      <c r="C873" s="21">
        <f>IF($A873="","",MONTH($A873))</f>
        <v/>
      </c>
      <c r="D873" s="22" t="n"/>
      <c r="E873" s="22" t="n"/>
      <c r="F873" s="23" t="n"/>
      <c r="G873" s="24">
        <f>IF($D873="","",IFERROR(INDEX(Einstellungen!$B$4:$B$40,MATCH($D873,Einstellungen!$A$4:$A$40,0)),"?"))</f>
        <v/>
      </c>
      <c r="H873" s="22" t="n"/>
      <c r="I873" s="25">
        <f>IF($F873="","",IF($G873="Einnahme",$F873,-$F873))</f>
        <v/>
      </c>
    </row>
    <row r="874" ht="15" customHeight="1" s="52">
      <c r="A874" s="26" t="n"/>
      <c r="B874" s="17">
        <f>IF($A874="","",YEAR($A874))</f>
        <v/>
      </c>
      <c r="C874" s="17">
        <f>IF($A874="","",MONTH($A874))</f>
        <v/>
      </c>
      <c r="D874" s="27" t="n"/>
      <c r="E874" s="27" t="n"/>
      <c r="F874" s="28" t="n"/>
      <c r="G874" s="14">
        <f>IF($D874="","",IFERROR(INDEX(Einstellungen!$B$4:$B$40,MATCH($D874,Einstellungen!$A$4:$A$40,0)),"?"))</f>
        <v/>
      </c>
      <c r="H874" s="27" t="n"/>
      <c r="I874" s="11">
        <f>IF($F874="","",IF($G874="Einnahme",$F874,-$F874))</f>
        <v/>
      </c>
    </row>
    <row r="875" ht="15" customHeight="1" s="52">
      <c r="A875" s="20" t="n"/>
      <c r="B875" s="21">
        <f>IF($A875="","",YEAR($A875))</f>
        <v/>
      </c>
      <c r="C875" s="21">
        <f>IF($A875="","",MONTH($A875))</f>
        <v/>
      </c>
      <c r="D875" s="22" t="n"/>
      <c r="E875" s="22" t="n"/>
      <c r="F875" s="23" t="n"/>
      <c r="G875" s="24">
        <f>IF($D875="","",IFERROR(INDEX(Einstellungen!$B$4:$B$40,MATCH($D875,Einstellungen!$A$4:$A$40,0)),"?"))</f>
        <v/>
      </c>
      <c r="H875" s="22" t="n"/>
      <c r="I875" s="25">
        <f>IF($F875="","",IF($G875="Einnahme",$F875,-$F875))</f>
        <v/>
      </c>
    </row>
    <row r="876" ht="15" customHeight="1" s="52">
      <c r="A876" s="26" t="n"/>
      <c r="B876" s="17">
        <f>IF($A876="","",YEAR($A876))</f>
        <v/>
      </c>
      <c r="C876" s="17">
        <f>IF($A876="","",MONTH($A876))</f>
        <v/>
      </c>
      <c r="D876" s="27" t="n"/>
      <c r="E876" s="27" t="n"/>
      <c r="F876" s="28" t="n"/>
      <c r="G876" s="14">
        <f>IF($D876="","",IFERROR(INDEX(Einstellungen!$B$4:$B$40,MATCH($D876,Einstellungen!$A$4:$A$40,0)),"?"))</f>
        <v/>
      </c>
      <c r="H876" s="27" t="n"/>
      <c r="I876" s="11">
        <f>IF($F876="","",IF($G876="Einnahme",$F876,-$F876))</f>
        <v/>
      </c>
    </row>
    <row r="877" ht="15" customHeight="1" s="52">
      <c r="A877" s="20" t="n"/>
      <c r="B877" s="21">
        <f>IF($A877="","",YEAR($A877))</f>
        <v/>
      </c>
      <c r="C877" s="21">
        <f>IF($A877="","",MONTH($A877))</f>
        <v/>
      </c>
      <c r="D877" s="22" t="n"/>
      <c r="E877" s="22" t="n"/>
      <c r="F877" s="23" t="n"/>
      <c r="G877" s="24">
        <f>IF($D877="","",IFERROR(INDEX(Einstellungen!$B$4:$B$40,MATCH($D877,Einstellungen!$A$4:$A$40,0)),"?"))</f>
        <v/>
      </c>
      <c r="H877" s="22" t="n"/>
      <c r="I877" s="25">
        <f>IF($F877="","",IF($G877="Einnahme",$F877,-$F877))</f>
        <v/>
      </c>
    </row>
    <row r="878" ht="15" customHeight="1" s="52">
      <c r="A878" s="26" t="n"/>
      <c r="B878" s="17">
        <f>IF($A878="","",YEAR($A878))</f>
        <v/>
      </c>
      <c r="C878" s="17">
        <f>IF($A878="","",MONTH($A878))</f>
        <v/>
      </c>
      <c r="D878" s="27" t="n"/>
      <c r="E878" s="27" t="n"/>
      <c r="F878" s="28" t="n"/>
      <c r="G878" s="14">
        <f>IF($D878="","",IFERROR(INDEX(Einstellungen!$B$4:$B$40,MATCH($D878,Einstellungen!$A$4:$A$40,0)),"?"))</f>
        <v/>
      </c>
      <c r="H878" s="27" t="n"/>
      <c r="I878" s="11">
        <f>IF($F878="","",IF($G878="Einnahme",$F878,-$F878))</f>
        <v/>
      </c>
    </row>
    <row r="879" ht="15" customHeight="1" s="52">
      <c r="A879" s="20" t="n"/>
      <c r="B879" s="21">
        <f>IF($A879="","",YEAR($A879))</f>
        <v/>
      </c>
      <c r="C879" s="21">
        <f>IF($A879="","",MONTH($A879))</f>
        <v/>
      </c>
      <c r="D879" s="22" t="n"/>
      <c r="E879" s="22" t="n"/>
      <c r="F879" s="23" t="n"/>
      <c r="G879" s="24">
        <f>IF($D879="","",IFERROR(INDEX(Einstellungen!$B$4:$B$40,MATCH($D879,Einstellungen!$A$4:$A$40,0)),"?"))</f>
        <v/>
      </c>
      <c r="H879" s="22" t="n"/>
      <c r="I879" s="25">
        <f>IF($F879="","",IF($G879="Einnahme",$F879,-$F879))</f>
        <v/>
      </c>
    </row>
    <row r="880" ht="15" customHeight="1" s="52">
      <c r="A880" s="26" t="n"/>
      <c r="B880" s="17">
        <f>IF($A880="","",YEAR($A880))</f>
        <v/>
      </c>
      <c r="C880" s="17">
        <f>IF($A880="","",MONTH($A880))</f>
        <v/>
      </c>
      <c r="D880" s="27" t="n"/>
      <c r="E880" s="27" t="n"/>
      <c r="F880" s="28" t="n"/>
      <c r="G880" s="14">
        <f>IF($D880="","",IFERROR(INDEX(Einstellungen!$B$4:$B$40,MATCH($D880,Einstellungen!$A$4:$A$40,0)),"?"))</f>
        <v/>
      </c>
      <c r="H880" s="27" t="n"/>
      <c r="I880" s="11">
        <f>IF($F880="","",IF($G880="Einnahme",$F880,-$F880))</f>
        <v/>
      </c>
    </row>
    <row r="881" ht="15" customHeight="1" s="52">
      <c r="A881" s="20" t="n"/>
      <c r="B881" s="21">
        <f>IF($A881="","",YEAR($A881))</f>
        <v/>
      </c>
      <c r="C881" s="21">
        <f>IF($A881="","",MONTH($A881))</f>
        <v/>
      </c>
      <c r="D881" s="22" t="n"/>
      <c r="E881" s="22" t="n"/>
      <c r="F881" s="23" t="n"/>
      <c r="G881" s="24">
        <f>IF($D881="","",IFERROR(INDEX(Einstellungen!$B$4:$B$40,MATCH($D881,Einstellungen!$A$4:$A$40,0)),"?"))</f>
        <v/>
      </c>
      <c r="H881" s="22" t="n"/>
      <c r="I881" s="25">
        <f>IF($F881="","",IF($G881="Einnahme",$F881,-$F881))</f>
        <v/>
      </c>
    </row>
    <row r="882" ht="15" customHeight="1" s="52">
      <c r="A882" s="26" t="n"/>
      <c r="B882" s="17">
        <f>IF($A882="","",YEAR($A882))</f>
        <v/>
      </c>
      <c r="C882" s="17">
        <f>IF($A882="","",MONTH($A882))</f>
        <v/>
      </c>
      <c r="D882" s="27" t="n"/>
      <c r="E882" s="27" t="n"/>
      <c r="F882" s="28" t="n"/>
      <c r="G882" s="14">
        <f>IF($D882="","",IFERROR(INDEX(Einstellungen!$B$4:$B$40,MATCH($D882,Einstellungen!$A$4:$A$40,0)),"?"))</f>
        <v/>
      </c>
      <c r="H882" s="27" t="n"/>
      <c r="I882" s="11">
        <f>IF($F882="","",IF($G882="Einnahme",$F882,-$F882))</f>
        <v/>
      </c>
    </row>
    <row r="883" ht="15" customHeight="1" s="52">
      <c r="A883" s="20" t="n"/>
      <c r="B883" s="21">
        <f>IF($A883="","",YEAR($A883))</f>
        <v/>
      </c>
      <c r="C883" s="21">
        <f>IF($A883="","",MONTH($A883))</f>
        <v/>
      </c>
      <c r="D883" s="22" t="n"/>
      <c r="E883" s="22" t="n"/>
      <c r="F883" s="23" t="n"/>
      <c r="G883" s="24">
        <f>IF($D883="","",IFERROR(INDEX(Einstellungen!$B$4:$B$40,MATCH($D883,Einstellungen!$A$4:$A$40,0)),"?"))</f>
        <v/>
      </c>
      <c r="H883" s="22" t="n"/>
      <c r="I883" s="25">
        <f>IF($F883="","",IF($G883="Einnahme",$F883,-$F883))</f>
        <v/>
      </c>
    </row>
    <row r="884" ht="15" customHeight="1" s="52">
      <c r="A884" s="26" t="n"/>
      <c r="B884" s="17">
        <f>IF($A884="","",YEAR($A884))</f>
        <v/>
      </c>
      <c r="C884" s="17">
        <f>IF($A884="","",MONTH($A884))</f>
        <v/>
      </c>
      <c r="D884" s="27" t="n"/>
      <c r="E884" s="27" t="n"/>
      <c r="F884" s="28" t="n"/>
      <c r="G884" s="14">
        <f>IF($D884="","",IFERROR(INDEX(Einstellungen!$B$4:$B$40,MATCH($D884,Einstellungen!$A$4:$A$40,0)),"?"))</f>
        <v/>
      </c>
      <c r="H884" s="27" t="n"/>
      <c r="I884" s="11">
        <f>IF($F884="","",IF($G884="Einnahme",$F884,-$F884))</f>
        <v/>
      </c>
    </row>
    <row r="885" ht="15" customHeight="1" s="52">
      <c r="A885" s="20" t="n"/>
      <c r="B885" s="21">
        <f>IF($A885="","",YEAR($A885))</f>
        <v/>
      </c>
      <c r="C885" s="21">
        <f>IF($A885="","",MONTH($A885))</f>
        <v/>
      </c>
      <c r="D885" s="22" t="n"/>
      <c r="E885" s="22" t="n"/>
      <c r="F885" s="23" t="n"/>
      <c r="G885" s="24">
        <f>IF($D885="","",IFERROR(INDEX(Einstellungen!$B$4:$B$40,MATCH($D885,Einstellungen!$A$4:$A$40,0)),"?"))</f>
        <v/>
      </c>
      <c r="H885" s="22" t="n"/>
      <c r="I885" s="25">
        <f>IF($F885="","",IF($G885="Einnahme",$F885,-$F885))</f>
        <v/>
      </c>
    </row>
    <row r="886" ht="15" customHeight="1" s="52">
      <c r="A886" s="26" t="n"/>
      <c r="B886" s="17">
        <f>IF($A886="","",YEAR($A886))</f>
        <v/>
      </c>
      <c r="C886" s="17">
        <f>IF($A886="","",MONTH($A886))</f>
        <v/>
      </c>
      <c r="D886" s="27" t="n"/>
      <c r="E886" s="27" t="n"/>
      <c r="F886" s="28" t="n"/>
      <c r="G886" s="14">
        <f>IF($D886="","",IFERROR(INDEX(Einstellungen!$B$4:$B$40,MATCH($D886,Einstellungen!$A$4:$A$40,0)),"?"))</f>
        <v/>
      </c>
      <c r="H886" s="27" t="n"/>
      <c r="I886" s="11">
        <f>IF($F886="","",IF($G886="Einnahme",$F886,-$F886))</f>
        <v/>
      </c>
    </row>
    <row r="887" ht="15" customHeight="1" s="52">
      <c r="A887" s="20" t="n"/>
      <c r="B887" s="21">
        <f>IF($A887="","",YEAR($A887))</f>
        <v/>
      </c>
      <c r="C887" s="21">
        <f>IF($A887="","",MONTH($A887))</f>
        <v/>
      </c>
      <c r="D887" s="22" t="n"/>
      <c r="E887" s="22" t="n"/>
      <c r="F887" s="23" t="n"/>
      <c r="G887" s="24">
        <f>IF($D887="","",IFERROR(INDEX(Einstellungen!$B$4:$B$40,MATCH($D887,Einstellungen!$A$4:$A$40,0)),"?"))</f>
        <v/>
      </c>
      <c r="H887" s="22" t="n"/>
      <c r="I887" s="25">
        <f>IF($F887="","",IF($G887="Einnahme",$F887,-$F887))</f>
        <v/>
      </c>
    </row>
    <row r="888" ht="15" customHeight="1" s="52">
      <c r="A888" s="26" t="n"/>
      <c r="B888" s="17">
        <f>IF($A888="","",YEAR($A888))</f>
        <v/>
      </c>
      <c r="C888" s="17">
        <f>IF($A888="","",MONTH($A888))</f>
        <v/>
      </c>
      <c r="D888" s="27" t="n"/>
      <c r="E888" s="27" t="n"/>
      <c r="F888" s="28" t="n"/>
      <c r="G888" s="14">
        <f>IF($D888="","",IFERROR(INDEX(Einstellungen!$B$4:$B$40,MATCH($D888,Einstellungen!$A$4:$A$40,0)),"?"))</f>
        <v/>
      </c>
      <c r="H888" s="27" t="n"/>
      <c r="I888" s="11">
        <f>IF($F888="","",IF($G888="Einnahme",$F888,-$F888))</f>
        <v/>
      </c>
    </row>
    <row r="889" ht="15" customHeight="1" s="52">
      <c r="A889" s="20" t="n"/>
      <c r="B889" s="21">
        <f>IF($A889="","",YEAR($A889))</f>
        <v/>
      </c>
      <c r="C889" s="21">
        <f>IF($A889="","",MONTH($A889))</f>
        <v/>
      </c>
      <c r="D889" s="22" t="n"/>
      <c r="E889" s="22" t="n"/>
      <c r="F889" s="23" t="n"/>
      <c r="G889" s="24">
        <f>IF($D889="","",IFERROR(INDEX(Einstellungen!$B$4:$B$40,MATCH($D889,Einstellungen!$A$4:$A$40,0)),"?"))</f>
        <v/>
      </c>
      <c r="H889" s="22" t="n"/>
      <c r="I889" s="25">
        <f>IF($F889="","",IF($G889="Einnahme",$F889,-$F889))</f>
        <v/>
      </c>
    </row>
    <row r="890" ht="15" customHeight="1" s="52">
      <c r="A890" s="26" t="n"/>
      <c r="B890" s="17">
        <f>IF($A890="","",YEAR($A890))</f>
        <v/>
      </c>
      <c r="C890" s="17">
        <f>IF($A890="","",MONTH($A890))</f>
        <v/>
      </c>
      <c r="D890" s="27" t="n"/>
      <c r="E890" s="27" t="n"/>
      <c r="F890" s="28" t="n"/>
      <c r="G890" s="14">
        <f>IF($D890="","",IFERROR(INDEX(Einstellungen!$B$4:$B$40,MATCH($D890,Einstellungen!$A$4:$A$40,0)),"?"))</f>
        <v/>
      </c>
      <c r="H890" s="27" t="n"/>
      <c r="I890" s="11">
        <f>IF($F890="","",IF($G890="Einnahme",$F890,-$F890))</f>
        <v/>
      </c>
    </row>
    <row r="891" ht="15" customHeight="1" s="52">
      <c r="A891" s="20" t="n"/>
      <c r="B891" s="21">
        <f>IF($A891="","",YEAR($A891))</f>
        <v/>
      </c>
      <c r="C891" s="21">
        <f>IF($A891="","",MONTH($A891))</f>
        <v/>
      </c>
      <c r="D891" s="22" t="n"/>
      <c r="E891" s="22" t="n"/>
      <c r="F891" s="23" t="n"/>
      <c r="G891" s="24">
        <f>IF($D891="","",IFERROR(INDEX(Einstellungen!$B$4:$B$40,MATCH($D891,Einstellungen!$A$4:$A$40,0)),"?"))</f>
        <v/>
      </c>
      <c r="H891" s="22" t="n"/>
      <c r="I891" s="25">
        <f>IF($F891="","",IF($G891="Einnahme",$F891,-$F891))</f>
        <v/>
      </c>
    </row>
    <row r="892" ht="15" customHeight="1" s="52">
      <c r="A892" s="26" t="n"/>
      <c r="B892" s="17">
        <f>IF($A892="","",YEAR($A892))</f>
        <v/>
      </c>
      <c r="C892" s="17">
        <f>IF($A892="","",MONTH($A892))</f>
        <v/>
      </c>
      <c r="D892" s="27" t="n"/>
      <c r="E892" s="27" t="n"/>
      <c r="F892" s="28" t="n"/>
      <c r="G892" s="14">
        <f>IF($D892="","",IFERROR(INDEX(Einstellungen!$B$4:$B$40,MATCH($D892,Einstellungen!$A$4:$A$40,0)),"?"))</f>
        <v/>
      </c>
      <c r="H892" s="27" t="n"/>
      <c r="I892" s="11">
        <f>IF($F892="","",IF($G892="Einnahme",$F892,-$F892))</f>
        <v/>
      </c>
    </row>
    <row r="893" ht="15" customHeight="1" s="52">
      <c r="A893" s="20" t="n"/>
      <c r="B893" s="21">
        <f>IF($A893="","",YEAR($A893))</f>
        <v/>
      </c>
      <c r="C893" s="21">
        <f>IF($A893="","",MONTH($A893))</f>
        <v/>
      </c>
      <c r="D893" s="22" t="n"/>
      <c r="E893" s="22" t="n"/>
      <c r="F893" s="23" t="n"/>
      <c r="G893" s="24">
        <f>IF($D893="","",IFERROR(INDEX(Einstellungen!$B$4:$B$40,MATCH($D893,Einstellungen!$A$4:$A$40,0)),"?"))</f>
        <v/>
      </c>
      <c r="H893" s="22" t="n"/>
      <c r="I893" s="25">
        <f>IF($F893="","",IF($G893="Einnahme",$F893,-$F893))</f>
        <v/>
      </c>
    </row>
    <row r="894" ht="15" customHeight="1" s="52">
      <c r="A894" s="26" t="n"/>
      <c r="B894" s="17">
        <f>IF($A894="","",YEAR($A894))</f>
        <v/>
      </c>
      <c r="C894" s="17">
        <f>IF($A894="","",MONTH($A894))</f>
        <v/>
      </c>
      <c r="D894" s="27" t="n"/>
      <c r="E894" s="27" t="n"/>
      <c r="F894" s="28" t="n"/>
      <c r="G894" s="14">
        <f>IF($D894="","",IFERROR(INDEX(Einstellungen!$B$4:$B$40,MATCH($D894,Einstellungen!$A$4:$A$40,0)),"?"))</f>
        <v/>
      </c>
      <c r="H894" s="27" t="n"/>
      <c r="I894" s="11">
        <f>IF($F894="","",IF($G894="Einnahme",$F894,-$F894))</f>
        <v/>
      </c>
    </row>
    <row r="895" ht="15" customHeight="1" s="52">
      <c r="A895" s="20" t="n"/>
      <c r="B895" s="21">
        <f>IF($A895="","",YEAR($A895))</f>
        <v/>
      </c>
      <c r="C895" s="21">
        <f>IF($A895="","",MONTH($A895))</f>
        <v/>
      </c>
      <c r="D895" s="22" t="n"/>
      <c r="E895" s="22" t="n"/>
      <c r="F895" s="23" t="n"/>
      <c r="G895" s="24">
        <f>IF($D895="","",IFERROR(INDEX(Einstellungen!$B$4:$B$40,MATCH($D895,Einstellungen!$A$4:$A$40,0)),"?"))</f>
        <v/>
      </c>
      <c r="H895" s="22" t="n"/>
      <c r="I895" s="25">
        <f>IF($F895="","",IF($G895="Einnahme",$F895,-$F895))</f>
        <v/>
      </c>
    </row>
    <row r="896" ht="15" customHeight="1" s="52">
      <c r="A896" s="26" t="n"/>
      <c r="B896" s="17">
        <f>IF($A896="","",YEAR($A896))</f>
        <v/>
      </c>
      <c r="C896" s="17">
        <f>IF($A896="","",MONTH($A896))</f>
        <v/>
      </c>
      <c r="D896" s="27" t="n"/>
      <c r="E896" s="27" t="n"/>
      <c r="F896" s="28" t="n"/>
      <c r="G896" s="14">
        <f>IF($D896="","",IFERROR(INDEX(Einstellungen!$B$4:$B$40,MATCH($D896,Einstellungen!$A$4:$A$40,0)),"?"))</f>
        <v/>
      </c>
      <c r="H896" s="27" t="n"/>
      <c r="I896" s="11">
        <f>IF($F896="","",IF($G896="Einnahme",$F896,-$F896))</f>
        <v/>
      </c>
    </row>
    <row r="897" ht="15" customHeight="1" s="52">
      <c r="A897" s="20" t="n"/>
      <c r="B897" s="21">
        <f>IF($A897="","",YEAR($A897))</f>
        <v/>
      </c>
      <c r="C897" s="21">
        <f>IF($A897="","",MONTH($A897))</f>
        <v/>
      </c>
      <c r="D897" s="22" t="n"/>
      <c r="E897" s="22" t="n"/>
      <c r="F897" s="23" t="n"/>
      <c r="G897" s="24">
        <f>IF($D897="","",IFERROR(INDEX(Einstellungen!$B$4:$B$40,MATCH($D897,Einstellungen!$A$4:$A$40,0)),"?"))</f>
        <v/>
      </c>
      <c r="H897" s="22" t="n"/>
      <c r="I897" s="25">
        <f>IF($F897="","",IF($G897="Einnahme",$F897,-$F897))</f>
        <v/>
      </c>
    </row>
    <row r="898" ht="15" customHeight="1" s="52">
      <c r="A898" s="26" t="n"/>
      <c r="B898" s="17">
        <f>IF($A898="","",YEAR($A898))</f>
        <v/>
      </c>
      <c r="C898" s="17">
        <f>IF($A898="","",MONTH($A898))</f>
        <v/>
      </c>
      <c r="D898" s="27" t="n"/>
      <c r="E898" s="27" t="n"/>
      <c r="F898" s="28" t="n"/>
      <c r="G898" s="14">
        <f>IF($D898="","",IFERROR(INDEX(Einstellungen!$B$4:$B$40,MATCH($D898,Einstellungen!$A$4:$A$40,0)),"?"))</f>
        <v/>
      </c>
      <c r="H898" s="27" t="n"/>
      <c r="I898" s="11">
        <f>IF($F898="","",IF($G898="Einnahme",$F898,-$F898))</f>
        <v/>
      </c>
    </row>
    <row r="899" ht="15" customHeight="1" s="52">
      <c r="A899" s="20" t="n"/>
      <c r="B899" s="21">
        <f>IF($A899="","",YEAR($A899))</f>
        <v/>
      </c>
      <c r="C899" s="21">
        <f>IF($A899="","",MONTH($A899))</f>
        <v/>
      </c>
      <c r="D899" s="22" t="n"/>
      <c r="E899" s="22" t="n"/>
      <c r="F899" s="23" t="n"/>
      <c r="G899" s="24">
        <f>IF($D899="","",IFERROR(INDEX(Einstellungen!$B$4:$B$40,MATCH($D899,Einstellungen!$A$4:$A$40,0)),"?"))</f>
        <v/>
      </c>
      <c r="H899" s="22" t="n"/>
      <c r="I899" s="25">
        <f>IF($F899="","",IF($G899="Einnahme",$F899,-$F899))</f>
        <v/>
      </c>
    </row>
    <row r="900" ht="15" customHeight="1" s="52">
      <c r="A900" s="26" t="n"/>
      <c r="B900" s="17">
        <f>IF($A900="","",YEAR($A900))</f>
        <v/>
      </c>
      <c r="C900" s="17">
        <f>IF($A900="","",MONTH($A900))</f>
        <v/>
      </c>
      <c r="D900" s="27" t="n"/>
      <c r="E900" s="27" t="n"/>
      <c r="F900" s="28" t="n"/>
      <c r="G900" s="14">
        <f>IF($D900="","",IFERROR(INDEX(Einstellungen!$B$4:$B$40,MATCH($D900,Einstellungen!$A$4:$A$40,0)),"?"))</f>
        <v/>
      </c>
      <c r="H900" s="27" t="n"/>
      <c r="I900" s="11">
        <f>IF($F900="","",IF($G900="Einnahme",$F900,-$F900))</f>
        <v/>
      </c>
    </row>
    <row r="901" ht="15" customHeight="1" s="52">
      <c r="A901" s="20" t="n"/>
      <c r="B901" s="21">
        <f>IF($A901="","",YEAR($A901))</f>
        <v/>
      </c>
      <c r="C901" s="21">
        <f>IF($A901="","",MONTH($A901))</f>
        <v/>
      </c>
      <c r="D901" s="22" t="n"/>
      <c r="E901" s="22" t="n"/>
      <c r="F901" s="23" t="n"/>
      <c r="G901" s="24">
        <f>IF($D901="","",IFERROR(INDEX(Einstellungen!$B$4:$B$40,MATCH($D901,Einstellungen!$A$4:$A$40,0)),"?"))</f>
        <v/>
      </c>
      <c r="H901" s="22" t="n"/>
      <c r="I901" s="25">
        <f>IF($F901="","",IF($G901="Einnahme",$F901,-$F901))</f>
        <v/>
      </c>
    </row>
    <row r="902" ht="15" customHeight="1" s="52">
      <c r="A902" s="26" t="n"/>
      <c r="B902" s="17">
        <f>IF($A902="","",YEAR($A902))</f>
        <v/>
      </c>
      <c r="C902" s="17">
        <f>IF($A902="","",MONTH($A902))</f>
        <v/>
      </c>
      <c r="D902" s="27" t="n"/>
      <c r="E902" s="27" t="n"/>
      <c r="F902" s="28" t="n"/>
      <c r="G902" s="14">
        <f>IF($D902="","",IFERROR(INDEX(Einstellungen!$B$4:$B$40,MATCH($D902,Einstellungen!$A$4:$A$40,0)),"?"))</f>
        <v/>
      </c>
      <c r="H902" s="27" t="n"/>
      <c r="I902" s="11">
        <f>IF($F902="","",IF($G902="Einnahme",$F902,-$F902))</f>
        <v/>
      </c>
    </row>
    <row r="903" ht="15" customHeight="1" s="52">
      <c r="A903" s="20" t="n"/>
      <c r="B903" s="21">
        <f>IF($A903="","",YEAR($A903))</f>
        <v/>
      </c>
      <c r="C903" s="21">
        <f>IF($A903="","",MONTH($A903))</f>
        <v/>
      </c>
      <c r="D903" s="22" t="n"/>
      <c r="E903" s="22" t="n"/>
      <c r="F903" s="23" t="n"/>
      <c r="G903" s="24">
        <f>IF($D903="","",IFERROR(INDEX(Einstellungen!$B$4:$B$40,MATCH($D903,Einstellungen!$A$4:$A$40,0)),"?"))</f>
        <v/>
      </c>
      <c r="H903" s="22" t="n"/>
      <c r="I903" s="25">
        <f>IF($F903="","",IF($G903="Einnahme",$F903,-$F903))</f>
        <v/>
      </c>
    </row>
    <row r="904" ht="15" customHeight="1" s="52">
      <c r="A904" s="26" t="n"/>
      <c r="B904" s="17">
        <f>IF($A904="","",YEAR($A904))</f>
        <v/>
      </c>
      <c r="C904" s="17">
        <f>IF($A904="","",MONTH($A904))</f>
        <v/>
      </c>
      <c r="D904" s="27" t="n"/>
      <c r="E904" s="27" t="n"/>
      <c r="F904" s="28" t="n"/>
      <c r="G904" s="14">
        <f>IF($D904="","",IFERROR(INDEX(Einstellungen!$B$4:$B$40,MATCH($D904,Einstellungen!$A$4:$A$40,0)),"?"))</f>
        <v/>
      </c>
      <c r="H904" s="27" t="n"/>
      <c r="I904" s="11">
        <f>IF($F904="","",IF($G904="Einnahme",$F904,-$F904))</f>
        <v/>
      </c>
    </row>
    <row r="905" ht="15" customHeight="1" s="52">
      <c r="A905" s="20" t="n"/>
      <c r="B905" s="21">
        <f>IF($A905="","",YEAR($A905))</f>
        <v/>
      </c>
      <c r="C905" s="21">
        <f>IF($A905="","",MONTH($A905))</f>
        <v/>
      </c>
      <c r="D905" s="22" t="n"/>
      <c r="E905" s="22" t="n"/>
      <c r="F905" s="23" t="n"/>
      <c r="G905" s="24">
        <f>IF($D905="","",IFERROR(INDEX(Einstellungen!$B$4:$B$40,MATCH($D905,Einstellungen!$A$4:$A$40,0)),"?"))</f>
        <v/>
      </c>
      <c r="H905" s="22" t="n"/>
      <c r="I905" s="25">
        <f>IF($F905="","",IF($G905="Einnahme",$F905,-$F905))</f>
        <v/>
      </c>
    </row>
    <row r="906" ht="15" customHeight="1" s="52">
      <c r="A906" s="26" t="n"/>
      <c r="B906" s="17">
        <f>IF($A906="","",YEAR($A906))</f>
        <v/>
      </c>
      <c r="C906" s="17">
        <f>IF($A906="","",MONTH($A906))</f>
        <v/>
      </c>
      <c r="D906" s="27" t="n"/>
      <c r="E906" s="27" t="n"/>
      <c r="F906" s="28" t="n"/>
      <c r="G906" s="14">
        <f>IF($D906="","",IFERROR(INDEX(Einstellungen!$B$4:$B$40,MATCH($D906,Einstellungen!$A$4:$A$40,0)),"?"))</f>
        <v/>
      </c>
      <c r="H906" s="27" t="n"/>
      <c r="I906" s="11">
        <f>IF($F906="","",IF($G906="Einnahme",$F906,-$F906))</f>
        <v/>
      </c>
    </row>
    <row r="907" ht="15" customHeight="1" s="52">
      <c r="A907" s="20" t="n"/>
      <c r="B907" s="21">
        <f>IF($A907="","",YEAR($A907))</f>
        <v/>
      </c>
      <c r="C907" s="21">
        <f>IF($A907="","",MONTH($A907))</f>
        <v/>
      </c>
      <c r="D907" s="22" t="n"/>
      <c r="E907" s="22" t="n"/>
      <c r="F907" s="23" t="n"/>
      <c r="G907" s="24">
        <f>IF($D907="","",IFERROR(INDEX(Einstellungen!$B$4:$B$40,MATCH($D907,Einstellungen!$A$4:$A$40,0)),"?"))</f>
        <v/>
      </c>
      <c r="H907" s="22" t="n"/>
      <c r="I907" s="25">
        <f>IF($F907="","",IF($G907="Einnahme",$F907,-$F907))</f>
        <v/>
      </c>
    </row>
    <row r="908" ht="15" customHeight="1" s="52">
      <c r="A908" s="26" t="n"/>
      <c r="B908" s="17">
        <f>IF($A908="","",YEAR($A908))</f>
        <v/>
      </c>
      <c r="C908" s="17">
        <f>IF($A908="","",MONTH($A908))</f>
        <v/>
      </c>
      <c r="D908" s="27" t="n"/>
      <c r="E908" s="27" t="n"/>
      <c r="F908" s="28" t="n"/>
      <c r="G908" s="14">
        <f>IF($D908="","",IFERROR(INDEX(Einstellungen!$B$4:$B$40,MATCH($D908,Einstellungen!$A$4:$A$40,0)),"?"))</f>
        <v/>
      </c>
      <c r="H908" s="27" t="n"/>
      <c r="I908" s="11">
        <f>IF($F908="","",IF($G908="Einnahme",$F908,-$F908))</f>
        <v/>
      </c>
    </row>
    <row r="909" ht="15" customHeight="1" s="52">
      <c r="A909" s="20" t="n"/>
      <c r="B909" s="21">
        <f>IF($A909="","",YEAR($A909))</f>
        <v/>
      </c>
      <c r="C909" s="21">
        <f>IF($A909="","",MONTH($A909))</f>
        <v/>
      </c>
      <c r="D909" s="22" t="n"/>
      <c r="E909" s="22" t="n"/>
      <c r="F909" s="23" t="n"/>
      <c r="G909" s="24">
        <f>IF($D909="","",IFERROR(INDEX(Einstellungen!$B$4:$B$40,MATCH($D909,Einstellungen!$A$4:$A$40,0)),"?"))</f>
        <v/>
      </c>
      <c r="H909" s="22" t="n"/>
      <c r="I909" s="25">
        <f>IF($F909="","",IF($G909="Einnahme",$F909,-$F909))</f>
        <v/>
      </c>
    </row>
    <row r="910" ht="15" customHeight="1" s="52">
      <c r="A910" s="26" t="n"/>
      <c r="B910" s="17">
        <f>IF($A910="","",YEAR($A910))</f>
        <v/>
      </c>
      <c r="C910" s="17">
        <f>IF($A910="","",MONTH($A910))</f>
        <v/>
      </c>
      <c r="D910" s="27" t="n"/>
      <c r="E910" s="27" t="n"/>
      <c r="F910" s="28" t="n"/>
      <c r="G910" s="14">
        <f>IF($D910="","",IFERROR(INDEX(Einstellungen!$B$4:$B$40,MATCH($D910,Einstellungen!$A$4:$A$40,0)),"?"))</f>
        <v/>
      </c>
      <c r="H910" s="27" t="n"/>
      <c r="I910" s="11">
        <f>IF($F910="","",IF($G910="Einnahme",$F910,-$F910))</f>
        <v/>
      </c>
    </row>
    <row r="911" ht="15" customHeight="1" s="52">
      <c r="A911" s="20" t="n"/>
      <c r="B911" s="21">
        <f>IF($A911="","",YEAR($A911))</f>
        <v/>
      </c>
      <c r="C911" s="21">
        <f>IF($A911="","",MONTH($A911))</f>
        <v/>
      </c>
      <c r="D911" s="22" t="n"/>
      <c r="E911" s="22" t="n"/>
      <c r="F911" s="23" t="n"/>
      <c r="G911" s="24">
        <f>IF($D911="","",IFERROR(INDEX(Einstellungen!$B$4:$B$40,MATCH($D911,Einstellungen!$A$4:$A$40,0)),"?"))</f>
        <v/>
      </c>
      <c r="H911" s="22" t="n"/>
      <c r="I911" s="25">
        <f>IF($F911="","",IF($G911="Einnahme",$F911,-$F911))</f>
        <v/>
      </c>
    </row>
    <row r="912" ht="15" customHeight="1" s="52">
      <c r="A912" s="26" t="n"/>
      <c r="B912" s="17">
        <f>IF($A912="","",YEAR($A912))</f>
        <v/>
      </c>
      <c r="C912" s="17">
        <f>IF($A912="","",MONTH($A912))</f>
        <v/>
      </c>
      <c r="D912" s="27" t="n"/>
      <c r="E912" s="27" t="n"/>
      <c r="F912" s="28" t="n"/>
      <c r="G912" s="14">
        <f>IF($D912="","",IFERROR(INDEX(Einstellungen!$B$4:$B$40,MATCH($D912,Einstellungen!$A$4:$A$40,0)),"?"))</f>
        <v/>
      </c>
      <c r="H912" s="27" t="n"/>
      <c r="I912" s="11">
        <f>IF($F912="","",IF($G912="Einnahme",$F912,-$F912))</f>
        <v/>
      </c>
    </row>
    <row r="913" ht="15" customHeight="1" s="52">
      <c r="A913" s="20" t="n"/>
      <c r="B913" s="21">
        <f>IF($A913="","",YEAR($A913))</f>
        <v/>
      </c>
      <c r="C913" s="21">
        <f>IF($A913="","",MONTH($A913))</f>
        <v/>
      </c>
      <c r="D913" s="22" t="n"/>
      <c r="E913" s="22" t="n"/>
      <c r="F913" s="23" t="n"/>
      <c r="G913" s="24">
        <f>IF($D913="","",IFERROR(INDEX(Einstellungen!$B$4:$B$40,MATCH($D913,Einstellungen!$A$4:$A$40,0)),"?"))</f>
        <v/>
      </c>
      <c r="H913" s="22" t="n"/>
      <c r="I913" s="25">
        <f>IF($F913="","",IF($G913="Einnahme",$F913,-$F913))</f>
        <v/>
      </c>
    </row>
    <row r="914" ht="15" customHeight="1" s="52">
      <c r="A914" s="26" t="n"/>
      <c r="B914" s="17">
        <f>IF($A914="","",YEAR($A914))</f>
        <v/>
      </c>
      <c r="C914" s="17">
        <f>IF($A914="","",MONTH($A914))</f>
        <v/>
      </c>
      <c r="D914" s="27" t="n"/>
      <c r="E914" s="27" t="n"/>
      <c r="F914" s="28" t="n"/>
      <c r="G914" s="14">
        <f>IF($D914="","",IFERROR(INDEX(Einstellungen!$B$4:$B$40,MATCH($D914,Einstellungen!$A$4:$A$40,0)),"?"))</f>
        <v/>
      </c>
      <c r="H914" s="27" t="n"/>
      <c r="I914" s="11">
        <f>IF($F914="","",IF($G914="Einnahme",$F914,-$F914))</f>
        <v/>
      </c>
    </row>
    <row r="915" ht="15" customHeight="1" s="52">
      <c r="A915" s="20" t="n"/>
      <c r="B915" s="21">
        <f>IF($A915="","",YEAR($A915))</f>
        <v/>
      </c>
      <c r="C915" s="21">
        <f>IF($A915="","",MONTH($A915))</f>
        <v/>
      </c>
      <c r="D915" s="22" t="n"/>
      <c r="E915" s="22" t="n"/>
      <c r="F915" s="23" t="n"/>
      <c r="G915" s="24">
        <f>IF($D915="","",IFERROR(INDEX(Einstellungen!$B$4:$B$40,MATCH($D915,Einstellungen!$A$4:$A$40,0)),"?"))</f>
        <v/>
      </c>
      <c r="H915" s="22" t="n"/>
      <c r="I915" s="25">
        <f>IF($F915="","",IF($G915="Einnahme",$F915,-$F915))</f>
        <v/>
      </c>
    </row>
    <row r="916" ht="15" customHeight="1" s="52">
      <c r="A916" s="26" t="n"/>
      <c r="B916" s="17">
        <f>IF($A916="","",YEAR($A916))</f>
        <v/>
      </c>
      <c r="C916" s="17">
        <f>IF($A916="","",MONTH($A916))</f>
        <v/>
      </c>
      <c r="D916" s="27" t="n"/>
      <c r="E916" s="27" t="n"/>
      <c r="F916" s="28" t="n"/>
      <c r="G916" s="14">
        <f>IF($D916="","",IFERROR(INDEX(Einstellungen!$B$4:$B$40,MATCH($D916,Einstellungen!$A$4:$A$40,0)),"?"))</f>
        <v/>
      </c>
      <c r="H916" s="27" t="n"/>
      <c r="I916" s="11">
        <f>IF($F916="","",IF($G916="Einnahme",$F916,-$F916))</f>
        <v/>
      </c>
    </row>
    <row r="917" ht="15" customHeight="1" s="52">
      <c r="A917" s="20" t="n"/>
      <c r="B917" s="21">
        <f>IF($A917="","",YEAR($A917))</f>
        <v/>
      </c>
      <c r="C917" s="21">
        <f>IF($A917="","",MONTH($A917))</f>
        <v/>
      </c>
      <c r="D917" s="22" t="n"/>
      <c r="E917" s="22" t="n"/>
      <c r="F917" s="23" t="n"/>
      <c r="G917" s="24">
        <f>IF($D917="","",IFERROR(INDEX(Einstellungen!$B$4:$B$40,MATCH($D917,Einstellungen!$A$4:$A$40,0)),"?"))</f>
        <v/>
      </c>
      <c r="H917" s="22" t="n"/>
      <c r="I917" s="25">
        <f>IF($F917="","",IF($G917="Einnahme",$F917,-$F917))</f>
        <v/>
      </c>
    </row>
    <row r="918" ht="15" customHeight="1" s="52">
      <c r="A918" s="26" t="n"/>
      <c r="B918" s="17">
        <f>IF($A918="","",YEAR($A918))</f>
        <v/>
      </c>
      <c r="C918" s="17">
        <f>IF($A918="","",MONTH($A918))</f>
        <v/>
      </c>
      <c r="D918" s="27" t="n"/>
      <c r="E918" s="27" t="n"/>
      <c r="F918" s="28" t="n"/>
      <c r="G918" s="14">
        <f>IF($D918="","",IFERROR(INDEX(Einstellungen!$B$4:$B$40,MATCH($D918,Einstellungen!$A$4:$A$40,0)),"?"))</f>
        <v/>
      </c>
      <c r="H918" s="27" t="n"/>
      <c r="I918" s="11">
        <f>IF($F918="","",IF($G918="Einnahme",$F918,-$F918))</f>
        <v/>
      </c>
    </row>
    <row r="919" ht="15" customHeight="1" s="52">
      <c r="A919" s="20" t="n"/>
      <c r="B919" s="21">
        <f>IF($A919="","",YEAR($A919))</f>
        <v/>
      </c>
      <c r="C919" s="21">
        <f>IF($A919="","",MONTH($A919))</f>
        <v/>
      </c>
      <c r="D919" s="22" t="n"/>
      <c r="E919" s="22" t="n"/>
      <c r="F919" s="23" t="n"/>
      <c r="G919" s="24">
        <f>IF($D919="","",IFERROR(INDEX(Einstellungen!$B$4:$B$40,MATCH($D919,Einstellungen!$A$4:$A$40,0)),"?"))</f>
        <v/>
      </c>
      <c r="H919" s="22" t="n"/>
      <c r="I919" s="25">
        <f>IF($F919="","",IF($G919="Einnahme",$F919,-$F919))</f>
        <v/>
      </c>
    </row>
    <row r="920" ht="15" customHeight="1" s="52">
      <c r="A920" s="26" t="n"/>
      <c r="B920" s="17">
        <f>IF($A920="","",YEAR($A920))</f>
        <v/>
      </c>
      <c r="C920" s="17">
        <f>IF($A920="","",MONTH($A920))</f>
        <v/>
      </c>
      <c r="D920" s="27" t="n"/>
      <c r="E920" s="27" t="n"/>
      <c r="F920" s="28" t="n"/>
      <c r="G920" s="14">
        <f>IF($D920="","",IFERROR(INDEX(Einstellungen!$B$4:$B$40,MATCH($D920,Einstellungen!$A$4:$A$40,0)),"?"))</f>
        <v/>
      </c>
      <c r="H920" s="27" t="n"/>
      <c r="I920" s="11">
        <f>IF($F920="","",IF($G920="Einnahme",$F920,-$F920))</f>
        <v/>
      </c>
    </row>
    <row r="921" ht="15" customHeight="1" s="52">
      <c r="A921" s="20" t="n"/>
      <c r="B921" s="21">
        <f>IF($A921="","",YEAR($A921))</f>
        <v/>
      </c>
      <c r="C921" s="21">
        <f>IF($A921="","",MONTH($A921))</f>
        <v/>
      </c>
      <c r="D921" s="22" t="n"/>
      <c r="E921" s="22" t="n"/>
      <c r="F921" s="23" t="n"/>
      <c r="G921" s="24">
        <f>IF($D921="","",IFERROR(INDEX(Einstellungen!$B$4:$B$40,MATCH($D921,Einstellungen!$A$4:$A$40,0)),"?"))</f>
        <v/>
      </c>
      <c r="H921" s="22" t="n"/>
      <c r="I921" s="25">
        <f>IF($F921="","",IF($G921="Einnahme",$F921,-$F921))</f>
        <v/>
      </c>
    </row>
    <row r="922" ht="15" customHeight="1" s="52">
      <c r="A922" s="26" t="n"/>
      <c r="B922" s="17">
        <f>IF($A922="","",YEAR($A922))</f>
        <v/>
      </c>
      <c r="C922" s="17">
        <f>IF($A922="","",MONTH($A922))</f>
        <v/>
      </c>
      <c r="D922" s="27" t="n"/>
      <c r="E922" s="27" t="n"/>
      <c r="F922" s="28" t="n"/>
      <c r="G922" s="14">
        <f>IF($D922="","",IFERROR(INDEX(Einstellungen!$B$4:$B$40,MATCH($D922,Einstellungen!$A$4:$A$40,0)),"?"))</f>
        <v/>
      </c>
      <c r="H922" s="27" t="n"/>
      <c r="I922" s="11">
        <f>IF($F922="","",IF($G922="Einnahme",$F922,-$F922))</f>
        <v/>
      </c>
    </row>
    <row r="923" ht="15" customHeight="1" s="52">
      <c r="A923" s="20" t="n"/>
      <c r="B923" s="21">
        <f>IF($A923="","",YEAR($A923))</f>
        <v/>
      </c>
      <c r="C923" s="21">
        <f>IF($A923="","",MONTH($A923))</f>
        <v/>
      </c>
      <c r="D923" s="22" t="n"/>
      <c r="E923" s="22" t="n"/>
      <c r="F923" s="23" t="n"/>
      <c r="G923" s="24">
        <f>IF($D923="","",IFERROR(INDEX(Einstellungen!$B$4:$B$40,MATCH($D923,Einstellungen!$A$4:$A$40,0)),"?"))</f>
        <v/>
      </c>
      <c r="H923" s="22" t="n"/>
      <c r="I923" s="25">
        <f>IF($F923="","",IF($G923="Einnahme",$F923,-$F923))</f>
        <v/>
      </c>
    </row>
    <row r="924" ht="15" customHeight="1" s="52">
      <c r="A924" s="26" t="n"/>
      <c r="B924" s="17">
        <f>IF($A924="","",YEAR($A924))</f>
        <v/>
      </c>
      <c r="C924" s="17">
        <f>IF($A924="","",MONTH($A924))</f>
        <v/>
      </c>
      <c r="D924" s="27" t="n"/>
      <c r="E924" s="27" t="n"/>
      <c r="F924" s="28" t="n"/>
      <c r="G924" s="14">
        <f>IF($D924="","",IFERROR(INDEX(Einstellungen!$B$4:$B$40,MATCH($D924,Einstellungen!$A$4:$A$40,0)),"?"))</f>
        <v/>
      </c>
      <c r="H924" s="27" t="n"/>
      <c r="I924" s="11">
        <f>IF($F924="","",IF($G924="Einnahme",$F924,-$F924))</f>
        <v/>
      </c>
    </row>
    <row r="925" ht="15" customHeight="1" s="52">
      <c r="A925" s="20" t="n"/>
      <c r="B925" s="21">
        <f>IF($A925="","",YEAR($A925))</f>
        <v/>
      </c>
      <c r="C925" s="21">
        <f>IF($A925="","",MONTH($A925))</f>
        <v/>
      </c>
      <c r="D925" s="22" t="n"/>
      <c r="E925" s="22" t="n"/>
      <c r="F925" s="23" t="n"/>
      <c r="G925" s="24">
        <f>IF($D925="","",IFERROR(INDEX(Einstellungen!$B$4:$B$40,MATCH($D925,Einstellungen!$A$4:$A$40,0)),"?"))</f>
        <v/>
      </c>
      <c r="H925" s="22" t="n"/>
      <c r="I925" s="25">
        <f>IF($F925="","",IF($G925="Einnahme",$F925,-$F925))</f>
        <v/>
      </c>
    </row>
    <row r="926" ht="15" customHeight="1" s="52">
      <c r="A926" s="26" t="n"/>
      <c r="B926" s="17">
        <f>IF($A926="","",YEAR($A926))</f>
        <v/>
      </c>
      <c r="C926" s="17">
        <f>IF($A926="","",MONTH($A926))</f>
        <v/>
      </c>
      <c r="D926" s="27" t="n"/>
      <c r="E926" s="27" t="n"/>
      <c r="F926" s="28" t="n"/>
      <c r="G926" s="14">
        <f>IF($D926="","",IFERROR(INDEX(Einstellungen!$B$4:$B$40,MATCH($D926,Einstellungen!$A$4:$A$40,0)),"?"))</f>
        <v/>
      </c>
      <c r="H926" s="27" t="n"/>
      <c r="I926" s="11">
        <f>IF($F926="","",IF($G926="Einnahme",$F926,-$F926))</f>
        <v/>
      </c>
    </row>
    <row r="927" ht="15" customHeight="1" s="52">
      <c r="A927" s="20" t="n"/>
      <c r="B927" s="21">
        <f>IF($A927="","",YEAR($A927))</f>
        <v/>
      </c>
      <c r="C927" s="21">
        <f>IF($A927="","",MONTH($A927))</f>
        <v/>
      </c>
      <c r="D927" s="22" t="n"/>
      <c r="E927" s="22" t="n"/>
      <c r="F927" s="23" t="n"/>
      <c r="G927" s="24">
        <f>IF($D927="","",IFERROR(INDEX(Einstellungen!$B$4:$B$40,MATCH($D927,Einstellungen!$A$4:$A$40,0)),"?"))</f>
        <v/>
      </c>
      <c r="H927" s="22" t="n"/>
      <c r="I927" s="25">
        <f>IF($F927="","",IF($G927="Einnahme",$F927,-$F927))</f>
        <v/>
      </c>
    </row>
    <row r="928" ht="15" customHeight="1" s="52">
      <c r="A928" s="26" t="n"/>
      <c r="B928" s="17">
        <f>IF($A928="","",YEAR($A928))</f>
        <v/>
      </c>
      <c r="C928" s="17">
        <f>IF($A928="","",MONTH($A928))</f>
        <v/>
      </c>
      <c r="D928" s="27" t="n"/>
      <c r="E928" s="27" t="n"/>
      <c r="F928" s="28" t="n"/>
      <c r="G928" s="14">
        <f>IF($D928="","",IFERROR(INDEX(Einstellungen!$B$4:$B$40,MATCH($D928,Einstellungen!$A$4:$A$40,0)),"?"))</f>
        <v/>
      </c>
      <c r="H928" s="27" t="n"/>
      <c r="I928" s="11">
        <f>IF($F928="","",IF($G928="Einnahme",$F928,-$F928))</f>
        <v/>
      </c>
    </row>
    <row r="929" ht="15" customHeight="1" s="52">
      <c r="A929" s="20" t="n"/>
      <c r="B929" s="21">
        <f>IF($A929="","",YEAR($A929))</f>
        <v/>
      </c>
      <c r="C929" s="21">
        <f>IF($A929="","",MONTH($A929))</f>
        <v/>
      </c>
      <c r="D929" s="22" t="n"/>
      <c r="E929" s="22" t="n"/>
      <c r="F929" s="23" t="n"/>
      <c r="G929" s="24">
        <f>IF($D929="","",IFERROR(INDEX(Einstellungen!$B$4:$B$40,MATCH($D929,Einstellungen!$A$4:$A$40,0)),"?"))</f>
        <v/>
      </c>
      <c r="H929" s="22" t="n"/>
      <c r="I929" s="25">
        <f>IF($F929="","",IF($G929="Einnahme",$F929,-$F929))</f>
        <v/>
      </c>
    </row>
    <row r="930" ht="15" customHeight="1" s="52">
      <c r="A930" s="26" t="n"/>
      <c r="B930" s="17">
        <f>IF($A930="","",YEAR($A930))</f>
        <v/>
      </c>
      <c r="C930" s="17">
        <f>IF($A930="","",MONTH($A930))</f>
        <v/>
      </c>
      <c r="D930" s="27" t="n"/>
      <c r="E930" s="27" t="n"/>
      <c r="F930" s="28" t="n"/>
      <c r="G930" s="14">
        <f>IF($D930="","",IFERROR(INDEX(Einstellungen!$B$4:$B$40,MATCH($D930,Einstellungen!$A$4:$A$40,0)),"?"))</f>
        <v/>
      </c>
      <c r="H930" s="27" t="n"/>
      <c r="I930" s="11">
        <f>IF($F930="","",IF($G930="Einnahme",$F930,-$F930))</f>
        <v/>
      </c>
    </row>
    <row r="931" ht="15" customHeight="1" s="52">
      <c r="A931" s="20" t="n"/>
      <c r="B931" s="21">
        <f>IF($A931="","",YEAR($A931))</f>
        <v/>
      </c>
      <c r="C931" s="21">
        <f>IF($A931="","",MONTH($A931))</f>
        <v/>
      </c>
      <c r="D931" s="22" t="n"/>
      <c r="E931" s="22" t="n"/>
      <c r="F931" s="23" t="n"/>
      <c r="G931" s="24">
        <f>IF($D931="","",IFERROR(INDEX(Einstellungen!$B$4:$B$40,MATCH($D931,Einstellungen!$A$4:$A$40,0)),"?"))</f>
        <v/>
      </c>
      <c r="H931" s="22" t="n"/>
      <c r="I931" s="25">
        <f>IF($F931="","",IF($G931="Einnahme",$F931,-$F931))</f>
        <v/>
      </c>
    </row>
    <row r="932" ht="15" customHeight="1" s="52">
      <c r="A932" s="26" t="n"/>
      <c r="B932" s="17">
        <f>IF($A932="","",YEAR($A932))</f>
        <v/>
      </c>
      <c r="C932" s="17">
        <f>IF($A932="","",MONTH($A932))</f>
        <v/>
      </c>
      <c r="D932" s="27" t="n"/>
      <c r="E932" s="27" t="n"/>
      <c r="F932" s="28" t="n"/>
      <c r="G932" s="14">
        <f>IF($D932="","",IFERROR(INDEX(Einstellungen!$B$4:$B$40,MATCH($D932,Einstellungen!$A$4:$A$40,0)),"?"))</f>
        <v/>
      </c>
      <c r="H932" s="27" t="n"/>
      <c r="I932" s="11">
        <f>IF($F932="","",IF($G932="Einnahme",$F932,-$F932))</f>
        <v/>
      </c>
    </row>
    <row r="933" ht="15" customHeight="1" s="52">
      <c r="A933" s="20" t="n"/>
      <c r="B933" s="21">
        <f>IF($A933="","",YEAR($A933))</f>
        <v/>
      </c>
      <c r="C933" s="21">
        <f>IF($A933="","",MONTH($A933))</f>
        <v/>
      </c>
      <c r="D933" s="22" t="n"/>
      <c r="E933" s="22" t="n"/>
      <c r="F933" s="23" t="n"/>
      <c r="G933" s="24">
        <f>IF($D933="","",IFERROR(INDEX(Einstellungen!$B$4:$B$40,MATCH($D933,Einstellungen!$A$4:$A$40,0)),"?"))</f>
        <v/>
      </c>
      <c r="H933" s="22" t="n"/>
      <c r="I933" s="25">
        <f>IF($F933="","",IF($G933="Einnahme",$F933,-$F933))</f>
        <v/>
      </c>
    </row>
    <row r="934" ht="15" customHeight="1" s="52">
      <c r="A934" s="26" t="n"/>
      <c r="B934" s="17">
        <f>IF($A934="","",YEAR($A934))</f>
        <v/>
      </c>
      <c r="C934" s="17">
        <f>IF($A934="","",MONTH($A934))</f>
        <v/>
      </c>
      <c r="D934" s="27" t="n"/>
      <c r="E934" s="27" t="n"/>
      <c r="F934" s="28" t="n"/>
      <c r="G934" s="14">
        <f>IF($D934="","",IFERROR(INDEX(Einstellungen!$B$4:$B$40,MATCH($D934,Einstellungen!$A$4:$A$40,0)),"?"))</f>
        <v/>
      </c>
      <c r="H934" s="27" t="n"/>
      <c r="I934" s="11">
        <f>IF($F934="","",IF($G934="Einnahme",$F934,-$F934))</f>
        <v/>
      </c>
    </row>
    <row r="935" ht="15" customHeight="1" s="52">
      <c r="A935" s="20" t="n"/>
      <c r="B935" s="21">
        <f>IF($A935="","",YEAR($A935))</f>
        <v/>
      </c>
      <c r="C935" s="21">
        <f>IF($A935="","",MONTH($A935))</f>
        <v/>
      </c>
      <c r="D935" s="22" t="n"/>
      <c r="E935" s="22" t="n"/>
      <c r="F935" s="23" t="n"/>
      <c r="G935" s="24">
        <f>IF($D935="","",IFERROR(INDEX(Einstellungen!$B$4:$B$40,MATCH($D935,Einstellungen!$A$4:$A$40,0)),"?"))</f>
        <v/>
      </c>
      <c r="H935" s="22" t="n"/>
      <c r="I935" s="25">
        <f>IF($F935="","",IF($G935="Einnahme",$F935,-$F935))</f>
        <v/>
      </c>
    </row>
    <row r="936" ht="15" customHeight="1" s="52">
      <c r="A936" s="26" t="n"/>
      <c r="B936" s="17">
        <f>IF($A936="","",YEAR($A936))</f>
        <v/>
      </c>
      <c r="C936" s="17">
        <f>IF($A936="","",MONTH($A936))</f>
        <v/>
      </c>
      <c r="D936" s="27" t="n"/>
      <c r="E936" s="27" t="n"/>
      <c r="F936" s="28" t="n"/>
      <c r="G936" s="14">
        <f>IF($D936="","",IFERROR(INDEX(Einstellungen!$B$4:$B$40,MATCH($D936,Einstellungen!$A$4:$A$40,0)),"?"))</f>
        <v/>
      </c>
      <c r="H936" s="27" t="n"/>
      <c r="I936" s="11">
        <f>IF($F936="","",IF($G936="Einnahme",$F936,-$F936))</f>
        <v/>
      </c>
    </row>
    <row r="937" ht="15" customHeight="1" s="52">
      <c r="A937" s="20" t="n"/>
      <c r="B937" s="21">
        <f>IF($A937="","",YEAR($A937))</f>
        <v/>
      </c>
      <c r="C937" s="21">
        <f>IF($A937="","",MONTH($A937))</f>
        <v/>
      </c>
      <c r="D937" s="22" t="n"/>
      <c r="E937" s="22" t="n"/>
      <c r="F937" s="23" t="n"/>
      <c r="G937" s="24">
        <f>IF($D937="","",IFERROR(INDEX(Einstellungen!$B$4:$B$40,MATCH($D937,Einstellungen!$A$4:$A$40,0)),"?"))</f>
        <v/>
      </c>
      <c r="H937" s="22" t="n"/>
      <c r="I937" s="25">
        <f>IF($F937="","",IF($G937="Einnahme",$F937,-$F937))</f>
        <v/>
      </c>
    </row>
    <row r="938" ht="15" customHeight="1" s="52">
      <c r="A938" s="26" t="n"/>
      <c r="B938" s="17">
        <f>IF($A938="","",YEAR($A938))</f>
        <v/>
      </c>
      <c r="C938" s="17">
        <f>IF($A938="","",MONTH($A938))</f>
        <v/>
      </c>
      <c r="D938" s="27" t="n"/>
      <c r="E938" s="27" t="n"/>
      <c r="F938" s="28" t="n"/>
      <c r="G938" s="14">
        <f>IF($D938="","",IFERROR(INDEX(Einstellungen!$B$4:$B$40,MATCH($D938,Einstellungen!$A$4:$A$40,0)),"?"))</f>
        <v/>
      </c>
      <c r="H938" s="27" t="n"/>
      <c r="I938" s="11">
        <f>IF($F938="","",IF($G938="Einnahme",$F938,-$F938))</f>
        <v/>
      </c>
    </row>
    <row r="939" ht="15" customHeight="1" s="52">
      <c r="A939" s="20" t="n"/>
      <c r="B939" s="21">
        <f>IF($A939="","",YEAR($A939))</f>
        <v/>
      </c>
      <c r="C939" s="21">
        <f>IF($A939="","",MONTH($A939))</f>
        <v/>
      </c>
      <c r="D939" s="22" t="n"/>
      <c r="E939" s="22" t="n"/>
      <c r="F939" s="23" t="n"/>
      <c r="G939" s="24">
        <f>IF($D939="","",IFERROR(INDEX(Einstellungen!$B$4:$B$40,MATCH($D939,Einstellungen!$A$4:$A$40,0)),"?"))</f>
        <v/>
      </c>
      <c r="H939" s="22" t="n"/>
      <c r="I939" s="25">
        <f>IF($F939="","",IF($G939="Einnahme",$F939,-$F939))</f>
        <v/>
      </c>
    </row>
    <row r="940" ht="15" customHeight="1" s="52">
      <c r="A940" s="26" t="n"/>
      <c r="B940" s="17">
        <f>IF($A940="","",YEAR($A940))</f>
        <v/>
      </c>
      <c r="C940" s="17">
        <f>IF($A940="","",MONTH($A940))</f>
        <v/>
      </c>
      <c r="D940" s="27" t="n"/>
      <c r="E940" s="27" t="n"/>
      <c r="F940" s="28" t="n"/>
      <c r="G940" s="14">
        <f>IF($D940="","",IFERROR(INDEX(Einstellungen!$B$4:$B$40,MATCH($D940,Einstellungen!$A$4:$A$40,0)),"?"))</f>
        <v/>
      </c>
      <c r="H940" s="27" t="n"/>
      <c r="I940" s="11">
        <f>IF($F940="","",IF($G940="Einnahme",$F940,-$F940))</f>
        <v/>
      </c>
    </row>
    <row r="941" ht="15" customHeight="1" s="52">
      <c r="A941" s="20" t="n"/>
      <c r="B941" s="21">
        <f>IF($A941="","",YEAR($A941))</f>
        <v/>
      </c>
      <c r="C941" s="21">
        <f>IF($A941="","",MONTH($A941))</f>
        <v/>
      </c>
      <c r="D941" s="22" t="n"/>
      <c r="E941" s="22" t="n"/>
      <c r="F941" s="23" t="n"/>
      <c r="G941" s="24">
        <f>IF($D941="","",IFERROR(INDEX(Einstellungen!$B$4:$B$40,MATCH($D941,Einstellungen!$A$4:$A$40,0)),"?"))</f>
        <v/>
      </c>
      <c r="H941" s="22" t="n"/>
      <c r="I941" s="25">
        <f>IF($F941="","",IF($G941="Einnahme",$F941,-$F941))</f>
        <v/>
      </c>
    </row>
    <row r="942" ht="15" customHeight="1" s="52">
      <c r="A942" s="26" t="n"/>
      <c r="B942" s="17">
        <f>IF($A942="","",YEAR($A942))</f>
        <v/>
      </c>
      <c r="C942" s="17">
        <f>IF($A942="","",MONTH($A942))</f>
        <v/>
      </c>
      <c r="D942" s="27" t="n"/>
      <c r="E942" s="27" t="n"/>
      <c r="F942" s="28" t="n"/>
      <c r="G942" s="14">
        <f>IF($D942="","",IFERROR(INDEX(Einstellungen!$B$4:$B$40,MATCH($D942,Einstellungen!$A$4:$A$40,0)),"?"))</f>
        <v/>
      </c>
      <c r="H942" s="27" t="n"/>
      <c r="I942" s="11">
        <f>IF($F942="","",IF($G942="Einnahme",$F942,-$F942))</f>
        <v/>
      </c>
    </row>
    <row r="943" ht="15" customHeight="1" s="52">
      <c r="A943" s="20" t="n"/>
      <c r="B943" s="21">
        <f>IF($A943="","",YEAR($A943))</f>
        <v/>
      </c>
      <c r="C943" s="21">
        <f>IF($A943="","",MONTH($A943))</f>
        <v/>
      </c>
      <c r="D943" s="22" t="n"/>
      <c r="E943" s="22" t="n"/>
      <c r="F943" s="23" t="n"/>
      <c r="G943" s="24">
        <f>IF($D943="","",IFERROR(INDEX(Einstellungen!$B$4:$B$40,MATCH($D943,Einstellungen!$A$4:$A$40,0)),"?"))</f>
        <v/>
      </c>
      <c r="H943" s="22" t="n"/>
      <c r="I943" s="25">
        <f>IF($F943="","",IF($G943="Einnahme",$F943,-$F943))</f>
        <v/>
      </c>
    </row>
    <row r="944" ht="15" customHeight="1" s="52">
      <c r="A944" s="26" t="n"/>
      <c r="B944" s="17">
        <f>IF($A944="","",YEAR($A944))</f>
        <v/>
      </c>
      <c r="C944" s="17">
        <f>IF($A944="","",MONTH($A944))</f>
        <v/>
      </c>
      <c r="D944" s="27" t="n"/>
      <c r="E944" s="27" t="n"/>
      <c r="F944" s="28" t="n"/>
      <c r="G944" s="14">
        <f>IF($D944="","",IFERROR(INDEX(Einstellungen!$B$4:$B$40,MATCH($D944,Einstellungen!$A$4:$A$40,0)),"?"))</f>
        <v/>
      </c>
      <c r="H944" s="27" t="n"/>
      <c r="I944" s="11">
        <f>IF($F944="","",IF($G944="Einnahme",$F944,-$F944))</f>
        <v/>
      </c>
    </row>
    <row r="945" ht="15" customHeight="1" s="52">
      <c r="A945" s="20" t="n"/>
      <c r="B945" s="21">
        <f>IF($A945="","",YEAR($A945))</f>
        <v/>
      </c>
      <c r="C945" s="21">
        <f>IF($A945="","",MONTH($A945))</f>
        <v/>
      </c>
      <c r="D945" s="22" t="n"/>
      <c r="E945" s="22" t="n"/>
      <c r="F945" s="23" t="n"/>
      <c r="G945" s="24">
        <f>IF($D945="","",IFERROR(INDEX(Einstellungen!$B$4:$B$40,MATCH($D945,Einstellungen!$A$4:$A$40,0)),"?"))</f>
        <v/>
      </c>
      <c r="H945" s="22" t="n"/>
      <c r="I945" s="25">
        <f>IF($F945="","",IF($G945="Einnahme",$F945,-$F945))</f>
        <v/>
      </c>
    </row>
    <row r="946" ht="15" customHeight="1" s="52">
      <c r="A946" s="26" t="n"/>
      <c r="B946" s="17">
        <f>IF($A946="","",YEAR($A946))</f>
        <v/>
      </c>
      <c r="C946" s="17">
        <f>IF($A946="","",MONTH($A946))</f>
        <v/>
      </c>
      <c r="D946" s="27" t="n"/>
      <c r="E946" s="27" t="n"/>
      <c r="F946" s="28" t="n"/>
      <c r="G946" s="14">
        <f>IF($D946="","",IFERROR(INDEX(Einstellungen!$B$4:$B$40,MATCH($D946,Einstellungen!$A$4:$A$40,0)),"?"))</f>
        <v/>
      </c>
      <c r="H946" s="27" t="n"/>
      <c r="I946" s="11">
        <f>IF($F946="","",IF($G946="Einnahme",$F946,-$F946))</f>
        <v/>
      </c>
    </row>
    <row r="947" ht="15" customHeight="1" s="52">
      <c r="A947" s="20" t="n"/>
      <c r="B947" s="21">
        <f>IF($A947="","",YEAR($A947))</f>
        <v/>
      </c>
      <c r="C947" s="21">
        <f>IF($A947="","",MONTH($A947))</f>
        <v/>
      </c>
      <c r="D947" s="22" t="n"/>
      <c r="E947" s="22" t="n"/>
      <c r="F947" s="23" t="n"/>
      <c r="G947" s="24">
        <f>IF($D947="","",IFERROR(INDEX(Einstellungen!$B$4:$B$40,MATCH($D947,Einstellungen!$A$4:$A$40,0)),"?"))</f>
        <v/>
      </c>
      <c r="H947" s="22" t="n"/>
      <c r="I947" s="25">
        <f>IF($F947="","",IF($G947="Einnahme",$F947,-$F947))</f>
        <v/>
      </c>
    </row>
    <row r="948" ht="15" customHeight="1" s="52">
      <c r="A948" s="26" t="n"/>
      <c r="B948" s="17">
        <f>IF($A948="","",YEAR($A948))</f>
        <v/>
      </c>
      <c r="C948" s="17">
        <f>IF($A948="","",MONTH($A948))</f>
        <v/>
      </c>
      <c r="D948" s="27" t="n"/>
      <c r="E948" s="27" t="n"/>
      <c r="F948" s="28" t="n"/>
      <c r="G948" s="14">
        <f>IF($D948="","",IFERROR(INDEX(Einstellungen!$B$4:$B$40,MATCH($D948,Einstellungen!$A$4:$A$40,0)),"?"))</f>
        <v/>
      </c>
      <c r="H948" s="27" t="n"/>
      <c r="I948" s="11">
        <f>IF($F948="","",IF($G948="Einnahme",$F948,-$F948))</f>
        <v/>
      </c>
    </row>
    <row r="949" ht="15" customHeight="1" s="52">
      <c r="A949" s="20" t="n"/>
      <c r="B949" s="21">
        <f>IF($A949="","",YEAR($A949))</f>
        <v/>
      </c>
      <c r="C949" s="21">
        <f>IF($A949="","",MONTH($A949))</f>
        <v/>
      </c>
      <c r="D949" s="22" t="n"/>
      <c r="E949" s="22" t="n"/>
      <c r="F949" s="23" t="n"/>
      <c r="G949" s="24">
        <f>IF($D949="","",IFERROR(INDEX(Einstellungen!$B$4:$B$40,MATCH($D949,Einstellungen!$A$4:$A$40,0)),"?"))</f>
        <v/>
      </c>
      <c r="H949" s="22" t="n"/>
      <c r="I949" s="25">
        <f>IF($F949="","",IF($G949="Einnahme",$F949,-$F949))</f>
        <v/>
      </c>
    </row>
    <row r="950" ht="15" customHeight="1" s="52">
      <c r="A950" s="26" t="n"/>
      <c r="B950" s="17">
        <f>IF($A950="","",YEAR($A950))</f>
        <v/>
      </c>
      <c r="C950" s="17">
        <f>IF($A950="","",MONTH($A950))</f>
        <v/>
      </c>
      <c r="D950" s="27" t="n"/>
      <c r="E950" s="27" t="n"/>
      <c r="F950" s="28" t="n"/>
      <c r="G950" s="14">
        <f>IF($D950="","",IFERROR(INDEX(Einstellungen!$B$4:$B$40,MATCH($D950,Einstellungen!$A$4:$A$40,0)),"?"))</f>
        <v/>
      </c>
      <c r="H950" s="27" t="n"/>
      <c r="I950" s="11">
        <f>IF($F950="","",IF($G950="Einnahme",$F950,-$F950))</f>
        <v/>
      </c>
    </row>
    <row r="951" ht="15" customHeight="1" s="52">
      <c r="A951" s="20" t="n"/>
      <c r="B951" s="21">
        <f>IF($A951="","",YEAR($A951))</f>
        <v/>
      </c>
      <c r="C951" s="21">
        <f>IF($A951="","",MONTH($A951))</f>
        <v/>
      </c>
      <c r="D951" s="22" t="n"/>
      <c r="E951" s="22" t="n"/>
      <c r="F951" s="23" t="n"/>
      <c r="G951" s="24">
        <f>IF($D951="","",IFERROR(INDEX(Einstellungen!$B$4:$B$40,MATCH($D951,Einstellungen!$A$4:$A$40,0)),"?"))</f>
        <v/>
      </c>
      <c r="H951" s="22" t="n"/>
      <c r="I951" s="25">
        <f>IF($F951="","",IF($G951="Einnahme",$F951,-$F951))</f>
        <v/>
      </c>
    </row>
    <row r="952" ht="15" customHeight="1" s="52">
      <c r="A952" s="26" t="n"/>
      <c r="B952" s="17">
        <f>IF($A952="","",YEAR($A952))</f>
        <v/>
      </c>
      <c r="C952" s="17">
        <f>IF($A952="","",MONTH($A952))</f>
        <v/>
      </c>
      <c r="D952" s="27" t="n"/>
      <c r="E952" s="27" t="n"/>
      <c r="F952" s="28" t="n"/>
      <c r="G952" s="14">
        <f>IF($D952="","",IFERROR(INDEX(Einstellungen!$B$4:$B$40,MATCH($D952,Einstellungen!$A$4:$A$40,0)),"?"))</f>
        <v/>
      </c>
      <c r="H952" s="27" t="n"/>
      <c r="I952" s="11">
        <f>IF($F952="","",IF($G952="Einnahme",$F952,-$F952))</f>
        <v/>
      </c>
    </row>
    <row r="953" ht="15" customHeight="1" s="52">
      <c r="A953" s="20" t="n"/>
      <c r="B953" s="21">
        <f>IF($A953="","",YEAR($A953))</f>
        <v/>
      </c>
      <c r="C953" s="21">
        <f>IF($A953="","",MONTH($A953))</f>
        <v/>
      </c>
      <c r="D953" s="22" t="n"/>
      <c r="E953" s="22" t="n"/>
      <c r="F953" s="23" t="n"/>
      <c r="G953" s="24">
        <f>IF($D953="","",IFERROR(INDEX(Einstellungen!$B$4:$B$40,MATCH($D953,Einstellungen!$A$4:$A$40,0)),"?"))</f>
        <v/>
      </c>
      <c r="H953" s="22" t="n"/>
      <c r="I953" s="25">
        <f>IF($F953="","",IF($G953="Einnahme",$F953,-$F953))</f>
        <v/>
      </c>
    </row>
    <row r="954" ht="15" customHeight="1" s="52">
      <c r="A954" s="26" t="n"/>
      <c r="B954" s="17">
        <f>IF($A954="","",YEAR($A954))</f>
        <v/>
      </c>
      <c r="C954" s="17">
        <f>IF($A954="","",MONTH($A954))</f>
        <v/>
      </c>
      <c r="D954" s="27" t="n"/>
      <c r="E954" s="27" t="n"/>
      <c r="F954" s="28" t="n"/>
      <c r="G954" s="14">
        <f>IF($D954="","",IFERROR(INDEX(Einstellungen!$B$4:$B$40,MATCH($D954,Einstellungen!$A$4:$A$40,0)),"?"))</f>
        <v/>
      </c>
      <c r="H954" s="27" t="n"/>
      <c r="I954" s="11">
        <f>IF($F954="","",IF($G954="Einnahme",$F954,-$F954))</f>
        <v/>
      </c>
    </row>
    <row r="955" ht="15" customHeight="1" s="52">
      <c r="A955" s="20" t="n"/>
      <c r="B955" s="21">
        <f>IF($A955="","",YEAR($A955))</f>
        <v/>
      </c>
      <c r="C955" s="21">
        <f>IF($A955="","",MONTH($A955))</f>
        <v/>
      </c>
      <c r="D955" s="22" t="n"/>
      <c r="E955" s="22" t="n"/>
      <c r="F955" s="23" t="n"/>
      <c r="G955" s="24">
        <f>IF($D955="","",IFERROR(INDEX(Einstellungen!$B$4:$B$40,MATCH($D955,Einstellungen!$A$4:$A$40,0)),"?"))</f>
        <v/>
      </c>
      <c r="H955" s="22" t="n"/>
      <c r="I955" s="25">
        <f>IF($F955="","",IF($G955="Einnahme",$F955,-$F955))</f>
        <v/>
      </c>
    </row>
    <row r="956" ht="15" customHeight="1" s="52">
      <c r="A956" s="26" t="n"/>
      <c r="B956" s="17">
        <f>IF($A956="","",YEAR($A956))</f>
        <v/>
      </c>
      <c r="C956" s="17">
        <f>IF($A956="","",MONTH($A956))</f>
        <v/>
      </c>
      <c r="D956" s="27" t="n"/>
      <c r="E956" s="27" t="n"/>
      <c r="F956" s="28" t="n"/>
      <c r="G956" s="14">
        <f>IF($D956="","",IFERROR(INDEX(Einstellungen!$B$4:$B$40,MATCH($D956,Einstellungen!$A$4:$A$40,0)),"?"))</f>
        <v/>
      </c>
      <c r="H956" s="27" t="n"/>
      <c r="I956" s="11">
        <f>IF($F956="","",IF($G956="Einnahme",$F956,-$F956))</f>
        <v/>
      </c>
    </row>
    <row r="957" ht="15" customHeight="1" s="52">
      <c r="A957" s="20" t="n"/>
      <c r="B957" s="21">
        <f>IF($A957="","",YEAR($A957))</f>
        <v/>
      </c>
      <c r="C957" s="21">
        <f>IF($A957="","",MONTH($A957))</f>
        <v/>
      </c>
      <c r="D957" s="22" t="n"/>
      <c r="E957" s="22" t="n"/>
      <c r="F957" s="23" t="n"/>
      <c r="G957" s="24">
        <f>IF($D957="","",IFERROR(INDEX(Einstellungen!$B$4:$B$40,MATCH($D957,Einstellungen!$A$4:$A$40,0)),"?"))</f>
        <v/>
      </c>
      <c r="H957" s="22" t="n"/>
      <c r="I957" s="25">
        <f>IF($F957="","",IF($G957="Einnahme",$F957,-$F957))</f>
        <v/>
      </c>
    </row>
    <row r="958" ht="15" customHeight="1" s="52">
      <c r="A958" s="26" t="n"/>
      <c r="B958" s="17">
        <f>IF($A958="","",YEAR($A958))</f>
        <v/>
      </c>
      <c r="C958" s="17">
        <f>IF($A958="","",MONTH($A958))</f>
        <v/>
      </c>
      <c r="D958" s="27" t="n"/>
      <c r="E958" s="27" t="n"/>
      <c r="F958" s="28" t="n"/>
      <c r="G958" s="14">
        <f>IF($D958="","",IFERROR(INDEX(Einstellungen!$B$4:$B$40,MATCH($D958,Einstellungen!$A$4:$A$40,0)),"?"))</f>
        <v/>
      </c>
      <c r="H958" s="27" t="n"/>
      <c r="I958" s="11">
        <f>IF($F958="","",IF($G958="Einnahme",$F958,-$F958))</f>
        <v/>
      </c>
    </row>
    <row r="959" ht="15" customHeight="1" s="52">
      <c r="A959" s="20" t="n"/>
      <c r="B959" s="21">
        <f>IF($A959="","",YEAR($A959))</f>
        <v/>
      </c>
      <c r="C959" s="21">
        <f>IF($A959="","",MONTH($A959))</f>
        <v/>
      </c>
      <c r="D959" s="22" t="n"/>
      <c r="E959" s="22" t="n"/>
      <c r="F959" s="23" t="n"/>
      <c r="G959" s="24">
        <f>IF($D959="","",IFERROR(INDEX(Einstellungen!$B$4:$B$40,MATCH($D959,Einstellungen!$A$4:$A$40,0)),"?"))</f>
        <v/>
      </c>
      <c r="H959" s="22" t="n"/>
      <c r="I959" s="25">
        <f>IF($F959="","",IF($G959="Einnahme",$F959,-$F959))</f>
        <v/>
      </c>
    </row>
    <row r="960" ht="15" customHeight="1" s="52">
      <c r="A960" s="26" t="n"/>
      <c r="B960" s="17">
        <f>IF($A960="","",YEAR($A960))</f>
        <v/>
      </c>
      <c r="C960" s="17">
        <f>IF($A960="","",MONTH($A960))</f>
        <v/>
      </c>
      <c r="D960" s="27" t="n"/>
      <c r="E960" s="27" t="n"/>
      <c r="F960" s="28" t="n"/>
      <c r="G960" s="14">
        <f>IF($D960="","",IFERROR(INDEX(Einstellungen!$B$4:$B$40,MATCH($D960,Einstellungen!$A$4:$A$40,0)),"?"))</f>
        <v/>
      </c>
      <c r="H960" s="27" t="n"/>
      <c r="I960" s="11">
        <f>IF($F960="","",IF($G960="Einnahme",$F960,-$F960))</f>
        <v/>
      </c>
    </row>
    <row r="961" ht="15" customHeight="1" s="52">
      <c r="A961" s="20" t="n"/>
      <c r="B961" s="21">
        <f>IF($A961="","",YEAR($A961))</f>
        <v/>
      </c>
      <c r="C961" s="21">
        <f>IF($A961="","",MONTH($A961))</f>
        <v/>
      </c>
      <c r="D961" s="22" t="n"/>
      <c r="E961" s="22" t="n"/>
      <c r="F961" s="23" t="n"/>
      <c r="G961" s="24">
        <f>IF($D961="","",IFERROR(INDEX(Einstellungen!$B$4:$B$40,MATCH($D961,Einstellungen!$A$4:$A$40,0)),"?"))</f>
        <v/>
      </c>
      <c r="H961" s="22" t="n"/>
      <c r="I961" s="25">
        <f>IF($F961="","",IF($G961="Einnahme",$F961,-$F961))</f>
        <v/>
      </c>
    </row>
    <row r="962" ht="15" customHeight="1" s="52">
      <c r="A962" s="26" t="n"/>
      <c r="B962" s="17">
        <f>IF($A962="","",YEAR($A962))</f>
        <v/>
      </c>
      <c r="C962" s="17">
        <f>IF($A962="","",MONTH($A962))</f>
        <v/>
      </c>
      <c r="D962" s="27" t="n"/>
      <c r="E962" s="27" t="n"/>
      <c r="F962" s="28" t="n"/>
      <c r="G962" s="14">
        <f>IF($D962="","",IFERROR(INDEX(Einstellungen!$B$4:$B$40,MATCH($D962,Einstellungen!$A$4:$A$40,0)),"?"))</f>
        <v/>
      </c>
      <c r="H962" s="27" t="n"/>
      <c r="I962" s="11">
        <f>IF($F962="","",IF($G962="Einnahme",$F962,-$F962))</f>
        <v/>
      </c>
    </row>
    <row r="963" ht="15" customHeight="1" s="52">
      <c r="A963" s="20" t="n"/>
      <c r="B963" s="21">
        <f>IF($A963="","",YEAR($A963))</f>
        <v/>
      </c>
      <c r="C963" s="21">
        <f>IF($A963="","",MONTH($A963))</f>
        <v/>
      </c>
      <c r="D963" s="22" t="n"/>
      <c r="E963" s="22" t="n"/>
      <c r="F963" s="23" t="n"/>
      <c r="G963" s="24">
        <f>IF($D963="","",IFERROR(INDEX(Einstellungen!$B$4:$B$40,MATCH($D963,Einstellungen!$A$4:$A$40,0)),"?"))</f>
        <v/>
      </c>
      <c r="H963" s="22" t="n"/>
      <c r="I963" s="25">
        <f>IF($F963="","",IF($G963="Einnahme",$F963,-$F963))</f>
        <v/>
      </c>
    </row>
    <row r="964" ht="15" customHeight="1" s="52">
      <c r="A964" s="26" t="n"/>
      <c r="B964" s="17">
        <f>IF($A964="","",YEAR($A964))</f>
        <v/>
      </c>
      <c r="C964" s="17">
        <f>IF($A964="","",MONTH($A964))</f>
        <v/>
      </c>
      <c r="D964" s="27" t="n"/>
      <c r="E964" s="27" t="n"/>
      <c r="F964" s="28" t="n"/>
      <c r="G964" s="14">
        <f>IF($D964="","",IFERROR(INDEX(Einstellungen!$B$4:$B$40,MATCH($D964,Einstellungen!$A$4:$A$40,0)),"?"))</f>
        <v/>
      </c>
      <c r="H964" s="27" t="n"/>
      <c r="I964" s="11">
        <f>IF($F964="","",IF($G964="Einnahme",$F964,-$F964))</f>
        <v/>
      </c>
    </row>
    <row r="965" ht="15" customHeight="1" s="52">
      <c r="A965" s="20" t="n"/>
      <c r="B965" s="21">
        <f>IF($A965="","",YEAR($A965))</f>
        <v/>
      </c>
      <c r="C965" s="21">
        <f>IF($A965="","",MONTH($A965))</f>
        <v/>
      </c>
      <c r="D965" s="22" t="n"/>
      <c r="E965" s="22" t="n"/>
      <c r="F965" s="23" t="n"/>
      <c r="G965" s="24">
        <f>IF($D965="","",IFERROR(INDEX(Einstellungen!$B$4:$B$40,MATCH($D965,Einstellungen!$A$4:$A$40,0)),"?"))</f>
        <v/>
      </c>
      <c r="H965" s="22" t="n"/>
      <c r="I965" s="25">
        <f>IF($F965="","",IF($G965="Einnahme",$F965,-$F965))</f>
        <v/>
      </c>
    </row>
    <row r="966" ht="15" customHeight="1" s="52">
      <c r="A966" s="26" t="n"/>
      <c r="B966" s="17">
        <f>IF($A966="","",YEAR($A966))</f>
        <v/>
      </c>
      <c r="C966" s="17">
        <f>IF($A966="","",MONTH($A966))</f>
        <v/>
      </c>
      <c r="D966" s="27" t="n"/>
      <c r="E966" s="27" t="n"/>
      <c r="F966" s="28" t="n"/>
      <c r="G966" s="14">
        <f>IF($D966="","",IFERROR(INDEX(Einstellungen!$B$4:$B$40,MATCH($D966,Einstellungen!$A$4:$A$40,0)),"?"))</f>
        <v/>
      </c>
      <c r="H966" s="27" t="n"/>
      <c r="I966" s="11">
        <f>IF($F966="","",IF($G966="Einnahme",$F966,-$F966))</f>
        <v/>
      </c>
    </row>
    <row r="967" ht="15" customHeight="1" s="52">
      <c r="A967" s="20" t="n"/>
      <c r="B967" s="21">
        <f>IF($A967="","",YEAR($A967))</f>
        <v/>
      </c>
      <c r="C967" s="21">
        <f>IF($A967="","",MONTH($A967))</f>
        <v/>
      </c>
      <c r="D967" s="22" t="n"/>
      <c r="E967" s="22" t="n"/>
      <c r="F967" s="23" t="n"/>
      <c r="G967" s="24">
        <f>IF($D967="","",IFERROR(INDEX(Einstellungen!$B$4:$B$40,MATCH($D967,Einstellungen!$A$4:$A$40,0)),"?"))</f>
        <v/>
      </c>
      <c r="H967" s="22" t="n"/>
      <c r="I967" s="25">
        <f>IF($F967="","",IF($G967="Einnahme",$F967,-$F967))</f>
        <v/>
      </c>
    </row>
    <row r="968" ht="15" customHeight="1" s="52">
      <c r="A968" s="26" t="n"/>
      <c r="B968" s="17">
        <f>IF($A968="","",YEAR($A968))</f>
        <v/>
      </c>
      <c r="C968" s="17">
        <f>IF($A968="","",MONTH($A968))</f>
        <v/>
      </c>
      <c r="D968" s="27" t="n"/>
      <c r="E968" s="27" t="n"/>
      <c r="F968" s="28" t="n"/>
      <c r="G968" s="14">
        <f>IF($D968="","",IFERROR(INDEX(Einstellungen!$B$4:$B$40,MATCH($D968,Einstellungen!$A$4:$A$40,0)),"?"))</f>
        <v/>
      </c>
      <c r="H968" s="27" t="n"/>
      <c r="I968" s="11">
        <f>IF($F968="","",IF($G968="Einnahme",$F968,-$F968))</f>
        <v/>
      </c>
    </row>
    <row r="969" ht="15" customHeight="1" s="52">
      <c r="A969" s="20" t="n"/>
      <c r="B969" s="21">
        <f>IF($A969="","",YEAR($A969))</f>
        <v/>
      </c>
      <c r="C969" s="21">
        <f>IF($A969="","",MONTH($A969))</f>
        <v/>
      </c>
      <c r="D969" s="22" t="n"/>
      <c r="E969" s="22" t="n"/>
      <c r="F969" s="23" t="n"/>
      <c r="G969" s="24">
        <f>IF($D969="","",IFERROR(INDEX(Einstellungen!$B$4:$B$40,MATCH($D969,Einstellungen!$A$4:$A$40,0)),"?"))</f>
        <v/>
      </c>
      <c r="H969" s="22" t="n"/>
      <c r="I969" s="25">
        <f>IF($F969="","",IF($G969="Einnahme",$F969,-$F969))</f>
        <v/>
      </c>
    </row>
    <row r="970" ht="15" customHeight="1" s="52">
      <c r="A970" s="26" t="n"/>
      <c r="B970" s="17">
        <f>IF($A970="","",YEAR($A970))</f>
        <v/>
      </c>
      <c r="C970" s="17">
        <f>IF($A970="","",MONTH($A970))</f>
        <v/>
      </c>
      <c r="D970" s="27" t="n"/>
      <c r="E970" s="27" t="n"/>
      <c r="F970" s="28" t="n"/>
      <c r="G970" s="14">
        <f>IF($D970="","",IFERROR(INDEX(Einstellungen!$B$4:$B$40,MATCH($D970,Einstellungen!$A$4:$A$40,0)),"?"))</f>
        <v/>
      </c>
      <c r="H970" s="27" t="n"/>
      <c r="I970" s="11">
        <f>IF($F970="","",IF($G970="Einnahme",$F970,-$F970))</f>
        <v/>
      </c>
    </row>
    <row r="971" ht="15" customHeight="1" s="52">
      <c r="A971" s="20" t="n"/>
      <c r="B971" s="21">
        <f>IF($A971="","",YEAR($A971))</f>
        <v/>
      </c>
      <c r="C971" s="21">
        <f>IF($A971="","",MONTH($A971))</f>
        <v/>
      </c>
      <c r="D971" s="22" t="n"/>
      <c r="E971" s="22" t="n"/>
      <c r="F971" s="23" t="n"/>
      <c r="G971" s="24">
        <f>IF($D971="","",IFERROR(INDEX(Einstellungen!$B$4:$B$40,MATCH($D971,Einstellungen!$A$4:$A$40,0)),"?"))</f>
        <v/>
      </c>
      <c r="H971" s="22" t="n"/>
      <c r="I971" s="25">
        <f>IF($F971="","",IF($G971="Einnahme",$F971,-$F971))</f>
        <v/>
      </c>
    </row>
    <row r="972" ht="15" customHeight="1" s="52">
      <c r="A972" s="26" t="n"/>
      <c r="B972" s="17">
        <f>IF($A972="","",YEAR($A972))</f>
        <v/>
      </c>
      <c r="C972" s="17">
        <f>IF($A972="","",MONTH($A972))</f>
        <v/>
      </c>
      <c r="D972" s="27" t="n"/>
      <c r="E972" s="27" t="n"/>
      <c r="F972" s="28" t="n"/>
      <c r="G972" s="14">
        <f>IF($D972="","",IFERROR(INDEX(Einstellungen!$B$4:$B$40,MATCH($D972,Einstellungen!$A$4:$A$40,0)),"?"))</f>
        <v/>
      </c>
      <c r="H972" s="27" t="n"/>
      <c r="I972" s="11">
        <f>IF($F972="","",IF($G972="Einnahme",$F972,-$F972))</f>
        <v/>
      </c>
    </row>
    <row r="973" ht="15" customHeight="1" s="52">
      <c r="A973" s="20" t="n"/>
      <c r="B973" s="21">
        <f>IF($A973="","",YEAR($A973))</f>
        <v/>
      </c>
      <c r="C973" s="21">
        <f>IF($A973="","",MONTH($A973))</f>
        <v/>
      </c>
      <c r="D973" s="22" t="n"/>
      <c r="E973" s="22" t="n"/>
      <c r="F973" s="23" t="n"/>
      <c r="G973" s="24">
        <f>IF($D973="","",IFERROR(INDEX(Einstellungen!$B$4:$B$40,MATCH($D973,Einstellungen!$A$4:$A$40,0)),"?"))</f>
        <v/>
      </c>
      <c r="H973" s="22" t="n"/>
      <c r="I973" s="25">
        <f>IF($F973="","",IF($G973="Einnahme",$F973,-$F973))</f>
        <v/>
      </c>
    </row>
    <row r="974" ht="15" customHeight="1" s="52">
      <c r="A974" s="26" t="n"/>
      <c r="B974" s="17">
        <f>IF($A974="","",YEAR($A974))</f>
        <v/>
      </c>
      <c r="C974" s="17">
        <f>IF($A974="","",MONTH($A974))</f>
        <v/>
      </c>
      <c r="D974" s="27" t="n"/>
      <c r="E974" s="27" t="n"/>
      <c r="F974" s="28" t="n"/>
      <c r="G974" s="14">
        <f>IF($D974="","",IFERROR(INDEX(Einstellungen!$B$4:$B$40,MATCH($D974,Einstellungen!$A$4:$A$40,0)),"?"))</f>
        <v/>
      </c>
      <c r="H974" s="27" t="n"/>
      <c r="I974" s="11">
        <f>IF($F974="","",IF($G974="Einnahme",$F974,-$F974))</f>
        <v/>
      </c>
    </row>
    <row r="975" ht="15" customHeight="1" s="52">
      <c r="A975" s="20" t="n"/>
      <c r="B975" s="21">
        <f>IF($A975="","",YEAR($A975))</f>
        <v/>
      </c>
      <c r="C975" s="21">
        <f>IF($A975="","",MONTH($A975))</f>
        <v/>
      </c>
      <c r="D975" s="22" t="n"/>
      <c r="E975" s="22" t="n"/>
      <c r="F975" s="23" t="n"/>
      <c r="G975" s="24">
        <f>IF($D975="","",IFERROR(INDEX(Einstellungen!$B$4:$B$40,MATCH($D975,Einstellungen!$A$4:$A$40,0)),"?"))</f>
        <v/>
      </c>
      <c r="H975" s="22" t="n"/>
      <c r="I975" s="25">
        <f>IF($F975="","",IF($G975="Einnahme",$F975,-$F975))</f>
        <v/>
      </c>
    </row>
    <row r="976" ht="15" customHeight="1" s="52">
      <c r="A976" s="26" t="n"/>
      <c r="B976" s="17">
        <f>IF($A976="","",YEAR($A976))</f>
        <v/>
      </c>
      <c r="C976" s="17">
        <f>IF($A976="","",MONTH($A976))</f>
        <v/>
      </c>
      <c r="D976" s="27" t="n"/>
      <c r="E976" s="27" t="n"/>
      <c r="F976" s="28" t="n"/>
      <c r="G976" s="14">
        <f>IF($D976="","",IFERROR(INDEX(Einstellungen!$B$4:$B$40,MATCH($D976,Einstellungen!$A$4:$A$40,0)),"?"))</f>
        <v/>
      </c>
      <c r="H976" s="27" t="n"/>
      <c r="I976" s="11">
        <f>IF($F976="","",IF($G976="Einnahme",$F976,-$F976))</f>
        <v/>
      </c>
    </row>
    <row r="977" ht="15" customHeight="1" s="52">
      <c r="A977" s="20" t="n"/>
      <c r="B977" s="21">
        <f>IF($A977="","",YEAR($A977))</f>
        <v/>
      </c>
      <c r="C977" s="21">
        <f>IF($A977="","",MONTH($A977))</f>
        <v/>
      </c>
      <c r="D977" s="22" t="n"/>
      <c r="E977" s="22" t="n"/>
      <c r="F977" s="23" t="n"/>
      <c r="G977" s="24">
        <f>IF($D977="","",IFERROR(INDEX(Einstellungen!$B$4:$B$40,MATCH($D977,Einstellungen!$A$4:$A$40,0)),"?"))</f>
        <v/>
      </c>
      <c r="H977" s="22" t="n"/>
      <c r="I977" s="25">
        <f>IF($F977="","",IF($G977="Einnahme",$F977,-$F977))</f>
        <v/>
      </c>
    </row>
    <row r="978" ht="15" customHeight="1" s="52">
      <c r="A978" s="26" t="n"/>
      <c r="B978" s="17">
        <f>IF($A978="","",YEAR($A978))</f>
        <v/>
      </c>
      <c r="C978" s="17">
        <f>IF($A978="","",MONTH($A978))</f>
        <v/>
      </c>
      <c r="D978" s="27" t="n"/>
      <c r="E978" s="27" t="n"/>
      <c r="F978" s="28" t="n"/>
      <c r="G978" s="14">
        <f>IF($D978="","",IFERROR(INDEX(Einstellungen!$B$4:$B$40,MATCH($D978,Einstellungen!$A$4:$A$40,0)),"?"))</f>
        <v/>
      </c>
      <c r="H978" s="27" t="n"/>
      <c r="I978" s="11">
        <f>IF($F978="","",IF($G978="Einnahme",$F978,-$F978))</f>
        <v/>
      </c>
    </row>
    <row r="979" ht="15" customHeight="1" s="52">
      <c r="A979" s="20" t="n"/>
      <c r="B979" s="21">
        <f>IF($A979="","",YEAR($A979))</f>
        <v/>
      </c>
      <c r="C979" s="21">
        <f>IF($A979="","",MONTH($A979))</f>
        <v/>
      </c>
      <c r="D979" s="22" t="n"/>
      <c r="E979" s="22" t="n"/>
      <c r="F979" s="23" t="n"/>
      <c r="G979" s="24">
        <f>IF($D979="","",IFERROR(INDEX(Einstellungen!$B$4:$B$40,MATCH($D979,Einstellungen!$A$4:$A$40,0)),"?"))</f>
        <v/>
      </c>
      <c r="H979" s="22" t="n"/>
      <c r="I979" s="25">
        <f>IF($F979="","",IF($G979="Einnahme",$F979,-$F979))</f>
        <v/>
      </c>
    </row>
    <row r="980" ht="15" customHeight="1" s="52">
      <c r="A980" s="26" t="n"/>
      <c r="B980" s="17">
        <f>IF($A980="","",YEAR($A980))</f>
        <v/>
      </c>
      <c r="C980" s="17">
        <f>IF($A980="","",MONTH($A980))</f>
        <v/>
      </c>
      <c r="D980" s="27" t="n"/>
      <c r="E980" s="27" t="n"/>
      <c r="F980" s="28" t="n"/>
      <c r="G980" s="14">
        <f>IF($D980="","",IFERROR(INDEX(Einstellungen!$B$4:$B$40,MATCH($D980,Einstellungen!$A$4:$A$40,0)),"?"))</f>
        <v/>
      </c>
      <c r="H980" s="27" t="n"/>
      <c r="I980" s="11">
        <f>IF($F980="","",IF($G980="Einnahme",$F980,-$F980))</f>
        <v/>
      </c>
    </row>
    <row r="981" ht="15" customHeight="1" s="52">
      <c r="A981" s="20" t="n"/>
      <c r="B981" s="21">
        <f>IF($A981="","",YEAR($A981))</f>
        <v/>
      </c>
      <c r="C981" s="21">
        <f>IF($A981="","",MONTH($A981))</f>
        <v/>
      </c>
      <c r="D981" s="22" t="n"/>
      <c r="E981" s="22" t="n"/>
      <c r="F981" s="23" t="n"/>
      <c r="G981" s="24">
        <f>IF($D981="","",IFERROR(INDEX(Einstellungen!$B$4:$B$40,MATCH($D981,Einstellungen!$A$4:$A$40,0)),"?"))</f>
        <v/>
      </c>
      <c r="H981" s="22" t="n"/>
      <c r="I981" s="25">
        <f>IF($F981="","",IF($G981="Einnahme",$F981,-$F981))</f>
        <v/>
      </c>
    </row>
    <row r="982" ht="15" customHeight="1" s="52">
      <c r="A982" s="26" t="n"/>
      <c r="B982" s="17">
        <f>IF($A982="","",YEAR($A982))</f>
        <v/>
      </c>
      <c r="C982" s="17">
        <f>IF($A982="","",MONTH($A982))</f>
        <v/>
      </c>
      <c r="D982" s="27" t="n"/>
      <c r="E982" s="27" t="n"/>
      <c r="F982" s="28" t="n"/>
      <c r="G982" s="14">
        <f>IF($D982="","",IFERROR(INDEX(Einstellungen!$B$4:$B$40,MATCH($D982,Einstellungen!$A$4:$A$40,0)),"?"))</f>
        <v/>
      </c>
      <c r="H982" s="27" t="n"/>
      <c r="I982" s="11">
        <f>IF($F982="","",IF($G982="Einnahme",$F982,-$F982))</f>
        <v/>
      </c>
    </row>
    <row r="983" ht="15" customHeight="1" s="52">
      <c r="A983" s="20" t="n"/>
      <c r="B983" s="21">
        <f>IF($A983="","",YEAR($A983))</f>
        <v/>
      </c>
      <c r="C983" s="21">
        <f>IF($A983="","",MONTH($A983))</f>
        <v/>
      </c>
      <c r="D983" s="22" t="n"/>
      <c r="E983" s="22" t="n"/>
      <c r="F983" s="23" t="n"/>
      <c r="G983" s="24">
        <f>IF($D983="","",IFERROR(INDEX(Einstellungen!$B$4:$B$40,MATCH($D983,Einstellungen!$A$4:$A$40,0)),"?"))</f>
        <v/>
      </c>
      <c r="H983" s="22" t="n"/>
      <c r="I983" s="25">
        <f>IF($F983="","",IF($G983="Einnahme",$F983,-$F983))</f>
        <v/>
      </c>
    </row>
    <row r="984" ht="15" customHeight="1" s="52">
      <c r="A984" s="26" t="n"/>
      <c r="B984" s="17">
        <f>IF($A984="","",YEAR($A984))</f>
        <v/>
      </c>
      <c r="C984" s="17">
        <f>IF($A984="","",MONTH($A984))</f>
        <v/>
      </c>
      <c r="D984" s="27" t="n"/>
      <c r="E984" s="27" t="n"/>
      <c r="F984" s="28" t="n"/>
      <c r="G984" s="14">
        <f>IF($D984="","",IFERROR(INDEX(Einstellungen!$B$4:$B$40,MATCH($D984,Einstellungen!$A$4:$A$40,0)),"?"))</f>
        <v/>
      </c>
      <c r="H984" s="27" t="n"/>
      <c r="I984" s="11">
        <f>IF($F984="","",IF($G984="Einnahme",$F984,-$F984))</f>
        <v/>
      </c>
    </row>
    <row r="985" ht="15" customHeight="1" s="52">
      <c r="A985" s="20" t="n"/>
      <c r="B985" s="21">
        <f>IF($A985="","",YEAR($A985))</f>
        <v/>
      </c>
      <c r="C985" s="21">
        <f>IF($A985="","",MONTH($A985))</f>
        <v/>
      </c>
      <c r="D985" s="22" t="n"/>
      <c r="E985" s="22" t="n"/>
      <c r="F985" s="23" t="n"/>
      <c r="G985" s="24">
        <f>IF($D985="","",IFERROR(INDEX(Einstellungen!$B$4:$B$40,MATCH($D985,Einstellungen!$A$4:$A$40,0)),"?"))</f>
        <v/>
      </c>
      <c r="H985" s="22" t="n"/>
      <c r="I985" s="25">
        <f>IF($F985="","",IF($G985="Einnahme",$F985,-$F985))</f>
        <v/>
      </c>
    </row>
    <row r="986" ht="15" customHeight="1" s="52">
      <c r="A986" s="26" t="n"/>
      <c r="B986" s="17">
        <f>IF($A986="","",YEAR($A986))</f>
        <v/>
      </c>
      <c r="C986" s="17">
        <f>IF($A986="","",MONTH($A986))</f>
        <v/>
      </c>
      <c r="D986" s="27" t="n"/>
      <c r="E986" s="27" t="n"/>
      <c r="F986" s="28" t="n"/>
      <c r="G986" s="14">
        <f>IF($D986="","",IFERROR(INDEX(Einstellungen!$B$4:$B$40,MATCH($D986,Einstellungen!$A$4:$A$40,0)),"?"))</f>
        <v/>
      </c>
      <c r="H986" s="27" t="n"/>
      <c r="I986" s="11">
        <f>IF($F986="","",IF($G986="Einnahme",$F986,-$F986))</f>
        <v/>
      </c>
    </row>
    <row r="987" ht="15" customHeight="1" s="52">
      <c r="A987" s="20" t="n"/>
      <c r="B987" s="21">
        <f>IF($A987="","",YEAR($A987))</f>
        <v/>
      </c>
      <c r="C987" s="21">
        <f>IF($A987="","",MONTH($A987))</f>
        <v/>
      </c>
      <c r="D987" s="22" t="n"/>
      <c r="E987" s="22" t="n"/>
      <c r="F987" s="23" t="n"/>
      <c r="G987" s="24">
        <f>IF($D987="","",IFERROR(INDEX(Einstellungen!$B$4:$B$40,MATCH($D987,Einstellungen!$A$4:$A$40,0)),"?"))</f>
        <v/>
      </c>
      <c r="H987" s="22" t="n"/>
      <c r="I987" s="25">
        <f>IF($F987="","",IF($G987="Einnahme",$F987,-$F987))</f>
        <v/>
      </c>
    </row>
    <row r="988" ht="15" customHeight="1" s="52">
      <c r="A988" s="26" t="n"/>
      <c r="B988" s="17">
        <f>IF($A988="","",YEAR($A988))</f>
        <v/>
      </c>
      <c r="C988" s="17">
        <f>IF($A988="","",MONTH($A988))</f>
        <v/>
      </c>
      <c r="D988" s="27" t="n"/>
      <c r="E988" s="27" t="n"/>
      <c r="F988" s="28" t="n"/>
      <c r="G988" s="14">
        <f>IF($D988="","",IFERROR(INDEX(Einstellungen!$B$4:$B$40,MATCH($D988,Einstellungen!$A$4:$A$40,0)),"?"))</f>
        <v/>
      </c>
      <c r="H988" s="27" t="n"/>
      <c r="I988" s="11">
        <f>IF($F988="","",IF($G988="Einnahme",$F988,-$F988))</f>
        <v/>
      </c>
    </row>
    <row r="989" ht="15" customHeight="1" s="52">
      <c r="A989" s="20" t="n"/>
      <c r="B989" s="21">
        <f>IF($A989="","",YEAR($A989))</f>
        <v/>
      </c>
      <c r="C989" s="21">
        <f>IF($A989="","",MONTH($A989))</f>
        <v/>
      </c>
      <c r="D989" s="22" t="n"/>
      <c r="E989" s="22" t="n"/>
      <c r="F989" s="23" t="n"/>
      <c r="G989" s="24">
        <f>IF($D989="","",IFERROR(INDEX(Einstellungen!$B$4:$B$40,MATCH($D989,Einstellungen!$A$4:$A$40,0)),"?"))</f>
        <v/>
      </c>
      <c r="H989" s="22" t="n"/>
      <c r="I989" s="25">
        <f>IF($F989="","",IF($G989="Einnahme",$F989,-$F989))</f>
        <v/>
      </c>
    </row>
    <row r="990" ht="15" customHeight="1" s="52">
      <c r="A990" s="26" t="n"/>
      <c r="B990" s="17">
        <f>IF($A990="","",YEAR($A990))</f>
        <v/>
      </c>
      <c r="C990" s="17">
        <f>IF($A990="","",MONTH($A990))</f>
        <v/>
      </c>
      <c r="D990" s="27" t="n"/>
      <c r="E990" s="27" t="n"/>
      <c r="F990" s="28" t="n"/>
      <c r="G990" s="14">
        <f>IF($D990="","",IFERROR(INDEX(Einstellungen!$B$4:$B$40,MATCH($D990,Einstellungen!$A$4:$A$40,0)),"?"))</f>
        <v/>
      </c>
      <c r="H990" s="27" t="n"/>
      <c r="I990" s="11">
        <f>IF($F990="","",IF($G990="Einnahme",$F990,-$F990))</f>
        <v/>
      </c>
    </row>
    <row r="991" ht="15" customHeight="1" s="52">
      <c r="A991" s="20" t="n"/>
      <c r="B991" s="21">
        <f>IF($A991="","",YEAR($A991))</f>
        <v/>
      </c>
      <c r="C991" s="21">
        <f>IF($A991="","",MONTH($A991))</f>
        <v/>
      </c>
      <c r="D991" s="22" t="n"/>
      <c r="E991" s="22" t="n"/>
      <c r="F991" s="23" t="n"/>
      <c r="G991" s="24">
        <f>IF($D991="","",IFERROR(INDEX(Einstellungen!$B$4:$B$40,MATCH($D991,Einstellungen!$A$4:$A$40,0)),"?"))</f>
        <v/>
      </c>
      <c r="H991" s="22" t="n"/>
      <c r="I991" s="25">
        <f>IF($F991="","",IF($G991="Einnahme",$F991,-$F991))</f>
        <v/>
      </c>
    </row>
    <row r="992" ht="15" customHeight="1" s="52">
      <c r="A992" s="26" t="n"/>
      <c r="B992" s="17">
        <f>IF($A992="","",YEAR($A992))</f>
        <v/>
      </c>
      <c r="C992" s="17">
        <f>IF($A992="","",MONTH($A992))</f>
        <v/>
      </c>
      <c r="D992" s="27" t="n"/>
      <c r="E992" s="27" t="n"/>
      <c r="F992" s="28" t="n"/>
      <c r="G992" s="14">
        <f>IF($D992="","",IFERROR(INDEX(Einstellungen!$B$4:$B$40,MATCH($D992,Einstellungen!$A$4:$A$40,0)),"?"))</f>
        <v/>
      </c>
      <c r="H992" s="27" t="n"/>
      <c r="I992" s="11">
        <f>IF($F992="","",IF($G992="Einnahme",$F992,-$F992))</f>
        <v/>
      </c>
    </row>
    <row r="993" ht="15" customHeight="1" s="52">
      <c r="A993" s="20" t="n"/>
      <c r="B993" s="21">
        <f>IF($A993="","",YEAR($A993))</f>
        <v/>
      </c>
      <c r="C993" s="21">
        <f>IF($A993="","",MONTH($A993))</f>
        <v/>
      </c>
      <c r="D993" s="22" t="n"/>
      <c r="E993" s="22" t="n"/>
      <c r="F993" s="23" t="n"/>
      <c r="G993" s="24">
        <f>IF($D993="","",IFERROR(INDEX(Einstellungen!$B$4:$B$40,MATCH($D993,Einstellungen!$A$4:$A$40,0)),"?"))</f>
        <v/>
      </c>
      <c r="H993" s="22" t="n"/>
      <c r="I993" s="25">
        <f>IF($F993="","",IF($G993="Einnahme",$F993,-$F993))</f>
        <v/>
      </c>
    </row>
    <row r="994" ht="15" customHeight="1" s="52">
      <c r="A994" s="26" t="n"/>
      <c r="B994" s="17">
        <f>IF($A994="","",YEAR($A994))</f>
        <v/>
      </c>
      <c r="C994" s="17">
        <f>IF($A994="","",MONTH($A994))</f>
        <v/>
      </c>
      <c r="D994" s="27" t="n"/>
      <c r="E994" s="27" t="n"/>
      <c r="F994" s="28" t="n"/>
      <c r="G994" s="14">
        <f>IF($D994="","",IFERROR(INDEX(Einstellungen!$B$4:$B$40,MATCH($D994,Einstellungen!$A$4:$A$40,0)),"?"))</f>
        <v/>
      </c>
      <c r="H994" s="27" t="n"/>
      <c r="I994" s="11">
        <f>IF($F994="","",IF($G994="Einnahme",$F994,-$F994))</f>
        <v/>
      </c>
    </row>
    <row r="995" ht="15" customHeight="1" s="52">
      <c r="A995" s="20" t="n"/>
      <c r="B995" s="21">
        <f>IF($A995="","",YEAR($A995))</f>
        <v/>
      </c>
      <c r="C995" s="21">
        <f>IF($A995="","",MONTH($A995))</f>
        <v/>
      </c>
      <c r="D995" s="22" t="n"/>
      <c r="E995" s="22" t="n"/>
      <c r="F995" s="23" t="n"/>
      <c r="G995" s="24">
        <f>IF($D995="","",IFERROR(INDEX(Einstellungen!$B$4:$B$40,MATCH($D995,Einstellungen!$A$4:$A$40,0)),"?"))</f>
        <v/>
      </c>
      <c r="H995" s="22" t="n"/>
      <c r="I995" s="25">
        <f>IF($F995="","",IF($G995="Einnahme",$F995,-$F995))</f>
        <v/>
      </c>
    </row>
    <row r="996" ht="15" customHeight="1" s="52">
      <c r="A996" s="26" t="n"/>
      <c r="B996" s="17">
        <f>IF($A996="","",YEAR($A996))</f>
        <v/>
      </c>
      <c r="C996" s="17">
        <f>IF($A996="","",MONTH($A996))</f>
        <v/>
      </c>
      <c r="D996" s="27" t="n"/>
      <c r="E996" s="27" t="n"/>
      <c r="F996" s="28" t="n"/>
      <c r="G996" s="14">
        <f>IF($D996="","",IFERROR(INDEX(Einstellungen!$B$4:$B$40,MATCH($D996,Einstellungen!$A$4:$A$40,0)),"?"))</f>
        <v/>
      </c>
      <c r="H996" s="27" t="n"/>
      <c r="I996" s="11">
        <f>IF($F996="","",IF($G996="Einnahme",$F996,-$F996))</f>
        <v/>
      </c>
    </row>
    <row r="997" ht="15" customHeight="1" s="52">
      <c r="A997" s="20" t="n"/>
      <c r="B997" s="21">
        <f>IF($A997="","",YEAR($A997))</f>
        <v/>
      </c>
      <c r="C997" s="21">
        <f>IF($A997="","",MONTH($A997))</f>
        <v/>
      </c>
      <c r="D997" s="22" t="n"/>
      <c r="E997" s="22" t="n"/>
      <c r="F997" s="23" t="n"/>
      <c r="G997" s="24">
        <f>IF($D997="","",IFERROR(INDEX(Einstellungen!$B$4:$B$40,MATCH($D997,Einstellungen!$A$4:$A$40,0)),"?"))</f>
        <v/>
      </c>
      <c r="H997" s="22" t="n"/>
      <c r="I997" s="25">
        <f>IF($F997="","",IF($G997="Einnahme",$F997,-$F997))</f>
        <v/>
      </c>
    </row>
    <row r="998" ht="15" customHeight="1" s="52">
      <c r="A998" s="26" t="n"/>
      <c r="B998" s="17">
        <f>IF($A998="","",YEAR($A998))</f>
        <v/>
      </c>
      <c r="C998" s="17">
        <f>IF($A998="","",MONTH($A998))</f>
        <v/>
      </c>
      <c r="D998" s="27" t="n"/>
      <c r="E998" s="27" t="n"/>
      <c r="F998" s="28" t="n"/>
      <c r="G998" s="14">
        <f>IF($D998="","",IFERROR(INDEX(Einstellungen!$B$4:$B$40,MATCH($D998,Einstellungen!$A$4:$A$40,0)),"?"))</f>
        <v/>
      </c>
      <c r="H998" s="27" t="n"/>
      <c r="I998" s="11">
        <f>IF($F998="","",IF($G998="Einnahme",$F998,-$F998))</f>
        <v/>
      </c>
    </row>
    <row r="999" ht="15" customHeight="1" s="52">
      <c r="A999" s="20" t="n"/>
      <c r="B999" s="21">
        <f>IF($A999="","",YEAR($A999))</f>
        <v/>
      </c>
      <c r="C999" s="21">
        <f>IF($A999="","",MONTH($A999))</f>
        <v/>
      </c>
      <c r="D999" s="22" t="n"/>
      <c r="E999" s="22" t="n"/>
      <c r="F999" s="23" t="n"/>
      <c r="G999" s="24">
        <f>IF($D999="","",IFERROR(INDEX(Einstellungen!$B$4:$B$40,MATCH($D999,Einstellungen!$A$4:$A$40,0)),"?"))</f>
        <v/>
      </c>
      <c r="H999" s="22" t="n"/>
      <c r="I999" s="25">
        <f>IF($F999="","",IF($G999="Einnahme",$F999,-$F999))</f>
        <v/>
      </c>
    </row>
    <row r="1000" ht="15" customHeight="1" s="52">
      <c r="A1000" s="26" t="n"/>
      <c r="B1000" s="17">
        <f>IF($A1000="","",YEAR($A1000))</f>
        <v/>
      </c>
      <c r="C1000" s="17">
        <f>IF($A1000="","",MONTH($A1000))</f>
        <v/>
      </c>
      <c r="D1000" s="27" t="n"/>
      <c r="E1000" s="27" t="n"/>
      <c r="F1000" s="28" t="n"/>
      <c r="G1000" s="14">
        <f>IF($D1000="","",IFERROR(INDEX(Einstellungen!$B$4:$B$40,MATCH($D1000,Einstellungen!$A$4:$A$40,0)),"?"))</f>
        <v/>
      </c>
      <c r="H1000" s="27" t="n"/>
      <c r="I1000" s="11">
        <f>IF($F1000="","",IF($G1000="Einnahme",$F1000,-$F1000))</f>
        <v/>
      </c>
    </row>
    <row r="1001" ht="15" customHeight="1" s="52">
      <c r="A1001" s="20" t="n"/>
      <c r="B1001" s="21">
        <f>IF($A1001="","",YEAR($A1001))</f>
        <v/>
      </c>
      <c r="C1001" s="21">
        <f>IF($A1001="","",MONTH($A1001))</f>
        <v/>
      </c>
      <c r="D1001" s="22" t="n"/>
      <c r="E1001" s="22" t="n"/>
      <c r="F1001" s="23" t="n"/>
      <c r="G1001" s="24">
        <f>IF($D1001="","",IFERROR(INDEX(Einstellungen!$B$4:$B$40,MATCH($D1001,Einstellungen!$A$4:$A$40,0)),"?"))</f>
        <v/>
      </c>
      <c r="H1001" s="22" t="n"/>
      <c r="I1001" s="25">
        <f>IF($F1001="","",IF($G1001="Einnahme",$F1001,-$F1001))</f>
        <v/>
      </c>
    </row>
    <row r="1002" ht="15" customHeight="1" s="52">
      <c r="A1002" s="26" t="n"/>
      <c r="B1002" s="17">
        <f>IF($A1002="","",YEAR($A1002))</f>
        <v/>
      </c>
      <c r="C1002" s="17">
        <f>IF($A1002="","",MONTH($A1002))</f>
        <v/>
      </c>
      <c r="D1002" s="27" t="n"/>
      <c r="E1002" s="27" t="n"/>
      <c r="F1002" s="28" t="n"/>
      <c r="G1002" s="14">
        <f>IF($D1002="","",IFERROR(INDEX(Einstellungen!$B$4:$B$40,MATCH($D1002,Einstellungen!$A$4:$A$40,0)),"?"))</f>
        <v/>
      </c>
      <c r="H1002" s="27" t="n"/>
      <c r="I1002" s="11">
        <f>IF($F1002="","",IF($G1002="Einnahme",$F1002,-$F1002))</f>
        <v/>
      </c>
    </row>
    <row r="1003" ht="15" customHeight="1" s="52">
      <c r="A1003" s="20" t="n"/>
      <c r="B1003" s="21">
        <f>IF($A1003="","",YEAR($A1003))</f>
        <v/>
      </c>
      <c r="C1003" s="21">
        <f>IF($A1003="","",MONTH($A1003))</f>
        <v/>
      </c>
      <c r="D1003" s="22" t="n"/>
      <c r="E1003" s="22" t="n"/>
      <c r="F1003" s="23" t="n"/>
      <c r="G1003" s="24">
        <f>IF($D1003="","",IFERROR(INDEX(Einstellungen!$B$4:$B$40,MATCH($D1003,Einstellungen!$A$4:$A$40,0)),"?"))</f>
        <v/>
      </c>
      <c r="H1003" s="22" t="n"/>
      <c r="I1003" s="25">
        <f>IF($F1003="","",IF($G1003="Einnahme",$F1003,-$F1003))</f>
        <v/>
      </c>
    </row>
  </sheetData>
  <autoFilter ref="A3:I1003"/>
  <dataValidations count="2">
    <dataValidation sqref="D4:D1003" showDropDown="0" showInputMessage="0" showErrorMessage="0" allowBlank="1" type="list">
      <formula1>KategorienListe</formula1>
      <formula2>0</formula2>
    </dataValidation>
    <dataValidation sqref="H4:H1003" showDropDown="0" showInputMessage="0" showErrorMessage="0" allowBlank="1" type="list">
      <formula1>KontenListe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10" defaultColWidth="8.7109375" defaultRowHeight="15"/>
  <cols>
    <col width="30" customWidth="1" style="52" min="1" max="1"/>
    <col width="26" customWidth="1" style="52" min="2" max="2"/>
    <col width="14" customWidth="1" style="52" min="3" max="3"/>
    <col width="18" customWidth="1" style="52" min="4" max="4"/>
    <col width="14" customWidth="1" style="52" min="5" max="5"/>
    <col width="15" customWidth="1" style="52" min="6" max="7"/>
    <col width="16" customWidth="1" style="52" min="8" max="8"/>
    <col width="20" customWidth="1" style="52" min="9" max="9"/>
    <col width="28" customWidth="1" style="52" min="10" max="10"/>
  </cols>
  <sheetData>
    <row r="1" ht="21.75" customHeight="1" s="52">
      <c r="A1" s="1" t="inlineStr">
        <is>
          <t>Fixkosten</t>
        </is>
      </c>
    </row>
    <row r="2" ht="15" customHeight="1" s="52">
      <c r="A2" s="2" t="inlineStr">
        <is>
          <t>Wiederkehrende Kosten – automatisch auf Monats- und Jahreswerte umgerechnet</t>
        </is>
      </c>
    </row>
    <row r="3" ht="30" customHeight="1" s="52">
      <c r="A3" s="15" t="inlineStr">
        <is>
          <t>Bezeichnung</t>
        </is>
      </c>
      <c r="B3" s="15" t="inlineStr">
        <is>
          <t>Kategorie</t>
        </is>
      </c>
      <c r="C3" s="15" t="inlineStr">
        <is>
          <t>Betrag (€)</t>
        </is>
      </c>
      <c r="D3" s="15" t="inlineStr">
        <is>
          <t>Rhythmus</t>
        </is>
      </c>
      <c r="E3" s="15" t="inlineStr">
        <is>
          <t>Zahlungen/Jahr</t>
        </is>
      </c>
      <c r="F3" s="15" t="inlineStr">
        <is>
          <t>Monatlich (€)</t>
        </is>
      </c>
      <c r="G3" s="15" t="inlineStr">
        <is>
          <t>Jährlich (€)</t>
        </is>
      </c>
      <c r="H3" s="15" t="inlineStr">
        <is>
          <t>Nächste Fälligkeit</t>
        </is>
      </c>
      <c r="I3" s="15" t="inlineStr">
        <is>
          <t>Konto</t>
        </is>
      </c>
      <c r="J3" s="15" t="inlineStr">
        <is>
          <t>Notiz</t>
        </is>
      </c>
    </row>
    <row r="4" ht="15" customHeight="1" s="52">
      <c r="A4" s="18" t="inlineStr">
        <is>
          <t>BEISPIEL – Miete WG-Zimmer</t>
        </is>
      </c>
      <c r="B4" s="18" t="inlineStr">
        <is>
          <t>Miete &amp; Nebenkosten</t>
        </is>
      </c>
      <c r="C4" s="19" t="n">
        <v>520</v>
      </c>
      <c r="D4" s="18" t="inlineStr">
        <is>
          <t>monatlich</t>
        </is>
      </c>
      <c r="E4" s="17">
        <f>IF($D4="","",IF($D4="monatlich",12,IF($D4="vierteljährlich",4,IF($D4="halbjährlich",2,IF($D4="jährlich",1,"")))))</f>
        <v/>
      </c>
      <c r="F4" s="11">
        <f>IF($E4="","",$C4*$E4/12)</f>
        <v/>
      </c>
      <c r="G4" s="11">
        <f>IF($E4="","",$C4*$E4)</f>
        <v/>
      </c>
      <c r="H4" s="16" t="n">
        <v>46266</v>
      </c>
      <c r="I4" s="18" t="inlineStr">
        <is>
          <t>Girokonto</t>
        </is>
      </c>
      <c r="J4" s="18" t="inlineStr">
        <is>
          <t>Beispielzeile – bitte überschreiben</t>
        </is>
      </c>
    </row>
    <row r="5" ht="15" customHeight="1" s="52">
      <c r="A5" s="27" t="n"/>
      <c r="B5" s="27" t="n"/>
      <c r="C5" s="28" t="n"/>
      <c r="D5" s="27" t="n"/>
      <c r="E5" s="17">
        <f>IF($D5="","",IF($D5="monatlich",12,IF($D5="vierteljährlich",4,IF($D5="halbjährlich",2,IF($D5="jährlich",1,"")))))</f>
        <v/>
      </c>
      <c r="F5" s="11">
        <f>IF($E5="","",$C5*$E5/12)</f>
        <v/>
      </c>
      <c r="G5" s="11">
        <f>IF($E5="","",$C5*$E5)</f>
        <v/>
      </c>
      <c r="H5" s="26" t="n"/>
      <c r="I5" s="27" t="n"/>
      <c r="J5" s="27" t="n"/>
    </row>
    <row r="6" ht="15" customHeight="1" s="52">
      <c r="A6" s="27" t="n"/>
      <c r="B6" s="27" t="n"/>
      <c r="C6" s="28" t="n"/>
      <c r="D6" s="27" t="n"/>
      <c r="E6" s="17">
        <f>IF($D6="","",IF($D6="monatlich",12,IF($D6="vierteljährlich",4,IF($D6="halbjährlich",2,IF($D6="jährlich",1,"")))))</f>
        <v/>
      </c>
      <c r="F6" s="11">
        <f>IF($E6="","",$C6*$E6/12)</f>
        <v/>
      </c>
      <c r="G6" s="11">
        <f>IF($E6="","",$C6*$E6)</f>
        <v/>
      </c>
      <c r="H6" s="26" t="n"/>
      <c r="I6" s="27" t="n"/>
      <c r="J6" s="27" t="n"/>
    </row>
    <row r="7" ht="15" customHeight="1" s="52">
      <c r="A7" s="27" t="n"/>
      <c r="B7" s="27" t="n"/>
      <c r="C7" s="28" t="n"/>
      <c r="D7" s="27" t="n"/>
      <c r="E7" s="17">
        <f>IF($D7="","",IF($D7="monatlich",12,IF($D7="vierteljährlich",4,IF($D7="halbjährlich",2,IF($D7="jährlich",1,"")))))</f>
        <v/>
      </c>
      <c r="F7" s="11">
        <f>IF($E7="","",$C7*$E7/12)</f>
        <v/>
      </c>
      <c r="G7" s="11">
        <f>IF($E7="","",$C7*$E7)</f>
        <v/>
      </c>
      <c r="H7" s="26" t="n"/>
      <c r="I7" s="27" t="n"/>
      <c r="J7" s="27" t="n"/>
    </row>
    <row r="8" ht="15" customHeight="1" s="52">
      <c r="A8" s="27" t="n"/>
      <c r="B8" s="27" t="n"/>
      <c r="C8" s="28" t="n"/>
      <c r="D8" s="27" t="n"/>
      <c r="E8" s="17">
        <f>IF($D8="","",IF($D8="monatlich",12,IF($D8="vierteljährlich",4,IF($D8="halbjährlich",2,IF($D8="jährlich",1,"")))))</f>
        <v/>
      </c>
      <c r="F8" s="11">
        <f>IF($E8="","",$C8*$E8/12)</f>
        <v/>
      </c>
      <c r="G8" s="11">
        <f>IF($E8="","",$C8*$E8)</f>
        <v/>
      </c>
      <c r="H8" s="26" t="n"/>
      <c r="I8" s="27" t="n"/>
      <c r="J8" s="27" t="n"/>
    </row>
    <row r="9" ht="15" customHeight="1" s="52">
      <c r="A9" s="27" t="n"/>
      <c r="B9" s="27" t="n"/>
      <c r="C9" s="28" t="n"/>
      <c r="D9" s="27" t="n"/>
      <c r="E9" s="17">
        <f>IF($D9="","",IF($D9="monatlich",12,IF($D9="vierteljährlich",4,IF($D9="halbjährlich",2,IF($D9="jährlich",1,"")))))</f>
        <v/>
      </c>
      <c r="F9" s="11">
        <f>IF($E9="","",$C9*$E9/12)</f>
        <v/>
      </c>
      <c r="G9" s="11">
        <f>IF($E9="","",$C9*$E9)</f>
        <v/>
      </c>
      <c r="H9" s="26" t="n"/>
      <c r="I9" s="27" t="n"/>
      <c r="J9" s="27" t="n"/>
    </row>
    <row r="10" ht="15" customHeight="1" s="52">
      <c r="A10" s="27" t="n"/>
      <c r="B10" s="27" t="n"/>
      <c r="C10" s="28" t="n"/>
      <c r="D10" s="27" t="n"/>
      <c r="E10" s="17">
        <f>IF($D10="","",IF($D10="monatlich",12,IF($D10="vierteljährlich",4,IF($D10="halbjährlich",2,IF($D10="jährlich",1,"")))))</f>
        <v/>
      </c>
      <c r="F10" s="11">
        <f>IF($E10="","",$C10*$E10/12)</f>
        <v/>
      </c>
      <c r="G10" s="11">
        <f>IF($E10="","",$C10*$E10)</f>
        <v/>
      </c>
      <c r="H10" s="26" t="n"/>
      <c r="I10" s="27" t="n"/>
      <c r="J10" s="27" t="n"/>
    </row>
    <row r="11" ht="15" customHeight="1" s="52">
      <c r="A11" s="27" t="n"/>
      <c r="B11" s="27" t="n"/>
      <c r="C11" s="28" t="n"/>
      <c r="D11" s="27" t="n"/>
      <c r="E11" s="17">
        <f>IF($D11="","",IF($D11="monatlich",12,IF($D11="vierteljährlich",4,IF($D11="halbjährlich",2,IF($D11="jährlich",1,"")))))</f>
        <v/>
      </c>
      <c r="F11" s="11">
        <f>IF($E11="","",$C11*$E11/12)</f>
        <v/>
      </c>
      <c r="G11" s="11">
        <f>IF($E11="","",$C11*$E11)</f>
        <v/>
      </c>
      <c r="H11" s="26" t="n"/>
      <c r="I11" s="27" t="n"/>
      <c r="J11" s="27" t="n"/>
    </row>
    <row r="12" ht="15" customHeight="1" s="52">
      <c r="A12" s="27" t="n"/>
      <c r="B12" s="27" t="n"/>
      <c r="C12" s="28" t="n"/>
      <c r="D12" s="27" t="n"/>
      <c r="E12" s="17">
        <f>IF($D12="","",IF($D12="monatlich",12,IF($D12="vierteljährlich",4,IF($D12="halbjährlich",2,IF($D12="jährlich",1,"")))))</f>
        <v/>
      </c>
      <c r="F12" s="11">
        <f>IF($E12="","",$C12*$E12/12)</f>
        <v/>
      </c>
      <c r="G12" s="11">
        <f>IF($E12="","",$C12*$E12)</f>
        <v/>
      </c>
      <c r="H12" s="26" t="n"/>
      <c r="I12" s="27" t="n"/>
      <c r="J12" s="27" t="n"/>
    </row>
    <row r="13" ht="15" customHeight="1" s="52">
      <c r="A13" s="27" t="n"/>
      <c r="B13" s="27" t="n"/>
      <c r="C13" s="28" t="n"/>
      <c r="D13" s="27" t="n"/>
      <c r="E13" s="17">
        <f>IF($D13="","",IF($D13="monatlich",12,IF($D13="vierteljährlich",4,IF($D13="halbjährlich",2,IF($D13="jährlich",1,"")))))</f>
        <v/>
      </c>
      <c r="F13" s="11">
        <f>IF($E13="","",$C13*$E13/12)</f>
        <v/>
      </c>
      <c r="G13" s="11">
        <f>IF($E13="","",$C13*$E13)</f>
        <v/>
      </c>
      <c r="H13" s="26" t="n"/>
      <c r="I13" s="27" t="n"/>
      <c r="J13" s="27" t="n"/>
    </row>
    <row r="14" ht="15" customHeight="1" s="52">
      <c r="A14" s="27" t="n"/>
      <c r="B14" s="27" t="n"/>
      <c r="C14" s="28" t="n"/>
      <c r="D14" s="27" t="n"/>
      <c r="E14" s="17">
        <f>IF($D14="","",IF($D14="monatlich",12,IF($D14="vierteljährlich",4,IF($D14="halbjährlich",2,IF($D14="jährlich",1,"")))))</f>
        <v/>
      </c>
      <c r="F14" s="11">
        <f>IF($E14="","",$C14*$E14/12)</f>
        <v/>
      </c>
      <c r="G14" s="11">
        <f>IF($E14="","",$C14*$E14)</f>
        <v/>
      </c>
      <c r="H14" s="26" t="n"/>
      <c r="I14" s="27" t="n"/>
      <c r="J14" s="27" t="n"/>
    </row>
    <row r="15" ht="15" customHeight="1" s="52">
      <c r="A15" s="27" t="n"/>
      <c r="B15" s="27" t="n"/>
      <c r="C15" s="28" t="n"/>
      <c r="D15" s="27" t="n"/>
      <c r="E15" s="17">
        <f>IF($D15="","",IF($D15="monatlich",12,IF($D15="vierteljährlich",4,IF($D15="halbjährlich",2,IF($D15="jährlich",1,"")))))</f>
        <v/>
      </c>
      <c r="F15" s="11">
        <f>IF($E15="","",$C15*$E15/12)</f>
        <v/>
      </c>
      <c r="G15" s="11">
        <f>IF($E15="","",$C15*$E15)</f>
        <v/>
      </c>
      <c r="H15" s="26" t="n"/>
      <c r="I15" s="27" t="n"/>
      <c r="J15" s="27" t="n"/>
    </row>
    <row r="16" ht="15" customHeight="1" s="52">
      <c r="A16" s="27" t="n"/>
      <c r="B16" s="27" t="n"/>
      <c r="C16" s="28" t="n"/>
      <c r="D16" s="27" t="n"/>
      <c r="E16" s="17">
        <f>IF($D16="","",IF($D16="monatlich",12,IF($D16="vierteljährlich",4,IF($D16="halbjährlich",2,IF($D16="jährlich",1,"")))))</f>
        <v/>
      </c>
      <c r="F16" s="11">
        <f>IF($E16="","",$C16*$E16/12)</f>
        <v/>
      </c>
      <c r="G16" s="11">
        <f>IF($E16="","",$C16*$E16)</f>
        <v/>
      </c>
      <c r="H16" s="26" t="n"/>
      <c r="I16" s="27" t="n"/>
      <c r="J16" s="27" t="n"/>
    </row>
    <row r="17" ht="15" customHeight="1" s="52">
      <c r="A17" s="27" t="n"/>
      <c r="B17" s="27" t="n"/>
      <c r="C17" s="28" t="n"/>
      <c r="D17" s="27" t="n"/>
      <c r="E17" s="17">
        <f>IF($D17="","",IF($D17="monatlich",12,IF($D17="vierteljährlich",4,IF($D17="halbjährlich",2,IF($D17="jährlich",1,"")))))</f>
        <v/>
      </c>
      <c r="F17" s="11">
        <f>IF($E17="","",$C17*$E17/12)</f>
        <v/>
      </c>
      <c r="G17" s="11">
        <f>IF($E17="","",$C17*$E17)</f>
        <v/>
      </c>
      <c r="H17" s="26" t="n"/>
      <c r="I17" s="27" t="n"/>
      <c r="J17" s="27" t="n"/>
    </row>
    <row r="18" ht="15" customHeight="1" s="52">
      <c r="A18" s="27" t="n"/>
      <c r="B18" s="27" t="n"/>
      <c r="C18" s="28" t="n"/>
      <c r="D18" s="27" t="n"/>
      <c r="E18" s="17">
        <f>IF($D18="","",IF($D18="monatlich",12,IF($D18="vierteljährlich",4,IF($D18="halbjährlich",2,IF($D18="jährlich",1,"")))))</f>
        <v/>
      </c>
      <c r="F18" s="11">
        <f>IF($E18="","",$C18*$E18/12)</f>
        <v/>
      </c>
      <c r="G18" s="11">
        <f>IF($E18="","",$C18*$E18)</f>
        <v/>
      </c>
      <c r="H18" s="26" t="n"/>
      <c r="I18" s="27" t="n"/>
      <c r="J18" s="27" t="n"/>
    </row>
    <row r="19" ht="15" customHeight="1" s="52">
      <c r="A19" s="27" t="n"/>
      <c r="B19" s="27" t="n"/>
      <c r="C19" s="28" t="n"/>
      <c r="D19" s="27" t="n"/>
      <c r="E19" s="17">
        <f>IF($D19="","",IF($D19="monatlich",12,IF($D19="vierteljährlich",4,IF($D19="halbjährlich",2,IF($D19="jährlich",1,"")))))</f>
        <v/>
      </c>
      <c r="F19" s="11">
        <f>IF($E19="","",$C19*$E19/12)</f>
        <v/>
      </c>
      <c r="G19" s="11">
        <f>IF($E19="","",$C19*$E19)</f>
        <v/>
      </c>
      <c r="H19" s="26" t="n"/>
      <c r="I19" s="27" t="n"/>
      <c r="J19" s="27" t="n"/>
    </row>
    <row r="20" ht="15" customHeight="1" s="52">
      <c r="A20" s="27" t="n"/>
      <c r="B20" s="27" t="n"/>
      <c r="C20" s="28" t="n"/>
      <c r="D20" s="27" t="n"/>
      <c r="E20" s="17">
        <f>IF($D20="","",IF($D20="monatlich",12,IF($D20="vierteljährlich",4,IF($D20="halbjährlich",2,IF($D20="jährlich",1,"")))))</f>
        <v/>
      </c>
      <c r="F20" s="11">
        <f>IF($E20="","",$C20*$E20/12)</f>
        <v/>
      </c>
      <c r="G20" s="11">
        <f>IF($E20="","",$C20*$E20)</f>
        <v/>
      </c>
      <c r="H20" s="26" t="n"/>
      <c r="I20" s="27" t="n"/>
      <c r="J20" s="27" t="n"/>
    </row>
    <row r="21" ht="15" customHeight="1" s="52">
      <c r="A21" s="27" t="n"/>
      <c r="B21" s="27" t="n"/>
      <c r="C21" s="28" t="n"/>
      <c r="D21" s="27" t="n"/>
      <c r="E21" s="17">
        <f>IF($D21="","",IF($D21="monatlich",12,IF($D21="vierteljährlich",4,IF($D21="halbjährlich",2,IF($D21="jährlich",1,"")))))</f>
        <v/>
      </c>
      <c r="F21" s="11">
        <f>IF($E21="","",$C21*$E21/12)</f>
        <v/>
      </c>
      <c r="G21" s="11">
        <f>IF($E21="","",$C21*$E21)</f>
        <v/>
      </c>
      <c r="H21" s="26" t="n"/>
      <c r="I21" s="27" t="n"/>
      <c r="J21" s="27" t="n"/>
    </row>
    <row r="22" ht="15" customHeight="1" s="52">
      <c r="A22" s="27" t="n"/>
      <c r="B22" s="27" t="n"/>
      <c r="C22" s="28" t="n"/>
      <c r="D22" s="27" t="n"/>
      <c r="E22" s="17">
        <f>IF($D22="","",IF($D22="monatlich",12,IF($D22="vierteljährlich",4,IF($D22="halbjährlich",2,IF($D22="jährlich",1,"")))))</f>
        <v/>
      </c>
      <c r="F22" s="11">
        <f>IF($E22="","",$C22*$E22/12)</f>
        <v/>
      </c>
      <c r="G22" s="11">
        <f>IF($E22="","",$C22*$E22)</f>
        <v/>
      </c>
      <c r="H22" s="26" t="n"/>
      <c r="I22" s="27" t="n"/>
      <c r="J22" s="27" t="n"/>
    </row>
    <row r="23" ht="15" customHeight="1" s="52">
      <c r="A23" s="27" t="n"/>
      <c r="B23" s="27" t="n"/>
      <c r="C23" s="28" t="n"/>
      <c r="D23" s="27" t="n"/>
      <c r="E23" s="17">
        <f>IF($D23="","",IF($D23="monatlich",12,IF($D23="vierteljährlich",4,IF($D23="halbjährlich",2,IF($D23="jährlich",1,"")))))</f>
        <v/>
      </c>
      <c r="F23" s="11">
        <f>IF($E23="","",$C23*$E23/12)</f>
        <v/>
      </c>
      <c r="G23" s="11">
        <f>IF($E23="","",$C23*$E23)</f>
        <v/>
      </c>
      <c r="H23" s="26" t="n"/>
      <c r="I23" s="27" t="n"/>
      <c r="J23" s="27" t="n"/>
    </row>
    <row r="24" ht="15" customHeight="1" s="52">
      <c r="A24" s="27" t="n"/>
      <c r="B24" s="27" t="n"/>
      <c r="C24" s="28" t="n"/>
      <c r="D24" s="27" t="n"/>
      <c r="E24" s="17">
        <f>IF($D24="","",IF($D24="monatlich",12,IF($D24="vierteljährlich",4,IF($D24="halbjährlich",2,IF($D24="jährlich",1,"")))))</f>
        <v/>
      </c>
      <c r="F24" s="11">
        <f>IF($E24="","",$C24*$E24/12)</f>
        <v/>
      </c>
      <c r="G24" s="11">
        <f>IF($E24="","",$C24*$E24)</f>
        <v/>
      </c>
      <c r="H24" s="26" t="n"/>
      <c r="I24" s="27" t="n"/>
      <c r="J24" s="27" t="n"/>
    </row>
    <row r="25" ht="15" customHeight="1" s="52">
      <c r="A25" s="27" t="n"/>
      <c r="B25" s="27" t="n"/>
      <c r="C25" s="28" t="n"/>
      <c r="D25" s="27" t="n"/>
      <c r="E25" s="17">
        <f>IF($D25="","",IF($D25="monatlich",12,IF($D25="vierteljährlich",4,IF($D25="halbjährlich",2,IF($D25="jährlich",1,"")))))</f>
        <v/>
      </c>
      <c r="F25" s="11">
        <f>IF($E25="","",$C25*$E25/12)</f>
        <v/>
      </c>
      <c r="G25" s="11">
        <f>IF($E25="","",$C25*$E25)</f>
        <v/>
      </c>
      <c r="H25" s="26" t="n"/>
      <c r="I25" s="27" t="n"/>
      <c r="J25" s="27" t="n"/>
    </row>
    <row r="26" ht="15" customHeight="1" s="52">
      <c r="A26" s="27" t="n"/>
      <c r="B26" s="27" t="n"/>
      <c r="C26" s="28" t="n"/>
      <c r="D26" s="27" t="n"/>
      <c r="E26" s="17">
        <f>IF($D26="","",IF($D26="monatlich",12,IF($D26="vierteljährlich",4,IF($D26="halbjährlich",2,IF($D26="jährlich",1,"")))))</f>
        <v/>
      </c>
      <c r="F26" s="11">
        <f>IF($E26="","",$C26*$E26/12)</f>
        <v/>
      </c>
      <c r="G26" s="11">
        <f>IF($E26="","",$C26*$E26)</f>
        <v/>
      </c>
      <c r="H26" s="26" t="n"/>
      <c r="I26" s="27" t="n"/>
      <c r="J26" s="27" t="n"/>
    </row>
    <row r="27" ht="15" customHeight="1" s="52">
      <c r="A27" s="27" t="n"/>
      <c r="B27" s="27" t="n"/>
      <c r="C27" s="28" t="n"/>
      <c r="D27" s="27" t="n"/>
      <c r="E27" s="17">
        <f>IF($D27="","",IF($D27="monatlich",12,IF($D27="vierteljährlich",4,IF($D27="halbjährlich",2,IF($D27="jährlich",1,"")))))</f>
        <v/>
      </c>
      <c r="F27" s="11">
        <f>IF($E27="","",$C27*$E27/12)</f>
        <v/>
      </c>
      <c r="G27" s="11">
        <f>IF($E27="","",$C27*$E27)</f>
        <v/>
      </c>
      <c r="H27" s="26" t="n"/>
      <c r="I27" s="27" t="n"/>
      <c r="J27" s="27" t="n"/>
    </row>
    <row r="28" ht="15" customHeight="1" s="52">
      <c r="A28" s="27" t="n"/>
      <c r="B28" s="27" t="n"/>
      <c r="C28" s="28" t="n"/>
      <c r="D28" s="27" t="n"/>
      <c r="E28" s="17">
        <f>IF($D28="","",IF($D28="monatlich",12,IF($D28="vierteljährlich",4,IF($D28="halbjährlich",2,IF($D28="jährlich",1,"")))))</f>
        <v/>
      </c>
      <c r="F28" s="11">
        <f>IF($E28="","",$C28*$E28/12)</f>
        <v/>
      </c>
      <c r="G28" s="11">
        <f>IF($E28="","",$C28*$E28)</f>
        <v/>
      </c>
      <c r="H28" s="26" t="n"/>
      <c r="I28" s="27" t="n"/>
      <c r="J28" s="27" t="n"/>
    </row>
    <row r="29" ht="15" customHeight="1" s="52">
      <c r="A29" s="27" t="n"/>
      <c r="B29" s="27" t="n"/>
      <c r="C29" s="28" t="n"/>
      <c r="D29" s="27" t="n"/>
      <c r="E29" s="17">
        <f>IF($D29="","",IF($D29="monatlich",12,IF($D29="vierteljährlich",4,IF($D29="halbjährlich",2,IF($D29="jährlich",1,"")))))</f>
        <v/>
      </c>
      <c r="F29" s="11">
        <f>IF($E29="","",$C29*$E29/12)</f>
        <v/>
      </c>
      <c r="G29" s="11">
        <f>IF($E29="","",$C29*$E29)</f>
        <v/>
      </c>
      <c r="H29" s="26" t="n"/>
      <c r="I29" s="27" t="n"/>
      <c r="J29" s="27" t="n"/>
    </row>
    <row r="30" ht="15" customHeight="1" s="52">
      <c r="A30" s="27" t="n"/>
      <c r="B30" s="27" t="n"/>
      <c r="C30" s="28" t="n"/>
      <c r="D30" s="27" t="n"/>
      <c r="E30" s="17">
        <f>IF($D30="","",IF($D30="monatlich",12,IF($D30="vierteljährlich",4,IF($D30="halbjährlich",2,IF($D30="jährlich",1,"")))))</f>
        <v/>
      </c>
      <c r="F30" s="11">
        <f>IF($E30="","",$C30*$E30/12)</f>
        <v/>
      </c>
      <c r="G30" s="11">
        <f>IF($E30="","",$C30*$E30)</f>
        <v/>
      </c>
      <c r="H30" s="26" t="n"/>
      <c r="I30" s="27" t="n"/>
      <c r="J30" s="27" t="n"/>
    </row>
    <row r="31" ht="15" customHeight="1" s="52">
      <c r="A31" s="27" t="n"/>
      <c r="B31" s="27" t="n"/>
      <c r="C31" s="28" t="n"/>
      <c r="D31" s="27" t="n"/>
      <c r="E31" s="17">
        <f>IF($D31="","",IF($D31="monatlich",12,IF($D31="vierteljährlich",4,IF($D31="halbjährlich",2,IF($D31="jährlich",1,"")))))</f>
        <v/>
      </c>
      <c r="F31" s="11">
        <f>IF($E31="","",$C31*$E31/12)</f>
        <v/>
      </c>
      <c r="G31" s="11">
        <f>IF($E31="","",$C31*$E31)</f>
        <v/>
      </c>
      <c r="H31" s="26" t="n"/>
      <c r="I31" s="27" t="n"/>
      <c r="J31" s="27" t="n"/>
    </row>
    <row r="32" ht="15" customHeight="1" s="52">
      <c r="A32" s="27" t="n"/>
      <c r="B32" s="27" t="n"/>
      <c r="C32" s="28" t="n"/>
      <c r="D32" s="27" t="n"/>
      <c r="E32" s="17">
        <f>IF($D32="","",IF($D32="monatlich",12,IF($D32="vierteljährlich",4,IF($D32="halbjährlich",2,IF($D32="jährlich",1,"")))))</f>
        <v/>
      </c>
      <c r="F32" s="11">
        <f>IF($E32="","",$C32*$E32/12)</f>
        <v/>
      </c>
      <c r="G32" s="11">
        <f>IF($E32="","",$C32*$E32)</f>
        <v/>
      </c>
      <c r="H32" s="26" t="n"/>
      <c r="I32" s="27" t="n"/>
      <c r="J32" s="27" t="n"/>
    </row>
    <row r="33" ht="15" customHeight="1" s="52">
      <c r="A33" s="27" t="n"/>
      <c r="B33" s="27" t="n"/>
      <c r="C33" s="28" t="n"/>
      <c r="D33" s="27" t="n"/>
      <c r="E33" s="17">
        <f>IF($D33="","",IF($D33="monatlich",12,IF($D33="vierteljährlich",4,IF($D33="halbjährlich",2,IF($D33="jährlich",1,"")))))</f>
        <v/>
      </c>
      <c r="F33" s="11">
        <f>IF($E33="","",$C33*$E33/12)</f>
        <v/>
      </c>
      <c r="G33" s="11">
        <f>IF($E33="","",$C33*$E33)</f>
        <v/>
      </c>
      <c r="H33" s="26" t="n"/>
      <c r="I33" s="27" t="n"/>
      <c r="J33" s="27" t="n"/>
    </row>
    <row r="35" ht="15" customHeight="1" s="52">
      <c r="A35" s="29" t="inlineStr">
        <is>
          <t>Summe</t>
        </is>
      </c>
      <c r="B35" s="30" t="n"/>
      <c r="C35" s="30" t="n"/>
      <c r="D35" s="30" t="n"/>
      <c r="E35" s="30" t="n"/>
      <c r="F35" s="31">
        <f>SUM(F4:F33)</f>
        <v/>
      </c>
      <c r="G35" s="31">
        <f>SUM(G4:G33)</f>
        <v/>
      </c>
      <c r="H35" s="30" t="n"/>
      <c r="I35" s="30" t="n"/>
      <c r="J35" s="30" t="n"/>
    </row>
    <row r="37" ht="15" customHeight="1" s="52">
      <c r="A37" s="2" t="inlineStr">
        <is>
          <t>Hinweis: Fixkosten sind hier nur GEPLANT. Die tatsächliche Zahlung trägst du zusätzlich in Buchungen ein.</t>
        </is>
      </c>
    </row>
  </sheetData>
  <dataValidations count="3">
    <dataValidation sqref="B4:B33" showDropDown="0" showInputMessage="0" showErrorMessage="0" allowBlank="1" type="list">
      <formula1>KategorienListe</formula1>
      <formula2>0</formula2>
    </dataValidation>
    <dataValidation sqref="D4:D33" showDropDown="0" showInputMessage="0" showErrorMessage="0" allowBlank="1" type="list">
      <formula1>RhythmusListe</formula1>
      <formula2>0</formula2>
    </dataValidation>
    <dataValidation sqref="I4:I33" showDropDown="0" showInputMessage="0" showErrorMessage="0" allowBlank="1" type="list">
      <formula1>KontenListe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1" sqref="A1"/>
    </sheetView>
  </sheetViews>
  <sheetFormatPr baseColWidth="10" defaultColWidth="8.7109375" defaultRowHeight="15"/>
  <cols>
    <col width="14" customWidth="1" style="52" min="1" max="1"/>
    <col width="8" customWidth="1" style="52" min="2" max="3"/>
    <col width="15" customWidth="1" style="52" min="4" max="6"/>
    <col width="12" customWidth="1" style="52" min="7" max="7"/>
    <col width="17" customWidth="1" style="52" min="8" max="10"/>
    <col width="15" customWidth="1" style="52" min="11" max="11"/>
    <col width="16" customWidth="1" style="52" min="12" max="12"/>
    <col width="9" customWidth="1" style="52" min="13" max="13"/>
  </cols>
  <sheetData>
    <row r="1" ht="21.75" customHeight="1" s="52">
      <c r="A1" s="1" t="inlineStr">
        <is>
          <t>Monatsübersicht</t>
        </is>
      </c>
    </row>
    <row r="2" ht="15" customHeight="1" s="52">
      <c r="A2" s="2" t="inlineStr">
        <is>
          <t>Vollautomatisch aus dem Blatt Buchungen – hier nichts eintragen</t>
        </is>
      </c>
    </row>
    <row r="3" ht="30" customHeight="1" s="52">
      <c r="A3" s="15" t="inlineStr">
        <is>
          <t>Monat</t>
        </is>
      </c>
      <c r="B3" s="15" t="inlineStr">
        <is>
          <t>Jahr</t>
        </is>
      </c>
      <c r="C3" s="15" t="inlineStr">
        <is>
          <t>Nr.</t>
        </is>
      </c>
      <c r="D3" s="15" t="inlineStr">
        <is>
          <t>Einnahmen (€)</t>
        </is>
      </c>
      <c r="E3" s="15" t="inlineStr">
        <is>
          <t>Ausgaben (€)</t>
        </is>
      </c>
      <c r="F3" s="15" t="inlineStr">
        <is>
          <t>Saldo (€)</t>
        </is>
      </c>
      <c r="G3" s="15" t="inlineStr">
        <is>
          <t>Sparquote</t>
        </is>
      </c>
      <c r="H3" s="15" t="inlineStr">
        <is>
          <t>Kumuliert (€)</t>
        </is>
      </c>
      <c r="I3" s="15" t="inlineStr">
        <is>
          <t>Ø Ausgaben 3M (€)</t>
        </is>
      </c>
      <c r="J3" s="15" t="inlineStr">
        <is>
          <t>Ø Saldo 3M (€)</t>
        </is>
      </c>
      <c r="K3" s="15" t="inlineStr">
        <is>
          <t>Budget Soll (€)</t>
        </is>
      </c>
      <c r="L3" s="15" t="inlineStr">
        <is>
          <t>Abweichung (€)</t>
        </is>
      </c>
      <c r="M3" s="15" t="inlineStr">
        <is>
          <t>Lfd. Nr.</t>
        </is>
      </c>
    </row>
    <row r="4" ht="15" customHeight="1" s="52">
      <c r="A4" s="32" t="n">
        <v>46023</v>
      </c>
      <c r="B4" s="17">
        <f>YEAR($A4)</f>
        <v/>
      </c>
      <c r="C4" s="17">
        <f>MONTH($A4)</f>
        <v/>
      </c>
      <c r="D4" s="11">
        <f>SUMIFS(Buchungen!$F$4:$F$1003,Buchungen!$B$4:$B$1003,$B4,Buchungen!$C$4:$C$1003,$C4,Buchungen!$G$4:$G$1003,"Einnahme")</f>
        <v/>
      </c>
      <c r="E4" s="11">
        <f>SUMIFS(Buchungen!$F$4:$F$1003,Buchungen!$B$4:$B$1003,$B4,Buchungen!$C$4:$C$1003,$C4,Buchungen!$G$4:$G$1003,"Ausgabe")</f>
        <v/>
      </c>
      <c r="F4" s="11">
        <f>$D4-$E4</f>
        <v/>
      </c>
      <c r="G4" s="12">
        <f>IF($D4&lt;=0,0,$F4/$D4)</f>
        <v/>
      </c>
      <c r="H4" s="11">
        <f>$F4</f>
        <v/>
      </c>
      <c r="I4" s="11" t="n"/>
      <c r="J4" s="11" t="n"/>
      <c r="K4" s="13">
        <f>Einstellungen!$C$42</f>
        <v/>
      </c>
      <c r="L4" s="11">
        <f>$K4-$E4</f>
        <v/>
      </c>
      <c r="M4" s="33" t="n">
        <v>1</v>
      </c>
    </row>
    <row r="5" ht="15" customHeight="1" s="52">
      <c r="A5" s="32" t="n">
        <v>46054</v>
      </c>
      <c r="B5" s="17">
        <f>YEAR($A5)</f>
        <v/>
      </c>
      <c r="C5" s="17">
        <f>MONTH($A5)</f>
        <v/>
      </c>
      <c r="D5" s="11">
        <f>SUMIFS(Buchungen!$F$4:$F$1003,Buchungen!$B$4:$B$1003,$B5,Buchungen!$C$4:$C$1003,$C5,Buchungen!$G$4:$G$1003,"Einnahme")</f>
        <v/>
      </c>
      <c r="E5" s="11">
        <f>SUMIFS(Buchungen!$F$4:$F$1003,Buchungen!$B$4:$B$1003,$B5,Buchungen!$C$4:$C$1003,$C5,Buchungen!$G$4:$G$1003,"Ausgabe")</f>
        <v/>
      </c>
      <c r="F5" s="11">
        <f>$D5-$E5</f>
        <v/>
      </c>
      <c r="G5" s="12">
        <f>IF($D5&lt;=0,0,$F5/$D5)</f>
        <v/>
      </c>
      <c r="H5" s="11">
        <f>$H4+$F5</f>
        <v/>
      </c>
      <c r="I5" s="11" t="n"/>
      <c r="J5" s="11" t="n"/>
      <c r="K5" s="13">
        <f>Einstellungen!$C$42</f>
        <v/>
      </c>
      <c r="L5" s="11">
        <f>$K5-$E5</f>
        <v/>
      </c>
      <c r="M5" s="33" t="n">
        <v>2</v>
      </c>
    </row>
    <row r="6" ht="15" customHeight="1" s="52">
      <c r="A6" s="32" t="n">
        <v>46082</v>
      </c>
      <c r="B6" s="17">
        <f>YEAR($A6)</f>
        <v/>
      </c>
      <c r="C6" s="17">
        <f>MONTH($A6)</f>
        <v/>
      </c>
      <c r="D6" s="11">
        <f>SUMIFS(Buchungen!$F$4:$F$1003,Buchungen!$B$4:$B$1003,$B6,Buchungen!$C$4:$C$1003,$C6,Buchungen!$G$4:$G$1003,"Einnahme")</f>
        <v/>
      </c>
      <c r="E6" s="11">
        <f>SUMIFS(Buchungen!$F$4:$F$1003,Buchungen!$B$4:$B$1003,$B6,Buchungen!$C$4:$C$1003,$C6,Buchungen!$G$4:$G$1003,"Ausgabe")</f>
        <v/>
      </c>
      <c r="F6" s="11">
        <f>$D6-$E6</f>
        <v/>
      </c>
      <c r="G6" s="12">
        <f>IF($D6&lt;=0,0,$F6/$D6)</f>
        <v/>
      </c>
      <c r="H6" s="11">
        <f>$H5+$F6</f>
        <v/>
      </c>
      <c r="I6" s="11">
        <f>AVERAGE($E4:$E6)</f>
        <v/>
      </c>
      <c r="J6" s="11">
        <f>AVERAGE($F4:$F6)</f>
        <v/>
      </c>
      <c r="K6" s="13">
        <f>Einstellungen!$C$42</f>
        <v/>
      </c>
      <c r="L6" s="11">
        <f>$K6-$E6</f>
        <v/>
      </c>
      <c r="M6" s="33" t="n">
        <v>3</v>
      </c>
    </row>
    <row r="7" ht="15" customHeight="1" s="52">
      <c r="A7" s="32" t="n">
        <v>46113</v>
      </c>
      <c r="B7" s="17">
        <f>YEAR($A7)</f>
        <v/>
      </c>
      <c r="C7" s="17">
        <f>MONTH($A7)</f>
        <v/>
      </c>
      <c r="D7" s="11">
        <f>SUMIFS(Buchungen!$F$4:$F$1003,Buchungen!$B$4:$B$1003,$B7,Buchungen!$C$4:$C$1003,$C7,Buchungen!$G$4:$G$1003,"Einnahme")</f>
        <v/>
      </c>
      <c r="E7" s="11">
        <f>SUMIFS(Buchungen!$F$4:$F$1003,Buchungen!$B$4:$B$1003,$B7,Buchungen!$C$4:$C$1003,$C7,Buchungen!$G$4:$G$1003,"Ausgabe")</f>
        <v/>
      </c>
      <c r="F7" s="11">
        <f>$D7-$E7</f>
        <v/>
      </c>
      <c r="G7" s="12">
        <f>IF($D7&lt;=0,0,$F7/$D7)</f>
        <v/>
      </c>
      <c r="H7" s="11">
        <f>$H6+$F7</f>
        <v/>
      </c>
      <c r="I7" s="11">
        <f>AVERAGE($E5:$E7)</f>
        <v/>
      </c>
      <c r="J7" s="11">
        <f>AVERAGE($F5:$F7)</f>
        <v/>
      </c>
      <c r="K7" s="13">
        <f>Einstellungen!$C$42</f>
        <v/>
      </c>
      <c r="L7" s="11">
        <f>$K7-$E7</f>
        <v/>
      </c>
      <c r="M7" s="33" t="n">
        <v>4</v>
      </c>
    </row>
    <row r="8" ht="15" customHeight="1" s="52">
      <c r="A8" s="32" t="n">
        <v>46143</v>
      </c>
      <c r="B8" s="17">
        <f>YEAR($A8)</f>
        <v/>
      </c>
      <c r="C8" s="17">
        <f>MONTH($A8)</f>
        <v/>
      </c>
      <c r="D8" s="11">
        <f>SUMIFS(Buchungen!$F$4:$F$1003,Buchungen!$B$4:$B$1003,$B8,Buchungen!$C$4:$C$1003,$C8,Buchungen!$G$4:$G$1003,"Einnahme")</f>
        <v/>
      </c>
      <c r="E8" s="11">
        <f>SUMIFS(Buchungen!$F$4:$F$1003,Buchungen!$B$4:$B$1003,$B8,Buchungen!$C$4:$C$1003,$C8,Buchungen!$G$4:$G$1003,"Ausgabe")</f>
        <v/>
      </c>
      <c r="F8" s="11">
        <f>$D8-$E8</f>
        <v/>
      </c>
      <c r="G8" s="12">
        <f>IF($D8&lt;=0,0,$F8/$D8)</f>
        <v/>
      </c>
      <c r="H8" s="11">
        <f>$H7+$F8</f>
        <v/>
      </c>
      <c r="I8" s="11">
        <f>AVERAGE($E6:$E8)</f>
        <v/>
      </c>
      <c r="J8" s="11">
        <f>AVERAGE($F6:$F8)</f>
        <v/>
      </c>
      <c r="K8" s="13">
        <f>Einstellungen!$C$42</f>
        <v/>
      </c>
      <c r="L8" s="11">
        <f>$K8-$E8</f>
        <v/>
      </c>
      <c r="M8" s="33" t="n">
        <v>5</v>
      </c>
    </row>
    <row r="9" ht="15" customHeight="1" s="52">
      <c r="A9" s="32" t="n">
        <v>46174</v>
      </c>
      <c r="B9" s="17">
        <f>YEAR($A9)</f>
        <v/>
      </c>
      <c r="C9" s="17">
        <f>MONTH($A9)</f>
        <v/>
      </c>
      <c r="D9" s="11">
        <f>SUMIFS(Buchungen!$F$4:$F$1003,Buchungen!$B$4:$B$1003,$B9,Buchungen!$C$4:$C$1003,$C9,Buchungen!$G$4:$G$1003,"Einnahme")</f>
        <v/>
      </c>
      <c r="E9" s="11">
        <f>SUMIFS(Buchungen!$F$4:$F$1003,Buchungen!$B$4:$B$1003,$B9,Buchungen!$C$4:$C$1003,$C9,Buchungen!$G$4:$G$1003,"Ausgabe")</f>
        <v/>
      </c>
      <c r="F9" s="11">
        <f>$D9-$E9</f>
        <v/>
      </c>
      <c r="G9" s="12">
        <f>IF($D9&lt;=0,0,$F9/$D9)</f>
        <v/>
      </c>
      <c r="H9" s="11">
        <f>$H8+$F9</f>
        <v/>
      </c>
      <c r="I9" s="11">
        <f>AVERAGE($E7:$E9)</f>
        <v/>
      </c>
      <c r="J9" s="11">
        <f>AVERAGE($F7:$F9)</f>
        <v/>
      </c>
      <c r="K9" s="13">
        <f>Einstellungen!$C$42</f>
        <v/>
      </c>
      <c r="L9" s="11">
        <f>$K9-$E9</f>
        <v/>
      </c>
      <c r="M9" s="33" t="n">
        <v>6</v>
      </c>
    </row>
    <row r="10" ht="15" customHeight="1" s="52">
      <c r="A10" s="32" t="n">
        <v>46204</v>
      </c>
      <c r="B10" s="17">
        <f>YEAR($A10)</f>
        <v/>
      </c>
      <c r="C10" s="17">
        <f>MONTH($A10)</f>
        <v/>
      </c>
      <c r="D10" s="11">
        <f>SUMIFS(Buchungen!$F$4:$F$1003,Buchungen!$B$4:$B$1003,$B10,Buchungen!$C$4:$C$1003,$C10,Buchungen!$G$4:$G$1003,"Einnahme")</f>
        <v/>
      </c>
      <c r="E10" s="11">
        <f>SUMIFS(Buchungen!$F$4:$F$1003,Buchungen!$B$4:$B$1003,$B10,Buchungen!$C$4:$C$1003,$C10,Buchungen!$G$4:$G$1003,"Ausgabe")</f>
        <v/>
      </c>
      <c r="F10" s="11">
        <f>$D10-$E10</f>
        <v/>
      </c>
      <c r="G10" s="12">
        <f>IF($D10&lt;=0,0,$F10/$D10)</f>
        <v/>
      </c>
      <c r="H10" s="11">
        <f>$H9+$F10</f>
        <v/>
      </c>
      <c r="I10" s="11">
        <f>AVERAGE($E8:$E10)</f>
        <v/>
      </c>
      <c r="J10" s="11">
        <f>AVERAGE($F8:$F10)</f>
        <v/>
      </c>
      <c r="K10" s="13">
        <f>Einstellungen!$C$42</f>
        <v/>
      </c>
      <c r="L10" s="11">
        <f>$K10-$E10</f>
        <v/>
      </c>
      <c r="M10" s="33" t="n">
        <v>7</v>
      </c>
    </row>
    <row r="11" ht="15" customHeight="1" s="52">
      <c r="A11" s="32" t="n">
        <v>46235</v>
      </c>
      <c r="B11" s="17">
        <f>YEAR($A11)</f>
        <v/>
      </c>
      <c r="C11" s="17">
        <f>MONTH($A11)</f>
        <v/>
      </c>
      <c r="D11" s="11">
        <f>SUMIFS(Buchungen!$F$4:$F$1003,Buchungen!$B$4:$B$1003,$B11,Buchungen!$C$4:$C$1003,$C11,Buchungen!$G$4:$G$1003,"Einnahme")</f>
        <v/>
      </c>
      <c r="E11" s="11">
        <f>SUMIFS(Buchungen!$F$4:$F$1003,Buchungen!$B$4:$B$1003,$B11,Buchungen!$C$4:$C$1003,$C11,Buchungen!$G$4:$G$1003,"Ausgabe")</f>
        <v/>
      </c>
      <c r="F11" s="11">
        <f>$D11-$E11</f>
        <v/>
      </c>
      <c r="G11" s="12">
        <f>IF($D11&lt;=0,0,$F11/$D11)</f>
        <v/>
      </c>
      <c r="H11" s="11">
        <f>$H10+$F11</f>
        <v/>
      </c>
      <c r="I11" s="11">
        <f>AVERAGE($E9:$E11)</f>
        <v/>
      </c>
      <c r="J11" s="11">
        <f>AVERAGE($F9:$F11)</f>
        <v/>
      </c>
      <c r="K11" s="13">
        <f>Einstellungen!$C$42</f>
        <v/>
      </c>
      <c r="L11" s="11">
        <f>$K11-$E11</f>
        <v/>
      </c>
      <c r="M11" s="33" t="n">
        <v>8</v>
      </c>
    </row>
    <row r="12" ht="15" customHeight="1" s="52">
      <c r="A12" s="32" t="n">
        <v>46266</v>
      </c>
      <c r="B12" s="17">
        <f>YEAR($A12)</f>
        <v/>
      </c>
      <c r="C12" s="17">
        <f>MONTH($A12)</f>
        <v/>
      </c>
      <c r="D12" s="11">
        <f>SUMIFS(Buchungen!$F$4:$F$1003,Buchungen!$B$4:$B$1003,$B12,Buchungen!$C$4:$C$1003,$C12,Buchungen!$G$4:$G$1003,"Einnahme")</f>
        <v/>
      </c>
      <c r="E12" s="11">
        <f>SUMIFS(Buchungen!$F$4:$F$1003,Buchungen!$B$4:$B$1003,$B12,Buchungen!$C$4:$C$1003,$C12,Buchungen!$G$4:$G$1003,"Ausgabe")</f>
        <v/>
      </c>
      <c r="F12" s="11">
        <f>$D12-$E12</f>
        <v/>
      </c>
      <c r="G12" s="12">
        <f>IF($D12&lt;=0,0,$F12/$D12)</f>
        <v/>
      </c>
      <c r="H12" s="11">
        <f>$H11+$F12</f>
        <v/>
      </c>
      <c r="I12" s="11">
        <f>AVERAGE($E10:$E12)</f>
        <v/>
      </c>
      <c r="J12" s="11">
        <f>AVERAGE($F10:$F12)</f>
        <v/>
      </c>
      <c r="K12" s="13">
        <f>Einstellungen!$C$42</f>
        <v/>
      </c>
      <c r="L12" s="11">
        <f>$K12-$E12</f>
        <v/>
      </c>
      <c r="M12" s="33" t="n">
        <v>9</v>
      </c>
    </row>
    <row r="13" ht="15" customHeight="1" s="52">
      <c r="A13" s="32" t="n">
        <v>46296</v>
      </c>
      <c r="B13" s="17">
        <f>YEAR($A13)</f>
        <v/>
      </c>
      <c r="C13" s="17">
        <f>MONTH($A13)</f>
        <v/>
      </c>
      <c r="D13" s="11">
        <f>SUMIFS(Buchungen!$F$4:$F$1003,Buchungen!$B$4:$B$1003,$B13,Buchungen!$C$4:$C$1003,$C13,Buchungen!$G$4:$G$1003,"Einnahme")</f>
        <v/>
      </c>
      <c r="E13" s="11">
        <f>SUMIFS(Buchungen!$F$4:$F$1003,Buchungen!$B$4:$B$1003,$B13,Buchungen!$C$4:$C$1003,$C13,Buchungen!$G$4:$G$1003,"Ausgabe")</f>
        <v/>
      </c>
      <c r="F13" s="11">
        <f>$D13-$E13</f>
        <v/>
      </c>
      <c r="G13" s="12">
        <f>IF($D13&lt;=0,0,$F13/$D13)</f>
        <v/>
      </c>
      <c r="H13" s="11">
        <f>$H12+$F13</f>
        <v/>
      </c>
      <c r="I13" s="11">
        <f>AVERAGE($E11:$E13)</f>
        <v/>
      </c>
      <c r="J13" s="11">
        <f>AVERAGE($F11:$F13)</f>
        <v/>
      </c>
      <c r="K13" s="13">
        <f>Einstellungen!$C$42</f>
        <v/>
      </c>
      <c r="L13" s="11">
        <f>$K13-$E13</f>
        <v/>
      </c>
      <c r="M13" s="33" t="n">
        <v>10</v>
      </c>
    </row>
    <row r="14" ht="15" customHeight="1" s="52">
      <c r="A14" s="32" t="n">
        <v>46327</v>
      </c>
      <c r="B14" s="17">
        <f>YEAR($A14)</f>
        <v/>
      </c>
      <c r="C14" s="17">
        <f>MONTH($A14)</f>
        <v/>
      </c>
      <c r="D14" s="11">
        <f>SUMIFS(Buchungen!$F$4:$F$1003,Buchungen!$B$4:$B$1003,$B14,Buchungen!$C$4:$C$1003,$C14,Buchungen!$G$4:$G$1003,"Einnahme")</f>
        <v/>
      </c>
      <c r="E14" s="11">
        <f>SUMIFS(Buchungen!$F$4:$F$1003,Buchungen!$B$4:$B$1003,$B14,Buchungen!$C$4:$C$1003,$C14,Buchungen!$G$4:$G$1003,"Ausgabe")</f>
        <v/>
      </c>
      <c r="F14" s="11">
        <f>$D14-$E14</f>
        <v/>
      </c>
      <c r="G14" s="12">
        <f>IF($D14&lt;=0,0,$F14/$D14)</f>
        <v/>
      </c>
      <c r="H14" s="11">
        <f>$H13+$F14</f>
        <v/>
      </c>
      <c r="I14" s="11">
        <f>AVERAGE($E12:$E14)</f>
        <v/>
      </c>
      <c r="J14" s="11">
        <f>AVERAGE($F12:$F14)</f>
        <v/>
      </c>
      <c r="K14" s="13">
        <f>Einstellungen!$C$42</f>
        <v/>
      </c>
      <c r="L14" s="11">
        <f>$K14-$E14</f>
        <v/>
      </c>
      <c r="M14" s="33" t="n">
        <v>11</v>
      </c>
    </row>
    <row r="15" ht="15" customHeight="1" s="52">
      <c r="A15" s="32" t="n">
        <v>46357</v>
      </c>
      <c r="B15" s="17">
        <f>YEAR($A15)</f>
        <v/>
      </c>
      <c r="C15" s="17">
        <f>MONTH($A15)</f>
        <v/>
      </c>
      <c r="D15" s="11">
        <f>SUMIFS(Buchungen!$F$4:$F$1003,Buchungen!$B$4:$B$1003,$B15,Buchungen!$C$4:$C$1003,$C15,Buchungen!$G$4:$G$1003,"Einnahme")</f>
        <v/>
      </c>
      <c r="E15" s="11">
        <f>SUMIFS(Buchungen!$F$4:$F$1003,Buchungen!$B$4:$B$1003,$B15,Buchungen!$C$4:$C$1003,$C15,Buchungen!$G$4:$G$1003,"Ausgabe")</f>
        <v/>
      </c>
      <c r="F15" s="11">
        <f>$D15-$E15</f>
        <v/>
      </c>
      <c r="G15" s="12">
        <f>IF($D15&lt;=0,0,$F15/$D15)</f>
        <v/>
      </c>
      <c r="H15" s="11">
        <f>$H14+$F15</f>
        <v/>
      </c>
      <c r="I15" s="11">
        <f>AVERAGE($E13:$E15)</f>
        <v/>
      </c>
      <c r="J15" s="11">
        <f>AVERAGE($F13:$F15)</f>
        <v/>
      </c>
      <c r="K15" s="13">
        <f>Einstellungen!$C$42</f>
        <v/>
      </c>
      <c r="L15" s="11">
        <f>$K15-$E15</f>
        <v/>
      </c>
      <c r="M15" s="33" t="n">
        <v>12</v>
      </c>
    </row>
    <row r="16" ht="15" customHeight="1" s="52">
      <c r="A16" s="32" t="n">
        <v>46388</v>
      </c>
      <c r="B16" s="17">
        <f>YEAR($A16)</f>
        <v/>
      </c>
      <c r="C16" s="17">
        <f>MONTH($A16)</f>
        <v/>
      </c>
      <c r="D16" s="11">
        <f>SUMIFS(Buchungen!$F$4:$F$1003,Buchungen!$B$4:$B$1003,$B16,Buchungen!$C$4:$C$1003,$C16,Buchungen!$G$4:$G$1003,"Einnahme")</f>
        <v/>
      </c>
      <c r="E16" s="11">
        <f>SUMIFS(Buchungen!$F$4:$F$1003,Buchungen!$B$4:$B$1003,$B16,Buchungen!$C$4:$C$1003,$C16,Buchungen!$G$4:$G$1003,"Ausgabe")</f>
        <v/>
      </c>
      <c r="F16" s="11">
        <f>$D16-$E16</f>
        <v/>
      </c>
      <c r="G16" s="12">
        <f>IF($D16&lt;=0,0,$F16/$D16)</f>
        <v/>
      </c>
      <c r="H16" s="11">
        <f>$H15+$F16</f>
        <v/>
      </c>
      <c r="I16" s="11">
        <f>AVERAGE($E14:$E16)</f>
        <v/>
      </c>
      <c r="J16" s="11">
        <f>AVERAGE($F14:$F16)</f>
        <v/>
      </c>
      <c r="K16" s="13">
        <f>Einstellungen!$C$42</f>
        <v/>
      </c>
      <c r="L16" s="11">
        <f>$K16-$E16</f>
        <v/>
      </c>
      <c r="M16" s="33" t="n">
        <v>13</v>
      </c>
    </row>
    <row r="17" ht="15" customHeight="1" s="52">
      <c r="A17" s="32" t="n">
        <v>46419</v>
      </c>
      <c r="B17" s="17">
        <f>YEAR($A17)</f>
        <v/>
      </c>
      <c r="C17" s="17">
        <f>MONTH($A17)</f>
        <v/>
      </c>
      <c r="D17" s="11">
        <f>SUMIFS(Buchungen!$F$4:$F$1003,Buchungen!$B$4:$B$1003,$B17,Buchungen!$C$4:$C$1003,$C17,Buchungen!$G$4:$G$1003,"Einnahme")</f>
        <v/>
      </c>
      <c r="E17" s="11">
        <f>SUMIFS(Buchungen!$F$4:$F$1003,Buchungen!$B$4:$B$1003,$B17,Buchungen!$C$4:$C$1003,$C17,Buchungen!$G$4:$G$1003,"Ausgabe")</f>
        <v/>
      </c>
      <c r="F17" s="11">
        <f>$D17-$E17</f>
        <v/>
      </c>
      <c r="G17" s="12">
        <f>IF($D17&lt;=0,0,$F17/$D17)</f>
        <v/>
      </c>
      <c r="H17" s="11">
        <f>$H16+$F17</f>
        <v/>
      </c>
      <c r="I17" s="11">
        <f>AVERAGE($E15:$E17)</f>
        <v/>
      </c>
      <c r="J17" s="11">
        <f>AVERAGE($F15:$F17)</f>
        <v/>
      </c>
      <c r="K17" s="13">
        <f>Einstellungen!$C$42</f>
        <v/>
      </c>
      <c r="L17" s="11">
        <f>$K17-$E17</f>
        <v/>
      </c>
      <c r="M17" s="33" t="n">
        <v>14</v>
      </c>
    </row>
    <row r="18" ht="15" customHeight="1" s="52">
      <c r="A18" s="32" t="n">
        <v>46447</v>
      </c>
      <c r="B18" s="17">
        <f>YEAR($A18)</f>
        <v/>
      </c>
      <c r="C18" s="17">
        <f>MONTH($A18)</f>
        <v/>
      </c>
      <c r="D18" s="11">
        <f>SUMIFS(Buchungen!$F$4:$F$1003,Buchungen!$B$4:$B$1003,$B18,Buchungen!$C$4:$C$1003,$C18,Buchungen!$G$4:$G$1003,"Einnahme")</f>
        <v/>
      </c>
      <c r="E18" s="11">
        <f>SUMIFS(Buchungen!$F$4:$F$1003,Buchungen!$B$4:$B$1003,$B18,Buchungen!$C$4:$C$1003,$C18,Buchungen!$G$4:$G$1003,"Ausgabe")</f>
        <v/>
      </c>
      <c r="F18" s="11">
        <f>$D18-$E18</f>
        <v/>
      </c>
      <c r="G18" s="12">
        <f>IF($D18&lt;=0,0,$F18/$D18)</f>
        <v/>
      </c>
      <c r="H18" s="11">
        <f>$H17+$F18</f>
        <v/>
      </c>
      <c r="I18" s="11">
        <f>AVERAGE($E16:$E18)</f>
        <v/>
      </c>
      <c r="J18" s="11">
        <f>AVERAGE($F16:$F18)</f>
        <v/>
      </c>
      <c r="K18" s="13">
        <f>Einstellungen!$C$42</f>
        <v/>
      </c>
      <c r="L18" s="11">
        <f>$K18-$E18</f>
        <v/>
      </c>
      <c r="M18" s="33" t="n">
        <v>15</v>
      </c>
    </row>
    <row r="19" ht="15" customHeight="1" s="52">
      <c r="A19" s="32" t="n">
        <v>46478</v>
      </c>
      <c r="B19" s="17">
        <f>YEAR($A19)</f>
        <v/>
      </c>
      <c r="C19" s="17">
        <f>MONTH($A19)</f>
        <v/>
      </c>
      <c r="D19" s="11">
        <f>SUMIFS(Buchungen!$F$4:$F$1003,Buchungen!$B$4:$B$1003,$B19,Buchungen!$C$4:$C$1003,$C19,Buchungen!$G$4:$G$1003,"Einnahme")</f>
        <v/>
      </c>
      <c r="E19" s="11">
        <f>SUMIFS(Buchungen!$F$4:$F$1003,Buchungen!$B$4:$B$1003,$B19,Buchungen!$C$4:$C$1003,$C19,Buchungen!$G$4:$G$1003,"Ausgabe")</f>
        <v/>
      </c>
      <c r="F19" s="11">
        <f>$D19-$E19</f>
        <v/>
      </c>
      <c r="G19" s="12">
        <f>IF($D19&lt;=0,0,$F19/$D19)</f>
        <v/>
      </c>
      <c r="H19" s="11">
        <f>$H18+$F19</f>
        <v/>
      </c>
      <c r="I19" s="11">
        <f>AVERAGE($E17:$E19)</f>
        <v/>
      </c>
      <c r="J19" s="11">
        <f>AVERAGE($F17:$F19)</f>
        <v/>
      </c>
      <c r="K19" s="13">
        <f>Einstellungen!$C$42</f>
        <v/>
      </c>
      <c r="L19" s="11">
        <f>$K19-$E19</f>
        <v/>
      </c>
      <c r="M19" s="33" t="n">
        <v>16</v>
      </c>
    </row>
    <row r="20" ht="15" customHeight="1" s="52">
      <c r="A20" s="32" t="n">
        <v>46508</v>
      </c>
      <c r="B20" s="17">
        <f>YEAR($A20)</f>
        <v/>
      </c>
      <c r="C20" s="17">
        <f>MONTH($A20)</f>
        <v/>
      </c>
      <c r="D20" s="11">
        <f>SUMIFS(Buchungen!$F$4:$F$1003,Buchungen!$B$4:$B$1003,$B20,Buchungen!$C$4:$C$1003,$C20,Buchungen!$G$4:$G$1003,"Einnahme")</f>
        <v/>
      </c>
      <c r="E20" s="11">
        <f>SUMIFS(Buchungen!$F$4:$F$1003,Buchungen!$B$4:$B$1003,$B20,Buchungen!$C$4:$C$1003,$C20,Buchungen!$G$4:$G$1003,"Ausgabe")</f>
        <v/>
      </c>
      <c r="F20" s="11">
        <f>$D20-$E20</f>
        <v/>
      </c>
      <c r="G20" s="12">
        <f>IF($D20&lt;=0,0,$F20/$D20)</f>
        <v/>
      </c>
      <c r="H20" s="11">
        <f>$H19+$F20</f>
        <v/>
      </c>
      <c r="I20" s="11">
        <f>AVERAGE($E18:$E20)</f>
        <v/>
      </c>
      <c r="J20" s="11">
        <f>AVERAGE($F18:$F20)</f>
        <v/>
      </c>
      <c r="K20" s="13">
        <f>Einstellungen!$C$42</f>
        <v/>
      </c>
      <c r="L20" s="11">
        <f>$K20-$E20</f>
        <v/>
      </c>
      <c r="M20" s="33" t="n">
        <v>17</v>
      </c>
    </row>
    <row r="21" ht="15" customHeight="1" s="52">
      <c r="A21" s="32" t="n">
        <v>46539</v>
      </c>
      <c r="B21" s="17">
        <f>YEAR($A21)</f>
        <v/>
      </c>
      <c r="C21" s="17">
        <f>MONTH($A21)</f>
        <v/>
      </c>
      <c r="D21" s="11">
        <f>SUMIFS(Buchungen!$F$4:$F$1003,Buchungen!$B$4:$B$1003,$B21,Buchungen!$C$4:$C$1003,$C21,Buchungen!$G$4:$G$1003,"Einnahme")</f>
        <v/>
      </c>
      <c r="E21" s="11">
        <f>SUMIFS(Buchungen!$F$4:$F$1003,Buchungen!$B$4:$B$1003,$B21,Buchungen!$C$4:$C$1003,$C21,Buchungen!$G$4:$G$1003,"Ausgabe")</f>
        <v/>
      </c>
      <c r="F21" s="11">
        <f>$D21-$E21</f>
        <v/>
      </c>
      <c r="G21" s="12">
        <f>IF($D21&lt;=0,0,$F21/$D21)</f>
        <v/>
      </c>
      <c r="H21" s="11">
        <f>$H20+$F21</f>
        <v/>
      </c>
      <c r="I21" s="11">
        <f>AVERAGE($E19:$E21)</f>
        <v/>
      </c>
      <c r="J21" s="11">
        <f>AVERAGE($F19:$F21)</f>
        <v/>
      </c>
      <c r="K21" s="13">
        <f>Einstellungen!$C$42</f>
        <v/>
      </c>
      <c r="L21" s="11">
        <f>$K21-$E21</f>
        <v/>
      </c>
      <c r="M21" s="33" t="n">
        <v>18</v>
      </c>
    </row>
    <row r="22" ht="15" customHeight="1" s="52">
      <c r="A22" s="32" t="n">
        <v>46569</v>
      </c>
      <c r="B22" s="17">
        <f>YEAR($A22)</f>
        <v/>
      </c>
      <c r="C22" s="17">
        <f>MONTH($A22)</f>
        <v/>
      </c>
      <c r="D22" s="11">
        <f>SUMIFS(Buchungen!$F$4:$F$1003,Buchungen!$B$4:$B$1003,$B22,Buchungen!$C$4:$C$1003,$C22,Buchungen!$G$4:$G$1003,"Einnahme")</f>
        <v/>
      </c>
      <c r="E22" s="11">
        <f>SUMIFS(Buchungen!$F$4:$F$1003,Buchungen!$B$4:$B$1003,$B22,Buchungen!$C$4:$C$1003,$C22,Buchungen!$G$4:$G$1003,"Ausgabe")</f>
        <v/>
      </c>
      <c r="F22" s="11">
        <f>$D22-$E22</f>
        <v/>
      </c>
      <c r="G22" s="12">
        <f>IF($D22&lt;=0,0,$F22/$D22)</f>
        <v/>
      </c>
      <c r="H22" s="11">
        <f>$H21+$F22</f>
        <v/>
      </c>
      <c r="I22" s="11">
        <f>AVERAGE($E20:$E22)</f>
        <v/>
      </c>
      <c r="J22" s="11">
        <f>AVERAGE($F20:$F22)</f>
        <v/>
      </c>
      <c r="K22" s="13">
        <f>Einstellungen!$C$42</f>
        <v/>
      </c>
      <c r="L22" s="11">
        <f>$K22-$E22</f>
        <v/>
      </c>
      <c r="M22" s="33" t="n">
        <v>19</v>
      </c>
    </row>
    <row r="23" ht="15" customHeight="1" s="52">
      <c r="A23" s="32" t="n">
        <v>46600</v>
      </c>
      <c r="B23" s="17">
        <f>YEAR($A23)</f>
        <v/>
      </c>
      <c r="C23" s="17">
        <f>MONTH($A23)</f>
        <v/>
      </c>
      <c r="D23" s="11">
        <f>SUMIFS(Buchungen!$F$4:$F$1003,Buchungen!$B$4:$B$1003,$B23,Buchungen!$C$4:$C$1003,$C23,Buchungen!$G$4:$G$1003,"Einnahme")</f>
        <v/>
      </c>
      <c r="E23" s="11">
        <f>SUMIFS(Buchungen!$F$4:$F$1003,Buchungen!$B$4:$B$1003,$B23,Buchungen!$C$4:$C$1003,$C23,Buchungen!$G$4:$G$1003,"Ausgabe")</f>
        <v/>
      </c>
      <c r="F23" s="11">
        <f>$D23-$E23</f>
        <v/>
      </c>
      <c r="G23" s="12">
        <f>IF($D23&lt;=0,0,$F23/$D23)</f>
        <v/>
      </c>
      <c r="H23" s="11">
        <f>$H22+$F23</f>
        <v/>
      </c>
      <c r="I23" s="11">
        <f>AVERAGE($E21:$E23)</f>
        <v/>
      </c>
      <c r="J23" s="11">
        <f>AVERAGE($F21:$F23)</f>
        <v/>
      </c>
      <c r="K23" s="13">
        <f>Einstellungen!$C$42</f>
        <v/>
      </c>
      <c r="L23" s="11">
        <f>$K23-$E23</f>
        <v/>
      </c>
      <c r="M23" s="33" t="n">
        <v>20</v>
      </c>
    </row>
    <row r="24" ht="15" customHeight="1" s="52">
      <c r="A24" s="32" t="n">
        <v>46631</v>
      </c>
      <c r="B24" s="17">
        <f>YEAR($A24)</f>
        <v/>
      </c>
      <c r="C24" s="17">
        <f>MONTH($A24)</f>
        <v/>
      </c>
      <c r="D24" s="11">
        <f>SUMIFS(Buchungen!$F$4:$F$1003,Buchungen!$B$4:$B$1003,$B24,Buchungen!$C$4:$C$1003,$C24,Buchungen!$G$4:$G$1003,"Einnahme")</f>
        <v/>
      </c>
      <c r="E24" s="11">
        <f>SUMIFS(Buchungen!$F$4:$F$1003,Buchungen!$B$4:$B$1003,$B24,Buchungen!$C$4:$C$1003,$C24,Buchungen!$G$4:$G$1003,"Ausgabe")</f>
        <v/>
      </c>
      <c r="F24" s="11">
        <f>$D24-$E24</f>
        <v/>
      </c>
      <c r="G24" s="12">
        <f>IF($D24&lt;=0,0,$F24/$D24)</f>
        <v/>
      </c>
      <c r="H24" s="11">
        <f>$H23+$F24</f>
        <v/>
      </c>
      <c r="I24" s="11">
        <f>AVERAGE($E22:$E24)</f>
        <v/>
      </c>
      <c r="J24" s="11">
        <f>AVERAGE($F22:$F24)</f>
        <v/>
      </c>
      <c r="K24" s="13">
        <f>Einstellungen!$C$42</f>
        <v/>
      </c>
      <c r="L24" s="11">
        <f>$K24-$E24</f>
        <v/>
      </c>
      <c r="M24" s="33" t="n">
        <v>21</v>
      </c>
    </row>
    <row r="25" ht="15" customHeight="1" s="52">
      <c r="A25" s="32" t="n">
        <v>46661</v>
      </c>
      <c r="B25" s="17">
        <f>YEAR($A25)</f>
        <v/>
      </c>
      <c r="C25" s="17">
        <f>MONTH($A25)</f>
        <v/>
      </c>
      <c r="D25" s="11">
        <f>SUMIFS(Buchungen!$F$4:$F$1003,Buchungen!$B$4:$B$1003,$B25,Buchungen!$C$4:$C$1003,$C25,Buchungen!$G$4:$G$1003,"Einnahme")</f>
        <v/>
      </c>
      <c r="E25" s="11">
        <f>SUMIFS(Buchungen!$F$4:$F$1003,Buchungen!$B$4:$B$1003,$B25,Buchungen!$C$4:$C$1003,$C25,Buchungen!$G$4:$G$1003,"Ausgabe")</f>
        <v/>
      </c>
      <c r="F25" s="11">
        <f>$D25-$E25</f>
        <v/>
      </c>
      <c r="G25" s="12">
        <f>IF($D25&lt;=0,0,$F25/$D25)</f>
        <v/>
      </c>
      <c r="H25" s="11">
        <f>$H24+$F25</f>
        <v/>
      </c>
      <c r="I25" s="11">
        <f>AVERAGE($E23:$E25)</f>
        <v/>
      </c>
      <c r="J25" s="11">
        <f>AVERAGE($F23:$F25)</f>
        <v/>
      </c>
      <c r="K25" s="13">
        <f>Einstellungen!$C$42</f>
        <v/>
      </c>
      <c r="L25" s="11">
        <f>$K25-$E25</f>
        <v/>
      </c>
      <c r="M25" s="33" t="n">
        <v>22</v>
      </c>
    </row>
    <row r="26" ht="15" customHeight="1" s="52">
      <c r="A26" s="32" t="n">
        <v>46692</v>
      </c>
      <c r="B26" s="17">
        <f>YEAR($A26)</f>
        <v/>
      </c>
      <c r="C26" s="17">
        <f>MONTH($A26)</f>
        <v/>
      </c>
      <c r="D26" s="11">
        <f>SUMIFS(Buchungen!$F$4:$F$1003,Buchungen!$B$4:$B$1003,$B26,Buchungen!$C$4:$C$1003,$C26,Buchungen!$G$4:$G$1003,"Einnahme")</f>
        <v/>
      </c>
      <c r="E26" s="11">
        <f>SUMIFS(Buchungen!$F$4:$F$1003,Buchungen!$B$4:$B$1003,$B26,Buchungen!$C$4:$C$1003,$C26,Buchungen!$G$4:$G$1003,"Ausgabe")</f>
        <v/>
      </c>
      <c r="F26" s="11">
        <f>$D26-$E26</f>
        <v/>
      </c>
      <c r="G26" s="12">
        <f>IF($D26&lt;=0,0,$F26/$D26)</f>
        <v/>
      </c>
      <c r="H26" s="11">
        <f>$H25+$F26</f>
        <v/>
      </c>
      <c r="I26" s="11">
        <f>AVERAGE($E24:$E26)</f>
        <v/>
      </c>
      <c r="J26" s="11">
        <f>AVERAGE($F24:$F26)</f>
        <v/>
      </c>
      <c r="K26" s="13">
        <f>Einstellungen!$C$42</f>
        <v/>
      </c>
      <c r="L26" s="11">
        <f>$K26-$E26</f>
        <v/>
      </c>
      <c r="M26" s="33" t="n">
        <v>23</v>
      </c>
    </row>
    <row r="27" ht="15" customHeight="1" s="52">
      <c r="A27" s="32" t="n">
        <v>46722</v>
      </c>
      <c r="B27" s="17">
        <f>YEAR($A27)</f>
        <v/>
      </c>
      <c r="C27" s="17">
        <f>MONTH($A27)</f>
        <v/>
      </c>
      <c r="D27" s="11">
        <f>SUMIFS(Buchungen!$F$4:$F$1003,Buchungen!$B$4:$B$1003,$B27,Buchungen!$C$4:$C$1003,$C27,Buchungen!$G$4:$G$1003,"Einnahme")</f>
        <v/>
      </c>
      <c r="E27" s="11">
        <f>SUMIFS(Buchungen!$F$4:$F$1003,Buchungen!$B$4:$B$1003,$B27,Buchungen!$C$4:$C$1003,$C27,Buchungen!$G$4:$G$1003,"Ausgabe")</f>
        <v/>
      </c>
      <c r="F27" s="11">
        <f>$D27-$E27</f>
        <v/>
      </c>
      <c r="G27" s="12">
        <f>IF($D27&lt;=0,0,$F27/$D27)</f>
        <v/>
      </c>
      <c r="H27" s="11">
        <f>$H26+$F27</f>
        <v/>
      </c>
      <c r="I27" s="11">
        <f>AVERAGE($E25:$E27)</f>
        <v/>
      </c>
      <c r="J27" s="11">
        <f>AVERAGE($F25:$F27)</f>
        <v/>
      </c>
      <c r="K27" s="13">
        <f>Einstellungen!$C$42</f>
        <v/>
      </c>
      <c r="L27" s="11">
        <f>$K27-$E27</f>
        <v/>
      </c>
      <c r="M27" s="33" t="n">
        <v>24</v>
      </c>
    </row>
    <row r="29" ht="15" customHeight="1" s="52">
      <c r="A29" s="29" t="inlineStr">
        <is>
          <t>Gesamt</t>
        </is>
      </c>
      <c r="B29" s="30" t="n"/>
      <c r="C29" s="30" t="n"/>
      <c r="D29" s="31">
        <f>SUM(D4:D27)</f>
        <v/>
      </c>
      <c r="E29" s="31">
        <f>SUM(E4:E27)</f>
        <v/>
      </c>
      <c r="F29" s="31">
        <f>SUM(F4:F27)</f>
        <v/>
      </c>
      <c r="G29" s="34">
        <f>IF($D29&lt;=0,0,$F29/$D29)</f>
        <v/>
      </c>
      <c r="H29" s="30" t="n"/>
      <c r="I29" s="30" t="n"/>
      <c r="J29" s="30" t="n"/>
      <c r="K29" s="30" t="n"/>
      <c r="L29" s="30" t="n"/>
      <c r="M29" s="30" t="n"/>
    </row>
  </sheetData>
  <conditionalFormatting sqref="F4:F27">
    <cfRule type="cellIs" priority="2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6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10" defaultColWidth="8.7109375" defaultRowHeight="15"/>
  <cols>
    <col width="26" customWidth="1" style="52" min="1" max="1"/>
    <col width="12" customWidth="1" style="52" min="2" max="14"/>
    <col width="14" customWidth="1" style="52" min="15" max="17"/>
    <col width="15" customWidth="1" style="52" min="18" max="18"/>
    <col width="16" customWidth="1" style="52" min="19" max="19"/>
  </cols>
  <sheetData>
    <row r="1" ht="21.75" customHeight="1" s="52">
      <c r="A1" s="1" t="inlineStr">
        <is>
          <t>Kategorien-Auswertung</t>
        </is>
      </c>
    </row>
    <row r="2" ht="15" customHeight="1" s="52">
      <c r="A2" s="2" t="inlineStr">
        <is>
          <t>Kategorie × Monat für ein Jahr, inklusive Budgetvergleich</t>
        </is>
      </c>
    </row>
    <row r="3" ht="15" customHeight="1" s="52">
      <c r="A3" s="35" t="inlineStr">
        <is>
          <t>Jahr auswählen:</t>
        </is>
      </c>
      <c r="B3" s="36" t="n">
        <v>2026</v>
      </c>
    </row>
    <row r="4" ht="15" customHeight="1" s="52">
      <c r="A4" s="37" t="inlineStr">
        <is>
          <t>Hilfszeile → Monatsnummern</t>
        </is>
      </c>
      <c r="C4" s="38" t="n">
        <v>1</v>
      </c>
      <c r="D4" s="38" t="n">
        <v>2</v>
      </c>
      <c r="E4" s="38" t="n">
        <v>3</v>
      </c>
      <c r="F4" s="38" t="n">
        <v>4</v>
      </c>
      <c r="G4" s="38" t="n">
        <v>5</v>
      </c>
      <c r="H4" s="38" t="n">
        <v>6</v>
      </c>
      <c r="I4" s="38" t="n">
        <v>7</v>
      </c>
      <c r="J4" s="38" t="n">
        <v>8</v>
      </c>
      <c r="K4" s="38" t="n">
        <v>9</v>
      </c>
      <c r="L4" s="38" t="n">
        <v>10</v>
      </c>
      <c r="M4" s="38" t="n">
        <v>11</v>
      </c>
      <c r="N4" s="38" t="n">
        <v>12</v>
      </c>
    </row>
    <row r="5" ht="30" customHeight="1" s="52">
      <c r="A5" s="15" t="inlineStr">
        <is>
          <t>Kategorie</t>
        </is>
      </c>
      <c r="B5" s="15" t="inlineStr">
        <is>
          <t>Typ</t>
        </is>
      </c>
      <c r="C5" s="15" t="inlineStr">
        <is>
          <t>Jan</t>
        </is>
      </c>
      <c r="D5" s="15" t="inlineStr">
        <is>
          <t>Feb</t>
        </is>
      </c>
      <c r="E5" s="15" t="inlineStr">
        <is>
          <t>Mär</t>
        </is>
      </c>
      <c r="F5" s="15" t="inlineStr">
        <is>
          <t>Apr</t>
        </is>
      </c>
      <c r="G5" s="15" t="inlineStr">
        <is>
          <t>Mai</t>
        </is>
      </c>
      <c r="H5" s="15" t="inlineStr">
        <is>
          <t>Jun</t>
        </is>
      </c>
      <c r="I5" s="15" t="inlineStr">
        <is>
          <t>Jul</t>
        </is>
      </c>
      <c r="J5" s="15" t="inlineStr">
        <is>
          <t>Aug</t>
        </is>
      </c>
      <c r="K5" s="15" t="inlineStr">
        <is>
          <t>Sep</t>
        </is>
      </c>
      <c r="L5" s="15" t="inlineStr">
        <is>
          <t>Okt</t>
        </is>
      </c>
      <c r="M5" s="15" t="inlineStr">
        <is>
          <t>Nov</t>
        </is>
      </c>
      <c r="N5" s="15" t="inlineStr">
        <is>
          <t>Dez</t>
        </is>
      </c>
      <c r="O5" s="15" t="inlineStr">
        <is>
          <t>Summe (€)</t>
        </is>
      </c>
      <c r="P5" s="15" t="inlineStr">
        <is>
          <t>Ø/Monat (€)</t>
        </is>
      </c>
      <c r="Q5" s="15" t="inlineStr">
        <is>
          <t>Budget (€)</t>
        </is>
      </c>
      <c r="R5" s="15" t="inlineStr">
        <is>
          <t>Abw. Ø (€)</t>
        </is>
      </c>
      <c r="S5" s="15" t="inlineStr">
        <is>
          <t>Hilfsspalte</t>
        </is>
      </c>
    </row>
    <row r="6" ht="15" customHeight="1" s="52">
      <c r="A6" s="14">
        <f>IF(Einstellungen!$A4="","",Einstellungen!$A4)</f>
        <v/>
      </c>
      <c r="B6" s="14">
        <f>IF(Einstellungen!$B4="","",Einstellungen!$B4)</f>
        <v/>
      </c>
      <c r="C6" s="39">
        <f>IF($A6="",0,SUMIFS(Buchungen!$F$4:$F$1003,Buchungen!$B$4:$B$1003,$B$3,Buchungen!$C$4:$C$1003,C$4,Buchungen!$D$4:$D$1003,$A6))</f>
        <v/>
      </c>
      <c r="D6" s="39">
        <f>IF($A6="",0,SUMIFS(Buchungen!$F$4:$F$1003,Buchungen!$B$4:$B$1003,$B$3,Buchungen!$C$4:$C$1003,D$4,Buchungen!$D$4:$D$1003,$A6))</f>
        <v/>
      </c>
      <c r="E6" s="39">
        <f>IF($A6="",0,SUMIFS(Buchungen!$F$4:$F$1003,Buchungen!$B$4:$B$1003,$B$3,Buchungen!$C$4:$C$1003,E$4,Buchungen!$D$4:$D$1003,$A6))</f>
        <v/>
      </c>
      <c r="F6" s="39">
        <f>IF($A6="",0,SUMIFS(Buchungen!$F$4:$F$1003,Buchungen!$B$4:$B$1003,$B$3,Buchungen!$C$4:$C$1003,F$4,Buchungen!$D$4:$D$1003,$A6))</f>
        <v/>
      </c>
      <c r="G6" s="39">
        <f>IF($A6="",0,SUMIFS(Buchungen!$F$4:$F$1003,Buchungen!$B$4:$B$1003,$B$3,Buchungen!$C$4:$C$1003,G$4,Buchungen!$D$4:$D$1003,$A6))</f>
        <v/>
      </c>
      <c r="H6" s="39">
        <f>IF($A6="",0,SUMIFS(Buchungen!$F$4:$F$1003,Buchungen!$B$4:$B$1003,$B$3,Buchungen!$C$4:$C$1003,H$4,Buchungen!$D$4:$D$1003,$A6))</f>
        <v/>
      </c>
      <c r="I6" s="39">
        <f>IF($A6="",0,SUMIFS(Buchungen!$F$4:$F$1003,Buchungen!$B$4:$B$1003,$B$3,Buchungen!$C$4:$C$1003,I$4,Buchungen!$D$4:$D$1003,$A6))</f>
        <v/>
      </c>
      <c r="J6" s="39">
        <f>IF($A6="",0,SUMIFS(Buchungen!$F$4:$F$1003,Buchungen!$B$4:$B$1003,$B$3,Buchungen!$C$4:$C$1003,J$4,Buchungen!$D$4:$D$1003,$A6))</f>
        <v/>
      </c>
      <c r="K6" s="39">
        <f>IF($A6="",0,SUMIFS(Buchungen!$F$4:$F$1003,Buchungen!$B$4:$B$1003,$B$3,Buchungen!$C$4:$C$1003,K$4,Buchungen!$D$4:$D$1003,$A6))</f>
        <v/>
      </c>
      <c r="L6" s="39">
        <f>IF($A6="",0,SUMIFS(Buchungen!$F$4:$F$1003,Buchungen!$B$4:$B$1003,$B$3,Buchungen!$C$4:$C$1003,L$4,Buchungen!$D$4:$D$1003,$A6))</f>
        <v/>
      </c>
      <c r="M6" s="39">
        <f>IF($A6="",0,SUMIFS(Buchungen!$F$4:$F$1003,Buchungen!$B$4:$B$1003,$B$3,Buchungen!$C$4:$C$1003,M$4,Buchungen!$D$4:$D$1003,$A6))</f>
        <v/>
      </c>
      <c r="N6" s="39">
        <f>IF($A6="",0,SUMIFS(Buchungen!$F$4:$F$1003,Buchungen!$B$4:$B$1003,$B$3,Buchungen!$C$4:$C$1003,N$4,Buchungen!$D$4:$D$1003,$A6))</f>
        <v/>
      </c>
      <c r="O6" s="11">
        <f>SUM($C6:$N6)</f>
        <v/>
      </c>
      <c r="P6" s="11">
        <f>IFERROR(AVERAGEIF($C6:$N6,"&lt;&gt;0"),0)</f>
        <v/>
      </c>
      <c r="Q6" s="13">
        <f>IF(Einstellungen!$C4="",0,Einstellungen!$C4)</f>
        <v/>
      </c>
      <c r="R6" s="11">
        <f>$Q6-$P6</f>
        <v/>
      </c>
      <c r="S6" s="11">
        <f>IF($B6="Ausgabe",$O6,0)</f>
        <v/>
      </c>
    </row>
    <row r="7" ht="15" customHeight="1" s="52">
      <c r="A7" s="14">
        <f>IF(Einstellungen!$A5="","",Einstellungen!$A5)</f>
        <v/>
      </c>
      <c r="B7" s="14">
        <f>IF(Einstellungen!$B5="","",Einstellungen!$B5)</f>
        <v/>
      </c>
      <c r="C7" s="39">
        <f>IF($A7="",0,SUMIFS(Buchungen!$F$4:$F$1003,Buchungen!$B$4:$B$1003,$B$3,Buchungen!$C$4:$C$1003,C$4,Buchungen!$D$4:$D$1003,$A7))</f>
        <v/>
      </c>
      <c r="D7" s="39">
        <f>IF($A7="",0,SUMIFS(Buchungen!$F$4:$F$1003,Buchungen!$B$4:$B$1003,$B$3,Buchungen!$C$4:$C$1003,D$4,Buchungen!$D$4:$D$1003,$A7))</f>
        <v/>
      </c>
      <c r="E7" s="39">
        <f>IF($A7="",0,SUMIFS(Buchungen!$F$4:$F$1003,Buchungen!$B$4:$B$1003,$B$3,Buchungen!$C$4:$C$1003,E$4,Buchungen!$D$4:$D$1003,$A7))</f>
        <v/>
      </c>
      <c r="F7" s="39">
        <f>IF($A7="",0,SUMIFS(Buchungen!$F$4:$F$1003,Buchungen!$B$4:$B$1003,$B$3,Buchungen!$C$4:$C$1003,F$4,Buchungen!$D$4:$D$1003,$A7))</f>
        <v/>
      </c>
      <c r="G7" s="39">
        <f>IF($A7="",0,SUMIFS(Buchungen!$F$4:$F$1003,Buchungen!$B$4:$B$1003,$B$3,Buchungen!$C$4:$C$1003,G$4,Buchungen!$D$4:$D$1003,$A7))</f>
        <v/>
      </c>
      <c r="H7" s="39">
        <f>IF($A7="",0,SUMIFS(Buchungen!$F$4:$F$1003,Buchungen!$B$4:$B$1003,$B$3,Buchungen!$C$4:$C$1003,H$4,Buchungen!$D$4:$D$1003,$A7))</f>
        <v/>
      </c>
      <c r="I7" s="39">
        <f>IF($A7="",0,SUMIFS(Buchungen!$F$4:$F$1003,Buchungen!$B$4:$B$1003,$B$3,Buchungen!$C$4:$C$1003,I$4,Buchungen!$D$4:$D$1003,$A7))</f>
        <v/>
      </c>
      <c r="J7" s="39">
        <f>IF($A7="",0,SUMIFS(Buchungen!$F$4:$F$1003,Buchungen!$B$4:$B$1003,$B$3,Buchungen!$C$4:$C$1003,J$4,Buchungen!$D$4:$D$1003,$A7))</f>
        <v/>
      </c>
      <c r="K7" s="39">
        <f>IF($A7="",0,SUMIFS(Buchungen!$F$4:$F$1003,Buchungen!$B$4:$B$1003,$B$3,Buchungen!$C$4:$C$1003,K$4,Buchungen!$D$4:$D$1003,$A7))</f>
        <v/>
      </c>
      <c r="L7" s="39">
        <f>IF($A7="",0,SUMIFS(Buchungen!$F$4:$F$1003,Buchungen!$B$4:$B$1003,$B$3,Buchungen!$C$4:$C$1003,L$4,Buchungen!$D$4:$D$1003,$A7))</f>
        <v/>
      </c>
      <c r="M7" s="39">
        <f>IF($A7="",0,SUMIFS(Buchungen!$F$4:$F$1003,Buchungen!$B$4:$B$1003,$B$3,Buchungen!$C$4:$C$1003,M$4,Buchungen!$D$4:$D$1003,$A7))</f>
        <v/>
      </c>
      <c r="N7" s="39">
        <f>IF($A7="",0,SUMIFS(Buchungen!$F$4:$F$1003,Buchungen!$B$4:$B$1003,$B$3,Buchungen!$C$4:$C$1003,N$4,Buchungen!$D$4:$D$1003,$A7))</f>
        <v/>
      </c>
      <c r="O7" s="11">
        <f>SUM($C7:$N7)</f>
        <v/>
      </c>
      <c r="P7" s="11">
        <f>IFERROR(AVERAGEIF($C7:$N7,"&lt;&gt;0"),0)</f>
        <v/>
      </c>
      <c r="Q7" s="13">
        <f>IF(Einstellungen!$C5="",0,Einstellungen!$C5)</f>
        <v/>
      </c>
      <c r="R7" s="11">
        <f>$Q7-$P7</f>
        <v/>
      </c>
      <c r="S7" s="11">
        <f>IF($B7="Ausgabe",$O7,0)</f>
        <v/>
      </c>
    </row>
    <row r="8" ht="15" customHeight="1" s="52">
      <c r="A8" s="14">
        <f>IF(Einstellungen!$A6="","",Einstellungen!$A6)</f>
        <v/>
      </c>
      <c r="B8" s="14">
        <f>IF(Einstellungen!$B6="","",Einstellungen!$B6)</f>
        <v/>
      </c>
      <c r="C8" s="39">
        <f>IF($A8="",0,SUMIFS(Buchungen!$F$4:$F$1003,Buchungen!$B$4:$B$1003,$B$3,Buchungen!$C$4:$C$1003,C$4,Buchungen!$D$4:$D$1003,$A8))</f>
        <v/>
      </c>
      <c r="D8" s="39">
        <f>IF($A8="",0,SUMIFS(Buchungen!$F$4:$F$1003,Buchungen!$B$4:$B$1003,$B$3,Buchungen!$C$4:$C$1003,D$4,Buchungen!$D$4:$D$1003,$A8))</f>
        <v/>
      </c>
      <c r="E8" s="39">
        <f>IF($A8="",0,SUMIFS(Buchungen!$F$4:$F$1003,Buchungen!$B$4:$B$1003,$B$3,Buchungen!$C$4:$C$1003,E$4,Buchungen!$D$4:$D$1003,$A8))</f>
        <v/>
      </c>
      <c r="F8" s="39">
        <f>IF($A8="",0,SUMIFS(Buchungen!$F$4:$F$1003,Buchungen!$B$4:$B$1003,$B$3,Buchungen!$C$4:$C$1003,F$4,Buchungen!$D$4:$D$1003,$A8))</f>
        <v/>
      </c>
      <c r="G8" s="39">
        <f>IF($A8="",0,SUMIFS(Buchungen!$F$4:$F$1003,Buchungen!$B$4:$B$1003,$B$3,Buchungen!$C$4:$C$1003,G$4,Buchungen!$D$4:$D$1003,$A8))</f>
        <v/>
      </c>
      <c r="H8" s="39">
        <f>IF($A8="",0,SUMIFS(Buchungen!$F$4:$F$1003,Buchungen!$B$4:$B$1003,$B$3,Buchungen!$C$4:$C$1003,H$4,Buchungen!$D$4:$D$1003,$A8))</f>
        <v/>
      </c>
      <c r="I8" s="39">
        <f>IF($A8="",0,SUMIFS(Buchungen!$F$4:$F$1003,Buchungen!$B$4:$B$1003,$B$3,Buchungen!$C$4:$C$1003,I$4,Buchungen!$D$4:$D$1003,$A8))</f>
        <v/>
      </c>
      <c r="J8" s="39">
        <f>IF($A8="",0,SUMIFS(Buchungen!$F$4:$F$1003,Buchungen!$B$4:$B$1003,$B$3,Buchungen!$C$4:$C$1003,J$4,Buchungen!$D$4:$D$1003,$A8))</f>
        <v/>
      </c>
      <c r="K8" s="39">
        <f>IF($A8="",0,SUMIFS(Buchungen!$F$4:$F$1003,Buchungen!$B$4:$B$1003,$B$3,Buchungen!$C$4:$C$1003,K$4,Buchungen!$D$4:$D$1003,$A8))</f>
        <v/>
      </c>
      <c r="L8" s="39">
        <f>IF($A8="",0,SUMIFS(Buchungen!$F$4:$F$1003,Buchungen!$B$4:$B$1003,$B$3,Buchungen!$C$4:$C$1003,L$4,Buchungen!$D$4:$D$1003,$A8))</f>
        <v/>
      </c>
      <c r="M8" s="39">
        <f>IF($A8="",0,SUMIFS(Buchungen!$F$4:$F$1003,Buchungen!$B$4:$B$1003,$B$3,Buchungen!$C$4:$C$1003,M$4,Buchungen!$D$4:$D$1003,$A8))</f>
        <v/>
      </c>
      <c r="N8" s="39">
        <f>IF($A8="",0,SUMIFS(Buchungen!$F$4:$F$1003,Buchungen!$B$4:$B$1003,$B$3,Buchungen!$C$4:$C$1003,N$4,Buchungen!$D$4:$D$1003,$A8))</f>
        <v/>
      </c>
      <c r="O8" s="11">
        <f>SUM($C8:$N8)</f>
        <v/>
      </c>
      <c r="P8" s="11">
        <f>IFERROR(AVERAGEIF($C8:$N8,"&lt;&gt;0"),0)</f>
        <v/>
      </c>
      <c r="Q8" s="13">
        <f>IF(Einstellungen!$C6="",0,Einstellungen!$C6)</f>
        <v/>
      </c>
      <c r="R8" s="11">
        <f>$Q8-$P8</f>
        <v/>
      </c>
      <c r="S8" s="11">
        <f>IF($B8="Ausgabe",$O8,0)</f>
        <v/>
      </c>
    </row>
    <row r="9" ht="15" customHeight="1" s="52">
      <c r="A9" s="14">
        <f>IF(Einstellungen!$A7="","",Einstellungen!$A7)</f>
        <v/>
      </c>
      <c r="B9" s="14">
        <f>IF(Einstellungen!$B7="","",Einstellungen!$B7)</f>
        <v/>
      </c>
      <c r="C9" s="39">
        <f>IF($A9="",0,SUMIFS(Buchungen!$F$4:$F$1003,Buchungen!$B$4:$B$1003,$B$3,Buchungen!$C$4:$C$1003,C$4,Buchungen!$D$4:$D$1003,$A9))</f>
        <v/>
      </c>
      <c r="D9" s="39">
        <f>IF($A9="",0,SUMIFS(Buchungen!$F$4:$F$1003,Buchungen!$B$4:$B$1003,$B$3,Buchungen!$C$4:$C$1003,D$4,Buchungen!$D$4:$D$1003,$A9))</f>
        <v/>
      </c>
      <c r="E9" s="39">
        <f>IF($A9="",0,SUMIFS(Buchungen!$F$4:$F$1003,Buchungen!$B$4:$B$1003,$B$3,Buchungen!$C$4:$C$1003,E$4,Buchungen!$D$4:$D$1003,$A9))</f>
        <v/>
      </c>
      <c r="F9" s="39">
        <f>IF($A9="",0,SUMIFS(Buchungen!$F$4:$F$1003,Buchungen!$B$4:$B$1003,$B$3,Buchungen!$C$4:$C$1003,F$4,Buchungen!$D$4:$D$1003,$A9))</f>
        <v/>
      </c>
      <c r="G9" s="39">
        <f>IF($A9="",0,SUMIFS(Buchungen!$F$4:$F$1003,Buchungen!$B$4:$B$1003,$B$3,Buchungen!$C$4:$C$1003,G$4,Buchungen!$D$4:$D$1003,$A9))</f>
        <v/>
      </c>
      <c r="H9" s="39">
        <f>IF($A9="",0,SUMIFS(Buchungen!$F$4:$F$1003,Buchungen!$B$4:$B$1003,$B$3,Buchungen!$C$4:$C$1003,H$4,Buchungen!$D$4:$D$1003,$A9))</f>
        <v/>
      </c>
      <c r="I9" s="39">
        <f>IF($A9="",0,SUMIFS(Buchungen!$F$4:$F$1003,Buchungen!$B$4:$B$1003,$B$3,Buchungen!$C$4:$C$1003,I$4,Buchungen!$D$4:$D$1003,$A9))</f>
        <v/>
      </c>
      <c r="J9" s="39">
        <f>IF($A9="",0,SUMIFS(Buchungen!$F$4:$F$1003,Buchungen!$B$4:$B$1003,$B$3,Buchungen!$C$4:$C$1003,J$4,Buchungen!$D$4:$D$1003,$A9))</f>
        <v/>
      </c>
      <c r="K9" s="39">
        <f>IF($A9="",0,SUMIFS(Buchungen!$F$4:$F$1003,Buchungen!$B$4:$B$1003,$B$3,Buchungen!$C$4:$C$1003,K$4,Buchungen!$D$4:$D$1003,$A9))</f>
        <v/>
      </c>
      <c r="L9" s="39">
        <f>IF($A9="",0,SUMIFS(Buchungen!$F$4:$F$1003,Buchungen!$B$4:$B$1003,$B$3,Buchungen!$C$4:$C$1003,L$4,Buchungen!$D$4:$D$1003,$A9))</f>
        <v/>
      </c>
      <c r="M9" s="39">
        <f>IF($A9="",0,SUMIFS(Buchungen!$F$4:$F$1003,Buchungen!$B$4:$B$1003,$B$3,Buchungen!$C$4:$C$1003,M$4,Buchungen!$D$4:$D$1003,$A9))</f>
        <v/>
      </c>
      <c r="N9" s="39">
        <f>IF($A9="",0,SUMIFS(Buchungen!$F$4:$F$1003,Buchungen!$B$4:$B$1003,$B$3,Buchungen!$C$4:$C$1003,N$4,Buchungen!$D$4:$D$1003,$A9))</f>
        <v/>
      </c>
      <c r="O9" s="11">
        <f>SUM($C9:$N9)</f>
        <v/>
      </c>
      <c r="P9" s="11">
        <f>IFERROR(AVERAGEIF($C9:$N9,"&lt;&gt;0"),0)</f>
        <v/>
      </c>
      <c r="Q9" s="13">
        <f>IF(Einstellungen!$C7="",0,Einstellungen!$C7)</f>
        <v/>
      </c>
      <c r="R9" s="11">
        <f>$Q9-$P9</f>
        <v/>
      </c>
      <c r="S9" s="11">
        <f>IF($B9="Ausgabe",$O9,0)</f>
        <v/>
      </c>
    </row>
    <row r="10" ht="15" customHeight="1" s="52">
      <c r="A10" s="14">
        <f>IF(Einstellungen!$A8="","",Einstellungen!$A8)</f>
        <v/>
      </c>
      <c r="B10" s="14">
        <f>IF(Einstellungen!$B8="","",Einstellungen!$B8)</f>
        <v/>
      </c>
      <c r="C10" s="39">
        <f>IF($A10="",0,SUMIFS(Buchungen!$F$4:$F$1003,Buchungen!$B$4:$B$1003,$B$3,Buchungen!$C$4:$C$1003,C$4,Buchungen!$D$4:$D$1003,$A10))</f>
        <v/>
      </c>
      <c r="D10" s="39">
        <f>IF($A10="",0,SUMIFS(Buchungen!$F$4:$F$1003,Buchungen!$B$4:$B$1003,$B$3,Buchungen!$C$4:$C$1003,D$4,Buchungen!$D$4:$D$1003,$A10))</f>
        <v/>
      </c>
      <c r="E10" s="39">
        <f>IF($A10="",0,SUMIFS(Buchungen!$F$4:$F$1003,Buchungen!$B$4:$B$1003,$B$3,Buchungen!$C$4:$C$1003,E$4,Buchungen!$D$4:$D$1003,$A10))</f>
        <v/>
      </c>
      <c r="F10" s="39">
        <f>IF($A10="",0,SUMIFS(Buchungen!$F$4:$F$1003,Buchungen!$B$4:$B$1003,$B$3,Buchungen!$C$4:$C$1003,F$4,Buchungen!$D$4:$D$1003,$A10))</f>
        <v/>
      </c>
      <c r="G10" s="39">
        <f>IF($A10="",0,SUMIFS(Buchungen!$F$4:$F$1003,Buchungen!$B$4:$B$1003,$B$3,Buchungen!$C$4:$C$1003,G$4,Buchungen!$D$4:$D$1003,$A10))</f>
        <v/>
      </c>
      <c r="H10" s="39">
        <f>IF($A10="",0,SUMIFS(Buchungen!$F$4:$F$1003,Buchungen!$B$4:$B$1003,$B$3,Buchungen!$C$4:$C$1003,H$4,Buchungen!$D$4:$D$1003,$A10))</f>
        <v/>
      </c>
      <c r="I10" s="39">
        <f>IF($A10="",0,SUMIFS(Buchungen!$F$4:$F$1003,Buchungen!$B$4:$B$1003,$B$3,Buchungen!$C$4:$C$1003,I$4,Buchungen!$D$4:$D$1003,$A10))</f>
        <v/>
      </c>
      <c r="J10" s="39">
        <f>IF($A10="",0,SUMIFS(Buchungen!$F$4:$F$1003,Buchungen!$B$4:$B$1003,$B$3,Buchungen!$C$4:$C$1003,J$4,Buchungen!$D$4:$D$1003,$A10))</f>
        <v/>
      </c>
      <c r="K10" s="39">
        <f>IF($A10="",0,SUMIFS(Buchungen!$F$4:$F$1003,Buchungen!$B$4:$B$1003,$B$3,Buchungen!$C$4:$C$1003,K$4,Buchungen!$D$4:$D$1003,$A10))</f>
        <v/>
      </c>
      <c r="L10" s="39">
        <f>IF($A10="",0,SUMIFS(Buchungen!$F$4:$F$1003,Buchungen!$B$4:$B$1003,$B$3,Buchungen!$C$4:$C$1003,L$4,Buchungen!$D$4:$D$1003,$A10))</f>
        <v/>
      </c>
      <c r="M10" s="39">
        <f>IF($A10="",0,SUMIFS(Buchungen!$F$4:$F$1003,Buchungen!$B$4:$B$1003,$B$3,Buchungen!$C$4:$C$1003,M$4,Buchungen!$D$4:$D$1003,$A10))</f>
        <v/>
      </c>
      <c r="N10" s="39">
        <f>IF($A10="",0,SUMIFS(Buchungen!$F$4:$F$1003,Buchungen!$B$4:$B$1003,$B$3,Buchungen!$C$4:$C$1003,N$4,Buchungen!$D$4:$D$1003,$A10))</f>
        <v/>
      </c>
      <c r="O10" s="11">
        <f>SUM($C10:$N10)</f>
        <v/>
      </c>
      <c r="P10" s="11">
        <f>IFERROR(AVERAGEIF($C10:$N10,"&lt;&gt;0"),0)</f>
        <v/>
      </c>
      <c r="Q10" s="13">
        <f>IF(Einstellungen!$C8="",0,Einstellungen!$C8)</f>
        <v/>
      </c>
      <c r="R10" s="11">
        <f>$Q10-$P10</f>
        <v/>
      </c>
      <c r="S10" s="11">
        <f>IF($B10="Ausgabe",$O10,0)</f>
        <v/>
      </c>
    </row>
    <row r="11" ht="15" customHeight="1" s="52">
      <c r="A11" s="14">
        <f>IF(Einstellungen!$A9="","",Einstellungen!$A9)</f>
        <v/>
      </c>
      <c r="B11" s="14">
        <f>IF(Einstellungen!$B9="","",Einstellungen!$B9)</f>
        <v/>
      </c>
      <c r="C11" s="39">
        <f>IF($A11="",0,SUMIFS(Buchungen!$F$4:$F$1003,Buchungen!$B$4:$B$1003,$B$3,Buchungen!$C$4:$C$1003,C$4,Buchungen!$D$4:$D$1003,$A11))</f>
        <v/>
      </c>
      <c r="D11" s="39">
        <f>IF($A11="",0,SUMIFS(Buchungen!$F$4:$F$1003,Buchungen!$B$4:$B$1003,$B$3,Buchungen!$C$4:$C$1003,D$4,Buchungen!$D$4:$D$1003,$A11))</f>
        <v/>
      </c>
      <c r="E11" s="39">
        <f>IF($A11="",0,SUMIFS(Buchungen!$F$4:$F$1003,Buchungen!$B$4:$B$1003,$B$3,Buchungen!$C$4:$C$1003,E$4,Buchungen!$D$4:$D$1003,$A11))</f>
        <v/>
      </c>
      <c r="F11" s="39">
        <f>IF($A11="",0,SUMIFS(Buchungen!$F$4:$F$1003,Buchungen!$B$4:$B$1003,$B$3,Buchungen!$C$4:$C$1003,F$4,Buchungen!$D$4:$D$1003,$A11))</f>
        <v/>
      </c>
      <c r="G11" s="39">
        <f>IF($A11="",0,SUMIFS(Buchungen!$F$4:$F$1003,Buchungen!$B$4:$B$1003,$B$3,Buchungen!$C$4:$C$1003,G$4,Buchungen!$D$4:$D$1003,$A11))</f>
        <v/>
      </c>
      <c r="H11" s="39">
        <f>IF($A11="",0,SUMIFS(Buchungen!$F$4:$F$1003,Buchungen!$B$4:$B$1003,$B$3,Buchungen!$C$4:$C$1003,H$4,Buchungen!$D$4:$D$1003,$A11))</f>
        <v/>
      </c>
      <c r="I11" s="39">
        <f>IF($A11="",0,SUMIFS(Buchungen!$F$4:$F$1003,Buchungen!$B$4:$B$1003,$B$3,Buchungen!$C$4:$C$1003,I$4,Buchungen!$D$4:$D$1003,$A11))</f>
        <v/>
      </c>
      <c r="J11" s="39">
        <f>IF($A11="",0,SUMIFS(Buchungen!$F$4:$F$1003,Buchungen!$B$4:$B$1003,$B$3,Buchungen!$C$4:$C$1003,J$4,Buchungen!$D$4:$D$1003,$A11))</f>
        <v/>
      </c>
      <c r="K11" s="39">
        <f>IF($A11="",0,SUMIFS(Buchungen!$F$4:$F$1003,Buchungen!$B$4:$B$1003,$B$3,Buchungen!$C$4:$C$1003,K$4,Buchungen!$D$4:$D$1003,$A11))</f>
        <v/>
      </c>
      <c r="L11" s="39">
        <f>IF($A11="",0,SUMIFS(Buchungen!$F$4:$F$1003,Buchungen!$B$4:$B$1003,$B$3,Buchungen!$C$4:$C$1003,L$4,Buchungen!$D$4:$D$1003,$A11))</f>
        <v/>
      </c>
      <c r="M11" s="39">
        <f>IF($A11="",0,SUMIFS(Buchungen!$F$4:$F$1003,Buchungen!$B$4:$B$1003,$B$3,Buchungen!$C$4:$C$1003,M$4,Buchungen!$D$4:$D$1003,$A11))</f>
        <v/>
      </c>
      <c r="N11" s="39">
        <f>IF($A11="",0,SUMIFS(Buchungen!$F$4:$F$1003,Buchungen!$B$4:$B$1003,$B$3,Buchungen!$C$4:$C$1003,N$4,Buchungen!$D$4:$D$1003,$A11))</f>
        <v/>
      </c>
      <c r="O11" s="11">
        <f>SUM($C11:$N11)</f>
        <v/>
      </c>
      <c r="P11" s="11">
        <f>IFERROR(AVERAGEIF($C11:$N11,"&lt;&gt;0"),0)</f>
        <v/>
      </c>
      <c r="Q11" s="13">
        <f>IF(Einstellungen!$C9="",0,Einstellungen!$C9)</f>
        <v/>
      </c>
      <c r="R11" s="11">
        <f>$Q11-$P11</f>
        <v/>
      </c>
      <c r="S11" s="11">
        <f>IF($B11="Ausgabe",$O11,0)</f>
        <v/>
      </c>
    </row>
    <row r="12" ht="15" customHeight="1" s="52">
      <c r="A12" s="14">
        <f>IF(Einstellungen!$A10="","",Einstellungen!$A10)</f>
        <v/>
      </c>
      <c r="B12" s="14">
        <f>IF(Einstellungen!$B10="","",Einstellungen!$B10)</f>
        <v/>
      </c>
      <c r="C12" s="39">
        <f>IF($A12="",0,SUMIFS(Buchungen!$F$4:$F$1003,Buchungen!$B$4:$B$1003,$B$3,Buchungen!$C$4:$C$1003,C$4,Buchungen!$D$4:$D$1003,$A12))</f>
        <v/>
      </c>
      <c r="D12" s="39">
        <f>IF($A12="",0,SUMIFS(Buchungen!$F$4:$F$1003,Buchungen!$B$4:$B$1003,$B$3,Buchungen!$C$4:$C$1003,D$4,Buchungen!$D$4:$D$1003,$A12))</f>
        <v/>
      </c>
      <c r="E12" s="39">
        <f>IF($A12="",0,SUMIFS(Buchungen!$F$4:$F$1003,Buchungen!$B$4:$B$1003,$B$3,Buchungen!$C$4:$C$1003,E$4,Buchungen!$D$4:$D$1003,$A12))</f>
        <v/>
      </c>
      <c r="F12" s="39">
        <f>IF($A12="",0,SUMIFS(Buchungen!$F$4:$F$1003,Buchungen!$B$4:$B$1003,$B$3,Buchungen!$C$4:$C$1003,F$4,Buchungen!$D$4:$D$1003,$A12))</f>
        <v/>
      </c>
      <c r="G12" s="39">
        <f>IF($A12="",0,SUMIFS(Buchungen!$F$4:$F$1003,Buchungen!$B$4:$B$1003,$B$3,Buchungen!$C$4:$C$1003,G$4,Buchungen!$D$4:$D$1003,$A12))</f>
        <v/>
      </c>
      <c r="H12" s="39">
        <f>IF($A12="",0,SUMIFS(Buchungen!$F$4:$F$1003,Buchungen!$B$4:$B$1003,$B$3,Buchungen!$C$4:$C$1003,H$4,Buchungen!$D$4:$D$1003,$A12))</f>
        <v/>
      </c>
      <c r="I12" s="39">
        <f>IF($A12="",0,SUMIFS(Buchungen!$F$4:$F$1003,Buchungen!$B$4:$B$1003,$B$3,Buchungen!$C$4:$C$1003,I$4,Buchungen!$D$4:$D$1003,$A12))</f>
        <v/>
      </c>
      <c r="J12" s="39">
        <f>IF($A12="",0,SUMIFS(Buchungen!$F$4:$F$1003,Buchungen!$B$4:$B$1003,$B$3,Buchungen!$C$4:$C$1003,J$4,Buchungen!$D$4:$D$1003,$A12))</f>
        <v/>
      </c>
      <c r="K12" s="39">
        <f>IF($A12="",0,SUMIFS(Buchungen!$F$4:$F$1003,Buchungen!$B$4:$B$1003,$B$3,Buchungen!$C$4:$C$1003,K$4,Buchungen!$D$4:$D$1003,$A12))</f>
        <v/>
      </c>
      <c r="L12" s="39">
        <f>IF($A12="",0,SUMIFS(Buchungen!$F$4:$F$1003,Buchungen!$B$4:$B$1003,$B$3,Buchungen!$C$4:$C$1003,L$4,Buchungen!$D$4:$D$1003,$A12))</f>
        <v/>
      </c>
      <c r="M12" s="39">
        <f>IF($A12="",0,SUMIFS(Buchungen!$F$4:$F$1003,Buchungen!$B$4:$B$1003,$B$3,Buchungen!$C$4:$C$1003,M$4,Buchungen!$D$4:$D$1003,$A12))</f>
        <v/>
      </c>
      <c r="N12" s="39">
        <f>IF($A12="",0,SUMIFS(Buchungen!$F$4:$F$1003,Buchungen!$B$4:$B$1003,$B$3,Buchungen!$C$4:$C$1003,N$4,Buchungen!$D$4:$D$1003,$A12))</f>
        <v/>
      </c>
      <c r="O12" s="11">
        <f>SUM($C12:$N12)</f>
        <v/>
      </c>
      <c r="P12" s="11">
        <f>IFERROR(AVERAGEIF($C12:$N12,"&lt;&gt;0"),0)</f>
        <v/>
      </c>
      <c r="Q12" s="13">
        <f>IF(Einstellungen!$C10="",0,Einstellungen!$C10)</f>
        <v/>
      </c>
      <c r="R12" s="11">
        <f>$Q12-$P12</f>
        <v/>
      </c>
      <c r="S12" s="11">
        <f>IF($B12="Ausgabe",$O12,0)</f>
        <v/>
      </c>
    </row>
    <row r="13" ht="15" customHeight="1" s="52">
      <c r="A13" s="14">
        <f>IF(Einstellungen!$A11="","",Einstellungen!$A11)</f>
        <v/>
      </c>
      <c r="B13" s="14">
        <f>IF(Einstellungen!$B11="","",Einstellungen!$B11)</f>
        <v/>
      </c>
      <c r="C13" s="39">
        <f>IF($A13="",0,SUMIFS(Buchungen!$F$4:$F$1003,Buchungen!$B$4:$B$1003,$B$3,Buchungen!$C$4:$C$1003,C$4,Buchungen!$D$4:$D$1003,$A13))</f>
        <v/>
      </c>
      <c r="D13" s="39">
        <f>IF($A13="",0,SUMIFS(Buchungen!$F$4:$F$1003,Buchungen!$B$4:$B$1003,$B$3,Buchungen!$C$4:$C$1003,D$4,Buchungen!$D$4:$D$1003,$A13))</f>
        <v/>
      </c>
      <c r="E13" s="39">
        <f>IF($A13="",0,SUMIFS(Buchungen!$F$4:$F$1003,Buchungen!$B$4:$B$1003,$B$3,Buchungen!$C$4:$C$1003,E$4,Buchungen!$D$4:$D$1003,$A13))</f>
        <v/>
      </c>
      <c r="F13" s="39">
        <f>IF($A13="",0,SUMIFS(Buchungen!$F$4:$F$1003,Buchungen!$B$4:$B$1003,$B$3,Buchungen!$C$4:$C$1003,F$4,Buchungen!$D$4:$D$1003,$A13))</f>
        <v/>
      </c>
      <c r="G13" s="39">
        <f>IF($A13="",0,SUMIFS(Buchungen!$F$4:$F$1003,Buchungen!$B$4:$B$1003,$B$3,Buchungen!$C$4:$C$1003,G$4,Buchungen!$D$4:$D$1003,$A13))</f>
        <v/>
      </c>
      <c r="H13" s="39">
        <f>IF($A13="",0,SUMIFS(Buchungen!$F$4:$F$1003,Buchungen!$B$4:$B$1003,$B$3,Buchungen!$C$4:$C$1003,H$4,Buchungen!$D$4:$D$1003,$A13))</f>
        <v/>
      </c>
      <c r="I13" s="39">
        <f>IF($A13="",0,SUMIFS(Buchungen!$F$4:$F$1003,Buchungen!$B$4:$B$1003,$B$3,Buchungen!$C$4:$C$1003,I$4,Buchungen!$D$4:$D$1003,$A13))</f>
        <v/>
      </c>
      <c r="J13" s="39">
        <f>IF($A13="",0,SUMIFS(Buchungen!$F$4:$F$1003,Buchungen!$B$4:$B$1003,$B$3,Buchungen!$C$4:$C$1003,J$4,Buchungen!$D$4:$D$1003,$A13))</f>
        <v/>
      </c>
      <c r="K13" s="39">
        <f>IF($A13="",0,SUMIFS(Buchungen!$F$4:$F$1003,Buchungen!$B$4:$B$1003,$B$3,Buchungen!$C$4:$C$1003,K$4,Buchungen!$D$4:$D$1003,$A13))</f>
        <v/>
      </c>
      <c r="L13" s="39">
        <f>IF($A13="",0,SUMIFS(Buchungen!$F$4:$F$1003,Buchungen!$B$4:$B$1003,$B$3,Buchungen!$C$4:$C$1003,L$4,Buchungen!$D$4:$D$1003,$A13))</f>
        <v/>
      </c>
      <c r="M13" s="39">
        <f>IF($A13="",0,SUMIFS(Buchungen!$F$4:$F$1003,Buchungen!$B$4:$B$1003,$B$3,Buchungen!$C$4:$C$1003,M$4,Buchungen!$D$4:$D$1003,$A13))</f>
        <v/>
      </c>
      <c r="N13" s="39">
        <f>IF($A13="",0,SUMIFS(Buchungen!$F$4:$F$1003,Buchungen!$B$4:$B$1003,$B$3,Buchungen!$C$4:$C$1003,N$4,Buchungen!$D$4:$D$1003,$A13))</f>
        <v/>
      </c>
      <c r="O13" s="11">
        <f>SUM($C13:$N13)</f>
        <v/>
      </c>
      <c r="P13" s="11">
        <f>IFERROR(AVERAGEIF($C13:$N13,"&lt;&gt;0"),0)</f>
        <v/>
      </c>
      <c r="Q13" s="13">
        <f>IF(Einstellungen!$C11="",0,Einstellungen!$C11)</f>
        <v/>
      </c>
      <c r="R13" s="11">
        <f>$Q13-$P13</f>
        <v/>
      </c>
      <c r="S13" s="11">
        <f>IF($B13="Ausgabe",$O13,0)</f>
        <v/>
      </c>
    </row>
    <row r="14" ht="15" customHeight="1" s="52">
      <c r="A14" s="14">
        <f>IF(Einstellungen!$A12="","",Einstellungen!$A12)</f>
        <v/>
      </c>
      <c r="B14" s="14">
        <f>IF(Einstellungen!$B12="","",Einstellungen!$B12)</f>
        <v/>
      </c>
      <c r="C14" s="39">
        <f>IF($A14="",0,SUMIFS(Buchungen!$F$4:$F$1003,Buchungen!$B$4:$B$1003,$B$3,Buchungen!$C$4:$C$1003,C$4,Buchungen!$D$4:$D$1003,$A14))</f>
        <v/>
      </c>
      <c r="D14" s="39">
        <f>IF($A14="",0,SUMIFS(Buchungen!$F$4:$F$1003,Buchungen!$B$4:$B$1003,$B$3,Buchungen!$C$4:$C$1003,D$4,Buchungen!$D$4:$D$1003,$A14))</f>
        <v/>
      </c>
      <c r="E14" s="39">
        <f>IF($A14="",0,SUMIFS(Buchungen!$F$4:$F$1003,Buchungen!$B$4:$B$1003,$B$3,Buchungen!$C$4:$C$1003,E$4,Buchungen!$D$4:$D$1003,$A14))</f>
        <v/>
      </c>
      <c r="F14" s="39">
        <f>IF($A14="",0,SUMIFS(Buchungen!$F$4:$F$1003,Buchungen!$B$4:$B$1003,$B$3,Buchungen!$C$4:$C$1003,F$4,Buchungen!$D$4:$D$1003,$A14))</f>
        <v/>
      </c>
      <c r="G14" s="39">
        <f>IF($A14="",0,SUMIFS(Buchungen!$F$4:$F$1003,Buchungen!$B$4:$B$1003,$B$3,Buchungen!$C$4:$C$1003,G$4,Buchungen!$D$4:$D$1003,$A14))</f>
        <v/>
      </c>
      <c r="H14" s="39">
        <f>IF($A14="",0,SUMIFS(Buchungen!$F$4:$F$1003,Buchungen!$B$4:$B$1003,$B$3,Buchungen!$C$4:$C$1003,H$4,Buchungen!$D$4:$D$1003,$A14))</f>
        <v/>
      </c>
      <c r="I14" s="39">
        <f>IF($A14="",0,SUMIFS(Buchungen!$F$4:$F$1003,Buchungen!$B$4:$B$1003,$B$3,Buchungen!$C$4:$C$1003,I$4,Buchungen!$D$4:$D$1003,$A14))</f>
        <v/>
      </c>
      <c r="J14" s="39">
        <f>IF($A14="",0,SUMIFS(Buchungen!$F$4:$F$1003,Buchungen!$B$4:$B$1003,$B$3,Buchungen!$C$4:$C$1003,J$4,Buchungen!$D$4:$D$1003,$A14))</f>
        <v/>
      </c>
      <c r="K14" s="39">
        <f>IF($A14="",0,SUMIFS(Buchungen!$F$4:$F$1003,Buchungen!$B$4:$B$1003,$B$3,Buchungen!$C$4:$C$1003,K$4,Buchungen!$D$4:$D$1003,$A14))</f>
        <v/>
      </c>
      <c r="L14" s="39">
        <f>IF($A14="",0,SUMIFS(Buchungen!$F$4:$F$1003,Buchungen!$B$4:$B$1003,$B$3,Buchungen!$C$4:$C$1003,L$4,Buchungen!$D$4:$D$1003,$A14))</f>
        <v/>
      </c>
      <c r="M14" s="39">
        <f>IF($A14="",0,SUMIFS(Buchungen!$F$4:$F$1003,Buchungen!$B$4:$B$1003,$B$3,Buchungen!$C$4:$C$1003,M$4,Buchungen!$D$4:$D$1003,$A14))</f>
        <v/>
      </c>
      <c r="N14" s="39">
        <f>IF($A14="",0,SUMIFS(Buchungen!$F$4:$F$1003,Buchungen!$B$4:$B$1003,$B$3,Buchungen!$C$4:$C$1003,N$4,Buchungen!$D$4:$D$1003,$A14))</f>
        <v/>
      </c>
      <c r="O14" s="11">
        <f>SUM($C14:$N14)</f>
        <v/>
      </c>
      <c r="P14" s="11">
        <f>IFERROR(AVERAGEIF($C14:$N14,"&lt;&gt;0"),0)</f>
        <v/>
      </c>
      <c r="Q14" s="13">
        <f>IF(Einstellungen!$C12="",0,Einstellungen!$C12)</f>
        <v/>
      </c>
      <c r="R14" s="11">
        <f>$Q14-$P14</f>
        <v/>
      </c>
      <c r="S14" s="11">
        <f>IF($B14="Ausgabe",$O14,0)</f>
        <v/>
      </c>
    </row>
    <row r="15" ht="15" customHeight="1" s="52">
      <c r="A15" s="14">
        <f>IF(Einstellungen!$A13="","",Einstellungen!$A13)</f>
        <v/>
      </c>
      <c r="B15" s="14">
        <f>IF(Einstellungen!$B13="","",Einstellungen!$B13)</f>
        <v/>
      </c>
      <c r="C15" s="39">
        <f>IF($A15="",0,SUMIFS(Buchungen!$F$4:$F$1003,Buchungen!$B$4:$B$1003,$B$3,Buchungen!$C$4:$C$1003,C$4,Buchungen!$D$4:$D$1003,$A15))</f>
        <v/>
      </c>
      <c r="D15" s="39">
        <f>IF($A15="",0,SUMIFS(Buchungen!$F$4:$F$1003,Buchungen!$B$4:$B$1003,$B$3,Buchungen!$C$4:$C$1003,D$4,Buchungen!$D$4:$D$1003,$A15))</f>
        <v/>
      </c>
      <c r="E15" s="39">
        <f>IF($A15="",0,SUMIFS(Buchungen!$F$4:$F$1003,Buchungen!$B$4:$B$1003,$B$3,Buchungen!$C$4:$C$1003,E$4,Buchungen!$D$4:$D$1003,$A15))</f>
        <v/>
      </c>
      <c r="F15" s="39">
        <f>IF($A15="",0,SUMIFS(Buchungen!$F$4:$F$1003,Buchungen!$B$4:$B$1003,$B$3,Buchungen!$C$4:$C$1003,F$4,Buchungen!$D$4:$D$1003,$A15))</f>
        <v/>
      </c>
      <c r="G15" s="39">
        <f>IF($A15="",0,SUMIFS(Buchungen!$F$4:$F$1003,Buchungen!$B$4:$B$1003,$B$3,Buchungen!$C$4:$C$1003,G$4,Buchungen!$D$4:$D$1003,$A15))</f>
        <v/>
      </c>
      <c r="H15" s="39">
        <f>IF($A15="",0,SUMIFS(Buchungen!$F$4:$F$1003,Buchungen!$B$4:$B$1003,$B$3,Buchungen!$C$4:$C$1003,H$4,Buchungen!$D$4:$D$1003,$A15))</f>
        <v/>
      </c>
      <c r="I15" s="39">
        <f>IF($A15="",0,SUMIFS(Buchungen!$F$4:$F$1003,Buchungen!$B$4:$B$1003,$B$3,Buchungen!$C$4:$C$1003,I$4,Buchungen!$D$4:$D$1003,$A15))</f>
        <v/>
      </c>
      <c r="J15" s="39">
        <f>IF($A15="",0,SUMIFS(Buchungen!$F$4:$F$1003,Buchungen!$B$4:$B$1003,$B$3,Buchungen!$C$4:$C$1003,J$4,Buchungen!$D$4:$D$1003,$A15))</f>
        <v/>
      </c>
      <c r="K15" s="39">
        <f>IF($A15="",0,SUMIFS(Buchungen!$F$4:$F$1003,Buchungen!$B$4:$B$1003,$B$3,Buchungen!$C$4:$C$1003,K$4,Buchungen!$D$4:$D$1003,$A15))</f>
        <v/>
      </c>
      <c r="L15" s="39">
        <f>IF($A15="",0,SUMIFS(Buchungen!$F$4:$F$1003,Buchungen!$B$4:$B$1003,$B$3,Buchungen!$C$4:$C$1003,L$4,Buchungen!$D$4:$D$1003,$A15))</f>
        <v/>
      </c>
      <c r="M15" s="39">
        <f>IF($A15="",0,SUMIFS(Buchungen!$F$4:$F$1003,Buchungen!$B$4:$B$1003,$B$3,Buchungen!$C$4:$C$1003,M$4,Buchungen!$D$4:$D$1003,$A15))</f>
        <v/>
      </c>
      <c r="N15" s="39">
        <f>IF($A15="",0,SUMIFS(Buchungen!$F$4:$F$1003,Buchungen!$B$4:$B$1003,$B$3,Buchungen!$C$4:$C$1003,N$4,Buchungen!$D$4:$D$1003,$A15))</f>
        <v/>
      </c>
      <c r="O15" s="11">
        <f>SUM($C15:$N15)</f>
        <v/>
      </c>
      <c r="P15" s="11">
        <f>IFERROR(AVERAGEIF($C15:$N15,"&lt;&gt;0"),0)</f>
        <v/>
      </c>
      <c r="Q15" s="13">
        <f>IF(Einstellungen!$C13="",0,Einstellungen!$C13)</f>
        <v/>
      </c>
      <c r="R15" s="11">
        <f>$Q15-$P15</f>
        <v/>
      </c>
      <c r="S15" s="11">
        <f>IF($B15="Ausgabe",$O15,0)</f>
        <v/>
      </c>
    </row>
    <row r="16" ht="15" customHeight="1" s="52">
      <c r="A16" s="14">
        <f>IF(Einstellungen!$A14="","",Einstellungen!$A14)</f>
        <v/>
      </c>
      <c r="B16" s="14">
        <f>IF(Einstellungen!$B14="","",Einstellungen!$B14)</f>
        <v/>
      </c>
      <c r="C16" s="39">
        <f>IF($A16="",0,SUMIFS(Buchungen!$F$4:$F$1003,Buchungen!$B$4:$B$1003,$B$3,Buchungen!$C$4:$C$1003,C$4,Buchungen!$D$4:$D$1003,$A16))</f>
        <v/>
      </c>
      <c r="D16" s="39">
        <f>IF($A16="",0,SUMIFS(Buchungen!$F$4:$F$1003,Buchungen!$B$4:$B$1003,$B$3,Buchungen!$C$4:$C$1003,D$4,Buchungen!$D$4:$D$1003,$A16))</f>
        <v/>
      </c>
      <c r="E16" s="39">
        <f>IF($A16="",0,SUMIFS(Buchungen!$F$4:$F$1003,Buchungen!$B$4:$B$1003,$B$3,Buchungen!$C$4:$C$1003,E$4,Buchungen!$D$4:$D$1003,$A16))</f>
        <v/>
      </c>
      <c r="F16" s="39">
        <f>IF($A16="",0,SUMIFS(Buchungen!$F$4:$F$1003,Buchungen!$B$4:$B$1003,$B$3,Buchungen!$C$4:$C$1003,F$4,Buchungen!$D$4:$D$1003,$A16))</f>
        <v/>
      </c>
      <c r="G16" s="39">
        <f>IF($A16="",0,SUMIFS(Buchungen!$F$4:$F$1003,Buchungen!$B$4:$B$1003,$B$3,Buchungen!$C$4:$C$1003,G$4,Buchungen!$D$4:$D$1003,$A16))</f>
        <v/>
      </c>
      <c r="H16" s="39">
        <f>IF($A16="",0,SUMIFS(Buchungen!$F$4:$F$1003,Buchungen!$B$4:$B$1003,$B$3,Buchungen!$C$4:$C$1003,H$4,Buchungen!$D$4:$D$1003,$A16))</f>
        <v/>
      </c>
      <c r="I16" s="39">
        <f>IF($A16="",0,SUMIFS(Buchungen!$F$4:$F$1003,Buchungen!$B$4:$B$1003,$B$3,Buchungen!$C$4:$C$1003,I$4,Buchungen!$D$4:$D$1003,$A16))</f>
        <v/>
      </c>
      <c r="J16" s="39">
        <f>IF($A16="",0,SUMIFS(Buchungen!$F$4:$F$1003,Buchungen!$B$4:$B$1003,$B$3,Buchungen!$C$4:$C$1003,J$4,Buchungen!$D$4:$D$1003,$A16))</f>
        <v/>
      </c>
      <c r="K16" s="39">
        <f>IF($A16="",0,SUMIFS(Buchungen!$F$4:$F$1003,Buchungen!$B$4:$B$1003,$B$3,Buchungen!$C$4:$C$1003,K$4,Buchungen!$D$4:$D$1003,$A16))</f>
        <v/>
      </c>
      <c r="L16" s="39">
        <f>IF($A16="",0,SUMIFS(Buchungen!$F$4:$F$1003,Buchungen!$B$4:$B$1003,$B$3,Buchungen!$C$4:$C$1003,L$4,Buchungen!$D$4:$D$1003,$A16))</f>
        <v/>
      </c>
      <c r="M16" s="39">
        <f>IF($A16="",0,SUMIFS(Buchungen!$F$4:$F$1003,Buchungen!$B$4:$B$1003,$B$3,Buchungen!$C$4:$C$1003,M$4,Buchungen!$D$4:$D$1003,$A16))</f>
        <v/>
      </c>
      <c r="N16" s="39">
        <f>IF($A16="",0,SUMIFS(Buchungen!$F$4:$F$1003,Buchungen!$B$4:$B$1003,$B$3,Buchungen!$C$4:$C$1003,N$4,Buchungen!$D$4:$D$1003,$A16))</f>
        <v/>
      </c>
      <c r="O16" s="11">
        <f>SUM($C16:$N16)</f>
        <v/>
      </c>
      <c r="P16" s="11">
        <f>IFERROR(AVERAGEIF($C16:$N16,"&lt;&gt;0"),0)</f>
        <v/>
      </c>
      <c r="Q16" s="13">
        <f>IF(Einstellungen!$C14="",0,Einstellungen!$C14)</f>
        <v/>
      </c>
      <c r="R16" s="11">
        <f>$Q16-$P16</f>
        <v/>
      </c>
      <c r="S16" s="11">
        <f>IF($B16="Ausgabe",$O16,0)</f>
        <v/>
      </c>
    </row>
    <row r="17" ht="15" customHeight="1" s="52">
      <c r="A17" s="14">
        <f>IF(Einstellungen!$A15="","",Einstellungen!$A15)</f>
        <v/>
      </c>
      <c r="B17" s="14">
        <f>IF(Einstellungen!$B15="","",Einstellungen!$B15)</f>
        <v/>
      </c>
      <c r="C17" s="39">
        <f>IF($A17="",0,SUMIFS(Buchungen!$F$4:$F$1003,Buchungen!$B$4:$B$1003,$B$3,Buchungen!$C$4:$C$1003,C$4,Buchungen!$D$4:$D$1003,$A17))</f>
        <v/>
      </c>
      <c r="D17" s="39">
        <f>IF($A17="",0,SUMIFS(Buchungen!$F$4:$F$1003,Buchungen!$B$4:$B$1003,$B$3,Buchungen!$C$4:$C$1003,D$4,Buchungen!$D$4:$D$1003,$A17))</f>
        <v/>
      </c>
      <c r="E17" s="39">
        <f>IF($A17="",0,SUMIFS(Buchungen!$F$4:$F$1003,Buchungen!$B$4:$B$1003,$B$3,Buchungen!$C$4:$C$1003,E$4,Buchungen!$D$4:$D$1003,$A17))</f>
        <v/>
      </c>
      <c r="F17" s="39">
        <f>IF($A17="",0,SUMIFS(Buchungen!$F$4:$F$1003,Buchungen!$B$4:$B$1003,$B$3,Buchungen!$C$4:$C$1003,F$4,Buchungen!$D$4:$D$1003,$A17))</f>
        <v/>
      </c>
      <c r="G17" s="39">
        <f>IF($A17="",0,SUMIFS(Buchungen!$F$4:$F$1003,Buchungen!$B$4:$B$1003,$B$3,Buchungen!$C$4:$C$1003,G$4,Buchungen!$D$4:$D$1003,$A17))</f>
        <v/>
      </c>
      <c r="H17" s="39">
        <f>IF($A17="",0,SUMIFS(Buchungen!$F$4:$F$1003,Buchungen!$B$4:$B$1003,$B$3,Buchungen!$C$4:$C$1003,H$4,Buchungen!$D$4:$D$1003,$A17))</f>
        <v/>
      </c>
      <c r="I17" s="39">
        <f>IF($A17="",0,SUMIFS(Buchungen!$F$4:$F$1003,Buchungen!$B$4:$B$1003,$B$3,Buchungen!$C$4:$C$1003,I$4,Buchungen!$D$4:$D$1003,$A17))</f>
        <v/>
      </c>
      <c r="J17" s="39">
        <f>IF($A17="",0,SUMIFS(Buchungen!$F$4:$F$1003,Buchungen!$B$4:$B$1003,$B$3,Buchungen!$C$4:$C$1003,J$4,Buchungen!$D$4:$D$1003,$A17))</f>
        <v/>
      </c>
      <c r="K17" s="39">
        <f>IF($A17="",0,SUMIFS(Buchungen!$F$4:$F$1003,Buchungen!$B$4:$B$1003,$B$3,Buchungen!$C$4:$C$1003,K$4,Buchungen!$D$4:$D$1003,$A17))</f>
        <v/>
      </c>
      <c r="L17" s="39">
        <f>IF($A17="",0,SUMIFS(Buchungen!$F$4:$F$1003,Buchungen!$B$4:$B$1003,$B$3,Buchungen!$C$4:$C$1003,L$4,Buchungen!$D$4:$D$1003,$A17))</f>
        <v/>
      </c>
      <c r="M17" s="39">
        <f>IF($A17="",0,SUMIFS(Buchungen!$F$4:$F$1003,Buchungen!$B$4:$B$1003,$B$3,Buchungen!$C$4:$C$1003,M$4,Buchungen!$D$4:$D$1003,$A17))</f>
        <v/>
      </c>
      <c r="N17" s="39">
        <f>IF($A17="",0,SUMIFS(Buchungen!$F$4:$F$1003,Buchungen!$B$4:$B$1003,$B$3,Buchungen!$C$4:$C$1003,N$4,Buchungen!$D$4:$D$1003,$A17))</f>
        <v/>
      </c>
      <c r="O17" s="11">
        <f>SUM($C17:$N17)</f>
        <v/>
      </c>
      <c r="P17" s="11">
        <f>IFERROR(AVERAGEIF($C17:$N17,"&lt;&gt;0"),0)</f>
        <v/>
      </c>
      <c r="Q17" s="13">
        <f>IF(Einstellungen!$C15="",0,Einstellungen!$C15)</f>
        <v/>
      </c>
      <c r="R17" s="11">
        <f>$Q17-$P17</f>
        <v/>
      </c>
      <c r="S17" s="11">
        <f>IF($B17="Ausgabe",$O17,0)</f>
        <v/>
      </c>
    </row>
    <row r="18" ht="15" customHeight="1" s="52">
      <c r="A18" s="14">
        <f>IF(Einstellungen!$A16="","",Einstellungen!$A16)</f>
        <v/>
      </c>
      <c r="B18" s="14">
        <f>IF(Einstellungen!$B16="","",Einstellungen!$B16)</f>
        <v/>
      </c>
      <c r="C18" s="39">
        <f>IF($A18="",0,SUMIFS(Buchungen!$F$4:$F$1003,Buchungen!$B$4:$B$1003,$B$3,Buchungen!$C$4:$C$1003,C$4,Buchungen!$D$4:$D$1003,$A18))</f>
        <v/>
      </c>
      <c r="D18" s="39">
        <f>IF($A18="",0,SUMIFS(Buchungen!$F$4:$F$1003,Buchungen!$B$4:$B$1003,$B$3,Buchungen!$C$4:$C$1003,D$4,Buchungen!$D$4:$D$1003,$A18))</f>
        <v/>
      </c>
      <c r="E18" s="39">
        <f>IF($A18="",0,SUMIFS(Buchungen!$F$4:$F$1003,Buchungen!$B$4:$B$1003,$B$3,Buchungen!$C$4:$C$1003,E$4,Buchungen!$D$4:$D$1003,$A18))</f>
        <v/>
      </c>
      <c r="F18" s="39">
        <f>IF($A18="",0,SUMIFS(Buchungen!$F$4:$F$1003,Buchungen!$B$4:$B$1003,$B$3,Buchungen!$C$4:$C$1003,F$4,Buchungen!$D$4:$D$1003,$A18))</f>
        <v/>
      </c>
      <c r="G18" s="39">
        <f>IF($A18="",0,SUMIFS(Buchungen!$F$4:$F$1003,Buchungen!$B$4:$B$1003,$B$3,Buchungen!$C$4:$C$1003,G$4,Buchungen!$D$4:$D$1003,$A18))</f>
        <v/>
      </c>
      <c r="H18" s="39">
        <f>IF($A18="",0,SUMIFS(Buchungen!$F$4:$F$1003,Buchungen!$B$4:$B$1003,$B$3,Buchungen!$C$4:$C$1003,H$4,Buchungen!$D$4:$D$1003,$A18))</f>
        <v/>
      </c>
      <c r="I18" s="39">
        <f>IF($A18="",0,SUMIFS(Buchungen!$F$4:$F$1003,Buchungen!$B$4:$B$1003,$B$3,Buchungen!$C$4:$C$1003,I$4,Buchungen!$D$4:$D$1003,$A18))</f>
        <v/>
      </c>
      <c r="J18" s="39">
        <f>IF($A18="",0,SUMIFS(Buchungen!$F$4:$F$1003,Buchungen!$B$4:$B$1003,$B$3,Buchungen!$C$4:$C$1003,J$4,Buchungen!$D$4:$D$1003,$A18))</f>
        <v/>
      </c>
      <c r="K18" s="39">
        <f>IF($A18="",0,SUMIFS(Buchungen!$F$4:$F$1003,Buchungen!$B$4:$B$1003,$B$3,Buchungen!$C$4:$C$1003,K$4,Buchungen!$D$4:$D$1003,$A18))</f>
        <v/>
      </c>
      <c r="L18" s="39">
        <f>IF($A18="",0,SUMIFS(Buchungen!$F$4:$F$1003,Buchungen!$B$4:$B$1003,$B$3,Buchungen!$C$4:$C$1003,L$4,Buchungen!$D$4:$D$1003,$A18))</f>
        <v/>
      </c>
      <c r="M18" s="39">
        <f>IF($A18="",0,SUMIFS(Buchungen!$F$4:$F$1003,Buchungen!$B$4:$B$1003,$B$3,Buchungen!$C$4:$C$1003,M$4,Buchungen!$D$4:$D$1003,$A18))</f>
        <v/>
      </c>
      <c r="N18" s="39">
        <f>IF($A18="",0,SUMIFS(Buchungen!$F$4:$F$1003,Buchungen!$B$4:$B$1003,$B$3,Buchungen!$C$4:$C$1003,N$4,Buchungen!$D$4:$D$1003,$A18))</f>
        <v/>
      </c>
      <c r="O18" s="11">
        <f>SUM($C18:$N18)</f>
        <v/>
      </c>
      <c r="P18" s="11">
        <f>IFERROR(AVERAGEIF($C18:$N18,"&lt;&gt;0"),0)</f>
        <v/>
      </c>
      <c r="Q18" s="13">
        <f>IF(Einstellungen!$C16="",0,Einstellungen!$C16)</f>
        <v/>
      </c>
      <c r="R18" s="11">
        <f>$Q18-$P18</f>
        <v/>
      </c>
      <c r="S18" s="11">
        <f>IF($B18="Ausgabe",$O18,0)</f>
        <v/>
      </c>
    </row>
    <row r="19" ht="15" customHeight="1" s="52">
      <c r="A19" s="14">
        <f>IF(Einstellungen!$A17="","",Einstellungen!$A17)</f>
        <v/>
      </c>
      <c r="B19" s="14">
        <f>IF(Einstellungen!$B17="","",Einstellungen!$B17)</f>
        <v/>
      </c>
      <c r="C19" s="39">
        <f>IF($A19="",0,SUMIFS(Buchungen!$F$4:$F$1003,Buchungen!$B$4:$B$1003,$B$3,Buchungen!$C$4:$C$1003,C$4,Buchungen!$D$4:$D$1003,$A19))</f>
        <v/>
      </c>
      <c r="D19" s="39">
        <f>IF($A19="",0,SUMIFS(Buchungen!$F$4:$F$1003,Buchungen!$B$4:$B$1003,$B$3,Buchungen!$C$4:$C$1003,D$4,Buchungen!$D$4:$D$1003,$A19))</f>
        <v/>
      </c>
      <c r="E19" s="39">
        <f>IF($A19="",0,SUMIFS(Buchungen!$F$4:$F$1003,Buchungen!$B$4:$B$1003,$B$3,Buchungen!$C$4:$C$1003,E$4,Buchungen!$D$4:$D$1003,$A19))</f>
        <v/>
      </c>
      <c r="F19" s="39">
        <f>IF($A19="",0,SUMIFS(Buchungen!$F$4:$F$1003,Buchungen!$B$4:$B$1003,$B$3,Buchungen!$C$4:$C$1003,F$4,Buchungen!$D$4:$D$1003,$A19))</f>
        <v/>
      </c>
      <c r="G19" s="39">
        <f>IF($A19="",0,SUMIFS(Buchungen!$F$4:$F$1003,Buchungen!$B$4:$B$1003,$B$3,Buchungen!$C$4:$C$1003,G$4,Buchungen!$D$4:$D$1003,$A19))</f>
        <v/>
      </c>
      <c r="H19" s="39">
        <f>IF($A19="",0,SUMIFS(Buchungen!$F$4:$F$1003,Buchungen!$B$4:$B$1003,$B$3,Buchungen!$C$4:$C$1003,H$4,Buchungen!$D$4:$D$1003,$A19))</f>
        <v/>
      </c>
      <c r="I19" s="39">
        <f>IF($A19="",0,SUMIFS(Buchungen!$F$4:$F$1003,Buchungen!$B$4:$B$1003,$B$3,Buchungen!$C$4:$C$1003,I$4,Buchungen!$D$4:$D$1003,$A19))</f>
        <v/>
      </c>
      <c r="J19" s="39">
        <f>IF($A19="",0,SUMIFS(Buchungen!$F$4:$F$1003,Buchungen!$B$4:$B$1003,$B$3,Buchungen!$C$4:$C$1003,J$4,Buchungen!$D$4:$D$1003,$A19))</f>
        <v/>
      </c>
      <c r="K19" s="39">
        <f>IF($A19="",0,SUMIFS(Buchungen!$F$4:$F$1003,Buchungen!$B$4:$B$1003,$B$3,Buchungen!$C$4:$C$1003,K$4,Buchungen!$D$4:$D$1003,$A19))</f>
        <v/>
      </c>
      <c r="L19" s="39">
        <f>IF($A19="",0,SUMIFS(Buchungen!$F$4:$F$1003,Buchungen!$B$4:$B$1003,$B$3,Buchungen!$C$4:$C$1003,L$4,Buchungen!$D$4:$D$1003,$A19))</f>
        <v/>
      </c>
      <c r="M19" s="39">
        <f>IF($A19="",0,SUMIFS(Buchungen!$F$4:$F$1003,Buchungen!$B$4:$B$1003,$B$3,Buchungen!$C$4:$C$1003,M$4,Buchungen!$D$4:$D$1003,$A19))</f>
        <v/>
      </c>
      <c r="N19" s="39">
        <f>IF($A19="",0,SUMIFS(Buchungen!$F$4:$F$1003,Buchungen!$B$4:$B$1003,$B$3,Buchungen!$C$4:$C$1003,N$4,Buchungen!$D$4:$D$1003,$A19))</f>
        <v/>
      </c>
      <c r="O19" s="11">
        <f>SUM($C19:$N19)</f>
        <v/>
      </c>
      <c r="P19" s="11">
        <f>IFERROR(AVERAGEIF($C19:$N19,"&lt;&gt;0"),0)</f>
        <v/>
      </c>
      <c r="Q19" s="13">
        <f>IF(Einstellungen!$C17="",0,Einstellungen!$C17)</f>
        <v/>
      </c>
      <c r="R19" s="11">
        <f>$Q19-$P19</f>
        <v/>
      </c>
      <c r="S19" s="11">
        <f>IF($B19="Ausgabe",$O19,0)</f>
        <v/>
      </c>
    </row>
    <row r="20" ht="15" customHeight="1" s="52">
      <c r="A20" s="14">
        <f>IF(Einstellungen!$A18="","",Einstellungen!$A18)</f>
        <v/>
      </c>
      <c r="B20" s="14">
        <f>IF(Einstellungen!$B18="","",Einstellungen!$B18)</f>
        <v/>
      </c>
      <c r="C20" s="39">
        <f>IF($A20="",0,SUMIFS(Buchungen!$F$4:$F$1003,Buchungen!$B$4:$B$1003,$B$3,Buchungen!$C$4:$C$1003,C$4,Buchungen!$D$4:$D$1003,$A20))</f>
        <v/>
      </c>
      <c r="D20" s="39">
        <f>IF($A20="",0,SUMIFS(Buchungen!$F$4:$F$1003,Buchungen!$B$4:$B$1003,$B$3,Buchungen!$C$4:$C$1003,D$4,Buchungen!$D$4:$D$1003,$A20))</f>
        <v/>
      </c>
      <c r="E20" s="39">
        <f>IF($A20="",0,SUMIFS(Buchungen!$F$4:$F$1003,Buchungen!$B$4:$B$1003,$B$3,Buchungen!$C$4:$C$1003,E$4,Buchungen!$D$4:$D$1003,$A20))</f>
        <v/>
      </c>
      <c r="F20" s="39">
        <f>IF($A20="",0,SUMIFS(Buchungen!$F$4:$F$1003,Buchungen!$B$4:$B$1003,$B$3,Buchungen!$C$4:$C$1003,F$4,Buchungen!$D$4:$D$1003,$A20))</f>
        <v/>
      </c>
      <c r="G20" s="39">
        <f>IF($A20="",0,SUMIFS(Buchungen!$F$4:$F$1003,Buchungen!$B$4:$B$1003,$B$3,Buchungen!$C$4:$C$1003,G$4,Buchungen!$D$4:$D$1003,$A20))</f>
        <v/>
      </c>
      <c r="H20" s="39">
        <f>IF($A20="",0,SUMIFS(Buchungen!$F$4:$F$1003,Buchungen!$B$4:$B$1003,$B$3,Buchungen!$C$4:$C$1003,H$4,Buchungen!$D$4:$D$1003,$A20))</f>
        <v/>
      </c>
      <c r="I20" s="39">
        <f>IF($A20="",0,SUMIFS(Buchungen!$F$4:$F$1003,Buchungen!$B$4:$B$1003,$B$3,Buchungen!$C$4:$C$1003,I$4,Buchungen!$D$4:$D$1003,$A20))</f>
        <v/>
      </c>
      <c r="J20" s="39">
        <f>IF($A20="",0,SUMIFS(Buchungen!$F$4:$F$1003,Buchungen!$B$4:$B$1003,$B$3,Buchungen!$C$4:$C$1003,J$4,Buchungen!$D$4:$D$1003,$A20))</f>
        <v/>
      </c>
      <c r="K20" s="39">
        <f>IF($A20="",0,SUMIFS(Buchungen!$F$4:$F$1003,Buchungen!$B$4:$B$1003,$B$3,Buchungen!$C$4:$C$1003,K$4,Buchungen!$D$4:$D$1003,$A20))</f>
        <v/>
      </c>
      <c r="L20" s="39">
        <f>IF($A20="",0,SUMIFS(Buchungen!$F$4:$F$1003,Buchungen!$B$4:$B$1003,$B$3,Buchungen!$C$4:$C$1003,L$4,Buchungen!$D$4:$D$1003,$A20))</f>
        <v/>
      </c>
      <c r="M20" s="39">
        <f>IF($A20="",0,SUMIFS(Buchungen!$F$4:$F$1003,Buchungen!$B$4:$B$1003,$B$3,Buchungen!$C$4:$C$1003,M$4,Buchungen!$D$4:$D$1003,$A20))</f>
        <v/>
      </c>
      <c r="N20" s="39">
        <f>IF($A20="",0,SUMIFS(Buchungen!$F$4:$F$1003,Buchungen!$B$4:$B$1003,$B$3,Buchungen!$C$4:$C$1003,N$4,Buchungen!$D$4:$D$1003,$A20))</f>
        <v/>
      </c>
      <c r="O20" s="11">
        <f>SUM($C20:$N20)</f>
        <v/>
      </c>
      <c r="P20" s="11">
        <f>IFERROR(AVERAGEIF($C20:$N20,"&lt;&gt;0"),0)</f>
        <v/>
      </c>
      <c r="Q20" s="13">
        <f>IF(Einstellungen!$C18="",0,Einstellungen!$C18)</f>
        <v/>
      </c>
      <c r="R20" s="11">
        <f>$Q20-$P20</f>
        <v/>
      </c>
      <c r="S20" s="11">
        <f>IF($B20="Ausgabe",$O20,0)</f>
        <v/>
      </c>
    </row>
    <row r="21" ht="15" customHeight="1" s="52">
      <c r="A21" s="14">
        <f>IF(Einstellungen!$A19="","",Einstellungen!$A19)</f>
        <v/>
      </c>
      <c r="B21" s="14">
        <f>IF(Einstellungen!$B19="","",Einstellungen!$B19)</f>
        <v/>
      </c>
      <c r="C21" s="39">
        <f>IF($A21="",0,SUMIFS(Buchungen!$F$4:$F$1003,Buchungen!$B$4:$B$1003,$B$3,Buchungen!$C$4:$C$1003,C$4,Buchungen!$D$4:$D$1003,$A21))</f>
        <v/>
      </c>
      <c r="D21" s="39">
        <f>IF($A21="",0,SUMIFS(Buchungen!$F$4:$F$1003,Buchungen!$B$4:$B$1003,$B$3,Buchungen!$C$4:$C$1003,D$4,Buchungen!$D$4:$D$1003,$A21))</f>
        <v/>
      </c>
      <c r="E21" s="39">
        <f>IF($A21="",0,SUMIFS(Buchungen!$F$4:$F$1003,Buchungen!$B$4:$B$1003,$B$3,Buchungen!$C$4:$C$1003,E$4,Buchungen!$D$4:$D$1003,$A21))</f>
        <v/>
      </c>
      <c r="F21" s="39">
        <f>IF($A21="",0,SUMIFS(Buchungen!$F$4:$F$1003,Buchungen!$B$4:$B$1003,$B$3,Buchungen!$C$4:$C$1003,F$4,Buchungen!$D$4:$D$1003,$A21))</f>
        <v/>
      </c>
      <c r="G21" s="39">
        <f>IF($A21="",0,SUMIFS(Buchungen!$F$4:$F$1003,Buchungen!$B$4:$B$1003,$B$3,Buchungen!$C$4:$C$1003,G$4,Buchungen!$D$4:$D$1003,$A21))</f>
        <v/>
      </c>
      <c r="H21" s="39">
        <f>IF($A21="",0,SUMIFS(Buchungen!$F$4:$F$1003,Buchungen!$B$4:$B$1003,$B$3,Buchungen!$C$4:$C$1003,H$4,Buchungen!$D$4:$D$1003,$A21))</f>
        <v/>
      </c>
      <c r="I21" s="39">
        <f>IF($A21="",0,SUMIFS(Buchungen!$F$4:$F$1003,Buchungen!$B$4:$B$1003,$B$3,Buchungen!$C$4:$C$1003,I$4,Buchungen!$D$4:$D$1003,$A21))</f>
        <v/>
      </c>
      <c r="J21" s="39">
        <f>IF($A21="",0,SUMIFS(Buchungen!$F$4:$F$1003,Buchungen!$B$4:$B$1003,$B$3,Buchungen!$C$4:$C$1003,J$4,Buchungen!$D$4:$D$1003,$A21))</f>
        <v/>
      </c>
      <c r="K21" s="39">
        <f>IF($A21="",0,SUMIFS(Buchungen!$F$4:$F$1003,Buchungen!$B$4:$B$1003,$B$3,Buchungen!$C$4:$C$1003,K$4,Buchungen!$D$4:$D$1003,$A21))</f>
        <v/>
      </c>
      <c r="L21" s="39">
        <f>IF($A21="",0,SUMIFS(Buchungen!$F$4:$F$1003,Buchungen!$B$4:$B$1003,$B$3,Buchungen!$C$4:$C$1003,L$4,Buchungen!$D$4:$D$1003,$A21))</f>
        <v/>
      </c>
      <c r="M21" s="39">
        <f>IF($A21="",0,SUMIFS(Buchungen!$F$4:$F$1003,Buchungen!$B$4:$B$1003,$B$3,Buchungen!$C$4:$C$1003,M$4,Buchungen!$D$4:$D$1003,$A21))</f>
        <v/>
      </c>
      <c r="N21" s="39">
        <f>IF($A21="",0,SUMIFS(Buchungen!$F$4:$F$1003,Buchungen!$B$4:$B$1003,$B$3,Buchungen!$C$4:$C$1003,N$4,Buchungen!$D$4:$D$1003,$A21))</f>
        <v/>
      </c>
      <c r="O21" s="11">
        <f>SUM($C21:$N21)</f>
        <v/>
      </c>
      <c r="P21" s="11">
        <f>IFERROR(AVERAGEIF($C21:$N21,"&lt;&gt;0"),0)</f>
        <v/>
      </c>
      <c r="Q21" s="13">
        <f>IF(Einstellungen!$C19="",0,Einstellungen!$C19)</f>
        <v/>
      </c>
      <c r="R21" s="11">
        <f>$Q21-$P21</f>
        <v/>
      </c>
      <c r="S21" s="11">
        <f>IF($B21="Ausgabe",$O21,0)</f>
        <v/>
      </c>
    </row>
    <row r="22" ht="15" customHeight="1" s="52">
      <c r="A22" s="14">
        <f>IF(Einstellungen!$A20="","",Einstellungen!$A20)</f>
        <v/>
      </c>
      <c r="B22" s="14">
        <f>IF(Einstellungen!$B20="","",Einstellungen!$B20)</f>
        <v/>
      </c>
      <c r="C22" s="39">
        <f>IF($A22="",0,SUMIFS(Buchungen!$F$4:$F$1003,Buchungen!$B$4:$B$1003,$B$3,Buchungen!$C$4:$C$1003,C$4,Buchungen!$D$4:$D$1003,$A22))</f>
        <v/>
      </c>
      <c r="D22" s="39">
        <f>IF($A22="",0,SUMIFS(Buchungen!$F$4:$F$1003,Buchungen!$B$4:$B$1003,$B$3,Buchungen!$C$4:$C$1003,D$4,Buchungen!$D$4:$D$1003,$A22))</f>
        <v/>
      </c>
      <c r="E22" s="39">
        <f>IF($A22="",0,SUMIFS(Buchungen!$F$4:$F$1003,Buchungen!$B$4:$B$1003,$B$3,Buchungen!$C$4:$C$1003,E$4,Buchungen!$D$4:$D$1003,$A22))</f>
        <v/>
      </c>
      <c r="F22" s="39">
        <f>IF($A22="",0,SUMIFS(Buchungen!$F$4:$F$1003,Buchungen!$B$4:$B$1003,$B$3,Buchungen!$C$4:$C$1003,F$4,Buchungen!$D$4:$D$1003,$A22))</f>
        <v/>
      </c>
      <c r="G22" s="39">
        <f>IF($A22="",0,SUMIFS(Buchungen!$F$4:$F$1003,Buchungen!$B$4:$B$1003,$B$3,Buchungen!$C$4:$C$1003,G$4,Buchungen!$D$4:$D$1003,$A22))</f>
        <v/>
      </c>
      <c r="H22" s="39">
        <f>IF($A22="",0,SUMIFS(Buchungen!$F$4:$F$1003,Buchungen!$B$4:$B$1003,$B$3,Buchungen!$C$4:$C$1003,H$4,Buchungen!$D$4:$D$1003,$A22))</f>
        <v/>
      </c>
      <c r="I22" s="39">
        <f>IF($A22="",0,SUMIFS(Buchungen!$F$4:$F$1003,Buchungen!$B$4:$B$1003,$B$3,Buchungen!$C$4:$C$1003,I$4,Buchungen!$D$4:$D$1003,$A22))</f>
        <v/>
      </c>
      <c r="J22" s="39">
        <f>IF($A22="",0,SUMIFS(Buchungen!$F$4:$F$1003,Buchungen!$B$4:$B$1003,$B$3,Buchungen!$C$4:$C$1003,J$4,Buchungen!$D$4:$D$1003,$A22))</f>
        <v/>
      </c>
      <c r="K22" s="39">
        <f>IF($A22="",0,SUMIFS(Buchungen!$F$4:$F$1003,Buchungen!$B$4:$B$1003,$B$3,Buchungen!$C$4:$C$1003,K$4,Buchungen!$D$4:$D$1003,$A22))</f>
        <v/>
      </c>
      <c r="L22" s="39">
        <f>IF($A22="",0,SUMIFS(Buchungen!$F$4:$F$1003,Buchungen!$B$4:$B$1003,$B$3,Buchungen!$C$4:$C$1003,L$4,Buchungen!$D$4:$D$1003,$A22))</f>
        <v/>
      </c>
      <c r="M22" s="39">
        <f>IF($A22="",0,SUMIFS(Buchungen!$F$4:$F$1003,Buchungen!$B$4:$B$1003,$B$3,Buchungen!$C$4:$C$1003,M$4,Buchungen!$D$4:$D$1003,$A22))</f>
        <v/>
      </c>
      <c r="N22" s="39">
        <f>IF($A22="",0,SUMIFS(Buchungen!$F$4:$F$1003,Buchungen!$B$4:$B$1003,$B$3,Buchungen!$C$4:$C$1003,N$4,Buchungen!$D$4:$D$1003,$A22))</f>
        <v/>
      </c>
      <c r="O22" s="11">
        <f>SUM($C22:$N22)</f>
        <v/>
      </c>
      <c r="P22" s="11">
        <f>IFERROR(AVERAGEIF($C22:$N22,"&lt;&gt;0"),0)</f>
        <v/>
      </c>
      <c r="Q22" s="13">
        <f>IF(Einstellungen!$C20="",0,Einstellungen!$C20)</f>
        <v/>
      </c>
      <c r="R22" s="11">
        <f>$Q22-$P22</f>
        <v/>
      </c>
      <c r="S22" s="11">
        <f>IF($B22="Ausgabe",$O22,0)</f>
        <v/>
      </c>
    </row>
    <row r="23" ht="15" customHeight="1" s="52">
      <c r="A23" s="14">
        <f>IF(Einstellungen!$A21="","",Einstellungen!$A21)</f>
        <v/>
      </c>
      <c r="B23" s="14">
        <f>IF(Einstellungen!$B21="","",Einstellungen!$B21)</f>
        <v/>
      </c>
      <c r="C23" s="39">
        <f>IF($A23="",0,SUMIFS(Buchungen!$F$4:$F$1003,Buchungen!$B$4:$B$1003,$B$3,Buchungen!$C$4:$C$1003,C$4,Buchungen!$D$4:$D$1003,$A23))</f>
        <v/>
      </c>
      <c r="D23" s="39">
        <f>IF($A23="",0,SUMIFS(Buchungen!$F$4:$F$1003,Buchungen!$B$4:$B$1003,$B$3,Buchungen!$C$4:$C$1003,D$4,Buchungen!$D$4:$D$1003,$A23))</f>
        <v/>
      </c>
      <c r="E23" s="39">
        <f>IF($A23="",0,SUMIFS(Buchungen!$F$4:$F$1003,Buchungen!$B$4:$B$1003,$B$3,Buchungen!$C$4:$C$1003,E$4,Buchungen!$D$4:$D$1003,$A23))</f>
        <v/>
      </c>
      <c r="F23" s="39">
        <f>IF($A23="",0,SUMIFS(Buchungen!$F$4:$F$1003,Buchungen!$B$4:$B$1003,$B$3,Buchungen!$C$4:$C$1003,F$4,Buchungen!$D$4:$D$1003,$A23))</f>
        <v/>
      </c>
      <c r="G23" s="39">
        <f>IF($A23="",0,SUMIFS(Buchungen!$F$4:$F$1003,Buchungen!$B$4:$B$1003,$B$3,Buchungen!$C$4:$C$1003,G$4,Buchungen!$D$4:$D$1003,$A23))</f>
        <v/>
      </c>
      <c r="H23" s="39">
        <f>IF($A23="",0,SUMIFS(Buchungen!$F$4:$F$1003,Buchungen!$B$4:$B$1003,$B$3,Buchungen!$C$4:$C$1003,H$4,Buchungen!$D$4:$D$1003,$A23))</f>
        <v/>
      </c>
      <c r="I23" s="39">
        <f>IF($A23="",0,SUMIFS(Buchungen!$F$4:$F$1003,Buchungen!$B$4:$B$1003,$B$3,Buchungen!$C$4:$C$1003,I$4,Buchungen!$D$4:$D$1003,$A23))</f>
        <v/>
      </c>
      <c r="J23" s="39">
        <f>IF($A23="",0,SUMIFS(Buchungen!$F$4:$F$1003,Buchungen!$B$4:$B$1003,$B$3,Buchungen!$C$4:$C$1003,J$4,Buchungen!$D$4:$D$1003,$A23))</f>
        <v/>
      </c>
      <c r="K23" s="39">
        <f>IF($A23="",0,SUMIFS(Buchungen!$F$4:$F$1003,Buchungen!$B$4:$B$1003,$B$3,Buchungen!$C$4:$C$1003,K$4,Buchungen!$D$4:$D$1003,$A23))</f>
        <v/>
      </c>
      <c r="L23" s="39">
        <f>IF($A23="",0,SUMIFS(Buchungen!$F$4:$F$1003,Buchungen!$B$4:$B$1003,$B$3,Buchungen!$C$4:$C$1003,L$4,Buchungen!$D$4:$D$1003,$A23))</f>
        <v/>
      </c>
      <c r="M23" s="39">
        <f>IF($A23="",0,SUMIFS(Buchungen!$F$4:$F$1003,Buchungen!$B$4:$B$1003,$B$3,Buchungen!$C$4:$C$1003,M$4,Buchungen!$D$4:$D$1003,$A23))</f>
        <v/>
      </c>
      <c r="N23" s="39">
        <f>IF($A23="",0,SUMIFS(Buchungen!$F$4:$F$1003,Buchungen!$B$4:$B$1003,$B$3,Buchungen!$C$4:$C$1003,N$4,Buchungen!$D$4:$D$1003,$A23))</f>
        <v/>
      </c>
      <c r="O23" s="11">
        <f>SUM($C23:$N23)</f>
        <v/>
      </c>
      <c r="P23" s="11">
        <f>IFERROR(AVERAGEIF($C23:$N23,"&lt;&gt;0"),0)</f>
        <v/>
      </c>
      <c r="Q23" s="13">
        <f>IF(Einstellungen!$C21="",0,Einstellungen!$C21)</f>
        <v/>
      </c>
      <c r="R23" s="11">
        <f>$Q23-$P23</f>
        <v/>
      </c>
      <c r="S23" s="11">
        <f>IF($B23="Ausgabe",$O23,0)</f>
        <v/>
      </c>
    </row>
    <row r="24" ht="15" customHeight="1" s="52">
      <c r="A24" s="14">
        <f>IF(Einstellungen!$A22="","",Einstellungen!$A22)</f>
        <v/>
      </c>
      <c r="B24" s="14">
        <f>IF(Einstellungen!$B22="","",Einstellungen!$B22)</f>
        <v/>
      </c>
      <c r="C24" s="39">
        <f>IF($A24="",0,SUMIFS(Buchungen!$F$4:$F$1003,Buchungen!$B$4:$B$1003,$B$3,Buchungen!$C$4:$C$1003,C$4,Buchungen!$D$4:$D$1003,$A24))</f>
        <v/>
      </c>
      <c r="D24" s="39">
        <f>IF($A24="",0,SUMIFS(Buchungen!$F$4:$F$1003,Buchungen!$B$4:$B$1003,$B$3,Buchungen!$C$4:$C$1003,D$4,Buchungen!$D$4:$D$1003,$A24))</f>
        <v/>
      </c>
      <c r="E24" s="39">
        <f>IF($A24="",0,SUMIFS(Buchungen!$F$4:$F$1003,Buchungen!$B$4:$B$1003,$B$3,Buchungen!$C$4:$C$1003,E$4,Buchungen!$D$4:$D$1003,$A24))</f>
        <v/>
      </c>
      <c r="F24" s="39">
        <f>IF($A24="",0,SUMIFS(Buchungen!$F$4:$F$1003,Buchungen!$B$4:$B$1003,$B$3,Buchungen!$C$4:$C$1003,F$4,Buchungen!$D$4:$D$1003,$A24))</f>
        <v/>
      </c>
      <c r="G24" s="39">
        <f>IF($A24="",0,SUMIFS(Buchungen!$F$4:$F$1003,Buchungen!$B$4:$B$1003,$B$3,Buchungen!$C$4:$C$1003,G$4,Buchungen!$D$4:$D$1003,$A24))</f>
        <v/>
      </c>
      <c r="H24" s="39">
        <f>IF($A24="",0,SUMIFS(Buchungen!$F$4:$F$1003,Buchungen!$B$4:$B$1003,$B$3,Buchungen!$C$4:$C$1003,H$4,Buchungen!$D$4:$D$1003,$A24))</f>
        <v/>
      </c>
      <c r="I24" s="39">
        <f>IF($A24="",0,SUMIFS(Buchungen!$F$4:$F$1003,Buchungen!$B$4:$B$1003,$B$3,Buchungen!$C$4:$C$1003,I$4,Buchungen!$D$4:$D$1003,$A24))</f>
        <v/>
      </c>
      <c r="J24" s="39">
        <f>IF($A24="",0,SUMIFS(Buchungen!$F$4:$F$1003,Buchungen!$B$4:$B$1003,$B$3,Buchungen!$C$4:$C$1003,J$4,Buchungen!$D$4:$D$1003,$A24))</f>
        <v/>
      </c>
      <c r="K24" s="39">
        <f>IF($A24="",0,SUMIFS(Buchungen!$F$4:$F$1003,Buchungen!$B$4:$B$1003,$B$3,Buchungen!$C$4:$C$1003,K$4,Buchungen!$D$4:$D$1003,$A24))</f>
        <v/>
      </c>
      <c r="L24" s="39">
        <f>IF($A24="",0,SUMIFS(Buchungen!$F$4:$F$1003,Buchungen!$B$4:$B$1003,$B$3,Buchungen!$C$4:$C$1003,L$4,Buchungen!$D$4:$D$1003,$A24))</f>
        <v/>
      </c>
      <c r="M24" s="39">
        <f>IF($A24="",0,SUMIFS(Buchungen!$F$4:$F$1003,Buchungen!$B$4:$B$1003,$B$3,Buchungen!$C$4:$C$1003,M$4,Buchungen!$D$4:$D$1003,$A24))</f>
        <v/>
      </c>
      <c r="N24" s="39">
        <f>IF($A24="",0,SUMIFS(Buchungen!$F$4:$F$1003,Buchungen!$B$4:$B$1003,$B$3,Buchungen!$C$4:$C$1003,N$4,Buchungen!$D$4:$D$1003,$A24))</f>
        <v/>
      </c>
      <c r="O24" s="11">
        <f>SUM($C24:$N24)</f>
        <v/>
      </c>
      <c r="P24" s="11">
        <f>IFERROR(AVERAGEIF($C24:$N24,"&lt;&gt;0"),0)</f>
        <v/>
      </c>
      <c r="Q24" s="13">
        <f>IF(Einstellungen!$C22="",0,Einstellungen!$C22)</f>
        <v/>
      </c>
      <c r="R24" s="11">
        <f>$Q24-$P24</f>
        <v/>
      </c>
      <c r="S24" s="11">
        <f>IF($B24="Ausgabe",$O24,0)</f>
        <v/>
      </c>
    </row>
    <row r="25" ht="15" customHeight="1" s="52">
      <c r="A25" s="14">
        <f>IF(Einstellungen!$A23="","",Einstellungen!$A23)</f>
        <v/>
      </c>
      <c r="B25" s="14">
        <f>IF(Einstellungen!$B23="","",Einstellungen!$B23)</f>
        <v/>
      </c>
      <c r="C25" s="39">
        <f>IF($A25="",0,SUMIFS(Buchungen!$F$4:$F$1003,Buchungen!$B$4:$B$1003,$B$3,Buchungen!$C$4:$C$1003,C$4,Buchungen!$D$4:$D$1003,$A25))</f>
        <v/>
      </c>
      <c r="D25" s="39">
        <f>IF($A25="",0,SUMIFS(Buchungen!$F$4:$F$1003,Buchungen!$B$4:$B$1003,$B$3,Buchungen!$C$4:$C$1003,D$4,Buchungen!$D$4:$D$1003,$A25))</f>
        <v/>
      </c>
      <c r="E25" s="39">
        <f>IF($A25="",0,SUMIFS(Buchungen!$F$4:$F$1003,Buchungen!$B$4:$B$1003,$B$3,Buchungen!$C$4:$C$1003,E$4,Buchungen!$D$4:$D$1003,$A25))</f>
        <v/>
      </c>
      <c r="F25" s="39">
        <f>IF($A25="",0,SUMIFS(Buchungen!$F$4:$F$1003,Buchungen!$B$4:$B$1003,$B$3,Buchungen!$C$4:$C$1003,F$4,Buchungen!$D$4:$D$1003,$A25))</f>
        <v/>
      </c>
      <c r="G25" s="39">
        <f>IF($A25="",0,SUMIFS(Buchungen!$F$4:$F$1003,Buchungen!$B$4:$B$1003,$B$3,Buchungen!$C$4:$C$1003,G$4,Buchungen!$D$4:$D$1003,$A25))</f>
        <v/>
      </c>
      <c r="H25" s="39">
        <f>IF($A25="",0,SUMIFS(Buchungen!$F$4:$F$1003,Buchungen!$B$4:$B$1003,$B$3,Buchungen!$C$4:$C$1003,H$4,Buchungen!$D$4:$D$1003,$A25))</f>
        <v/>
      </c>
      <c r="I25" s="39">
        <f>IF($A25="",0,SUMIFS(Buchungen!$F$4:$F$1003,Buchungen!$B$4:$B$1003,$B$3,Buchungen!$C$4:$C$1003,I$4,Buchungen!$D$4:$D$1003,$A25))</f>
        <v/>
      </c>
      <c r="J25" s="39">
        <f>IF($A25="",0,SUMIFS(Buchungen!$F$4:$F$1003,Buchungen!$B$4:$B$1003,$B$3,Buchungen!$C$4:$C$1003,J$4,Buchungen!$D$4:$D$1003,$A25))</f>
        <v/>
      </c>
      <c r="K25" s="39">
        <f>IF($A25="",0,SUMIFS(Buchungen!$F$4:$F$1003,Buchungen!$B$4:$B$1003,$B$3,Buchungen!$C$4:$C$1003,K$4,Buchungen!$D$4:$D$1003,$A25))</f>
        <v/>
      </c>
      <c r="L25" s="39">
        <f>IF($A25="",0,SUMIFS(Buchungen!$F$4:$F$1003,Buchungen!$B$4:$B$1003,$B$3,Buchungen!$C$4:$C$1003,L$4,Buchungen!$D$4:$D$1003,$A25))</f>
        <v/>
      </c>
      <c r="M25" s="39">
        <f>IF($A25="",0,SUMIFS(Buchungen!$F$4:$F$1003,Buchungen!$B$4:$B$1003,$B$3,Buchungen!$C$4:$C$1003,M$4,Buchungen!$D$4:$D$1003,$A25))</f>
        <v/>
      </c>
      <c r="N25" s="39">
        <f>IF($A25="",0,SUMIFS(Buchungen!$F$4:$F$1003,Buchungen!$B$4:$B$1003,$B$3,Buchungen!$C$4:$C$1003,N$4,Buchungen!$D$4:$D$1003,$A25))</f>
        <v/>
      </c>
      <c r="O25" s="11">
        <f>SUM($C25:$N25)</f>
        <v/>
      </c>
      <c r="P25" s="11">
        <f>IFERROR(AVERAGEIF($C25:$N25,"&lt;&gt;0"),0)</f>
        <v/>
      </c>
      <c r="Q25" s="13">
        <f>IF(Einstellungen!$C23="",0,Einstellungen!$C23)</f>
        <v/>
      </c>
      <c r="R25" s="11">
        <f>$Q25-$P25</f>
        <v/>
      </c>
      <c r="S25" s="11">
        <f>IF($B25="Ausgabe",$O25,0)</f>
        <v/>
      </c>
    </row>
    <row r="26" ht="15" customHeight="1" s="52">
      <c r="A26" s="14">
        <f>IF(Einstellungen!$A24="","",Einstellungen!$A24)</f>
        <v/>
      </c>
      <c r="B26" s="14">
        <f>IF(Einstellungen!$B24="","",Einstellungen!$B24)</f>
        <v/>
      </c>
      <c r="C26" s="39">
        <f>IF($A26="",0,SUMIFS(Buchungen!$F$4:$F$1003,Buchungen!$B$4:$B$1003,$B$3,Buchungen!$C$4:$C$1003,C$4,Buchungen!$D$4:$D$1003,$A26))</f>
        <v/>
      </c>
      <c r="D26" s="39">
        <f>IF($A26="",0,SUMIFS(Buchungen!$F$4:$F$1003,Buchungen!$B$4:$B$1003,$B$3,Buchungen!$C$4:$C$1003,D$4,Buchungen!$D$4:$D$1003,$A26))</f>
        <v/>
      </c>
      <c r="E26" s="39">
        <f>IF($A26="",0,SUMIFS(Buchungen!$F$4:$F$1003,Buchungen!$B$4:$B$1003,$B$3,Buchungen!$C$4:$C$1003,E$4,Buchungen!$D$4:$D$1003,$A26))</f>
        <v/>
      </c>
      <c r="F26" s="39">
        <f>IF($A26="",0,SUMIFS(Buchungen!$F$4:$F$1003,Buchungen!$B$4:$B$1003,$B$3,Buchungen!$C$4:$C$1003,F$4,Buchungen!$D$4:$D$1003,$A26))</f>
        <v/>
      </c>
      <c r="G26" s="39">
        <f>IF($A26="",0,SUMIFS(Buchungen!$F$4:$F$1003,Buchungen!$B$4:$B$1003,$B$3,Buchungen!$C$4:$C$1003,G$4,Buchungen!$D$4:$D$1003,$A26))</f>
        <v/>
      </c>
      <c r="H26" s="39">
        <f>IF($A26="",0,SUMIFS(Buchungen!$F$4:$F$1003,Buchungen!$B$4:$B$1003,$B$3,Buchungen!$C$4:$C$1003,H$4,Buchungen!$D$4:$D$1003,$A26))</f>
        <v/>
      </c>
      <c r="I26" s="39">
        <f>IF($A26="",0,SUMIFS(Buchungen!$F$4:$F$1003,Buchungen!$B$4:$B$1003,$B$3,Buchungen!$C$4:$C$1003,I$4,Buchungen!$D$4:$D$1003,$A26))</f>
        <v/>
      </c>
      <c r="J26" s="39">
        <f>IF($A26="",0,SUMIFS(Buchungen!$F$4:$F$1003,Buchungen!$B$4:$B$1003,$B$3,Buchungen!$C$4:$C$1003,J$4,Buchungen!$D$4:$D$1003,$A26))</f>
        <v/>
      </c>
      <c r="K26" s="39">
        <f>IF($A26="",0,SUMIFS(Buchungen!$F$4:$F$1003,Buchungen!$B$4:$B$1003,$B$3,Buchungen!$C$4:$C$1003,K$4,Buchungen!$D$4:$D$1003,$A26))</f>
        <v/>
      </c>
      <c r="L26" s="39">
        <f>IF($A26="",0,SUMIFS(Buchungen!$F$4:$F$1003,Buchungen!$B$4:$B$1003,$B$3,Buchungen!$C$4:$C$1003,L$4,Buchungen!$D$4:$D$1003,$A26))</f>
        <v/>
      </c>
      <c r="M26" s="39">
        <f>IF($A26="",0,SUMIFS(Buchungen!$F$4:$F$1003,Buchungen!$B$4:$B$1003,$B$3,Buchungen!$C$4:$C$1003,M$4,Buchungen!$D$4:$D$1003,$A26))</f>
        <v/>
      </c>
      <c r="N26" s="39">
        <f>IF($A26="",0,SUMIFS(Buchungen!$F$4:$F$1003,Buchungen!$B$4:$B$1003,$B$3,Buchungen!$C$4:$C$1003,N$4,Buchungen!$D$4:$D$1003,$A26))</f>
        <v/>
      </c>
      <c r="O26" s="11">
        <f>SUM($C26:$N26)</f>
        <v/>
      </c>
      <c r="P26" s="11">
        <f>IFERROR(AVERAGEIF($C26:$N26,"&lt;&gt;0"),0)</f>
        <v/>
      </c>
      <c r="Q26" s="13">
        <f>IF(Einstellungen!$C24="",0,Einstellungen!$C24)</f>
        <v/>
      </c>
      <c r="R26" s="11">
        <f>$Q26-$P26</f>
        <v/>
      </c>
      <c r="S26" s="11">
        <f>IF($B26="Ausgabe",$O26,0)</f>
        <v/>
      </c>
    </row>
    <row r="27" ht="15" customHeight="1" s="52">
      <c r="A27" s="14">
        <f>IF(Einstellungen!$A25="","",Einstellungen!$A25)</f>
        <v/>
      </c>
      <c r="B27" s="14">
        <f>IF(Einstellungen!$B25="","",Einstellungen!$B25)</f>
        <v/>
      </c>
      <c r="C27" s="39">
        <f>IF($A27="",0,SUMIFS(Buchungen!$F$4:$F$1003,Buchungen!$B$4:$B$1003,$B$3,Buchungen!$C$4:$C$1003,C$4,Buchungen!$D$4:$D$1003,$A27))</f>
        <v/>
      </c>
      <c r="D27" s="39">
        <f>IF($A27="",0,SUMIFS(Buchungen!$F$4:$F$1003,Buchungen!$B$4:$B$1003,$B$3,Buchungen!$C$4:$C$1003,D$4,Buchungen!$D$4:$D$1003,$A27))</f>
        <v/>
      </c>
      <c r="E27" s="39">
        <f>IF($A27="",0,SUMIFS(Buchungen!$F$4:$F$1003,Buchungen!$B$4:$B$1003,$B$3,Buchungen!$C$4:$C$1003,E$4,Buchungen!$D$4:$D$1003,$A27))</f>
        <v/>
      </c>
      <c r="F27" s="39">
        <f>IF($A27="",0,SUMIFS(Buchungen!$F$4:$F$1003,Buchungen!$B$4:$B$1003,$B$3,Buchungen!$C$4:$C$1003,F$4,Buchungen!$D$4:$D$1003,$A27))</f>
        <v/>
      </c>
      <c r="G27" s="39">
        <f>IF($A27="",0,SUMIFS(Buchungen!$F$4:$F$1003,Buchungen!$B$4:$B$1003,$B$3,Buchungen!$C$4:$C$1003,G$4,Buchungen!$D$4:$D$1003,$A27))</f>
        <v/>
      </c>
      <c r="H27" s="39">
        <f>IF($A27="",0,SUMIFS(Buchungen!$F$4:$F$1003,Buchungen!$B$4:$B$1003,$B$3,Buchungen!$C$4:$C$1003,H$4,Buchungen!$D$4:$D$1003,$A27))</f>
        <v/>
      </c>
      <c r="I27" s="39">
        <f>IF($A27="",0,SUMIFS(Buchungen!$F$4:$F$1003,Buchungen!$B$4:$B$1003,$B$3,Buchungen!$C$4:$C$1003,I$4,Buchungen!$D$4:$D$1003,$A27))</f>
        <v/>
      </c>
      <c r="J27" s="39">
        <f>IF($A27="",0,SUMIFS(Buchungen!$F$4:$F$1003,Buchungen!$B$4:$B$1003,$B$3,Buchungen!$C$4:$C$1003,J$4,Buchungen!$D$4:$D$1003,$A27))</f>
        <v/>
      </c>
      <c r="K27" s="39">
        <f>IF($A27="",0,SUMIFS(Buchungen!$F$4:$F$1003,Buchungen!$B$4:$B$1003,$B$3,Buchungen!$C$4:$C$1003,K$4,Buchungen!$D$4:$D$1003,$A27))</f>
        <v/>
      </c>
      <c r="L27" s="39">
        <f>IF($A27="",0,SUMIFS(Buchungen!$F$4:$F$1003,Buchungen!$B$4:$B$1003,$B$3,Buchungen!$C$4:$C$1003,L$4,Buchungen!$D$4:$D$1003,$A27))</f>
        <v/>
      </c>
      <c r="M27" s="39">
        <f>IF($A27="",0,SUMIFS(Buchungen!$F$4:$F$1003,Buchungen!$B$4:$B$1003,$B$3,Buchungen!$C$4:$C$1003,M$4,Buchungen!$D$4:$D$1003,$A27))</f>
        <v/>
      </c>
      <c r="N27" s="39">
        <f>IF($A27="",0,SUMIFS(Buchungen!$F$4:$F$1003,Buchungen!$B$4:$B$1003,$B$3,Buchungen!$C$4:$C$1003,N$4,Buchungen!$D$4:$D$1003,$A27))</f>
        <v/>
      </c>
      <c r="O27" s="11">
        <f>SUM($C27:$N27)</f>
        <v/>
      </c>
      <c r="P27" s="11">
        <f>IFERROR(AVERAGEIF($C27:$N27,"&lt;&gt;0"),0)</f>
        <v/>
      </c>
      <c r="Q27" s="13">
        <f>IF(Einstellungen!$C25="",0,Einstellungen!$C25)</f>
        <v/>
      </c>
      <c r="R27" s="11">
        <f>$Q27-$P27</f>
        <v/>
      </c>
      <c r="S27" s="11">
        <f>IF($B27="Ausgabe",$O27,0)</f>
        <v/>
      </c>
    </row>
    <row r="28" ht="15" customHeight="1" s="52">
      <c r="A28" s="14">
        <f>IF(Einstellungen!$A26="","",Einstellungen!$A26)</f>
        <v/>
      </c>
      <c r="B28" s="14">
        <f>IF(Einstellungen!$B26="","",Einstellungen!$B26)</f>
        <v/>
      </c>
      <c r="C28" s="39">
        <f>IF($A28="",0,SUMIFS(Buchungen!$F$4:$F$1003,Buchungen!$B$4:$B$1003,$B$3,Buchungen!$C$4:$C$1003,C$4,Buchungen!$D$4:$D$1003,$A28))</f>
        <v/>
      </c>
      <c r="D28" s="39">
        <f>IF($A28="",0,SUMIFS(Buchungen!$F$4:$F$1003,Buchungen!$B$4:$B$1003,$B$3,Buchungen!$C$4:$C$1003,D$4,Buchungen!$D$4:$D$1003,$A28))</f>
        <v/>
      </c>
      <c r="E28" s="39">
        <f>IF($A28="",0,SUMIFS(Buchungen!$F$4:$F$1003,Buchungen!$B$4:$B$1003,$B$3,Buchungen!$C$4:$C$1003,E$4,Buchungen!$D$4:$D$1003,$A28))</f>
        <v/>
      </c>
      <c r="F28" s="39">
        <f>IF($A28="",0,SUMIFS(Buchungen!$F$4:$F$1003,Buchungen!$B$4:$B$1003,$B$3,Buchungen!$C$4:$C$1003,F$4,Buchungen!$D$4:$D$1003,$A28))</f>
        <v/>
      </c>
      <c r="G28" s="39">
        <f>IF($A28="",0,SUMIFS(Buchungen!$F$4:$F$1003,Buchungen!$B$4:$B$1003,$B$3,Buchungen!$C$4:$C$1003,G$4,Buchungen!$D$4:$D$1003,$A28))</f>
        <v/>
      </c>
      <c r="H28" s="39">
        <f>IF($A28="",0,SUMIFS(Buchungen!$F$4:$F$1003,Buchungen!$B$4:$B$1003,$B$3,Buchungen!$C$4:$C$1003,H$4,Buchungen!$D$4:$D$1003,$A28))</f>
        <v/>
      </c>
      <c r="I28" s="39">
        <f>IF($A28="",0,SUMIFS(Buchungen!$F$4:$F$1003,Buchungen!$B$4:$B$1003,$B$3,Buchungen!$C$4:$C$1003,I$4,Buchungen!$D$4:$D$1003,$A28))</f>
        <v/>
      </c>
      <c r="J28" s="39">
        <f>IF($A28="",0,SUMIFS(Buchungen!$F$4:$F$1003,Buchungen!$B$4:$B$1003,$B$3,Buchungen!$C$4:$C$1003,J$4,Buchungen!$D$4:$D$1003,$A28))</f>
        <v/>
      </c>
      <c r="K28" s="39">
        <f>IF($A28="",0,SUMIFS(Buchungen!$F$4:$F$1003,Buchungen!$B$4:$B$1003,$B$3,Buchungen!$C$4:$C$1003,K$4,Buchungen!$D$4:$D$1003,$A28))</f>
        <v/>
      </c>
      <c r="L28" s="39">
        <f>IF($A28="",0,SUMIFS(Buchungen!$F$4:$F$1003,Buchungen!$B$4:$B$1003,$B$3,Buchungen!$C$4:$C$1003,L$4,Buchungen!$D$4:$D$1003,$A28))</f>
        <v/>
      </c>
      <c r="M28" s="39">
        <f>IF($A28="",0,SUMIFS(Buchungen!$F$4:$F$1003,Buchungen!$B$4:$B$1003,$B$3,Buchungen!$C$4:$C$1003,M$4,Buchungen!$D$4:$D$1003,$A28))</f>
        <v/>
      </c>
      <c r="N28" s="39">
        <f>IF($A28="",0,SUMIFS(Buchungen!$F$4:$F$1003,Buchungen!$B$4:$B$1003,$B$3,Buchungen!$C$4:$C$1003,N$4,Buchungen!$D$4:$D$1003,$A28))</f>
        <v/>
      </c>
      <c r="O28" s="11">
        <f>SUM($C28:$N28)</f>
        <v/>
      </c>
      <c r="P28" s="11">
        <f>IFERROR(AVERAGEIF($C28:$N28,"&lt;&gt;0"),0)</f>
        <v/>
      </c>
      <c r="Q28" s="13">
        <f>IF(Einstellungen!$C26="",0,Einstellungen!$C26)</f>
        <v/>
      </c>
      <c r="R28" s="11">
        <f>$Q28-$P28</f>
        <v/>
      </c>
      <c r="S28" s="11">
        <f>IF($B28="Ausgabe",$O28,0)</f>
        <v/>
      </c>
    </row>
    <row r="29" ht="15" customHeight="1" s="52">
      <c r="A29" s="14">
        <f>IF(Einstellungen!$A27="","",Einstellungen!$A27)</f>
        <v/>
      </c>
      <c r="B29" s="14">
        <f>IF(Einstellungen!$B27="","",Einstellungen!$B27)</f>
        <v/>
      </c>
      <c r="C29" s="39">
        <f>IF($A29="",0,SUMIFS(Buchungen!$F$4:$F$1003,Buchungen!$B$4:$B$1003,$B$3,Buchungen!$C$4:$C$1003,C$4,Buchungen!$D$4:$D$1003,$A29))</f>
        <v/>
      </c>
      <c r="D29" s="39">
        <f>IF($A29="",0,SUMIFS(Buchungen!$F$4:$F$1003,Buchungen!$B$4:$B$1003,$B$3,Buchungen!$C$4:$C$1003,D$4,Buchungen!$D$4:$D$1003,$A29))</f>
        <v/>
      </c>
      <c r="E29" s="39">
        <f>IF($A29="",0,SUMIFS(Buchungen!$F$4:$F$1003,Buchungen!$B$4:$B$1003,$B$3,Buchungen!$C$4:$C$1003,E$4,Buchungen!$D$4:$D$1003,$A29))</f>
        <v/>
      </c>
      <c r="F29" s="39">
        <f>IF($A29="",0,SUMIFS(Buchungen!$F$4:$F$1003,Buchungen!$B$4:$B$1003,$B$3,Buchungen!$C$4:$C$1003,F$4,Buchungen!$D$4:$D$1003,$A29))</f>
        <v/>
      </c>
      <c r="G29" s="39">
        <f>IF($A29="",0,SUMIFS(Buchungen!$F$4:$F$1003,Buchungen!$B$4:$B$1003,$B$3,Buchungen!$C$4:$C$1003,G$4,Buchungen!$D$4:$D$1003,$A29))</f>
        <v/>
      </c>
      <c r="H29" s="39">
        <f>IF($A29="",0,SUMIFS(Buchungen!$F$4:$F$1003,Buchungen!$B$4:$B$1003,$B$3,Buchungen!$C$4:$C$1003,H$4,Buchungen!$D$4:$D$1003,$A29))</f>
        <v/>
      </c>
      <c r="I29" s="39">
        <f>IF($A29="",0,SUMIFS(Buchungen!$F$4:$F$1003,Buchungen!$B$4:$B$1003,$B$3,Buchungen!$C$4:$C$1003,I$4,Buchungen!$D$4:$D$1003,$A29))</f>
        <v/>
      </c>
      <c r="J29" s="39">
        <f>IF($A29="",0,SUMIFS(Buchungen!$F$4:$F$1003,Buchungen!$B$4:$B$1003,$B$3,Buchungen!$C$4:$C$1003,J$4,Buchungen!$D$4:$D$1003,$A29))</f>
        <v/>
      </c>
      <c r="K29" s="39">
        <f>IF($A29="",0,SUMIFS(Buchungen!$F$4:$F$1003,Buchungen!$B$4:$B$1003,$B$3,Buchungen!$C$4:$C$1003,K$4,Buchungen!$D$4:$D$1003,$A29))</f>
        <v/>
      </c>
      <c r="L29" s="39">
        <f>IF($A29="",0,SUMIFS(Buchungen!$F$4:$F$1003,Buchungen!$B$4:$B$1003,$B$3,Buchungen!$C$4:$C$1003,L$4,Buchungen!$D$4:$D$1003,$A29))</f>
        <v/>
      </c>
      <c r="M29" s="39">
        <f>IF($A29="",0,SUMIFS(Buchungen!$F$4:$F$1003,Buchungen!$B$4:$B$1003,$B$3,Buchungen!$C$4:$C$1003,M$4,Buchungen!$D$4:$D$1003,$A29))</f>
        <v/>
      </c>
      <c r="N29" s="39">
        <f>IF($A29="",0,SUMIFS(Buchungen!$F$4:$F$1003,Buchungen!$B$4:$B$1003,$B$3,Buchungen!$C$4:$C$1003,N$4,Buchungen!$D$4:$D$1003,$A29))</f>
        <v/>
      </c>
      <c r="O29" s="11">
        <f>SUM($C29:$N29)</f>
        <v/>
      </c>
      <c r="P29" s="11">
        <f>IFERROR(AVERAGEIF($C29:$N29,"&lt;&gt;0"),0)</f>
        <v/>
      </c>
      <c r="Q29" s="13">
        <f>IF(Einstellungen!$C27="",0,Einstellungen!$C27)</f>
        <v/>
      </c>
      <c r="R29" s="11">
        <f>$Q29-$P29</f>
        <v/>
      </c>
      <c r="S29" s="11">
        <f>IF($B29="Ausgabe",$O29,0)</f>
        <v/>
      </c>
    </row>
    <row r="30" ht="15" customHeight="1" s="52">
      <c r="A30" s="14">
        <f>IF(Einstellungen!$A28="","",Einstellungen!$A28)</f>
        <v/>
      </c>
      <c r="B30" s="14">
        <f>IF(Einstellungen!$B28="","",Einstellungen!$B28)</f>
        <v/>
      </c>
      <c r="C30" s="39">
        <f>IF($A30="",0,SUMIFS(Buchungen!$F$4:$F$1003,Buchungen!$B$4:$B$1003,$B$3,Buchungen!$C$4:$C$1003,C$4,Buchungen!$D$4:$D$1003,$A30))</f>
        <v/>
      </c>
      <c r="D30" s="39">
        <f>IF($A30="",0,SUMIFS(Buchungen!$F$4:$F$1003,Buchungen!$B$4:$B$1003,$B$3,Buchungen!$C$4:$C$1003,D$4,Buchungen!$D$4:$D$1003,$A30))</f>
        <v/>
      </c>
      <c r="E30" s="39">
        <f>IF($A30="",0,SUMIFS(Buchungen!$F$4:$F$1003,Buchungen!$B$4:$B$1003,$B$3,Buchungen!$C$4:$C$1003,E$4,Buchungen!$D$4:$D$1003,$A30))</f>
        <v/>
      </c>
      <c r="F30" s="39">
        <f>IF($A30="",0,SUMIFS(Buchungen!$F$4:$F$1003,Buchungen!$B$4:$B$1003,$B$3,Buchungen!$C$4:$C$1003,F$4,Buchungen!$D$4:$D$1003,$A30))</f>
        <v/>
      </c>
      <c r="G30" s="39">
        <f>IF($A30="",0,SUMIFS(Buchungen!$F$4:$F$1003,Buchungen!$B$4:$B$1003,$B$3,Buchungen!$C$4:$C$1003,G$4,Buchungen!$D$4:$D$1003,$A30))</f>
        <v/>
      </c>
      <c r="H30" s="39">
        <f>IF($A30="",0,SUMIFS(Buchungen!$F$4:$F$1003,Buchungen!$B$4:$B$1003,$B$3,Buchungen!$C$4:$C$1003,H$4,Buchungen!$D$4:$D$1003,$A30))</f>
        <v/>
      </c>
      <c r="I30" s="39">
        <f>IF($A30="",0,SUMIFS(Buchungen!$F$4:$F$1003,Buchungen!$B$4:$B$1003,$B$3,Buchungen!$C$4:$C$1003,I$4,Buchungen!$D$4:$D$1003,$A30))</f>
        <v/>
      </c>
      <c r="J30" s="39">
        <f>IF($A30="",0,SUMIFS(Buchungen!$F$4:$F$1003,Buchungen!$B$4:$B$1003,$B$3,Buchungen!$C$4:$C$1003,J$4,Buchungen!$D$4:$D$1003,$A30))</f>
        <v/>
      </c>
      <c r="K30" s="39">
        <f>IF($A30="",0,SUMIFS(Buchungen!$F$4:$F$1003,Buchungen!$B$4:$B$1003,$B$3,Buchungen!$C$4:$C$1003,K$4,Buchungen!$D$4:$D$1003,$A30))</f>
        <v/>
      </c>
      <c r="L30" s="39">
        <f>IF($A30="",0,SUMIFS(Buchungen!$F$4:$F$1003,Buchungen!$B$4:$B$1003,$B$3,Buchungen!$C$4:$C$1003,L$4,Buchungen!$D$4:$D$1003,$A30))</f>
        <v/>
      </c>
      <c r="M30" s="39">
        <f>IF($A30="",0,SUMIFS(Buchungen!$F$4:$F$1003,Buchungen!$B$4:$B$1003,$B$3,Buchungen!$C$4:$C$1003,M$4,Buchungen!$D$4:$D$1003,$A30))</f>
        <v/>
      </c>
      <c r="N30" s="39">
        <f>IF($A30="",0,SUMIFS(Buchungen!$F$4:$F$1003,Buchungen!$B$4:$B$1003,$B$3,Buchungen!$C$4:$C$1003,N$4,Buchungen!$D$4:$D$1003,$A30))</f>
        <v/>
      </c>
      <c r="O30" s="11">
        <f>SUM($C30:$N30)</f>
        <v/>
      </c>
      <c r="P30" s="11">
        <f>IFERROR(AVERAGEIF($C30:$N30,"&lt;&gt;0"),0)</f>
        <v/>
      </c>
      <c r="Q30" s="13">
        <f>IF(Einstellungen!$C28="",0,Einstellungen!$C28)</f>
        <v/>
      </c>
      <c r="R30" s="11">
        <f>$Q30-$P30</f>
        <v/>
      </c>
      <c r="S30" s="11">
        <f>IF($B30="Ausgabe",$O30,0)</f>
        <v/>
      </c>
    </row>
    <row r="31" ht="15" customHeight="1" s="52">
      <c r="A31" s="14">
        <f>IF(Einstellungen!$A29="","",Einstellungen!$A29)</f>
        <v/>
      </c>
      <c r="B31" s="14">
        <f>IF(Einstellungen!$B29="","",Einstellungen!$B29)</f>
        <v/>
      </c>
      <c r="C31" s="39">
        <f>IF($A31="",0,SUMIFS(Buchungen!$F$4:$F$1003,Buchungen!$B$4:$B$1003,$B$3,Buchungen!$C$4:$C$1003,C$4,Buchungen!$D$4:$D$1003,$A31))</f>
        <v/>
      </c>
      <c r="D31" s="39">
        <f>IF($A31="",0,SUMIFS(Buchungen!$F$4:$F$1003,Buchungen!$B$4:$B$1003,$B$3,Buchungen!$C$4:$C$1003,D$4,Buchungen!$D$4:$D$1003,$A31))</f>
        <v/>
      </c>
      <c r="E31" s="39">
        <f>IF($A31="",0,SUMIFS(Buchungen!$F$4:$F$1003,Buchungen!$B$4:$B$1003,$B$3,Buchungen!$C$4:$C$1003,E$4,Buchungen!$D$4:$D$1003,$A31))</f>
        <v/>
      </c>
      <c r="F31" s="39">
        <f>IF($A31="",0,SUMIFS(Buchungen!$F$4:$F$1003,Buchungen!$B$4:$B$1003,$B$3,Buchungen!$C$4:$C$1003,F$4,Buchungen!$D$4:$D$1003,$A31))</f>
        <v/>
      </c>
      <c r="G31" s="39">
        <f>IF($A31="",0,SUMIFS(Buchungen!$F$4:$F$1003,Buchungen!$B$4:$B$1003,$B$3,Buchungen!$C$4:$C$1003,G$4,Buchungen!$D$4:$D$1003,$A31))</f>
        <v/>
      </c>
      <c r="H31" s="39">
        <f>IF($A31="",0,SUMIFS(Buchungen!$F$4:$F$1003,Buchungen!$B$4:$B$1003,$B$3,Buchungen!$C$4:$C$1003,H$4,Buchungen!$D$4:$D$1003,$A31))</f>
        <v/>
      </c>
      <c r="I31" s="39">
        <f>IF($A31="",0,SUMIFS(Buchungen!$F$4:$F$1003,Buchungen!$B$4:$B$1003,$B$3,Buchungen!$C$4:$C$1003,I$4,Buchungen!$D$4:$D$1003,$A31))</f>
        <v/>
      </c>
      <c r="J31" s="39">
        <f>IF($A31="",0,SUMIFS(Buchungen!$F$4:$F$1003,Buchungen!$B$4:$B$1003,$B$3,Buchungen!$C$4:$C$1003,J$4,Buchungen!$D$4:$D$1003,$A31))</f>
        <v/>
      </c>
      <c r="K31" s="39">
        <f>IF($A31="",0,SUMIFS(Buchungen!$F$4:$F$1003,Buchungen!$B$4:$B$1003,$B$3,Buchungen!$C$4:$C$1003,K$4,Buchungen!$D$4:$D$1003,$A31))</f>
        <v/>
      </c>
      <c r="L31" s="39">
        <f>IF($A31="",0,SUMIFS(Buchungen!$F$4:$F$1003,Buchungen!$B$4:$B$1003,$B$3,Buchungen!$C$4:$C$1003,L$4,Buchungen!$D$4:$D$1003,$A31))</f>
        <v/>
      </c>
      <c r="M31" s="39">
        <f>IF($A31="",0,SUMIFS(Buchungen!$F$4:$F$1003,Buchungen!$B$4:$B$1003,$B$3,Buchungen!$C$4:$C$1003,M$4,Buchungen!$D$4:$D$1003,$A31))</f>
        <v/>
      </c>
      <c r="N31" s="39">
        <f>IF($A31="",0,SUMIFS(Buchungen!$F$4:$F$1003,Buchungen!$B$4:$B$1003,$B$3,Buchungen!$C$4:$C$1003,N$4,Buchungen!$D$4:$D$1003,$A31))</f>
        <v/>
      </c>
      <c r="O31" s="11">
        <f>SUM($C31:$N31)</f>
        <v/>
      </c>
      <c r="P31" s="11">
        <f>IFERROR(AVERAGEIF($C31:$N31,"&lt;&gt;0"),0)</f>
        <v/>
      </c>
      <c r="Q31" s="13">
        <f>IF(Einstellungen!$C29="",0,Einstellungen!$C29)</f>
        <v/>
      </c>
      <c r="R31" s="11">
        <f>$Q31-$P31</f>
        <v/>
      </c>
      <c r="S31" s="11">
        <f>IF($B31="Ausgabe",$O31,0)</f>
        <v/>
      </c>
    </row>
    <row r="32" ht="15" customHeight="1" s="52">
      <c r="A32" s="14">
        <f>IF(Einstellungen!$A30="","",Einstellungen!$A30)</f>
        <v/>
      </c>
      <c r="B32" s="14">
        <f>IF(Einstellungen!$B30="","",Einstellungen!$B30)</f>
        <v/>
      </c>
      <c r="C32" s="39">
        <f>IF($A32="",0,SUMIFS(Buchungen!$F$4:$F$1003,Buchungen!$B$4:$B$1003,$B$3,Buchungen!$C$4:$C$1003,C$4,Buchungen!$D$4:$D$1003,$A32))</f>
        <v/>
      </c>
      <c r="D32" s="39">
        <f>IF($A32="",0,SUMIFS(Buchungen!$F$4:$F$1003,Buchungen!$B$4:$B$1003,$B$3,Buchungen!$C$4:$C$1003,D$4,Buchungen!$D$4:$D$1003,$A32))</f>
        <v/>
      </c>
      <c r="E32" s="39">
        <f>IF($A32="",0,SUMIFS(Buchungen!$F$4:$F$1003,Buchungen!$B$4:$B$1003,$B$3,Buchungen!$C$4:$C$1003,E$4,Buchungen!$D$4:$D$1003,$A32))</f>
        <v/>
      </c>
      <c r="F32" s="39">
        <f>IF($A32="",0,SUMIFS(Buchungen!$F$4:$F$1003,Buchungen!$B$4:$B$1003,$B$3,Buchungen!$C$4:$C$1003,F$4,Buchungen!$D$4:$D$1003,$A32))</f>
        <v/>
      </c>
      <c r="G32" s="39">
        <f>IF($A32="",0,SUMIFS(Buchungen!$F$4:$F$1003,Buchungen!$B$4:$B$1003,$B$3,Buchungen!$C$4:$C$1003,G$4,Buchungen!$D$4:$D$1003,$A32))</f>
        <v/>
      </c>
      <c r="H32" s="39">
        <f>IF($A32="",0,SUMIFS(Buchungen!$F$4:$F$1003,Buchungen!$B$4:$B$1003,$B$3,Buchungen!$C$4:$C$1003,H$4,Buchungen!$D$4:$D$1003,$A32))</f>
        <v/>
      </c>
      <c r="I32" s="39">
        <f>IF($A32="",0,SUMIFS(Buchungen!$F$4:$F$1003,Buchungen!$B$4:$B$1003,$B$3,Buchungen!$C$4:$C$1003,I$4,Buchungen!$D$4:$D$1003,$A32))</f>
        <v/>
      </c>
      <c r="J32" s="39">
        <f>IF($A32="",0,SUMIFS(Buchungen!$F$4:$F$1003,Buchungen!$B$4:$B$1003,$B$3,Buchungen!$C$4:$C$1003,J$4,Buchungen!$D$4:$D$1003,$A32))</f>
        <v/>
      </c>
      <c r="K32" s="39">
        <f>IF($A32="",0,SUMIFS(Buchungen!$F$4:$F$1003,Buchungen!$B$4:$B$1003,$B$3,Buchungen!$C$4:$C$1003,K$4,Buchungen!$D$4:$D$1003,$A32))</f>
        <v/>
      </c>
      <c r="L32" s="39">
        <f>IF($A32="",0,SUMIFS(Buchungen!$F$4:$F$1003,Buchungen!$B$4:$B$1003,$B$3,Buchungen!$C$4:$C$1003,L$4,Buchungen!$D$4:$D$1003,$A32))</f>
        <v/>
      </c>
      <c r="M32" s="39">
        <f>IF($A32="",0,SUMIFS(Buchungen!$F$4:$F$1003,Buchungen!$B$4:$B$1003,$B$3,Buchungen!$C$4:$C$1003,M$4,Buchungen!$D$4:$D$1003,$A32))</f>
        <v/>
      </c>
      <c r="N32" s="39">
        <f>IF($A32="",0,SUMIFS(Buchungen!$F$4:$F$1003,Buchungen!$B$4:$B$1003,$B$3,Buchungen!$C$4:$C$1003,N$4,Buchungen!$D$4:$D$1003,$A32))</f>
        <v/>
      </c>
      <c r="O32" s="11">
        <f>SUM($C32:$N32)</f>
        <v/>
      </c>
      <c r="P32" s="11">
        <f>IFERROR(AVERAGEIF($C32:$N32,"&lt;&gt;0"),0)</f>
        <v/>
      </c>
      <c r="Q32" s="13">
        <f>IF(Einstellungen!$C30="",0,Einstellungen!$C30)</f>
        <v/>
      </c>
      <c r="R32" s="11">
        <f>$Q32-$P32</f>
        <v/>
      </c>
      <c r="S32" s="11">
        <f>IF($B32="Ausgabe",$O32,0)</f>
        <v/>
      </c>
    </row>
    <row r="33" ht="15" customHeight="1" s="52">
      <c r="A33" s="14">
        <f>IF(Einstellungen!$A31="","",Einstellungen!$A31)</f>
        <v/>
      </c>
      <c r="B33" s="14">
        <f>IF(Einstellungen!$B31="","",Einstellungen!$B31)</f>
        <v/>
      </c>
      <c r="C33" s="39">
        <f>IF($A33="",0,SUMIFS(Buchungen!$F$4:$F$1003,Buchungen!$B$4:$B$1003,$B$3,Buchungen!$C$4:$C$1003,C$4,Buchungen!$D$4:$D$1003,$A33))</f>
        <v/>
      </c>
      <c r="D33" s="39">
        <f>IF($A33="",0,SUMIFS(Buchungen!$F$4:$F$1003,Buchungen!$B$4:$B$1003,$B$3,Buchungen!$C$4:$C$1003,D$4,Buchungen!$D$4:$D$1003,$A33))</f>
        <v/>
      </c>
      <c r="E33" s="39">
        <f>IF($A33="",0,SUMIFS(Buchungen!$F$4:$F$1003,Buchungen!$B$4:$B$1003,$B$3,Buchungen!$C$4:$C$1003,E$4,Buchungen!$D$4:$D$1003,$A33))</f>
        <v/>
      </c>
      <c r="F33" s="39">
        <f>IF($A33="",0,SUMIFS(Buchungen!$F$4:$F$1003,Buchungen!$B$4:$B$1003,$B$3,Buchungen!$C$4:$C$1003,F$4,Buchungen!$D$4:$D$1003,$A33))</f>
        <v/>
      </c>
      <c r="G33" s="39">
        <f>IF($A33="",0,SUMIFS(Buchungen!$F$4:$F$1003,Buchungen!$B$4:$B$1003,$B$3,Buchungen!$C$4:$C$1003,G$4,Buchungen!$D$4:$D$1003,$A33))</f>
        <v/>
      </c>
      <c r="H33" s="39">
        <f>IF($A33="",0,SUMIFS(Buchungen!$F$4:$F$1003,Buchungen!$B$4:$B$1003,$B$3,Buchungen!$C$4:$C$1003,H$4,Buchungen!$D$4:$D$1003,$A33))</f>
        <v/>
      </c>
      <c r="I33" s="39">
        <f>IF($A33="",0,SUMIFS(Buchungen!$F$4:$F$1003,Buchungen!$B$4:$B$1003,$B$3,Buchungen!$C$4:$C$1003,I$4,Buchungen!$D$4:$D$1003,$A33))</f>
        <v/>
      </c>
      <c r="J33" s="39">
        <f>IF($A33="",0,SUMIFS(Buchungen!$F$4:$F$1003,Buchungen!$B$4:$B$1003,$B$3,Buchungen!$C$4:$C$1003,J$4,Buchungen!$D$4:$D$1003,$A33))</f>
        <v/>
      </c>
      <c r="K33" s="39">
        <f>IF($A33="",0,SUMIFS(Buchungen!$F$4:$F$1003,Buchungen!$B$4:$B$1003,$B$3,Buchungen!$C$4:$C$1003,K$4,Buchungen!$D$4:$D$1003,$A33))</f>
        <v/>
      </c>
      <c r="L33" s="39">
        <f>IF($A33="",0,SUMIFS(Buchungen!$F$4:$F$1003,Buchungen!$B$4:$B$1003,$B$3,Buchungen!$C$4:$C$1003,L$4,Buchungen!$D$4:$D$1003,$A33))</f>
        <v/>
      </c>
      <c r="M33" s="39">
        <f>IF($A33="",0,SUMIFS(Buchungen!$F$4:$F$1003,Buchungen!$B$4:$B$1003,$B$3,Buchungen!$C$4:$C$1003,M$4,Buchungen!$D$4:$D$1003,$A33))</f>
        <v/>
      </c>
      <c r="N33" s="39">
        <f>IF($A33="",0,SUMIFS(Buchungen!$F$4:$F$1003,Buchungen!$B$4:$B$1003,$B$3,Buchungen!$C$4:$C$1003,N$4,Buchungen!$D$4:$D$1003,$A33))</f>
        <v/>
      </c>
      <c r="O33" s="11">
        <f>SUM($C33:$N33)</f>
        <v/>
      </c>
      <c r="P33" s="11">
        <f>IFERROR(AVERAGEIF($C33:$N33,"&lt;&gt;0"),0)</f>
        <v/>
      </c>
      <c r="Q33" s="13">
        <f>IF(Einstellungen!$C31="",0,Einstellungen!$C31)</f>
        <v/>
      </c>
      <c r="R33" s="11">
        <f>$Q33-$P33</f>
        <v/>
      </c>
      <c r="S33" s="11">
        <f>IF($B33="Ausgabe",$O33,0)</f>
        <v/>
      </c>
    </row>
    <row r="34" ht="15" customHeight="1" s="52">
      <c r="A34" s="14">
        <f>IF(Einstellungen!$A32="","",Einstellungen!$A32)</f>
        <v/>
      </c>
      <c r="B34" s="14">
        <f>IF(Einstellungen!$B32="","",Einstellungen!$B32)</f>
        <v/>
      </c>
      <c r="C34" s="39">
        <f>IF($A34="",0,SUMIFS(Buchungen!$F$4:$F$1003,Buchungen!$B$4:$B$1003,$B$3,Buchungen!$C$4:$C$1003,C$4,Buchungen!$D$4:$D$1003,$A34))</f>
        <v/>
      </c>
      <c r="D34" s="39">
        <f>IF($A34="",0,SUMIFS(Buchungen!$F$4:$F$1003,Buchungen!$B$4:$B$1003,$B$3,Buchungen!$C$4:$C$1003,D$4,Buchungen!$D$4:$D$1003,$A34))</f>
        <v/>
      </c>
      <c r="E34" s="39">
        <f>IF($A34="",0,SUMIFS(Buchungen!$F$4:$F$1003,Buchungen!$B$4:$B$1003,$B$3,Buchungen!$C$4:$C$1003,E$4,Buchungen!$D$4:$D$1003,$A34))</f>
        <v/>
      </c>
      <c r="F34" s="39">
        <f>IF($A34="",0,SUMIFS(Buchungen!$F$4:$F$1003,Buchungen!$B$4:$B$1003,$B$3,Buchungen!$C$4:$C$1003,F$4,Buchungen!$D$4:$D$1003,$A34))</f>
        <v/>
      </c>
      <c r="G34" s="39">
        <f>IF($A34="",0,SUMIFS(Buchungen!$F$4:$F$1003,Buchungen!$B$4:$B$1003,$B$3,Buchungen!$C$4:$C$1003,G$4,Buchungen!$D$4:$D$1003,$A34))</f>
        <v/>
      </c>
      <c r="H34" s="39">
        <f>IF($A34="",0,SUMIFS(Buchungen!$F$4:$F$1003,Buchungen!$B$4:$B$1003,$B$3,Buchungen!$C$4:$C$1003,H$4,Buchungen!$D$4:$D$1003,$A34))</f>
        <v/>
      </c>
      <c r="I34" s="39">
        <f>IF($A34="",0,SUMIFS(Buchungen!$F$4:$F$1003,Buchungen!$B$4:$B$1003,$B$3,Buchungen!$C$4:$C$1003,I$4,Buchungen!$D$4:$D$1003,$A34))</f>
        <v/>
      </c>
      <c r="J34" s="39">
        <f>IF($A34="",0,SUMIFS(Buchungen!$F$4:$F$1003,Buchungen!$B$4:$B$1003,$B$3,Buchungen!$C$4:$C$1003,J$4,Buchungen!$D$4:$D$1003,$A34))</f>
        <v/>
      </c>
      <c r="K34" s="39">
        <f>IF($A34="",0,SUMIFS(Buchungen!$F$4:$F$1003,Buchungen!$B$4:$B$1003,$B$3,Buchungen!$C$4:$C$1003,K$4,Buchungen!$D$4:$D$1003,$A34))</f>
        <v/>
      </c>
      <c r="L34" s="39">
        <f>IF($A34="",0,SUMIFS(Buchungen!$F$4:$F$1003,Buchungen!$B$4:$B$1003,$B$3,Buchungen!$C$4:$C$1003,L$4,Buchungen!$D$4:$D$1003,$A34))</f>
        <v/>
      </c>
      <c r="M34" s="39">
        <f>IF($A34="",0,SUMIFS(Buchungen!$F$4:$F$1003,Buchungen!$B$4:$B$1003,$B$3,Buchungen!$C$4:$C$1003,M$4,Buchungen!$D$4:$D$1003,$A34))</f>
        <v/>
      </c>
      <c r="N34" s="39">
        <f>IF($A34="",0,SUMIFS(Buchungen!$F$4:$F$1003,Buchungen!$B$4:$B$1003,$B$3,Buchungen!$C$4:$C$1003,N$4,Buchungen!$D$4:$D$1003,$A34))</f>
        <v/>
      </c>
      <c r="O34" s="11">
        <f>SUM($C34:$N34)</f>
        <v/>
      </c>
      <c r="P34" s="11">
        <f>IFERROR(AVERAGEIF($C34:$N34,"&lt;&gt;0"),0)</f>
        <v/>
      </c>
      <c r="Q34" s="13">
        <f>IF(Einstellungen!$C32="",0,Einstellungen!$C32)</f>
        <v/>
      </c>
      <c r="R34" s="11">
        <f>$Q34-$P34</f>
        <v/>
      </c>
      <c r="S34" s="11">
        <f>IF($B34="Ausgabe",$O34,0)</f>
        <v/>
      </c>
    </row>
    <row r="35" ht="15" customHeight="1" s="52">
      <c r="A35" s="14">
        <f>IF(Einstellungen!$A33="","",Einstellungen!$A33)</f>
        <v/>
      </c>
      <c r="B35" s="14">
        <f>IF(Einstellungen!$B33="","",Einstellungen!$B33)</f>
        <v/>
      </c>
      <c r="C35" s="39">
        <f>IF($A35="",0,SUMIFS(Buchungen!$F$4:$F$1003,Buchungen!$B$4:$B$1003,$B$3,Buchungen!$C$4:$C$1003,C$4,Buchungen!$D$4:$D$1003,$A35))</f>
        <v/>
      </c>
      <c r="D35" s="39">
        <f>IF($A35="",0,SUMIFS(Buchungen!$F$4:$F$1003,Buchungen!$B$4:$B$1003,$B$3,Buchungen!$C$4:$C$1003,D$4,Buchungen!$D$4:$D$1003,$A35))</f>
        <v/>
      </c>
      <c r="E35" s="39">
        <f>IF($A35="",0,SUMIFS(Buchungen!$F$4:$F$1003,Buchungen!$B$4:$B$1003,$B$3,Buchungen!$C$4:$C$1003,E$4,Buchungen!$D$4:$D$1003,$A35))</f>
        <v/>
      </c>
      <c r="F35" s="39">
        <f>IF($A35="",0,SUMIFS(Buchungen!$F$4:$F$1003,Buchungen!$B$4:$B$1003,$B$3,Buchungen!$C$4:$C$1003,F$4,Buchungen!$D$4:$D$1003,$A35))</f>
        <v/>
      </c>
      <c r="G35" s="39">
        <f>IF($A35="",0,SUMIFS(Buchungen!$F$4:$F$1003,Buchungen!$B$4:$B$1003,$B$3,Buchungen!$C$4:$C$1003,G$4,Buchungen!$D$4:$D$1003,$A35))</f>
        <v/>
      </c>
      <c r="H35" s="39">
        <f>IF($A35="",0,SUMIFS(Buchungen!$F$4:$F$1003,Buchungen!$B$4:$B$1003,$B$3,Buchungen!$C$4:$C$1003,H$4,Buchungen!$D$4:$D$1003,$A35))</f>
        <v/>
      </c>
      <c r="I35" s="39">
        <f>IF($A35="",0,SUMIFS(Buchungen!$F$4:$F$1003,Buchungen!$B$4:$B$1003,$B$3,Buchungen!$C$4:$C$1003,I$4,Buchungen!$D$4:$D$1003,$A35))</f>
        <v/>
      </c>
      <c r="J35" s="39">
        <f>IF($A35="",0,SUMIFS(Buchungen!$F$4:$F$1003,Buchungen!$B$4:$B$1003,$B$3,Buchungen!$C$4:$C$1003,J$4,Buchungen!$D$4:$D$1003,$A35))</f>
        <v/>
      </c>
      <c r="K35" s="39">
        <f>IF($A35="",0,SUMIFS(Buchungen!$F$4:$F$1003,Buchungen!$B$4:$B$1003,$B$3,Buchungen!$C$4:$C$1003,K$4,Buchungen!$D$4:$D$1003,$A35))</f>
        <v/>
      </c>
      <c r="L35" s="39">
        <f>IF($A35="",0,SUMIFS(Buchungen!$F$4:$F$1003,Buchungen!$B$4:$B$1003,$B$3,Buchungen!$C$4:$C$1003,L$4,Buchungen!$D$4:$D$1003,$A35))</f>
        <v/>
      </c>
      <c r="M35" s="39">
        <f>IF($A35="",0,SUMIFS(Buchungen!$F$4:$F$1003,Buchungen!$B$4:$B$1003,$B$3,Buchungen!$C$4:$C$1003,M$4,Buchungen!$D$4:$D$1003,$A35))</f>
        <v/>
      </c>
      <c r="N35" s="39">
        <f>IF($A35="",0,SUMIFS(Buchungen!$F$4:$F$1003,Buchungen!$B$4:$B$1003,$B$3,Buchungen!$C$4:$C$1003,N$4,Buchungen!$D$4:$D$1003,$A35))</f>
        <v/>
      </c>
      <c r="O35" s="11">
        <f>SUM($C35:$N35)</f>
        <v/>
      </c>
      <c r="P35" s="11">
        <f>IFERROR(AVERAGEIF($C35:$N35,"&lt;&gt;0"),0)</f>
        <v/>
      </c>
      <c r="Q35" s="13">
        <f>IF(Einstellungen!$C33="",0,Einstellungen!$C33)</f>
        <v/>
      </c>
      <c r="R35" s="11">
        <f>$Q35-$P35</f>
        <v/>
      </c>
      <c r="S35" s="11">
        <f>IF($B35="Ausgabe",$O35,0)</f>
        <v/>
      </c>
    </row>
    <row r="36" ht="15" customHeight="1" s="52">
      <c r="A36" s="14">
        <f>IF(Einstellungen!$A34="","",Einstellungen!$A34)</f>
        <v/>
      </c>
      <c r="B36" s="14">
        <f>IF(Einstellungen!$B34="","",Einstellungen!$B34)</f>
        <v/>
      </c>
      <c r="C36" s="39">
        <f>IF($A36="",0,SUMIFS(Buchungen!$F$4:$F$1003,Buchungen!$B$4:$B$1003,$B$3,Buchungen!$C$4:$C$1003,C$4,Buchungen!$D$4:$D$1003,$A36))</f>
        <v/>
      </c>
      <c r="D36" s="39">
        <f>IF($A36="",0,SUMIFS(Buchungen!$F$4:$F$1003,Buchungen!$B$4:$B$1003,$B$3,Buchungen!$C$4:$C$1003,D$4,Buchungen!$D$4:$D$1003,$A36))</f>
        <v/>
      </c>
      <c r="E36" s="39">
        <f>IF($A36="",0,SUMIFS(Buchungen!$F$4:$F$1003,Buchungen!$B$4:$B$1003,$B$3,Buchungen!$C$4:$C$1003,E$4,Buchungen!$D$4:$D$1003,$A36))</f>
        <v/>
      </c>
      <c r="F36" s="39">
        <f>IF($A36="",0,SUMIFS(Buchungen!$F$4:$F$1003,Buchungen!$B$4:$B$1003,$B$3,Buchungen!$C$4:$C$1003,F$4,Buchungen!$D$4:$D$1003,$A36))</f>
        <v/>
      </c>
      <c r="G36" s="39">
        <f>IF($A36="",0,SUMIFS(Buchungen!$F$4:$F$1003,Buchungen!$B$4:$B$1003,$B$3,Buchungen!$C$4:$C$1003,G$4,Buchungen!$D$4:$D$1003,$A36))</f>
        <v/>
      </c>
      <c r="H36" s="39">
        <f>IF($A36="",0,SUMIFS(Buchungen!$F$4:$F$1003,Buchungen!$B$4:$B$1003,$B$3,Buchungen!$C$4:$C$1003,H$4,Buchungen!$D$4:$D$1003,$A36))</f>
        <v/>
      </c>
      <c r="I36" s="39">
        <f>IF($A36="",0,SUMIFS(Buchungen!$F$4:$F$1003,Buchungen!$B$4:$B$1003,$B$3,Buchungen!$C$4:$C$1003,I$4,Buchungen!$D$4:$D$1003,$A36))</f>
        <v/>
      </c>
      <c r="J36" s="39">
        <f>IF($A36="",0,SUMIFS(Buchungen!$F$4:$F$1003,Buchungen!$B$4:$B$1003,$B$3,Buchungen!$C$4:$C$1003,J$4,Buchungen!$D$4:$D$1003,$A36))</f>
        <v/>
      </c>
      <c r="K36" s="39">
        <f>IF($A36="",0,SUMIFS(Buchungen!$F$4:$F$1003,Buchungen!$B$4:$B$1003,$B$3,Buchungen!$C$4:$C$1003,K$4,Buchungen!$D$4:$D$1003,$A36))</f>
        <v/>
      </c>
      <c r="L36" s="39">
        <f>IF($A36="",0,SUMIFS(Buchungen!$F$4:$F$1003,Buchungen!$B$4:$B$1003,$B$3,Buchungen!$C$4:$C$1003,L$4,Buchungen!$D$4:$D$1003,$A36))</f>
        <v/>
      </c>
      <c r="M36" s="39">
        <f>IF($A36="",0,SUMIFS(Buchungen!$F$4:$F$1003,Buchungen!$B$4:$B$1003,$B$3,Buchungen!$C$4:$C$1003,M$4,Buchungen!$D$4:$D$1003,$A36))</f>
        <v/>
      </c>
      <c r="N36" s="39">
        <f>IF($A36="",0,SUMIFS(Buchungen!$F$4:$F$1003,Buchungen!$B$4:$B$1003,$B$3,Buchungen!$C$4:$C$1003,N$4,Buchungen!$D$4:$D$1003,$A36))</f>
        <v/>
      </c>
      <c r="O36" s="11">
        <f>SUM($C36:$N36)</f>
        <v/>
      </c>
      <c r="P36" s="11">
        <f>IFERROR(AVERAGEIF($C36:$N36,"&lt;&gt;0"),0)</f>
        <v/>
      </c>
      <c r="Q36" s="13">
        <f>IF(Einstellungen!$C34="",0,Einstellungen!$C34)</f>
        <v/>
      </c>
      <c r="R36" s="11">
        <f>$Q36-$P36</f>
        <v/>
      </c>
      <c r="S36" s="11">
        <f>IF($B36="Ausgabe",$O36,0)</f>
        <v/>
      </c>
    </row>
    <row r="37" ht="15" customHeight="1" s="52">
      <c r="A37" s="14">
        <f>IF(Einstellungen!$A35="","",Einstellungen!$A35)</f>
        <v/>
      </c>
      <c r="B37" s="14">
        <f>IF(Einstellungen!$B35="","",Einstellungen!$B35)</f>
        <v/>
      </c>
      <c r="C37" s="39">
        <f>IF($A37="",0,SUMIFS(Buchungen!$F$4:$F$1003,Buchungen!$B$4:$B$1003,$B$3,Buchungen!$C$4:$C$1003,C$4,Buchungen!$D$4:$D$1003,$A37))</f>
        <v/>
      </c>
      <c r="D37" s="39">
        <f>IF($A37="",0,SUMIFS(Buchungen!$F$4:$F$1003,Buchungen!$B$4:$B$1003,$B$3,Buchungen!$C$4:$C$1003,D$4,Buchungen!$D$4:$D$1003,$A37))</f>
        <v/>
      </c>
      <c r="E37" s="39">
        <f>IF($A37="",0,SUMIFS(Buchungen!$F$4:$F$1003,Buchungen!$B$4:$B$1003,$B$3,Buchungen!$C$4:$C$1003,E$4,Buchungen!$D$4:$D$1003,$A37))</f>
        <v/>
      </c>
      <c r="F37" s="39">
        <f>IF($A37="",0,SUMIFS(Buchungen!$F$4:$F$1003,Buchungen!$B$4:$B$1003,$B$3,Buchungen!$C$4:$C$1003,F$4,Buchungen!$D$4:$D$1003,$A37))</f>
        <v/>
      </c>
      <c r="G37" s="39">
        <f>IF($A37="",0,SUMIFS(Buchungen!$F$4:$F$1003,Buchungen!$B$4:$B$1003,$B$3,Buchungen!$C$4:$C$1003,G$4,Buchungen!$D$4:$D$1003,$A37))</f>
        <v/>
      </c>
      <c r="H37" s="39">
        <f>IF($A37="",0,SUMIFS(Buchungen!$F$4:$F$1003,Buchungen!$B$4:$B$1003,$B$3,Buchungen!$C$4:$C$1003,H$4,Buchungen!$D$4:$D$1003,$A37))</f>
        <v/>
      </c>
      <c r="I37" s="39">
        <f>IF($A37="",0,SUMIFS(Buchungen!$F$4:$F$1003,Buchungen!$B$4:$B$1003,$B$3,Buchungen!$C$4:$C$1003,I$4,Buchungen!$D$4:$D$1003,$A37))</f>
        <v/>
      </c>
      <c r="J37" s="39">
        <f>IF($A37="",0,SUMIFS(Buchungen!$F$4:$F$1003,Buchungen!$B$4:$B$1003,$B$3,Buchungen!$C$4:$C$1003,J$4,Buchungen!$D$4:$D$1003,$A37))</f>
        <v/>
      </c>
      <c r="K37" s="39">
        <f>IF($A37="",0,SUMIFS(Buchungen!$F$4:$F$1003,Buchungen!$B$4:$B$1003,$B$3,Buchungen!$C$4:$C$1003,K$4,Buchungen!$D$4:$D$1003,$A37))</f>
        <v/>
      </c>
      <c r="L37" s="39">
        <f>IF($A37="",0,SUMIFS(Buchungen!$F$4:$F$1003,Buchungen!$B$4:$B$1003,$B$3,Buchungen!$C$4:$C$1003,L$4,Buchungen!$D$4:$D$1003,$A37))</f>
        <v/>
      </c>
      <c r="M37" s="39">
        <f>IF($A37="",0,SUMIFS(Buchungen!$F$4:$F$1003,Buchungen!$B$4:$B$1003,$B$3,Buchungen!$C$4:$C$1003,M$4,Buchungen!$D$4:$D$1003,$A37))</f>
        <v/>
      </c>
      <c r="N37" s="39">
        <f>IF($A37="",0,SUMIFS(Buchungen!$F$4:$F$1003,Buchungen!$B$4:$B$1003,$B$3,Buchungen!$C$4:$C$1003,N$4,Buchungen!$D$4:$D$1003,$A37))</f>
        <v/>
      </c>
      <c r="O37" s="11">
        <f>SUM($C37:$N37)</f>
        <v/>
      </c>
      <c r="P37" s="11">
        <f>IFERROR(AVERAGEIF($C37:$N37,"&lt;&gt;0"),0)</f>
        <v/>
      </c>
      <c r="Q37" s="13">
        <f>IF(Einstellungen!$C35="",0,Einstellungen!$C35)</f>
        <v/>
      </c>
      <c r="R37" s="11">
        <f>$Q37-$P37</f>
        <v/>
      </c>
      <c r="S37" s="11">
        <f>IF($B37="Ausgabe",$O37,0)</f>
        <v/>
      </c>
    </row>
    <row r="38" ht="15" customHeight="1" s="52">
      <c r="A38" s="14">
        <f>IF(Einstellungen!$A36="","",Einstellungen!$A36)</f>
        <v/>
      </c>
      <c r="B38" s="14">
        <f>IF(Einstellungen!$B36="","",Einstellungen!$B36)</f>
        <v/>
      </c>
      <c r="C38" s="39">
        <f>IF($A38="",0,SUMIFS(Buchungen!$F$4:$F$1003,Buchungen!$B$4:$B$1003,$B$3,Buchungen!$C$4:$C$1003,C$4,Buchungen!$D$4:$D$1003,$A38))</f>
        <v/>
      </c>
      <c r="D38" s="39">
        <f>IF($A38="",0,SUMIFS(Buchungen!$F$4:$F$1003,Buchungen!$B$4:$B$1003,$B$3,Buchungen!$C$4:$C$1003,D$4,Buchungen!$D$4:$D$1003,$A38))</f>
        <v/>
      </c>
      <c r="E38" s="39">
        <f>IF($A38="",0,SUMIFS(Buchungen!$F$4:$F$1003,Buchungen!$B$4:$B$1003,$B$3,Buchungen!$C$4:$C$1003,E$4,Buchungen!$D$4:$D$1003,$A38))</f>
        <v/>
      </c>
      <c r="F38" s="39">
        <f>IF($A38="",0,SUMIFS(Buchungen!$F$4:$F$1003,Buchungen!$B$4:$B$1003,$B$3,Buchungen!$C$4:$C$1003,F$4,Buchungen!$D$4:$D$1003,$A38))</f>
        <v/>
      </c>
      <c r="G38" s="39">
        <f>IF($A38="",0,SUMIFS(Buchungen!$F$4:$F$1003,Buchungen!$B$4:$B$1003,$B$3,Buchungen!$C$4:$C$1003,G$4,Buchungen!$D$4:$D$1003,$A38))</f>
        <v/>
      </c>
      <c r="H38" s="39">
        <f>IF($A38="",0,SUMIFS(Buchungen!$F$4:$F$1003,Buchungen!$B$4:$B$1003,$B$3,Buchungen!$C$4:$C$1003,H$4,Buchungen!$D$4:$D$1003,$A38))</f>
        <v/>
      </c>
      <c r="I38" s="39">
        <f>IF($A38="",0,SUMIFS(Buchungen!$F$4:$F$1003,Buchungen!$B$4:$B$1003,$B$3,Buchungen!$C$4:$C$1003,I$4,Buchungen!$D$4:$D$1003,$A38))</f>
        <v/>
      </c>
      <c r="J38" s="39">
        <f>IF($A38="",0,SUMIFS(Buchungen!$F$4:$F$1003,Buchungen!$B$4:$B$1003,$B$3,Buchungen!$C$4:$C$1003,J$4,Buchungen!$D$4:$D$1003,$A38))</f>
        <v/>
      </c>
      <c r="K38" s="39">
        <f>IF($A38="",0,SUMIFS(Buchungen!$F$4:$F$1003,Buchungen!$B$4:$B$1003,$B$3,Buchungen!$C$4:$C$1003,K$4,Buchungen!$D$4:$D$1003,$A38))</f>
        <v/>
      </c>
      <c r="L38" s="39">
        <f>IF($A38="",0,SUMIFS(Buchungen!$F$4:$F$1003,Buchungen!$B$4:$B$1003,$B$3,Buchungen!$C$4:$C$1003,L$4,Buchungen!$D$4:$D$1003,$A38))</f>
        <v/>
      </c>
      <c r="M38" s="39">
        <f>IF($A38="",0,SUMIFS(Buchungen!$F$4:$F$1003,Buchungen!$B$4:$B$1003,$B$3,Buchungen!$C$4:$C$1003,M$4,Buchungen!$D$4:$D$1003,$A38))</f>
        <v/>
      </c>
      <c r="N38" s="39">
        <f>IF($A38="",0,SUMIFS(Buchungen!$F$4:$F$1003,Buchungen!$B$4:$B$1003,$B$3,Buchungen!$C$4:$C$1003,N$4,Buchungen!$D$4:$D$1003,$A38))</f>
        <v/>
      </c>
      <c r="O38" s="11">
        <f>SUM($C38:$N38)</f>
        <v/>
      </c>
      <c r="P38" s="11">
        <f>IFERROR(AVERAGEIF($C38:$N38,"&lt;&gt;0"),0)</f>
        <v/>
      </c>
      <c r="Q38" s="13">
        <f>IF(Einstellungen!$C36="",0,Einstellungen!$C36)</f>
        <v/>
      </c>
      <c r="R38" s="11">
        <f>$Q38-$P38</f>
        <v/>
      </c>
      <c r="S38" s="11">
        <f>IF($B38="Ausgabe",$O38,0)</f>
        <v/>
      </c>
    </row>
    <row r="39" ht="15" customHeight="1" s="52">
      <c r="A39" s="14">
        <f>IF(Einstellungen!$A37="","",Einstellungen!$A37)</f>
        <v/>
      </c>
      <c r="B39" s="14">
        <f>IF(Einstellungen!$B37="","",Einstellungen!$B37)</f>
        <v/>
      </c>
      <c r="C39" s="39">
        <f>IF($A39="",0,SUMIFS(Buchungen!$F$4:$F$1003,Buchungen!$B$4:$B$1003,$B$3,Buchungen!$C$4:$C$1003,C$4,Buchungen!$D$4:$D$1003,$A39))</f>
        <v/>
      </c>
      <c r="D39" s="39">
        <f>IF($A39="",0,SUMIFS(Buchungen!$F$4:$F$1003,Buchungen!$B$4:$B$1003,$B$3,Buchungen!$C$4:$C$1003,D$4,Buchungen!$D$4:$D$1003,$A39))</f>
        <v/>
      </c>
      <c r="E39" s="39">
        <f>IF($A39="",0,SUMIFS(Buchungen!$F$4:$F$1003,Buchungen!$B$4:$B$1003,$B$3,Buchungen!$C$4:$C$1003,E$4,Buchungen!$D$4:$D$1003,$A39))</f>
        <v/>
      </c>
      <c r="F39" s="39">
        <f>IF($A39="",0,SUMIFS(Buchungen!$F$4:$F$1003,Buchungen!$B$4:$B$1003,$B$3,Buchungen!$C$4:$C$1003,F$4,Buchungen!$D$4:$D$1003,$A39))</f>
        <v/>
      </c>
      <c r="G39" s="39">
        <f>IF($A39="",0,SUMIFS(Buchungen!$F$4:$F$1003,Buchungen!$B$4:$B$1003,$B$3,Buchungen!$C$4:$C$1003,G$4,Buchungen!$D$4:$D$1003,$A39))</f>
        <v/>
      </c>
      <c r="H39" s="39">
        <f>IF($A39="",0,SUMIFS(Buchungen!$F$4:$F$1003,Buchungen!$B$4:$B$1003,$B$3,Buchungen!$C$4:$C$1003,H$4,Buchungen!$D$4:$D$1003,$A39))</f>
        <v/>
      </c>
      <c r="I39" s="39">
        <f>IF($A39="",0,SUMIFS(Buchungen!$F$4:$F$1003,Buchungen!$B$4:$B$1003,$B$3,Buchungen!$C$4:$C$1003,I$4,Buchungen!$D$4:$D$1003,$A39))</f>
        <v/>
      </c>
      <c r="J39" s="39">
        <f>IF($A39="",0,SUMIFS(Buchungen!$F$4:$F$1003,Buchungen!$B$4:$B$1003,$B$3,Buchungen!$C$4:$C$1003,J$4,Buchungen!$D$4:$D$1003,$A39))</f>
        <v/>
      </c>
      <c r="K39" s="39">
        <f>IF($A39="",0,SUMIFS(Buchungen!$F$4:$F$1003,Buchungen!$B$4:$B$1003,$B$3,Buchungen!$C$4:$C$1003,K$4,Buchungen!$D$4:$D$1003,$A39))</f>
        <v/>
      </c>
      <c r="L39" s="39">
        <f>IF($A39="",0,SUMIFS(Buchungen!$F$4:$F$1003,Buchungen!$B$4:$B$1003,$B$3,Buchungen!$C$4:$C$1003,L$4,Buchungen!$D$4:$D$1003,$A39))</f>
        <v/>
      </c>
      <c r="M39" s="39">
        <f>IF($A39="",0,SUMIFS(Buchungen!$F$4:$F$1003,Buchungen!$B$4:$B$1003,$B$3,Buchungen!$C$4:$C$1003,M$4,Buchungen!$D$4:$D$1003,$A39))</f>
        <v/>
      </c>
      <c r="N39" s="39">
        <f>IF($A39="",0,SUMIFS(Buchungen!$F$4:$F$1003,Buchungen!$B$4:$B$1003,$B$3,Buchungen!$C$4:$C$1003,N$4,Buchungen!$D$4:$D$1003,$A39))</f>
        <v/>
      </c>
      <c r="O39" s="11">
        <f>SUM($C39:$N39)</f>
        <v/>
      </c>
      <c r="P39" s="11">
        <f>IFERROR(AVERAGEIF($C39:$N39,"&lt;&gt;0"),0)</f>
        <v/>
      </c>
      <c r="Q39" s="13">
        <f>IF(Einstellungen!$C37="",0,Einstellungen!$C37)</f>
        <v/>
      </c>
      <c r="R39" s="11">
        <f>$Q39-$P39</f>
        <v/>
      </c>
      <c r="S39" s="11">
        <f>IF($B39="Ausgabe",$O39,0)</f>
        <v/>
      </c>
    </row>
    <row r="40" ht="15" customHeight="1" s="52">
      <c r="A40" s="14">
        <f>IF(Einstellungen!$A38="","",Einstellungen!$A38)</f>
        <v/>
      </c>
      <c r="B40" s="14">
        <f>IF(Einstellungen!$B38="","",Einstellungen!$B38)</f>
        <v/>
      </c>
      <c r="C40" s="39">
        <f>IF($A40="",0,SUMIFS(Buchungen!$F$4:$F$1003,Buchungen!$B$4:$B$1003,$B$3,Buchungen!$C$4:$C$1003,C$4,Buchungen!$D$4:$D$1003,$A40))</f>
        <v/>
      </c>
      <c r="D40" s="39">
        <f>IF($A40="",0,SUMIFS(Buchungen!$F$4:$F$1003,Buchungen!$B$4:$B$1003,$B$3,Buchungen!$C$4:$C$1003,D$4,Buchungen!$D$4:$D$1003,$A40))</f>
        <v/>
      </c>
      <c r="E40" s="39">
        <f>IF($A40="",0,SUMIFS(Buchungen!$F$4:$F$1003,Buchungen!$B$4:$B$1003,$B$3,Buchungen!$C$4:$C$1003,E$4,Buchungen!$D$4:$D$1003,$A40))</f>
        <v/>
      </c>
      <c r="F40" s="39">
        <f>IF($A40="",0,SUMIFS(Buchungen!$F$4:$F$1003,Buchungen!$B$4:$B$1003,$B$3,Buchungen!$C$4:$C$1003,F$4,Buchungen!$D$4:$D$1003,$A40))</f>
        <v/>
      </c>
      <c r="G40" s="39">
        <f>IF($A40="",0,SUMIFS(Buchungen!$F$4:$F$1003,Buchungen!$B$4:$B$1003,$B$3,Buchungen!$C$4:$C$1003,G$4,Buchungen!$D$4:$D$1003,$A40))</f>
        <v/>
      </c>
      <c r="H40" s="39">
        <f>IF($A40="",0,SUMIFS(Buchungen!$F$4:$F$1003,Buchungen!$B$4:$B$1003,$B$3,Buchungen!$C$4:$C$1003,H$4,Buchungen!$D$4:$D$1003,$A40))</f>
        <v/>
      </c>
      <c r="I40" s="39">
        <f>IF($A40="",0,SUMIFS(Buchungen!$F$4:$F$1003,Buchungen!$B$4:$B$1003,$B$3,Buchungen!$C$4:$C$1003,I$4,Buchungen!$D$4:$D$1003,$A40))</f>
        <v/>
      </c>
      <c r="J40" s="39">
        <f>IF($A40="",0,SUMIFS(Buchungen!$F$4:$F$1003,Buchungen!$B$4:$B$1003,$B$3,Buchungen!$C$4:$C$1003,J$4,Buchungen!$D$4:$D$1003,$A40))</f>
        <v/>
      </c>
      <c r="K40" s="39">
        <f>IF($A40="",0,SUMIFS(Buchungen!$F$4:$F$1003,Buchungen!$B$4:$B$1003,$B$3,Buchungen!$C$4:$C$1003,K$4,Buchungen!$D$4:$D$1003,$A40))</f>
        <v/>
      </c>
      <c r="L40" s="39">
        <f>IF($A40="",0,SUMIFS(Buchungen!$F$4:$F$1003,Buchungen!$B$4:$B$1003,$B$3,Buchungen!$C$4:$C$1003,L$4,Buchungen!$D$4:$D$1003,$A40))</f>
        <v/>
      </c>
      <c r="M40" s="39">
        <f>IF($A40="",0,SUMIFS(Buchungen!$F$4:$F$1003,Buchungen!$B$4:$B$1003,$B$3,Buchungen!$C$4:$C$1003,M$4,Buchungen!$D$4:$D$1003,$A40))</f>
        <v/>
      </c>
      <c r="N40" s="39">
        <f>IF($A40="",0,SUMIFS(Buchungen!$F$4:$F$1003,Buchungen!$B$4:$B$1003,$B$3,Buchungen!$C$4:$C$1003,N$4,Buchungen!$D$4:$D$1003,$A40))</f>
        <v/>
      </c>
      <c r="O40" s="11">
        <f>SUM($C40:$N40)</f>
        <v/>
      </c>
      <c r="P40" s="11">
        <f>IFERROR(AVERAGEIF($C40:$N40,"&lt;&gt;0"),0)</f>
        <v/>
      </c>
      <c r="Q40" s="13">
        <f>IF(Einstellungen!$C38="",0,Einstellungen!$C38)</f>
        <v/>
      </c>
      <c r="R40" s="11">
        <f>$Q40-$P40</f>
        <v/>
      </c>
      <c r="S40" s="11">
        <f>IF($B40="Ausgabe",$O40,0)</f>
        <v/>
      </c>
    </row>
    <row r="41" ht="15" customHeight="1" s="52">
      <c r="A41" s="14">
        <f>IF(Einstellungen!$A39="","",Einstellungen!$A39)</f>
        <v/>
      </c>
      <c r="B41" s="14">
        <f>IF(Einstellungen!$B39="","",Einstellungen!$B39)</f>
        <v/>
      </c>
      <c r="C41" s="39">
        <f>IF($A41="",0,SUMIFS(Buchungen!$F$4:$F$1003,Buchungen!$B$4:$B$1003,$B$3,Buchungen!$C$4:$C$1003,C$4,Buchungen!$D$4:$D$1003,$A41))</f>
        <v/>
      </c>
      <c r="D41" s="39">
        <f>IF($A41="",0,SUMIFS(Buchungen!$F$4:$F$1003,Buchungen!$B$4:$B$1003,$B$3,Buchungen!$C$4:$C$1003,D$4,Buchungen!$D$4:$D$1003,$A41))</f>
        <v/>
      </c>
      <c r="E41" s="39">
        <f>IF($A41="",0,SUMIFS(Buchungen!$F$4:$F$1003,Buchungen!$B$4:$B$1003,$B$3,Buchungen!$C$4:$C$1003,E$4,Buchungen!$D$4:$D$1003,$A41))</f>
        <v/>
      </c>
      <c r="F41" s="39">
        <f>IF($A41="",0,SUMIFS(Buchungen!$F$4:$F$1003,Buchungen!$B$4:$B$1003,$B$3,Buchungen!$C$4:$C$1003,F$4,Buchungen!$D$4:$D$1003,$A41))</f>
        <v/>
      </c>
      <c r="G41" s="39">
        <f>IF($A41="",0,SUMIFS(Buchungen!$F$4:$F$1003,Buchungen!$B$4:$B$1003,$B$3,Buchungen!$C$4:$C$1003,G$4,Buchungen!$D$4:$D$1003,$A41))</f>
        <v/>
      </c>
      <c r="H41" s="39">
        <f>IF($A41="",0,SUMIFS(Buchungen!$F$4:$F$1003,Buchungen!$B$4:$B$1003,$B$3,Buchungen!$C$4:$C$1003,H$4,Buchungen!$D$4:$D$1003,$A41))</f>
        <v/>
      </c>
      <c r="I41" s="39">
        <f>IF($A41="",0,SUMIFS(Buchungen!$F$4:$F$1003,Buchungen!$B$4:$B$1003,$B$3,Buchungen!$C$4:$C$1003,I$4,Buchungen!$D$4:$D$1003,$A41))</f>
        <v/>
      </c>
      <c r="J41" s="39">
        <f>IF($A41="",0,SUMIFS(Buchungen!$F$4:$F$1003,Buchungen!$B$4:$B$1003,$B$3,Buchungen!$C$4:$C$1003,J$4,Buchungen!$D$4:$D$1003,$A41))</f>
        <v/>
      </c>
      <c r="K41" s="39">
        <f>IF($A41="",0,SUMIFS(Buchungen!$F$4:$F$1003,Buchungen!$B$4:$B$1003,$B$3,Buchungen!$C$4:$C$1003,K$4,Buchungen!$D$4:$D$1003,$A41))</f>
        <v/>
      </c>
      <c r="L41" s="39">
        <f>IF($A41="",0,SUMIFS(Buchungen!$F$4:$F$1003,Buchungen!$B$4:$B$1003,$B$3,Buchungen!$C$4:$C$1003,L$4,Buchungen!$D$4:$D$1003,$A41))</f>
        <v/>
      </c>
      <c r="M41" s="39">
        <f>IF($A41="",0,SUMIFS(Buchungen!$F$4:$F$1003,Buchungen!$B$4:$B$1003,$B$3,Buchungen!$C$4:$C$1003,M$4,Buchungen!$D$4:$D$1003,$A41))</f>
        <v/>
      </c>
      <c r="N41" s="39">
        <f>IF($A41="",0,SUMIFS(Buchungen!$F$4:$F$1003,Buchungen!$B$4:$B$1003,$B$3,Buchungen!$C$4:$C$1003,N$4,Buchungen!$D$4:$D$1003,$A41))</f>
        <v/>
      </c>
      <c r="O41" s="11">
        <f>SUM($C41:$N41)</f>
        <v/>
      </c>
      <c r="P41" s="11">
        <f>IFERROR(AVERAGEIF($C41:$N41,"&lt;&gt;0"),0)</f>
        <v/>
      </c>
      <c r="Q41" s="13">
        <f>IF(Einstellungen!$C39="",0,Einstellungen!$C39)</f>
        <v/>
      </c>
      <c r="R41" s="11">
        <f>$Q41-$P41</f>
        <v/>
      </c>
      <c r="S41" s="11">
        <f>IF($B41="Ausgabe",$O41,0)</f>
        <v/>
      </c>
    </row>
    <row r="42" ht="15" customHeight="1" s="52">
      <c r="A42" s="14">
        <f>IF(Einstellungen!$A40="","",Einstellungen!$A40)</f>
        <v/>
      </c>
      <c r="B42" s="14">
        <f>IF(Einstellungen!$B40="","",Einstellungen!$B40)</f>
        <v/>
      </c>
      <c r="C42" s="39">
        <f>IF($A42="",0,SUMIFS(Buchungen!$F$4:$F$1003,Buchungen!$B$4:$B$1003,$B$3,Buchungen!$C$4:$C$1003,C$4,Buchungen!$D$4:$D$1003,$A42))</f>
        <v/>
      </c>
      <c r="D42" s="39">
        <f>IF($A42="",0,SUMIFS(Buchungen!$F$4:$F$1003,Buchungen!$B$4:$B$1003,$B$3,Buchungen!$C$4:$C$1003,D$4,Buchungen!$D$4:$D$1003,$A42))</f>
        <v/>
      </c>
      <c r="E42" s="39">
        <f>IF($A42="",0,SUMIFS(Buchungen!$F$4:$F$1003,Buchungen!$B$4:$B$1003,$B$3,Buchungen!$C$4:$C$1003,E$4,Buchungen!$D$4:$D$1003,$A42))</f>
        <v/>
      </c>
      <c r="F42" s="39">
        <f>IF($A42="",0,SUMIFS(Buchungen!$F$4:$F$1003,Buchungen!$B$4:$B$1003,$B$3,Buchungen!$C$4:$C$1003,F$4,Buchungen!$D$4:$D$1003,$A42))</f>
        <v/>
      </c>
      <c r="G42" s="39">
        <f>IF($A42="",0,SUMIFS(Buchungen!$F$4:$F$1003,Buchungen!$B$4:$B$1003,$B$3,Buchungen!$C$4:$C$1003,G$4,Buchungen!$D$4:$D$1003,$A42))</f>
        <v/>
      </c>
      <c r="H42" s="39">
        <f>IF($A42="",0,SUMIFS(Buchungen!$F$4:$F$1003,Buchungen!$B$4:$B$1003,$B$3,Buchungen!$C$4:$C$1003,H$4,Buchungen!$D$4:$D$1003,$A42))</f>
        <v/>
      </c>
      <c r="I42" s="39">
        <f>IF($A42="",0,SUMIFS(Buchungen!$F$4:$F$1003,Buchungen!$B$4:$B$1003,$B$3,Buchungen!$C$4:$C$1003,I$4,Buchungen!$D$4:$D$1003,$A42))</f>
        <v/>
      </c>
      <c r="J42" s="39">
        <f>IF($A42="",0,SUMIFS(Buchungen!$F$4:$F$1003,Buchungen!$B$4:$B$1003,$B$3,Buchungen!$C$4:$C$1003,J$4,Buchungen!$D$4:$D$1003,$A42))</f>
        <v/>
      </c>
      <c r="K42" s="39">
        <f>IF($A42="",0,SUMIFS(Buchungen!$F$4:$F$1003,Buchungen!$B$4:$B$1003,$B$3,Buchungen!$C$4:$C$1003,K$4,Buchungen!$D$4:$D$1003,$A42))</f>
        <v/>
      </c>
      <c r="L42" s="39">
        <f>IF($A42="",0,SUMIFS(Buchungen!$F$4:$F$1003,Buchungen!$B$4:$B$1003,$B$3,Buchungen!$C$4:$C$1003,L$4,Buchungen!$D$4:$D$1003,$A42))</f>
        <v/>
      </c>
      <c r="M42" s="39">
        <f>IF($A42="",0,SUMIFS(Buchungen!$F$4:$F$1003,Buchungen!$B$4:$B$1003,$B$3,Buchungen!$C$4:$C$1003,M$4,Buchungen!$D$4:$D$1003,$A42))</f>
        <v/>
      </c>
      <c r="N42" s="39">
        <f>IF($A42="",0,SUMIFS(Buchungen!$F$4:$F$1003,Buchungen!$B$4:$B$1003,$B$3,Buchungen!$C$4:$C$1003,N$4,Buchungen!$D$4:$D$1003,$A42))</f>
        <v/>
      </c>
      <c r="O42" s="11">
        <f>SUM($C42:$N42)</f>
        <v/>
      </c>
      <c r="P42" s="11">
        <f>IFERROR(AVERAGEIF($C42:$N42,"&lt;&gt;0"),0)</f>
        <v/>
      </c>
      <c r="Q42" s="13">
        <f>IF(Einstellungen!$C40="",0,Einstellungen!$C40)</f>
        <v/>
      </c>
      <c r="R42" s="11">
        <f>$Q42-$P42</f>
        <v/>
      </c>
      <c r="S42" s="11">
        <f>IF($B42="Ausgabe",$O42,0)</f>
        <v/>
      </c>
    </row>
    <row r="44" ht="15" customHeight="1" s="52">
      <c r="A44" s="29" t="inlineStr">
        <is>
          <t>Gesamt</t>
        </is>
      </c>
      <c r="B44" s="30" t="n"/>
      <c r="C44" s="40">
        <f>SUM(C6:C42)</f>
        <v/>
      </c>
      <c r="D44" s="40">
        <f>SUM(D6:D42)</f>
        <v/>
      </c>
      <c r="E44" s="40">
        <f>SUM(E6:E42)</f>
        <v/>
      </c>
      <c r="F44" s="40">
        <f>SUM(F6:F42)</f>
        <v/>
      </c>
      <c r="G44" s="40">
        <f>SUM(G6:G42)</f>
        <v/>
      </c>
      <c r="H44" s="40">
        <f>SUM(H6:H42)</f>
        <v/>
      </c>
      <c r="I44" s="40">
        <f>SUM(I6:I42)</f>
        <v/>
      </c>
      <c r="J44" s="40">
        <f>SUM(J6:J42)</f>
        <v/>
      </c>
      <c r="K44" s="40">
        <f>SUM(K6:K42)</f>
        <v/>
      </c>
      <c r="L44" s="40">
        <f>SUM(L6:L42)</f>
        <v/>
      </c>
      <c r="M44" s="40">
        <f>SUM(M6:M42)</f>
        <v/>
      </c>
      <c r="N44" s="40">
        <f>SUM(N6:N42)</f>
        <v/>
      </c>
      <c r="O44" s="40">
        <f>SUM(O6:O42)</f>
        <v/>
      </c>
      <c r="P44" s="30" t="n"/>
      <c r="Q44" s="30" t="n"/>
      <c r="R44" s="30" t="n"/>
      <c r="S44" s="30" t="n"/>
    </row>
    <row r="46" ht="15" customHeight="1" s="52">
      <c r="A46" s="2" t="inlineStr">
        <is>
          <t>Die Hilfsspalte S blendet Einnahmen aus, damit das Dashboard die größte Ausgabenkategorie findet.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zoomScaleNormal="100" workbookViewId="0">
      <selection activeCell="A1" sqref="A1"/>
    </sheetView>
  </sheetViews>
  <sheetFormatPr baseColWidth="10" defaultColWidth="8.7109375" defaultRowHeight="15"/>
  <cols>
    <col width="32" customWidth="1" style="52" min="1" max="1"/>
    <col width="16" customWidth="1" style="52" min="2" max="2"/>
    <col width="18" customWidth="1" style="52" min="3" max="4"/>
    <col width="16" customWidth="1" style="52" min="5" max="7"/>
    <col width="18" customWidth="1" style="52" min="8" max="8"/>
    <col width="30" customWidth="1" style="52" min="9" max="9"/>
  </cols>
  <sheetData>
    <row r="1" ht="21.75" customHeight="1" s="52">
      <c r="A1" s="1" t="inlineStr">
        <is>
          <t>Sparziele</t>
        </is>
      </c>
    </row>
    <row r="2" ht="15" customHeight="1" s="52">
      <c r="A2" s="2" t="inlineStr">
        <is>
          <t>Zielbetrag und monatliche Rate eintragen – Rest wird berechnet</t>
        </is>
      </c>
    </row>
    <row r="3" ht="30" customHeight="1" s="52">
      <c r="A3" s="15" t="inlineStr">
        <is>
          <t>Ziel</t>
        </is>
      </c>
      <c r="B3" s="15" t="inlineStr">
        <is>
          <t>Zielbetrag (€)</t>
        </is>
      </c>
      <c r="C3" s="15" t="inlineStr">
        <is>
          <t>Bereits gespart (€)</t>
        </is>
      </c>
      <c r="D3" s="15" t="inlineStr">
        <is>
          <t>Monatliche Rate (€)</t>
        </is>
      </c>
      <c r="E3" s="15" t="inlineStr">
        <is>
          <t>Fortschritt</t>
        </is>
      </c>
      <c r="F3" s="15" t="inlineStr">
        <is>
          <t>Noch offen (€)</t>
        </is>
      </c>
      <c r="G3" s="15" t="inlineStr">
        <is>
          <t>Monate bis Ziel</t>
        </is>
      </c>
      <c r="H3" s="15" t="inlineStr">
        <is>
          <t>Vorauss. erreicht</t>
        </is>
      </c>
      <c r="I3" s="15" t="inlineStr">
        <is>
          <t>Notiz</t>
        </is>
      </c>
    </row>
    <row r="4" ht="15" customHeight="1" s="52">
      <c r="A4" s="18" t="inlineStr">
        <is>
          <t>BEISPIEL – Notgroschen 3 Monatsausgaben</t>
        </is>
      </c>
      <c r="B4" s="19" t="n">
        <v>4500</v>
      </c>
      <c r="C4" s="19" t="n">
        <v>1200</v>
      </c>
      <c r="D4" s="19" t="n">
        <v>250</v>
      </c>
      <c r="E4" s="12">
        <f>IF(OR($B4="",$B4&lt;=0),"",MIN(1,$C4/$B4))</f>
        <v/>
      </c>
      <c r="F4" s="11">
        <f>IF($B4="","",MAX(0,$B4-$C4))</f>
        <v/>
      </c>
      <c r="G4" s="17">
        <f>IF(OR($D4="",$D4&lt;=0,$B4=""),"",IF($F4&lt;=0,0,ROUNDUP($F4/$D4,0)))</f>
        <v/>
      </c>
      <c r="H4" s="41">
        <f>IF($G4="","",EDATE(TODAY(),$G4))</f>
        <v/>
      </c>
      <c r="I4" s="18" t="inlineStr">
        <is>
          <t>Beispielzeile – bitte überschreiben</t>
        </is>
      </c>
    </row>
    <row r="5" ht="15" customHeight="1" s="52">
      <c r="A5" s="27" t="n"/>
      <c r="B5" s="28" t="n"/>
      <c r="C5" s="28" t="n"/>
      <c r="D5" s="28" t="n"/>
      <c r="E5" s="12">
        <f>IF(OR($B5="",$B5&lt;=0),"",MIN(1,$C5/$B5))</f>
        <v/>
      </c>
      <c r="F5" s="11">
        <f>IF($B5="","",MAX(0,$B5-$C5))</f>
        <v/>
      </c>
      <c r="G5" s="17">
        <f>IF(OR($D5="",$D5&lt;=0,$B5=""),"",IF($F5&lt;=0,0,ROUNDUP($F5/$D5,0)))</f>
        <v/>
      </c>
      <c r="H5" s="41">
        <f>IF($G5="","",EDATE(TODAY(),$G5))</f>
        <v/>
      </c>
      <c r="I5" s="27" t="n"/>
    </row>
    <row r="6" ht="15" customHeight="1" s="52">
      <c r="A6" s="27" t="n"/>
      <c r="B6" s="28" t="n"/>
      <c r="C6" s="28" t="n"/>
      <c r="D6" s="28" t="n"/>
      <c r="E6" s="12">
        <f>IF(OR($B6="",$B6&lt;=0),"",MIN(1,$C6/$B6))</f>
        <v/>
      </c>
      <c r="F6" s="11">
        <f>IF($B6="","",MAX(0,$B6-$C6))</f>
        <v/>
      </c>
      <c r="G6" s="17">
        <f>IF(OR($D6="",$D6&lt;=0,$B6=""),"",IF($F6&lt;=0,0,ROUNDUP($F6/$D6,0)))</f>
        <v/>
      </c>
      <c r="H6" s="41">
        <f>IF($G6="","",EDATE(TODAY(),$G6))</f>
        <v/>
      </c>
      <c r="I6" s="27" t="n"/>
    </row>
    <row r="7" ht="15" customHeight="1" s="52">
      <c r="A7" s="27" t="n"/>
      <c r="B7" s="28" t="n"/>
      <c r="C7" s="28" t="n"/>
      <c r="D7" s="28" t="n"/>
      <c r="E7" s="12">
        <f>IF(OR($B7="",$B7&lt;=0),"",MIN(1,$C7/$B7))</f>
        <v/>
      </c>
      <c r="F7" s="11">
        <f>IF($B7="","",MAX(0,$B7-$C7))</f>
        <v/>
      </c>
      <c r="G7" s="17">
        <f>IF(OR($D7="",$D7&lt;=0,$B7=""),"",IF($F7&lt;=0,0,ROUNDUP($F7/$D7,0)))</f>
        <v/>
      </c>
      <c r="H7" s="41">
        <f>IF($G7="","",EDATE(TODAY(),$G7))</f>
        <v/>
      </c>
      <c r="I7" s="27" t="n"/>
    </row>
    <row r="8" ht="15" customHeight="1" s="52">
      <c r="A8" s="27" t="n"/>
      <c r="B8" s="28" t="n"/>
      <c r="C8" s="28" t="n"/>
      <c r="D8" s="28" t="n"/>
      <c r="E8" s="12">
        <f>IF(OR($B8="",$B8&lt;=0),"",MIN(1,$C8/$B8))</f>
        <v/>
      </c>
      <c r="F8" s="11">
        <f>IF($B8="","",MAX(0,$B8-$C8))</f>
        <v/>
      </c>
      <c r="G8" s="17">
        <f>IF(OR($D8="",$D8&lt;=0,$B8=""),"",IF($F8&lt;=0,0,ROUNDUP($F8/$D8,0)))</f>
        <v/>
      </c>
      <c r="H8" s="41">
        <f>IF($G8="","",EDATE(TODAY(),$G8))</f>
        <v/>
      </c>
      <c r="I8" s="27" t="n"/>
    </row>
    <row r="9" ht="15" customHeight="1" s="52">
      <c r="A9" s="27" t="n"/>
      <c r="B9" s="28" t="n"/>
      <c r="C9" s="28" t="n"/>
      <c r="D9" s="28" t="n"/>
      <c r="E9" s="12">
        <f>IF(OR($B9="",$B9&lt;=0),"",MIN(1,$C9/$B9))</f>
        <v/>
      </c>
      <c r="F9" s="11">
        <f>IF($B9="","",MAX(0,$B9-$C9))</f>
        <v/>
      </c>
      <c r="G9" s="17">
        <f>IF(OR($D9="",$D9&lt;=0,$B9=""),"",IF($F9&lt;=0,0,ROUNDUP($F9/$D9,0)))</f>
        <v/>
      </c>
      <c r="H9" s="41">
        <f>IF($G9="","",EDATE(TODAY(),$G9))</f>
        <v/>
      </c>
      <c r="I9" s="27" t="n"/>
    </row>
    <row r="10" ht="15" customHeight="1" s="52">
      <c r="A10" s="27" t="n"/>
      <c r="B10" s="28" t="n"/>
      <c r="C10" s="28" t="n"/>
      <c r="D10" s="28" t="n"/>
      <c r="E10" s="12">
        <f>IF(OR($B10="",$B10&lt;=0),"",MIN(1,$C10/$B10))</f>
        <v/>
      </c>
      <c r="F10" s="11">
        <f>IF($B10="","",MAX(0,$B10-$C10))</f>
        <v/>
      </c>
      <c r="G10" s="17">
        <f>IF(OR($D10="",$D10&lt;=0,$B10=""),"",IF($F10&lt;=0,0,ROUNDUP($F10/$D10,0)))</f>
        <v/>
      </c>
      <c r="H10" s="41">
        <f>IF($G10="","",EDATE(TODAY(),$G10))</f>
        <v/>
      </c>
      <c r="I10" s="27" t="n"/>
    </row>
    <row r="11" ht="15" customHeight="1" s="52">
      <c r="A11" s="27" t="n"/>
      <c r="B11" s="28" t="n"/>
      <c r="C11" s="28" t="n"/>
      <c r="D11" s="28" t="n"/>
      <c r="E11" s="12">
        <f>IF(OR($B11="",$B11&lt;=0),"",MIN(1,$C11/$B11))</f>
        <v/>
      </c>
      <c r="F11" s="11">
        <f>IF($B11="","",MAX(0,$B11-$C11))</f>
        <v/>
      </c>
      <c r="G11" s="17">
        <f>IF(OR($D11="",$D11&lt;=0,$B11=""),"",IF($F11&lt;=0,0,ROUNDUP($F11/$D11,0)))</f>
        <v/>
      </c>
      <c r="H11" s="41">
        <f>IF($G11="","",EDATE(TODAY(),$G11))</f>
        <v/>
      </c>
      <c r="I11" s="27" t="n"/>
    </row>
    <row r="12" ht="15" customHeight="1" s="52">
      <c r="A12" s="27" t="n"/>
      <c r="B12" s="28" t="n"/>
      <c r="C12" s="28" t="n"/>
      <c r="D12" s="28" t="n"/>
      <c r="E12" s="12">
        <f>IF(OR($B12="",$B12&lt;=0),"",MIN(1,$C12/$B12))</f>
        <v/>
      </c>
      <c r="F12" s="11">
        <f>IF($B12="","",MAX(0,$B12-$C12))</f>
        <v/>
      </c>
      <c r="G12" s="17">
        <f>IF(OR($D12="",$D12&lt;=0,$B12=""),"",IF($F12&lt;=0,0,ROUNDUP($F12/$D12,0)))</f>
        <v/>
      </c>
      <c r="H12" s="41">
        <f>IF($G12="","",EDATE(TODAY(),$G12))</f>
        <v/>
      </c>
      <c r="I12" s="27" t="n"/>
    </row>
    <row r="13" ht="15" customHeight="1" s="52">
      <c r="A13" s="27" t="n"/>
      <c r="B13" s="28" t="n"/>
      <c r="C13" s="28" t="n"/>
      <c r="D13" s="28" t="n"/>
      <c r="E13" s="12">
        <f>IF(OR($B13="",$B13&lt;=0),"",MIN(1,$C13/$B13))</f>
        <v/>
      </c>
      <c r="F13" s="11">
        <f>IF($B13="","",MAX(0,$B13-$C13))</f>
        <v/>
      </c>
      <c r="G13" s="17">
        <f>IF(OR($D13="",$D13&lt;=0,$B13=""),"",IF($F13&lt;=0,0,ROUNDUP($F13/$D13,0)))</f>
        <v/>
      </c>
      <c r="H13" s="41">
        <f>IF($G13="","",EDATE(TODAY(),$G13))</f>
        <v/>
      </c>
      <c r="I13" s="27" t="n"/>
    </row>
    <row r="14" ht="15" customHeight="1" s="52">
      <c r="A14" s="27" t="n"/>
      <c r="B14" s="28" t="n"/>
      <c r="C14" s="28" t="n"/>
      <c r="D14" s="28" t="n"/>
      <c r="E14" s="12">
        <f>IF(OR($B14="",$B14&lt;=0),"",MIN(1,$C14/$B14))</f>
        <v/>
      </c>
      <c r="F14" s="11">
        <f>IF($B14="","",MAX(0,$B14-$C14))</f>
        <v/>
      </c>
      <c r="G14" s="17">
        <f>IF(OR($D14="",$D14&lt;=0,$B14=""),"",IF($F14&lt;=0,0,ROUNDUP($F14/$D14,0)))</f>
        <v/>
      </c>
      <c r="H14" s="41">
        <f>IF($G14="","",EDATE(TODAY(),$G14))</f>
        <v/>
      </c>
      <c r="I14" s="27" t="n"/>
    </row>
    <row r="15" ht="15" customHeight="1" s="52">
      <c r="A15" s="27" t="n"/>
      <c r="B15" s="28" t="n"/>
      <c r="C15" s="28" t="n"/>
      <c r="D15" s="28" t="n"/>
      <c r="E15" s="12">
        <f>IF(OR($B15="",$B15&lt;=0),"",MIN(1,$C15/$B15))</f>
        <v/>
      </c>
      <c r="F15" s="11">
        <f>IF($B15="","",MAX(0,$B15-$C15))</f>
        <v/>
      </c>
      <c r="G15" s="17">
        <f>IF(OR($D15="",$D15&lt;=0,$B15=""),"",IF($F15&lt;=0,0,ROUNDUP($F15/$D15,0)))</f>
        <v/>
      </c>
      <c r="H15" s="41">
        <f>IF($G15="","",EDATE(TODAY(),$G15))</f>
        <v/>
      </c>
      <c r="I15" s="27" t="n"/>
    </row>
    <row r="16" ht="15" customHeight="1" s="52">
      <c r="A16" s="27" t="n"/>
      <c r="B16" s="28" t="n"/>
      <c r="C16" s="28" t="n"/>
      <c r="D16" s="28" t="n"/>
      <c r="E16" s="12">
        <f>IF(OR($B16="",$B16&lt;=0),"",MIN(1,$C16/$B16))</f>
        <v/>
      </c>
      <c r="F16" s="11">
        <f>IF($B16="","",MAX(0,$B16-$C16))</f>
        <v/>
      </c>
      <c r="G16" s="17">
        <f>IF(OR($D16="",$D16&lt;=0,$B16=""),"",IF($F16&lt;=0,0,ROUNDUP($F16/$D16,0)))</f>
        <v/>
      </c>
      <c r="H16" s="41">
        <f>IF($G16="","",EDATE(TODAY(),$G16))</f>
        <v/>
      </c>
      <c r="I16" s="27" t="n"/>
    </row>
    <row r="17" ht="15" customHeight="1" s="52">
      <c r="A17" s="27" t="n"/>
      <c r="B17" s="28" t="n"/>
      <c r="C17" s="28" t="n"/>
      <c r="D17" s="28" t="n"/>
      <c r="E17" s="12">
        <f>IF(OR($B17="",$B17&lt;=0),"",MIN(1,$C17/$B17))</f>
        <v/>
      </c>
      <c r="F17" s="11">
        <f>IF($B17="","",MAX(0,$B17-$C17))</f>
        <v/>
      </c>
      <c r="G17" s="17">
        <f>IF(OR($D17="",$D17&lt;=0,$B17=""),"",IF($F17&lt;=0,0,ROUNDUP($F17/$D17,0)))</f>
        <v/>
      </c>
      <c r="H17" s="41">
        <f>IF($G17="","",EDATE(TODAY(),$G17))</f>
        <v/>
      </c>
      <c r="I17" s="27" t="n"/>
    </row>
    <row r="18" ht="15" customHeight="1" s="52">
      <c r="A18" s="27" t="n"/>
      <c r="B18" s="28" t="n"/>
      <c r="C18" s="28" t="n"/>
      <c r="D18" s="28" t="n"/>
      <c r="E18" s="12">
        <f>IF(OR($B18="",$B18&lt;=0),"",MIN(1,$C18/$B18))</f>
        <v/>
      </c>
      <c r="F18" s="11">
        <f>IF($B18="","",MAX(0,$B18-$C18))</f>
        <v/>
      </c>
      <c r="G18" s="17">
        <f>IF(OR($D18="",$D18&lt;=0,$B18=""),"",IF($F18&lt;=0,0,ROUNDUP($F18/$D18,0)))</f>
        <v/>
      </c>
      <c r="H18" s="41">
        <f>IF($G18="","",EDATE(TODAY(),$G18))</f>
        <v/>
      </c>
      <c r="I18" s="27" t="n"/>
    </row>
  </sheetData>
  <conditionalFormatting sqref="E4:E18">
    <cfRule type="dataBar" priority="2">
      <dataBar>
        <cfvo type="num" val="0"/>
        <cfvo type="num" val="1"/>
        <color rgb="FF4472C4"/>
      </dataBar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10" defaultColWidth="8.7109375" defaultRowHeight="15"/>
  <cols>
    <col width="14" customWidth="1" style="52" min="1" max="1"/>
    <col width="16" customWidth="1" style="52" min="2" max="2"/>
    <col width="20" customWidth="1" style="52" min="3" max="3"/>
    <col width="14" customWidth="1" style="52" min="4" max="4"/>
    <col width="13" customWidth="1" style="52" min="5" max="5"/>
    <col width="14" customWidth="1" style="52" min="6" max="6"/>
    <col width="17" customWidth="1" style="52" min="7" max="7"/>
    <col width="18" customWidth="1" style="52" min="8" max="9"/>
    <col width="16" customWidth="1" style="52" min="10" max="10"/>
    <col width="18" customWidth="1" style="52" min="11" max="11"/>
  </cols>
  <sheetData>
    <row r="1" ht="21.75" customHeight="1" s="52">
      <c r="A1" s="1" t="inlineStr">
        <is>
          <t>Vermögensentwicklung</t>
        </is>
      </c>
    </row>
    <row r="2" ht="15" customHeight="1" s="52">
      <c r="A2" s="2" t="inlineStr">
        <is>
          <t>Einmal pro Monat die Kontostände eintragen (blaue/gelbe Spalten)</t>
        </is>
      </c>
    </row>
    <row r="3" ht="30" customHeight="1" s="52">
      <c r="A3" s="15" t="inlineStr">
        <is>
          <t>Monat</t>
        </is>
      </c>
      <c r="B3" s="15" t="inlineStr">
        <is>
          <t>Girokonto S-POOL (€)</t>
        </is>
      </c>
      <c r="C3" s="15" t="inlineStr">
        <is>
          <t>Tagesgeld (€)</t>
        </is>
      </c>
      <c r="D3" s="15" t="inlineStr">
        <is>
          <t>Depot (€)</t>
        </is>
      </c>
      <c r="E3" s="15" t="inlineStr">
        <is>
          <t>Bargeld (€)</t>
        </is>
      </c>
      <c r="F3" s="15" t="inlineStr">
        <is>
          <t>Gemeinschaftskonto (€)</t>
        </is>
      </c>
      <c r="G3" s="15" t="inlineStr">
        <is>
          <t>Summe Aktiva (€)</t>
        </is>
      </c>
      <c r="H3" s="15" t="inlineStr">
        <is>
          <t>Kreditkarte / Schulden (€)</t>
        </is>
      </c>
      <c r="I3" s="15" t="inlineStr">
        <is>
          <t>Nettovermögen (€)</t>
        </is>
      </c>
      <c r="J3" s="15" t="inlineStr">
        <is>
          <t>Veränderung (€)</t>
        </is>
      </c>
      <c r="K3" s="15" t="inlineStr">
        <is>
          <t>Ø Veränderung 3M (€)</t>
        </is>
      </c>
    </row>
    <row r="4" ht="15" customHeight="1" s="52">
      <c r="A4" s="42">
        <f>Monatsübersicht!$A4</f>
        <v/>
      </c>
      <c r="B4" s="43" t="n"/>
      <c r="C4" s="43" t="n"/>
      <c r="D4" s="43" t="n"/>
      <c r="E4" s="43" t="n"/>
      <c r="F4" s="43" t="n"/>
      <c r="G4" s="11">
        <f>SUM($B4:$F4)</f>
        <v/>
      </c>
      <c r="H4" s="43" t="n"/>
      <c r="I4" s="11">
        <f>$G4-$H4</f>
        <v/>
      </c>
      <c r="J4" s="11" t="n"/>
      <c r="K4" s="11" t="n"/>
    </row>
    <row r="5" ht="15" customHeight="1" s="52">
      <c r="A5" s="42">
        <f>Monatsübersicht!$A5</f>
        <v/>
      </c>
      <c r="B5" s="43" t="n"/>
      <c r="C5" s="43" t="n"/>
      <c r="D5" s="43" t="n"/>
      <c r="E5" s="43" t="n"/>
      <c r="F5" s="43" t="n"/>
      <c r="G5" s="11">
        <f>SUM($B5:$F5)</f>
        <v/>
      </c>
      <c r="H5" s="43" t="n"/>
      <c r="I5" s="11">
        <f>$G5-$H5</f>
        <v/>
      </c>
      <c r="J5" s="11">
        <f>$I5-$I4</f>
        <v/>
      </c>
      <c r="K5" s="11" t="n"/>
    </row>
    <row r="6" ht="15" customHeight="1" s="52">
      <c r="A6" s="42">
        <f>Monatsübersicht!$A6</f>
        <v/>
      </c>
      <c r="B6" s="43" t="n"/>
      <c r="C6" s="43" t="n"/>
      <c r="D6" s="43" t="n"/>
      <c r="E6" s="43" t="n"/>
      <c r="F6" s="43" t="n"/>
      <c r="G6" s="11">
        <f>SUM($B6:$F6)</f>
        <v/>
      </c>
      <c r="H6" s="43" t="n"/>
      <c r="I6" s="11">
        <f>$G6-$H6</f>
        <v/>
      </c>
      <c r="J6" s="11">
        <f>$I6-$I5</f>
        <v/>
      </c>
      <c r="K6" s="11" t="n"/>
    </row>
    <row r="7" ht="15" customHeight="1" s="52">
      <c r="A7" s="42">
        <f>Monatsübersicht!$A7</f>
        <v/>
      </c>
      <c r="B7" s="43" t="n"/>
      <c r="C7" s="43" t="n"/>
      <c r="D7" s="43" t="n"/>
      <c r="E7" s="43" t="n"/>
      <c r="F7" s="43" t="n"/>
      <c r="G7" s="11">
        <f>SUM($B7:$F7)</f>
        <v/>
      </c>
      <c r="H7" s="43" t="n"/>
      <c r="I7" s="11">
        <f>$G7-$H7</f>
        <v/>
      </c>
      <c r="J7" s="11">
        <f>$I7-$I6</f>
        <v/>
      </c>
      <c r="K7" s="11">
        <f>AVERAGE($J5:$J7)</f>
        <v/>
      </c>
    </row>
    <row r="8" ht="15" customHeight="1" s="52">
      <c r="A8" s="42">
        <f>Monatsübersicht!$A8</f>
        <v/>
      </c>
      <c r="B8" s="43" t="n"/>
      <c r="C8" s="43" t="n"/>
      <c r="D8" s="43" t="n"/>
      <c r="E8" s="43" t="n"/>
      <c r="F8" s="43" t="n"/>
      <c r="G8" s="11">
        <f>SUM($B8:$F8)</f>
        <v/>
      </c>
      <c r="H8" s="43" t="n"/>
      <c r="I8" s="11">
        <f>$G8-$H8</f>
        <v/>
      </c>
      <c r="J8" s="11">
        <f>$I8-$I7</f>
        <v/>
      </c>
      <c r="K8" s="11">
        <f>AVERAGE($J6:$J8)</f>
        <v/>
      </c>
    </row>
    <row r="9" ht="15" customHeight="1" s="52">
      <c r="A9" s="42">
        <f>Monatsübersicht!$A9</f>
        <v/>
      </c>
      <c r="B9" s="43" t="n"/>
      <c r="C9" s="43" t="n"/>
      <c r="D9" s="43" t="n"/>
      <c r="E9" s="43" t="n"/>
      <c r="F9" s="43" t="n"/>
      <c r="G9" s="11">
        <f>SUM($B9:$F9)</f>
        <v/>
      </c>
      <c r="H9" s="43" t="n"/>
      <c r="I9" s="11">
        <f>$G9-$H9</f>
        <v/>
      </c>
      <c r="J9" s="11">
        <f>$I9-$I8</f>
        <v/>
      </c>
      <c r="K9" s="11">
        <f>AVERAGE($J7:$J9)</f>
        <v/>
      </c>
    </row>
    <row r="10" ht="15" customHeight="1" s="52">
      <c r="A10" s="42">
        <f>Monatsübersicht!$A10</f>
        <v/>
      </c>
      <c r="B10" s="43" t="n"/>
      <c r="C10" s="43" t="n"/>
      <c r="D10" s="43" t="n"/>
      <c r="E10" s="43" t="n"/>
      <c r="F10" s="43" t="n"/>
      <c r="G10" s="11">
        <f>SUM($B10:$F10)</f>
        <v/>
      </c>
      <c r="H10" s="43" t="n"/>
      <c r="I10" s="11">
        <f>$G10-$H10</f>
        <v/>
      </c>
      <c r="J10" s="11">
        <f>$I10-$I9</f>
        <v/>
      </c>
      <c r="K10" s="11">
        <f>AVERAGE($J8:$J10)</f>
        <v/>
      </c>
    </row>
    <row r="11" ht="15" customHeight="1" s="52">
      <c r="A11" s="42">
        <f>Monatsübersicht!$A11</f>
        <v/>
      </c>
      <c r="B11" s="73" t="n">
        <v>64.23</v>
      </c>
      <c r="C11" s="73" t="n">
        <v>0</v>
      </c>
      <c r="D11" s="43" t="n"/>
      <c r="E11" s="43" t="n"/>
      <c r="F11" s="73" t="n">
        <v>62.36</v>
      </c>
      <c r="G11" s="11">
        <f>SUM($B11:$F11)</f>
        <v/>
      </c>
      <c r="H11" s="73" t="n">
        <v>522.74</v>
      </c>
      <c r="I11" s="11">
        <f>$G11-$H11</f>
        <v/>
      </c>
      <c r="J11" s="11">
        <f>$I11-$I10</f>
        <v/>
      </c>
      <c r="K11" s="11">
        <f>AVERAGE($J9:$J11)</f>
        <v/>
      </c>
      <c r="L11" s="69" t="inlineStr">
        <is>
          <t>Kontostände laut Sparkassen-Finanzübersicht vom 18.08.2026 (von Sarah bereitgestellt)</t>
        </is>
      </c>
    </row>
    <row r="12" ht="15" customHeight="1" s="52">
      <c r="A12" s="42">
        <f>Monatsübersicht!$A12</f>
        <v/>
      </c>
      <c r="B12" s="43" t="n"/>
      <c r="C12" s="43" t="n"/>
      <c r="D12" s="43" t="n"/>
      <c r="E12" s="43" t="n"/>
      <c r="F12" s="43" t="n"/>
      <c r="G12" s="11">
        <f>SUM($B12:$F12)</f>
        <v/>
      </c>
      <c r="H12" s="43" t="n"/>
      <c r="I12" s="11">
        <f>$G12-$H12</f>
        <v/>
      </c>
      <c r="J12" s="11">
        <f>$I12-$I11</f>
        <v/>
      </c>
      <c r="K12" s="11">
        <f>AVERAGE($J10:$J12)</f>
        <v/>
      </c>
    </row>
    <row r="13" ht="15" customHeight="1" s="52">
      <c r="A13" s="42">
        <f>Monatsübersicht!$A13</f>
        <v/>
      </c>
      <c r="B13" s="43" t="n"/>
      <c r="C13" s="43" t="n"/>
      <c r="D13" s="43" t="n"/>
      <c r="E13" s="43" t="n"/>
      <c r="F13" s="43" t="n"/>
      <c r="G13" s="11">
        <f>SUM($B13:$F13)</f>
        <v/>
      </c>
      <c r="H13" s="43" t="n"/>
      <c r="I13" s="11">
        <f>$G13-$H13</f>
        <v/>
      </c>
      <c r="J13" s="11">
        <f>$I13-$I12</f>
        <v/>
      </c>
      <c r="K13" s="11">
        <f>AVERAGE($J11:$J13)</f>
        <v/>
      </c>
    </row>
    <row r="14" ht="15" customHeight="1" s="52">
      <c r="A14" s="42">
        <f>Monatsübersicht!$A14</f>
        <v/>
      </c>
      <c r="B14" s="43" t="n"/>
      <c r="C14" s="43" t="n"/>
      <c r="D14" s="43" t="n"/>
      <c r="E14" s="43" t="n"/>
      <c r="F14" s="43" t="n"/>
      <c r="G14" s="11">
        <f>SUM($B14:$F14)</f>
        <v/>
      </c>
      <c r="H14" s="43" t="n"/>
      <c r="I14" s="11">
        <f>$G14-$H14</f>
        <v/>
      </c>
      <c r="J14" s="11">
        <f>$I14-$I13</f>
        <v/>
      </c>
      <c r="K14" s="11">
        <f>AVERAGE($J12:$J14)</f>
        <v/>
      </c>
    </row>
    <row r="15" ht="15" customHeight="1" s="52">
      <c r="A15" s="42">
        <f>Monatsübersicht!$A15</f>
        <v/>
      </c>
      <c r="B15" s="43" t="n"/>
      <c r="C15" s="43" t="n"/>
      <c r="D15" s="43" t="n"/>
      <c r="E15" s="43" t="n"/>
      <c r="F15" s="43" t="n"/>
      <c r="G15" s="11">
        <f>SUM($B15:$F15)</f>
        <v/>
      </c>
      <c r="H15" s="43" t="n"/>
      <c r="I15" s="11">
        <f>$G15-$H15</f>
        <v/>
      </c>
      <c r="J15" s="11">
        <f>$I15-$I14</f>
        <v/>
      </c>
      <c r="K15" s="11">
        <f>AVERAGE($J13:$J15)</f>
        <v/>
      </c>
    </row>
    <row r="16" ht="15" customHeight="1" s="52">
      <c r="A16" s="42">
        <f>Monatsübersicht!$A16</f>
        <v/>
      </c>
      <c r="B16" s="43" t="n"/>
      <c r="C16" s="43" t="n"/>
      <c r="D16" s="43" t="n"/>
      <c r="E16" s="43" t="n"/>
      <c r="F16" s="43" t="n"/>
      <c r="G16" s="11">
        <f>SUM($B16:$F16)</f>
        <v/>
      </c>
      <c r="H16" s="43" t="n"/>
      <c r="I16" s="11">
        <f>$G16-$H16</f>
        <v/>
      </c>
      <c r="J16" s="11">
        <f>$I16-$I15</f>
        <v/>
      </c>
      <c r="K16" s="11">
        <f>AVERAGE($J14:$J16)</f>
        <v/>
      </c>
    </row>
    <row r="17" ht="15" customHeight="1" s="52">
      <c r="A17" s="42">
        <f>Monatsübersicht!$A17</f>
        <v/>
      </c>
      <c r="B17" s="43" t="n"/>
      <c r="C17" s="43" t="n"/>
      <c r="D17" s="43" t="n"/>
      <c r="E17" s="43" t="n"/>
      <c r="F17" s="43" t="n"/>
      <c r="G17" s="11">
        <f>SUM($B17:$F17)</f>
        <v/>
      </c>
      <c r="H17" s="43" t="n"/>
      <c r="I17" s="11">
        <f>$G17-$H17</f>
        <v/>
      </c>
      <c r="J17" s="11">
        <f>$I17-$I16</f>
        <v/>
      </c>
      <c r="K17" s="11">
        <f>AVERAGE($J15:$J17)</f>
        <v/>
      </c>
    </row>
    <row r="18" ht="15" customHeight="1" s="52">
      <c r="A18" s="42">
        <f>Monatsübersicht!$A18</f>
        <v/>
      </c>
      <c r="B18" s="43" t="n"/>
      <c r="C18" s="43" t="n"/>
      <c r="D18" s="43" t="n"/>
      <c r="E18" s="43" t="n"/>
      <c r="F18" s="43" t="n"/>
      <c r="G18" s="11">
        <f>SUM($B18:$F18)</f>
        <v/>
      </c>
      <c r="H18" s="43" t="n"/>
      <c r="I18" s="11">
        <f>$G18-$H18</f>
        <v/>
      </c>
      <c r="J18" s="11">
        <f>$I18-$I17</f>
        <v/>
      </c>
      <c r="K18" s="11">
        <f>AVERAGE($J16:$J18)</f>
        <v/>
      </c>
    </row>
    <row r="19" ht="15" customHeight="1" s="52">
      <c r="A19" s="42">
        <f>Monatsübersicht!$A19</f>
        <v/>
      </c>
      <c r="B19" s="43" t="n"/>
      <c r="C19" s="43" t="n"/>
      <c r="D19" s="43" t="n"/>
      <c r="E19" s="43" t="n"/>
      <c r="F19" s="43" t="n"/>
      <c r="G19" s="11">
        <f>SUM($B19:$F19)</f>
        <v/>
      </c>
      <c r="H19" s="43" t="n"/>
      <c r="I19" s="11">
        <f>$G19-$H19</f>
        <v/>
      </c>
      <c r="J19" s="11">
        <f>$I19-$I18</f>
        <v/>
      </c>
      <c r="K19" s="11">
        <f>AVERAGE($J17:$J19)</f>
        <v/>
      </c>
    </row>
    <row r="20" ht="15" customHeight="1" s="52">
      <c r="A20" s="42">
        <f>Monatsübersicht!$A20</f>
        <v/>
      </c>
      <c r="B20" s="43" t="n"/>
      <c r="C20" s="43" t="n"/>
      <c r="D20" s="43" t="n"/>
      <c r="E20" s="43" t="n"/>
      <c r="F20" s="43" t="n"/>
      <c r="G20" s="11">
        <f>SUM($B20:$F20)</f>
        <v/>
      </c>
      <c r="H20" s="43" t="n"/>
      <c r="I20" s="11">
        <f>$G20-$H20</f>
        <v/>
      </c>
      <c r="J20" s="11">
        <f>$I20-$I19</f>
        <v/>
      </c>
      <c r="K20" s="11">
        <f>AVERAGE($J18:$J20)</f>
        <v/>
      </c>
    </row>
    <row r="21" ht="15" customHeight="1" s="52">
      <c r="A21" s="42">
        <f>Monatsübersicht!$A21</f>
        <v/>
      </c>
      <c r="B21" s="43" t="n"/>
      <c r="C21" s="43" t="n"/>
      <c r="D21" s="43" t="n"/>
      <c r="E21" s="43" t="n"/>
      <c r="F21" s="43" t="n"/>
      <c r="G21" s="11">
        <f>SUM($B21:$F21)</f>
        <v/>
      </c>
      <c r="H21" s="43" t="n"/>
      <c r="I21" s="11">
        <f>$G21-$H21</f>
        <v/>
      </c>
      <c r="J21" s="11">
        <f>$I21-$I20</f>
        <v/>
      </c>
      <c r="K21" s="11">
        <f>AVERAGE($J19:$J21)</f>
        <v/>
      </c>
    </row>
    <row r="22" ht="15" customHeight="1" s="52">
      <c r="A22" s="42">
        <f>Monatsübersicht!$A22</f>
        <v/>
      </c>
      <c r="B22" s="43" t="n"/>
      <c r="C22" s="43" t="n"/>
      <c r="D22" s="43" t="n"/>
      <c r="E22" s="43" t="n"/>
      <c r="F22" s="43" t="n"/>
      <c r="G22" s="11">
        <f>SUM($B22:$F22)</f>
        <v/>
      </c>
      <c r="H22" s="43" t="n"/>
      <c r="I22" s="11">
        <f>$G22-$H22</f>
        <v/>
      </c>
      <c r="J22" s="11">
        <f>$I22-$I21</f>
        <v/>
      </c>
      <c r="K22" s="11">
        <f>AVERAGE($J20:$J22)</f>
        <v/>
      </c>
    </row>
    <row r="23" ht="15" customHeight="1" s="52">
      <c r="A23" s="42">
        <f>Monatsübersicht!$A23</f>
        <v/>
      </c>
      <c r="B23" s="43" t="n"/>
      <c r="C23" s="43" t="n"/>
      <c r="D23" s="43" t="n"/>
      <c r="E23" s="43" t="n"/>
      <c r="F23" s="43" t="n"/>
      <c r="G23" s="11">
        <f>SUM($B23:$F23)</f>
        <v/>
      </c>
      <c r="H23" s="43" t="n"/>
      <c r="I23" s="11">
        <f>$G23-$H23</f>
        <v/>
      </c>
      <c r="J23" s="11">
        <f>$I23-$I22</f>
        <v/>
      </c>
      <c r="K23" s="11">
        <f>AVERAGE($J21:$J23)</f>
        <v/>
      </c>
    </row>
    <row r="24" ht="15" customHeight="1" s="52">
      <c r="A24" s="42">
        <f>Monatsübersicht!$A24</f>
        <v/>
      </c>
      <c r="B24" s="43" t="n"/>
      <c r="C24" s="43" t="n"/>
      <c r="D24" s="43" t="n"/>
      <c r="E24" s="43" t="n"/>
      <c r="F24" s="43" t="n"/>
      <c r="G24" s="11">
        <f>SUM($B24:$F24)</f>
        <v/>
      </c>
      <c r="H24" s="43" t="n"/>
      <c r="I24" s="11">
        <f>$G24-$H24</f>
        <v/>
      </c>
      <c r="J24" s="11">
        <f>$I24-$I23</f>
        <v/>
      </c>
      <c r="K24" s="11">
        <f>AVERAGE($J22:$J24)</f>
        <v/>
      </c>
    </row>
    <row r="25" ht="15" customHeight="1" s="52">
      <c r="A25" s="42">
        <f>Monatsübersicht!$A25</f>
        <v/>
      </c>
      <c r="B25" s="43" t="n"/>
      <c r="C25" s="43" t="n"/>
      <c r="D25" s="43" t="n"/>
      <c r="E25" s="43" t="n"/>
      <c r="F25" s="43" t="n"/>
      <c r="G25" s="11">
        <f>SUM($B25:$F25)</f>
        <v/>
      </c>
      <c r="H25" s="43" t="n"/>
      <c r="I25" s="11">
        <f>$G25-$H25</f>
        <v/>
      </c>
      <c r="J25" s="11">
        <f>$I25-$I24</f>
        <v/>
      </c>
      <c r="K25" s="11">
        <f>AVERAGE($J23:$J25)</f>
        <v/>
      </c>
    </row>
    <row r="26" ht="15" customHeight="1" s="52">
      <c r="A26" s="42">
        <f>Monatsübersicht!$A26</f>
        <v/>
      </c>
      <c r="B26" s="43" t="n"/>
      <c r="C26" s="43" t="n"/>
      <c r="D26" s="43" t="n"/>
      <c r="E26" s="43" t="n"/>
      <c r="F26" s="43" t="n"/>
      <c r="G26" s="11">
        <f>SUM($B26:$F26)</f>
        <v/>
      </c>
      <c r="H26" s="43" t="n"/>
      <c r="I26" s="11">
        <f>$G26-$H26</f>
        <v/>
      </c>
      <c r="J26" s="11">
        <f>$I26-$I25</f>
        <v/>
      </c>
      <c r="K26" s="11">
        <f>AVERAGE($J24:$J26)</f>
        <v/>
      </c>
    </row>
    <row r="27" ht="15" customHeight="1" s="52">
      <c r="A27" s="42">
        <f>Monatsübersicht!$A27</f>
        <v/>
      </c>
      <c r="B27" s="43" t="n"/>
      <c r="C27" s="43" t="n"/>
      <c r="D27" s="43" t="n"/>
      <c r="E27" s="43" t="n"/>
      <c r="F27" s="43" t="n"/>
      <c r="G27" s="11">
        <f>SUM($B27:$F27)</f>
        <v/>
      </c>
      <c r="H27" s="43" t="n"/>
      <c r="I27" s="11">
        <f>$G27-$H27</f>
        <v/>
      </c>
      <c r="J27" s="11">
        <f>$I27-$I26</f>
        <v/>
      </c>
      <c r="K27" s="11">
        <f>AVERAGE($J25:$J27)</f>
        <v/>
      </c>
    </row>
    <row r="29" ht="15" customHeight="1" s="52">
      <c r="A29" s="2" t="inlineStr">
        <is>
          <t>Schulden bitte als positive Zahl eintragen (z. B. offener Kreditbetrag) – sie werden automatisch abgezogen.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zoomScaleNormal="100" workbookViewId="0">
      <selection activeCell="A1" sqref="A1"/>
    </sheetView>
  </sheetViews>
  <sheetFormatPr baseColWidth="10" defaultColWidth="8.7109375" defaultRowHeight="15"/>
  <cols>
    <col width="34" customWidth="1" style="52" min="1" max="1"/>
    <col width="20" customWidth="1" style="52" min="2" max="2"/>
    <col width="24" customWidth="1" style="52" min="3" max="4"/>
    <col width="3" customWidth="1" style="52" min="5" max="5"/>
    <col width="60" customWidth="1" style="52" min="6" max="6"/>
  </cols>
  <sheetData>
    <row r="1" ht="21.75" customHeight="1" s="52">
      <c r="A1" s="1" t="inlineStr">
        <is>
          <t>Prognose</t>
        </is>
      </c>
    </row>
    <row r="2" ht="15" customHeight="1" s="52">
      <c r="A2" s="2" t="inlineStr">
        <is>
          <t>Hochrechnung der nächsten 12 Monate – aussagekräftig ab ca. 3–6 Monaten echter Daten</t>
        </is>
      </c>
    </row>
    <row r="4" ht="15" customHeight="1" s="52">
      <c r="A4" s="3" t="inlineStr">
        <is>
          <t>Basiswerte (berechnet)</t>
        </is>
      </c>
    </row>
    <row r="5" ht="15" customHeight="1" s="52">
      <c r="A5" s="9" t="inlineStr">
        <is>
          <t>Aktuelles Nettovermögen (€)</t>
        </is>
      </c>
      <c r="B5" s="13">
        <f>IFERROR(LOOKUP(9.99999999999999E+307,Vermögen!$I$4:$I$27),0)</f>
        <v/>
      </c>
    </row>
    <row r="6" ht="15" customHeight="1" s="52">
      <c r="A6" s="9" t="inlineStr">
        <is>
          <t>Ø monatliche Sparrate (Monate mit Daten)</t>
        </is>
      </c>
      <c r="B6" s="13">
        <f>IFERROR(AVERAGEIF(Monatsübersicht!$F$4:$F$27,"&lt;&gt;0"),0)</f>
        <v/>
      </c>
    </row>
    <row r="7" ht="15" customHeight="1" s="52">
      <c r="A7" s="9" t="inlineStr">
        <is>
          <t>Ø monatliche Ausgaben (Monate mit Daten)</t>
        </is>
      </c>
      <c r="B7" s="13">
        <f>IFERROR(AVERAGEIF(Monatsübersicht!$E$4:$E$27,"&lt;&gt;0"),0)</f>
        <v/>
      </c>
    </row>
    <row r="8" ht="15" customHeight="1" s="52">
      <c r="A8" s="9" t="inlineStr">
        <is>
          <t>Ausgaben-Trend pro Monat (linear, €)</t>
        </is>
      </c>
      <c r="B8" s="13">
        <f>IFERROR(SLOPE(Monatsübersicht!$E$4:$E$27,Monatsübersicht!$M$4:$M$27),0)</f>
        <v/>
      </c>
    </row>
    <row r="10" ht="15" customHeight="1" s="52">
      <c r="A10" s="3" t="inlineStr">
        <is>
          <t>Annahmen (anpassbar)</t>
        </is>
      </c>
    </row>
    <row r="11" ht="23.85" customHeight="1" s="52">
      <c r="A11" s="9" t="inlineStr">
        <is>
          <t>Erwartete Rendite p. a.</t>
        </is>
      </c>
      <c r="B11" s="44" t="n">
        <v>0.02</v>
      </c>
      <c r="F11" s="51" t="inlineStr">
        <is>
          <t>Annahme von Claude gesetzt: 2 % p. a. als neutraler Platzhalter – bitte durch deinen eigenen Erwartungswert ersetzen.</t>
        </is>
      </c>
    </row>
    <row r="12" ht="15" customHeight="1" s="52">
      <c r="A12" s="9" t="inlineStr">
        <is>
          <t>Zusätzliche Sparrate pro Monat (€)</t>
        </is>
      </c>
      <c r="B12" s="43" t="n">
        <v>0</v>
      </c>
    </row>
    <row r="13" ht="15" customHeight="1" s="52">
      <c r="A13" s="9" t="inlineStr">
        <is>
          <t>Effektive Sparrate (€)</t>
        </is>
      </c>
      <c r="B13" s="31">
        <f>$B$6+$B$12</f>
        <v/>
      </c>
    </row>
    <row r="16" ht="30" customHeight="1" s="52">
      <c r="A16" s="15" t="inlineStr">
        <is>
          <t>Monat n</t>
        </is>
      </c>
      <c r="B16" s="15" t="inlineStr">
        <is>
          <t>Datum</t>
        </is>
      </c>
      <c r="C16" s="15" t="inlineStr">
        <is>
          <t>Prognose Nettovermögen (€)</t>
        </is>
      </c>
      <c r="D16" s="15" t="inlineStr">
        <is>
          <t>Prognose Ausgaben (€)</t>
        </is>
      </c>
    </row>
    <row r="17" ht="15" customHeight="1" s="52">
      <c r="A17" s="33" t="n">
        <v>0</v>
      </c>
      <c r="B17" s="10">
        <f>EDATE(TODAY(),$A17)</f>
        <v/>
      </c>
      <c r="C17" s="11">
        <f>IF($B$11=0,$B$5+$B$13*$A17,$B$5*(1+$B$11/12)^$A17+$B$13*(((1+$B$11/12)^$A17-1)/($B$11/12)))</f>
        <v/>
      </c>
      <c r="D17" s="11">
        <f>MAX(0,$B$7+$B$8*$A17)</f>
        <v/>
      </c>
    </row>
    <row r="18" ht="15" customHeight="1" s="52">
      <c r="A18" s="33" t="n">
        <v>1</v>
      </c>
      <c r="B18" s="10">
        <f>EDATE(TODAY(),$A18)</f>
        <v/>
      </c>
      <c r="C18" s="11">
        <f>IF($B$11=0,$B$5+$B$13*$A18,$B$5*(1+$B$11/12)^$A18+$B$13*(((1+$B$11/12)^$A18-1)/($B$11/12)))</f>
        <v/>
      </c>
      <c r="D18" s="11">
        <f>MAX(0,$B$7+$B$8*$A18)</f>
        <v/>
      </c>
    </row>
    <row r="19" ht="15" customHeight="1" s="52">
      <c r="A19" s="33" t="n">
        <v>2</v>
      </c>
      <c r="B19" s="10">
        <f>EDATE(TODAY(),$A19)</f>
        <v/>
      </c>
      <c r="C19" s="11">
        <f>IF($B$11=0,$B$5+$B$13*$A19,$B$5*(1+$B$11/12)^$A19+$B$13*(((1+$B$11/12)^$A19-1)/($B$11/12)))</f>
        <v/>
      </c>
      <c r="D19" s="11">
        <f>MAX(0,$B$7+$B$8*$A19)</f>
        <v/>
      </c>
    </row>
    <row r="20" ht="15" customHeight="1" s="52">
      <c r="A20" s="33" t="n">
        <v>3</v>
      </c>
      <c r="B20" s="10">
        <f>EDATE(TODAY(),$A20)</f>
        <v/>
      </c>
      <c r="C20" s="11">
        <f>IF($B$11=0,$B$5+$B$13*$A20,$B$5*(1+$B$11/12)^$A20+$B$13*(((1+$B$11/12)^$A20-1)/($B$11/12)))</f>
        <v/>
      </c>
      <c r="D20" s="11">
        <f>MAX(0,$B$7+$B$8*$A20)</f>
        <v/>
      </c>
    </row>
    <row r="21" ht="15" customHeight="1" s="52">
      <c r="A21" s="33" t="n">
        <v>4</v>
      </c>
      <c r="B21" s="10">
        <f>EDATE(TODAY(),$A21)</f>
        <v/>
      </c>
      <c r="C21" s="11">
        <f>IF($B$11=0,$B$5+$B$13*$A21,$B$5*(1+$B$11/12)^$A21+$B$13*(((1+$B$11/12)^$A21-1)/($B$11/12)))</f>
        <v/>
      </c>
      <c r="D21" s="11">
        <f>MAX(0,$B$7+$B$8*$A21)</f>
        <v/>
      </c>
    </row>
    <row r="22" ht="15" customHeight="1" s="52">
      <c r="A22" s="33" t="n">
        <v>5</v>
      </c>
      <c r="B22" s="10">
        <f>EDATE(TODAY(),$A22)</f>
        <v/>
      </c>
      <c r="C22" s="11">
        <f>IF($B$11=0,$B$5+$B$13*$A22,$B$5*(1+$B$11/12)^$A22+$B$13*(((1+$B$11/12)^$A22-1)/($B$11/12)))</f>
        <v/>
      </c>
      <c r="D22" s="11">
        <f>MAX(0,$B$7+$B$8*$A22)</f>
        <v/>
      </c>
    </row>
    <row r="23" ht="15" customHeight="1" s="52">
      <c r="A23" s="33" t="n">
        <v>6</v>
      </c>
      <c r="B23" s="10">
        <f>EDATE(TODAY(),$A23)</f>
        <v/>
      </c>
      <c r="C23" s="11">
        <f>IF($B$11=0,$B$5+$B$13*$A23,$B$5*(1+$B$11/12)^$A23+$B$13*(((1+$B$11/12)^$A23-1)/($B$11/12)))</f>
        <v/>
      </c>
      <c r="D23" s="11">
        <f>MAX(0,$B$7+$B$8*$A23)</f>
        <v/>
      </c>
    </row>
    <row r="24" ht="15" customHeight="1" s="52">
      <c r="A24" s="33" t="n">
        <v>7</v>
      </c>
      <c r="B24" s="10">
        <f>EDATE(TODAY(),$A24)</f>
        <v/>
      </c>
      <c r="C24" s="11">
        <f>IF($B$11=0,$B$5+$B$13*$A24,$B$5*(1+$B$11/12)^$A24+$B$13*(((1+$B$11/12)^$A24-1)/($B$11/12)))</f>
        <v/>
      </c>
      <c r="D24" s="11">
        <f>MAX(0,$B$7+$B$8*$A24)</f>
        <v/>
      </c>
    </row>
    <row r="25" ht="15" customHeight="1" s="52">
      <c r="A25" s="33" t="n">
        <v>8</v>
      </c>
      <c r="B25" s="10">
        <f>EDATE(TODAY(),$A25)</f>
        <v/>
      </c>
      <c r="C25" s="11">
        <f>IF($B$11=0,$B$5+$B$13*$A25,$B$5*(1+$B$11/12)^$A25+$B$13*(((1+$B$11/12)^$A25-1)/($B$11/12)))</f>
        <v/>
      </c>
      <c r="D25" s="11">
        <f>MAX(0,$B$7+$B$8*$A25)</f>
        <v/>
      </c>
    </row>
    <row r="26" ht="15" customHeight="1" s="52">
      <c r="A26" s="33" t="n">
        <v>9</v>
      </c>
      <c r="B26" s="10">
        <f>EDATE(TODAY(),$A26)</f>
        <v/>
      </c>
      <c r="C26" s="11">
        <f>IF($B$11=0,$B$5+$B$13*$A26,$B$5*(1+$B$11/12)^$A26+$B$13*(((1+$B$11/12)^$A26-1)/($B$11/12)))</f>
        <v/>
      </c>
      <c r="D26" s="11">
        <f>MAX(0,$B$7+$B$8*$A26)</f>
        <v/>
      </c>
    </row>
    <row r="27" ht="15" customHeight="1" s="52">
      <c r="A27" s="33" t="n">
        <v>10</v>
      </c>
      <c r="B27" s="10">
        <f>EDATE(TODAY(),$A27)</f>
        <v/>
      </c>
      <c r="C27" s="11">
        <f>IF($B$11=0,$B$5+$B$13*$A27,$B$5*(1+$B$11/12)^$A27+$B$13*(((1+$B$11/12)^$A27-1)/($B$11/12)))</f>
        <v/>
      </c>
      <c r="D27" s="11">
        <f>MAX(0,$B$7+$B$8*$A27)</f>
        <v/>
      </c>
    </row>
    <row r="28" ht="15" customHeight="1" s="52">
      <c r="A28" s="33" t="n">
        <v>11</v>
      </c>
      <c r="B28" s="10">
        <f>EDATE(TODAY(),$A28)</f>
        <v/>
      </c>
      <c r="C28" s="11">
        <f>IF($B$11=0,$B$5+$B$13*$A28,$B$5*(1+$B$11/12)^$A28+$B$13*(((1+$B$11/12)^$A28-1)/($B$11/12)))</f>
        <v/>
      </c>
      <c r="D28" s="11">
        <f>MAX(0,$B$7+$B$8*$A28)</f>
        <v/>
      </c>
    </row>
    <row r="29" ht="15" customHeight="1" s="52">
      <c r="A29" s="33" t="n">
        <v>12</v>
      </c>
      <c r="B29" s="10">
        <f>EDATE(TODAY(),$A29)</f>
        <v/>
      </c>
      <c r="C29" s="11">
        <f>IF($B$11=0,$B$5+$B$13*$A29,$B$5*(1+$B$11/12)^$A29+$B$13*(((1+$B$11/12)^$A29-1)/($B$11/12)))</f>
        <v/>
      </c>
      <c r="D29" s="11">
        <f>MAX(0,$B$7+$B$8*$A29)</f>
        <v/>
      </c>
    </row>
    <row r="32" ht="15" customHeight="1" s="52">
      <c r="A32" s="51" t="inlineStr">
        <is>
          <t>Formel Vermögen: Startwert verzinst plus monatliche Sparrate als nachschüssige Rente. Bei 0 % Rendite wird linear gerechnet. Der Ausgaben-Trend ist eine einfache lineare Regression über alle 24 Monatszeilen – solange leere Monate mit 0 € drinstehen, zieht er nach unten.</t>
        </is>
      </c>
    </row>
    <row r="33" ht="15" customHeight="1" s="52"/>
    <row r="34" ht="15" customHeight="1" s="52"/>
  </sheetData>
  <mergeCells count="1">
    <mergeCell ref="A32:D34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zoomScaleNormal="100" workbookViewId="0">
      <selection activeCell="A1" sqref="A1"/>
    </sheetView>
  </sheetViews>
  <sheetFormatPr baseColWidth="10" defaultColWidth="8.7109375" defaultRowHeight="15"/>
  <cols>
    <col width="28" customWidth="1" style="52" min="1" max="1"/>
    <col width="14" customWidth="1" style="52" min="2" max="2"/>
    <col width="18" customWidth="1" style="52" min="3" max="3"/>
    <col width="34" customWidth="1" style="52" min="4" max="4"/>
    <col width="3" customWidth="1" style="52" min="5" max="5"/>
    <col width="26" customWidth="1" style="52" min="6" max="6"/>
    <col width="3" customWidth="1" style="52" min="7" max="7"/>
    <col width="20" customWidth="1" style="52" min="8" max="8"/>
  </cols>
  <sheetData>
    <row r="1" ht="21.75" customHeight="1" s="52">
      <c r="A1" s="1" t="inlineStr">
        <is>
          <t>Einstellungen</t>
        </is>
      </c>
    </row>
    <row r="2" ht="15" customHeight="1" s="52">
      <c r="A2" s="2" t="inlineStr">
        <is>
          <t>Kategorien, Monatsbudgets, Konten und Zahlungsrhythmen</t>
        </is>
      </c>
    </row>
    <row r="3" ht="30" customHeight="1" s="52">
      <c r="A3" s="15" t="inlineStr">
        <is>
          <t>Kategorie</t>
        </is>
      </c>
      <c r="B3" s="15" t="inlineStr">
        <is>
          <t>Typ</t>
        </is>
      </c>
      <c r="C3" s="15" t="inlineStr">
        <is>
          <t>Monatsbudget (€)</t>
        </is>
      </c>
      <c r="D3" s="15" t="inlineStr">
        <is>
          <t>Notiz</t>
        </is>
      </c>
      <c r="F3" s="15" t="inlineStr">
        <is>
          <t>Konten / Zahlungsarten</t>
        </is>
      </c>
      <c r="H3" s="15" t="inlineStr">
        <is>
          <t>Zahlungsrhythmus</t>
        </is>
      </c>
    </row>
    <row r="4" ht="15" customHeight="1" s="52">
      <c r="A4" s="46" t="inlineStr">
        <is>
          <t>Gehalt Werkstudent</t>
        </is>
      </c>
      <c r="B4" s="46" t="inlineStr">
        <is>
          <t>Einnahme</t>
        </is>
      </c>
      <c r="C4" s="43" t="n">
        <v>0</v>
      </c>
      <c r="D4" s="27" t="n"/>
      <c r="F4" s="46" t="inlineStr">
        <is>
          <t>Girokonto</t>
        </is>
      </c>
      <c r="H4" s="33" t="inlineStr">
        <is>
          <t>monatlich</t>
        </is>
      </c>
    </row>
    <row r="5" ht="15" customHeight="1" s="52">
      <c r="A5" s="46" t="inlineStr">
        <is>
          <t>Stipendium</t>
        </is>
      </c>
      <c r="B5" s="46" t="inlineStr">
        <is>
          <t>Einnahme</t>
        </is>
      </c>
      <c r="C5" s="43" t="n">
        <v>0</v>
      </c>
      <c r="D5" s="27" t="n"/>
      <c r="F5" s="46" t="inlineStr">
        <is>
          <t>Tagesgeld / Sparkonto</t>
        </is>
      </c>
      <c r="H5" s="33" t="inlineStr">
        <is>
          <t>vierteljährlich</t>
        </is>
      </c>
    </row>
    <row r="6" ht="15" customHeight="1" s="52">
      <c r="A6" s="46" t="inlineStr">
        <is>
          <t>Sonstige Einnahmen</t>
        </is>
      </c>
      <c r="B6" s="46" t="inlineStr">
        <is>
          <t>Einnahme</t>
        </is>
      </c>
      <c r="C6" s="43" t="n">
        <v>0</v>
      </c>
      <c r="D6" s="27" t="n"/>
      <c r="F6" s="46" t="inlineStr">
        <is>
          <t>Kreditkarte</t>
        </is>
      </c>
      <c r="H6" s="33" t="inlineStr">
        <is>
          <t>halbjährlich</t>
        </is>
      </c>
    </row>
    <row r="7" ht="15" customHeight="1" s="52">
      <c r="A7" s="46" t="inlineStr">
        <is>
          <t>Miete &amp; Nebenkosten</t>
        </is>
      </c>
      <c r="B7" s="46" t="inlineStr">
        <is>
          <t>Ausgabe</t>
        </is>
      </c>
      <c r="C7" s="43" t="n">
        <v>0</v>
      </c>
      <c r="D7" s="27" t="n"/>
      <c r="F7" s="46" t="inlineStr">
        <is>
          <t>Bargeld</t>
        </is>
      </c>
      <c r="H7" s="33" t="inlineStr">
        <is>
          <t>jährlich</t>
        </is>
      </c>
    </row>
    <row r="8" ht="15" customHeight="1" s="52">
      <c r="A8" s="46" t="inlineStr">
        <is>
          <t>Strom &amp; Internet</t>
        </is>
      </c>
      <c r="B8" s="46" t="inlineStr">
        <is>
          <t>Ausgabe</t>
        </is>
      </c>
      <c r="C8" s="43" t="n">
        <v>0</v>
      </c>
      <c r="D8" s="27" t="n"/>
      <c r="F8" s="46" t="inlineStr">
        <is>
          <t>Depot</t>
        </is>
      </c>
    </row>
    <row r="9" ht="15" customHeight="1" s="52">
      <c r="A9" s="46" t="inlineStr">
        <is>
          <t>Versicherungen</t>
        </is>
      </c>
      <c r="B9" s="46" t="inlineStr">
        <is>
          <t>Ausgabe</t>
        </is>
      </c>
      <c r="C9" s="43" t="n">
        <v>0</v>
      </c>
      <c r="D9" s="27" t="n"/>
      <c r="F9" s="46" t="inlineStr">
        <is>
          <t>PayPal</t>
        </is>
      </c>
    </row>
    <row r="10" ht="15" customHeight="1" s="52">
      <c r="A10" s="46" t="inlineStr">
        <is>
          <t>Lebensmittel</t>
        </is>
      </c>
      <c r="B10" s="46" t="inlineStr">
        <is>
          <t>Ausgabe</t>
        </is>
      </c>
      <c r="C10" s="43" t="n">
        <v>0</v>
      </c>
      <c r="D10" s="27" t="n"/>
      <c r="F10" s="46" t="n"/>
    </row>
    <row r="11" ht="15" customHeight="1" s="52">
      <c r="A11" s="46" t="inlineStr">
        <is>
          <t>Restaurant &amp; Lieferdienst</t>
        </is>
      </c>
      <c r="B11" s="46" t="inlineStr">
        <is>
          <t>Ausgabe</t>
        </is>
      </c>
      <c r="C11" s="43" t="n">
        <v>0</v>
      </c>
      <c r="D11" s="27" t="n"/>
      <c r="F11" s="46" t="n"/>
    </row>
    <row r="12" ht="15" customHeight="1" s="52">
      <c r="A12" s="46" t="inlineStr">
        <is>
          <t>Mobilität &amp; Auto</t>
        </is>
      </c>
      <c r="B12" s="46" t="inlineStr">
        <is>
          <t>Ausgabe</t>
        </is>
      </c>
      <c r="C12" s="43" t="n">
        <v>0</v>
      </c>
      <c r="D12" s="27" t="n"/>
      <c r="F12" s="46" t="n"/>
    </row>
    <row r="13" ht="15" customHeight="1" s="52">
      <c r="A13" s="46" t="inlineStr">
        <is>
          <t>Gesundheit &amp; Drogerie</t>
        </is>
      </c>
      <c r="B13" s="46" t="inlineStr">
        <is>
          <t>Ausgabe</t>
        </is>
      </c>
      <c r="C13" s="43" t="n">
        <v>0</v>
      </c>
      <c r="D13" s="27" t="n"/>
      <c r="F13" s="46" t="n"/>
    </row>
    <row r="14" ht="15" customHeight="1" s="52">
      <c r="A14" s="46" t="inlineStr">
        <is>
          <t>Sport &amp; Freizeit</t>
        </is>
      </c>
      <c r="B14" s="46" t="inlineStr">
        <is>
          <t>Ausgabe</t>
        </is>
      </c>
      <c r="C14" s="43" t="n">
        <v>0</v>
      </c>
      <c r="D14" s="27" t="n"/>
      <c r="F14" s="46" t="n"/>
    </row>
    <row r="15" ht="15" customHeight="1" s="52">
      <c r="A15" s="46" t="inlineStr">
        <is>
          <t>Kleidung</t>
        </is>
      </c>
      <c r="B15" s="46" t="inlineStr">
        <is>
          <t>Ausgabe</t>
        </is>
      </c>
      <c r="C15" s="43" t="n">
        <v>0</v>
      </c>
      <c r="D15" s="27" t="n"/>
      <c r="F15" s="46" t="n"/>
    </row>
    <row r="16" ht="15" customHeight="1" s="52">
      <c r="A16" s="46" t="inlineStr">
        <is>
          <t>Abos &amp; Software</t>
        </is>
      </c>
      <c r="B16" s="46" t="inlineStr">
        <is>
          <t>Ausgabe</t>
        </is>
      </c>
      <c r="C16" s="43" t="n">
        <v>0</v>
      </c>
      <c r="D16" s="27" t="n"/>
    </row>
    <row r="17" ht="15" customHeight="1" s="52">
      <c r="A17" s="46" t="inlineStr">
        <is>
          <t>Studium &amp; Bücher</t>
        </is>
      </c>
      <c r="B17" s="46" t="inlineStr">
        <is>
          <t>Ausgabe</t>
        </is>
      </c>
      <c r="C17" s="43" t="n">
        <v>0</v>
      </c>
      <c r="D17" s="27" t="n"/>
    </row>
    <row r="18" ht="15" customHeight="1" s="52">
      <c r="A18" s="46" t="inlineStr">
        <is>
          <t>Urlaub &amp; Reisen</t>
        </is>
      </c>
      <c r="B18" s="46" t="inlineStr">
        <is>
          <t>Ausgabe</t>
        </is>
      </c>
      <c r="C18" s="43" t="n">
        <v>0</v>
      </c>
      <c r="D18" s="27" t="n"/>
    </row>
    <row r="19" ht="15" customHeight="1" s="52">
      <c r="A19" s="46" t="inlineStr">
        <is>
          <t>Geschenke</t>
        </is>
      </c>
      <c r="B19" s="46" t="inlineStr">
        <is>
          <t>Ausgabe</t>
        </is>
      </c>
      <c r="C19" s="43" t="n">
        <v>0</v>
      </c>
      <c r="D19" s="27" t="n"/>
    </row>
    <row r="20" ht="15" customHeight="1" s="52">
      <c r="A20" s="46" t="inlineStr">
        <is>
          <t>Sonstiges</t>
        </is>
      </c>
      <c r="B20" s="46" t="inlineStr">
        <is>
          <t>Ausgabe</t>
        </is>
      </c>
      <c r="C20" s="43" t="n">
        <v>0</v>
      </c>
      <c r="D20" s="27" t="n"/>
    </row>
    <row r="21" ht="15" customHeight="1" s="52">
      <c r="A21" s="46" t="n"/>
      <c r="B21" s="46" t="n"/>
      <c r="C21" s="43" t="n"/>
      <c r="D21" s="27" t="n"/>
    </row>
    <row r="22" ht="15" customHeight="1" s="52">
      <c r="A22" s="46" t="n"/>
      <c r="B22" s="46" t="n"/>
      <c r="C22" s="43" t="n"/>
      <c r="D22" s="27" t="n"/>
    </row>
    <row r="23" ht="15" customHeight="1" s="52">
      <c r="A23" s="46" t="n"/>
      <c r="B23" s="46" t="n"/>
      <c r="C23" s="43" t="n"/>
      <c r="D23" s="27" t="n"/>
    </row>
    <row r="24" ht="15" customHeight="1" s="52">
      <c r="A24" s="46" t="n"/>
      <c r="B24" s="46" t="n"/>
      <c r="C24" s="43" t="n"/>
      <c r="D24" s="27" t="n"/>
    </row>
    <row r="25" ht="15" customHeight="1" s="52">
      <c r="A25" s="46" t="n"/>
      <c r="B25" s="46" t="n"/>
      <c r="C25" s="43" t="n"/>
      <c r="D25" s="27" t="n"/>
    </row>
    <row r="26" ht="15" customHeight="1" s="52">
      <c r="A26" s="46" t="n"/>
      <c r="B26" s="46" t="n"/>
      <c r="C26" s="43" t="n"/>
      <c r="D26" s="27" t="n"/>
    </row>
    <row r="27" ht="15" customHeight="1" s="52">
      <c r="A27" s="46" t="n"/>
      <c r="B27" s="46" t="n"/>
      <c r="C27" s="43" t="n"/>
      <c r="D27" s="27" t="n"/>
    </row>
    <row r="28" ht="15" customHeight="1" s="52">
      <c r="A28" s="46" t="n"/>
      <c r="B28" s="46" t="n"/>
      <c r="C28" s="43" t="n"/>
      <c r="D28" s="27" t="n"/>
    </row>
    <row r="29" ht="15" customHeight="1" s="52">
      <c r="A29" s="46" t="n"/>
      <c r="B29" s="46" t="n"/>
      <c r="C29" s="43" t="n"/>
      <c r="D29" s="27" t="n"/>
    </row>
    <row r="30" ht="15" customHeight="1" s="52">
      <c r="A30" s="46" t="n"/>
      <c r="B30" s="46" t="n"/>
      <c r="C30" s="43" t="n"/>
      <c r="D30" s="27" t="n"/>
    </row>
    <row r="31" ht="15" customHeight="1" s="52">
      <c r="A31" s="46" t="n"/>
      <c r="B31" s="46" t="n"/>
      <c r="C31" s="43" t="n"/>
      <c r="D31" s="27" t="n"/>
    </row>
    <row r="32" ht="15" customHeight="1" s="52">
      <c r="A32" s="46" t="n"/>
      <c r="B32" s="46" t="n"/>
      <c r="C32" s="43" t="n"/>
      <c r="D32" s="27" t="n"/>
    </row>
    <row r="33" ht="15" customHeight="1" s="52">
      <c r="A33" s="46" t="n"/>
      <c r="B33" s="46" t="n"/>
      <c r="C33" s="43" t="n"/>
      <c r="D33" s="27" t="n"/>
    </row>
    <row r="34" ht="15" customHeight="1" s="52">
      <c r="A34" s="46" t="n"/>
      <c r="B34" s="46" t="n"/>
      <c r="C34" s="43" t="n"/>
      <c r="D34" s="27" t="n"/>
    </row>
    <row r="35" ht="15" customHeight="1" s="52">
      <c r="A35" s="46" t="n"/>
      <c r="B35" s="46" t="n"/>
      <c r="C35" s="43" t="n"/>
      <c r="D35" s="27" t="n"/>
    </row>
    <row r="36" ht="15" customHeight="1" s="52">
      <c r="A36" s="46" t="n"/>
      <c r="B36" s="46" t="n"/>
      <c r="C36" s="43" t="n"/>
      <c r="D36" s="27" t="n"/>
    </row>
    <row r="37" ht="15" customHeight="1" s="52">
      <c r="A37" s="46" t="n"/>
      <c r="B37" s="46" t="n"/>
      <c r="C37" s="43" t="n"/>
      <c r="D37" s="27" t="n"/>
    </row>
    <row r="38" ht="15" customHeight="1" s="52">
      <c r="A38" s="46" t="n"/>
      <c r="B38" s="46" t="n"/>
      <c r="C38" s="43" t="n"/>
      <c r="D38" s="27" t="n"/>
    </row>
    <row r="39" ht="15" customHeight="1" s="52">
      <c r="A39" s="46" t="n"/>
      <c r="B39" s="46" t="n"/>
      <c r="C39" s="43" t="n"/>
      <c r="D39" s="27" t="n"/>
    </row>
    <row r="40" ht="15" customHeight="1" s="52">
      <c r="A40" s="46" t="n"/>
      <c r="B40" s="46" t="n"/>
      <c r="C40" s="43" t="n"/>
      <c r="D40" s="27" t="n"/>
    </row>
    <row r="42" ht="15" customHeight="1" s="52">
      <c r="A42" s="47" t="inlineStr">
        <is>
          <t>Summe Monatsbudget (nur Ausgaben)</t>
        </is>
      </c>
      <c r="B42" s="48" t="n"/>
      <c r="C42" s="49">
        <f>SUMIF($B$4:$B$40,"Ausgabe",$C$4:$C$40)</f>
        <v/>
      </c>
    </row>
    <row r="44" ht="15" customHeight="1" s="52">
      <c r="A44" s="2" t="inlineStr">
        <is>
          <t>Typ muss exakt "Einnahme" oder "Ausgabe" heißen – davon hängen alle Auswertungen ab.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2026-08-18T17:03:00Z</dcterms:created>
  <dcterms:modified xmlns:dcterms="http://purl.org/dc/terms/" xmlns:xsi="http://www.w3.org/2001/XMLSchema-instance" xsi:type="dcterms:W3CDTF">2026-08-18T19:02:43Z</dcterms:modified>
  <cp:lastModifiedBy>Sarah Maxara (smaxara)</cp:lastModifiedBy>
  <cp:revision>1</cp:revision>
</cp:coreProperties>
</file>