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hkoelnde-my.sharepoint.com/personal/smaxara_th-koeln_de/Documents/Dokumente/Uniper/Masterarbeit/Uniper_Workspace/"/>
    </mc:Choice>
  </mc:AlternateContent>
  <xr:revisionPtr revIDLastSave="14" documentId="13_ncr:1_{3B29B44D-C137-4E6E-9A44-0D2C61271A27}" xr6:coauthVersionLast="47" xr6:coauthVersionMax="47" xr10:uidLastSave="{51F646E8-A366-457E-9DD6-CFF8E50ED1BA}"/>
  <bookViews>
    <workbookView xWindow="-120" yWindow="-120" windowWidth="29040" windowHeight="15720" activeTab="8" xr2:uid="{00000000-000D-0000-FFFF-FFFF00000000}"/>
  </bookViews>
  <sheets>
    <sheet name="Übersicht" sheetId="1" r:id="rId1"/>
    <sheet name="01 Stillstand" sheetId="2" r:id="rId2"/>
    <sheet name="02 Arbeitsgas &amp; Teufe" sheetId="3" r:id="rId3"/>
    <sheet name="03 Raten" sheetId="4" r:id="rId4"/>
    <sheet name="04 Bohrlochkopf" sheetId="5" r:id="rId5"/>
    <sheet name="05 Gemisch vs rein" sheetId="6" r:id="rId6"/>
    <sheet name="06 Ausspeichergas" sheetId="7" r:id="rId7"/>
    <sheet name="Quellen" sheetId="8" r:id="rId8"/>
    <sheet name="Diagrammdaten" sheetId="9" r:id="rId9"/>
  </sheets>
  <definedNames>
    <definedName name="A_strang">Übersicht!$F$89</definedName>
    <definedName name="a_w">Übersicht!$F$66</definedName>
    <definedName name="a_w_sole">Übersicht!$F$67</definedName>
    <definedName name="AG_lang_flach">'02 Arbeitsgas &amp; Teufe'!$H$31</definedName>
    <definedName name="AG_lang_tief">'02 Arbeitsgas &amp; Teufe'!$H$28</definedName>
    <definedName name="AG_schnell_flach">'02 Arbeitsgas &amp; Teufe'!$M$31</definedName>
    <definedName name="AG_schnell_tief">'02 Arbeitsgas &amp; Teufe'!$M$28</definedName>
    <definedName name="AG_zyk_tief_100">'03 Raten'!$J$77</definedName>
    <definedName name="CH4_aus_tief_gem">'06 Ausspeichergas'!$J$57</definedName>
    <definedName name="CH4_mikro">Übersicht!$F$75</definedName>
    <definedName name="CO2_aus_tief_gem">'06 Ausspeichergas'!$J$54</definedName>
    <definedName name="D_strang">Übersicht!$F$58</definedName>
    <definedName name="dpdt_max">Übersicht!$F$51</definedName>
    <definedName name="dpdt_vors">Übersicht!$F$52</definedName>
    <definedName name="dz_bezug">Übersicht!$F$40</definedName>
    <definedName name="f_darcy">Übersicht!$F$60</definedName>
    <definedName name="finger">Übersicht!$F$68</definedName>
    <definedName name="g">Übersicht!$F$79</definedName>
    <definedName name="grad_pmax">Übersicht!$F$80</definedName>
    <definedName name="grad_pmin">Übersicht!$F$81</definedName>
    <definedName name="gradT">Übersicht!$F$47</definedName>
    <definedName name="Grenzrate_flach">'03 Raten'!$D$93</definedName>
    <definedName name="Grenzrate_tief">'03 Raten'!$D$92</definedName>
    <definedName name="H2S_ppm">Übersicht!$F$74</definedName>
    <definedName name="Kopf_grenz_tief">'01 Stillstand'!$D$22</definedName>
    <definedName name="Kopf_leer_flach">'01 Stillstand'!$D$25</definedName>
    <definedName name="Kopf_leer_tief">'01 Stillstand'!$D$23</definedName>
    <definedName name="Kopf_voll_flach">'01 Stillstand'!$D$24</definedName>
    <definedName name="Kopf_voll_flach_gem">'05 Gemisch vs rein'!$D$28</definedName>
    <definedName name="Kopf_voll_tief">'01 Stillstand'!$D$21</definedName>
    <definedName name="Kopf_voll_tief_gem">'05 Gemisch vs rein'!$D$16</definedName>
    <definedName name="M_ch4">Übersicht!$F$99</definedName>
    <definedName name="M_diesel">Übersicht!$F$71</definedName>
    <definedName name="M_gem">Übersicht!$F$98</definedName>
    <definedName name="M_H2O">Übersicht!$F$91</definedName>
    <definedName name="M_oel">Übersicht!$F$73</definedName>
    <definedName name="M_rein">Übersicht!$F$97</definedName>
    <definedName name="mdot_100">'03 Raten'!$D$9</definedName>
    <definedName name="mdot_50">'03 Raten'!$C$9</definedName>
    <definedName name="N_norm">Übersicht!$F$90</definedName>
    <definedName name="oel">Übersicht!$F$72</definedName>
    <definedName name="p_dicht">Übersicht!$F$61</definedName>
    <definedName name="p_gas">Übersicht!$F$62</definedName>
    <definedName name="p_krit">Übersicht!$F$94</definedName>
    <definedName name="pgrenz_tief">'01 Stillstand'!$C$22</definedName>
    <definedName name="pmax_flach">Übersicht!$F$82</definedName>
    <definedName name="pmax_tief">Übersicht!$F$42</definedName>
    <definedName name="pmin_flach">Übersicht!$F$83</definedName>
    <definedName name="pmin_tief">Übersicht!$F$43</definedName>
    <definedName name="Q1_p">'06 Ausspeichergas'!$D$70</definedName>
    <definedName name="Q1_T">'06 Ausspeichergas'!$C$70</definedName>
    <definedName name="Q2_p">'06 Ausspeichergas'!$G$70</definedName>
    <definedName name="Q2_T">'06 Ausspeichergas'!$F$70</definedName>
    <definedName name="restsole">Übersicht!$F$76</definedName>
    <definedName name="rho_diesel">Übersicht!$F$70</definedName>
    <definedName name="rho_n_gem">Übersicht!$F$96</definedName>
    <definedName name="rho_n_rein">Übersicht!$F$95</definedName>
    <definedName name="rho_salz">Übersicht!$F$44</definedName>
    <definedName name="Schwelle_tief">'04 Bohrlochkopf'!$D$81</definedName>
    <definedName name="Stand_ok">Übersicht!$Q$34</definedName>
    <definedName name="T_ein">Übersicht!$F$53</definedName>
    <definedName name="T_krit">Übersicht!$F$93</definedName>
    <definedName name="T_marge">Übersicht!$F$64</definedName>
    <definedName name="t_still">Übersicht!$F$54</definedName>
    <definedName name="T0">Übersicht!$F$46</definedName>
    <definedName name="Tb_flach">Übersicht!$F$87</definedName>
    <definedName name="Tb_tief">Übersicht!$F$86</definedName>
    <definedName name="TGV_flach">'02 Arbeitsgas &amp; Teufe'!$D$24</definedName>
    <definedName name="TGV_flach_gem">'05 Gemisch vs rein'!$D$31</definedName>
    <definedName name="TGV_tief">'02 Arbeitsgas &amp; Teufe'!$C$24</definedName>
    <definedName name="TGV_tief_gem">'05 Gemisch vs rein'!$D$19</definedName>
    <definedName name="UA">Übersicht!$F$88</definedName>
    <definedName name="UA_ref">Übersicht!$F$55</definedName>
    <definedName name="V_blanket">Übersicht!$F$69</definedName>
    <definedName name="V_kav">Übersicht!$F$41</definedName>
    <definedName name="v_max">Übersicht!$F$59</definedName>
    <definedName name="V_ref">Übersicht!$F$56</definedName>
    <definedName name="Vn_max">Übersicht!$F$50</definedName>
    <definedName name="Vn_min">Übersicht!$F$49</definedName>
    <definedName name="Wasser_gNm3">'06 Ausspeichergas'!$J$19</definedName>
    <definedName name="y_flach_gem">'06 Ausspeichergas'!$I$21</definedName>
    <definedName name="y_flach_rein">'06 Ausspeichergas'!$I$20</definedName>
    <definedName name="y_tief_gem">'06 Ausspeichergas'!$I$19</definedName>
    <definedName name="y_tief_rein">'06 Ausspeichergas'!$I$18</definedName>
    <definedName name="z_flach">Übersicht!$F$39</definedName>
    <definedName name="z_tief">Übersicht!$F$38</definedName>
    <definedName name="z_Tkrit">Übersicht!$F$100</definedName>
    <definedName name="zb_flach">Übersicht!$F$85</definedName>
    <definedName name="zb_tief">Übersicht!$F$84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4" l="1"/>
  <c r="C11" i="4"/>
  <c r="BT6" i="9"/>
  <c r="BS6" i="9"/>
  <c r="BT5" i="9"/>
  <c r="BS5" i="9"/>
  <c r="C101" i="7"/>
  <c r="H101" i="7" s="1"/>
  <c r="I101" i="7" s="1"/>
  <c r="J100" i="7"/>
  <c r="H100" i="7"/>
  <c r="J99" i="7"/>
  <c r="H99" i="7"/>
  <c r="J98" i="7"/>
  <c r="H98" i="7"/>
  <c r="J97" i="7"/>
  <c r="H97" i="7"/>
  <c r="J96" i="7"/>
  <c r="H96" i="7"/>
  <c r="J95" i="7"/>
  <c r="H95" i="7"/>
  <c r="J94" i="7"/>
  <c r="H94" i="7"/>
  <c r="J93" i="7"/>
  <c r="H93" i="7"/>
  <c r="J92" i="7"/>
  <c r="H92" i="7"/>
  <c r="J91" i="7"/>
  <c r="H91" i="7"/>
  <c r="J90" i="7"/>
  <c r="H90" i="7"/>
  <c r="J89" i="7"/>
  <c r="H89" i="7"/>
  <c r="J88" i="7"/>
  <c r="H88" i="7"/>
  <c r="J87" i="7"/>
  <c r="H87" i="7"/>
  <c r="J86" i="7"/>
  <c r="H86" i="7"/>
  <c r="J85" i="7"/>
  <c r="H85" i="7"/>
  <c r="J84" i="7"/>
  <c r="H84" i="7"/>
  <c r="J83" i="7"/>
  <c r="H83" i="7"/>
  <c r="J82" i="7"/>
  <c r="H82" i="7"/>
  <c r="J81" i="7"/>
  <c r="H81" i="7"/>
  <c r="J80" i="7"/>
  <c r="H80" i="7"/>
  <c r="J79" i="7"/>
  <c r="H79" i="7"/>
  <c r="J78" i="7"/>
  <c r="H78" i="7"/>
  <c r="J77" i="7"/>
  <c r="H77" i="7"/>
  <c r="J76" i="7"/>
  <c r="H76" i="7"/>
  <c r="J75" i="7"/>
  <c r="H75" i="7"/>
  <c r="J74" i="7"/>
  <c r="H74" i="7"/>
  <c r="J73" i="7"/>
  <c r="H73" i="7"/>
  <c r="F37" i="7"/>
  <c r="F48" i="7" s="1"/>
  <c r="E37" i="7"/>
  <c r="E48" i="7" s="1"/>
  <c r="D37" i="7"/>
  <c r="D48" i="7" s="1"/>
  <c r="C37" i="7"/>
  <c r="C38" i="7" s="1"/>
  <c r="F36" i="7"/>
  <c r="F47" i="7" s="1"/>
  <c r="E36" i="7"/>
  <c r="E47" i="7" s="1"/>
  <c r="D36" i="7"/>
  <c r="D47" i="7" s="1"/>
  <c r="C36" i="7"/>
  <c r="C47" i="7" s="1"/>
  <c r="F33" i="7"/>
  <c r="E33" i="7"/>
  <c r="D33" i="7"/>
  <c r="C33" i="7"/>
  <c r="F29" i="7"/>
  <c r="F31" i="7" s="1"/>
  <c r="E29" i="7"/>
  <c r="E31" i="7" s="1"/>
  <c r="D29" i="7"/>
  <c r="D31" i="7" s="1"/>
  <c r="C29" i="7"/>
  <c r="C31" i="7" s="1"/>
  <c r="F27" i="7"/>
  <c r="E27" i="7"/>
  <c r="D27" i="7"/>
  <c r="C27" i="7"/>
  <c r="K21" i="7"/>
  <c r="I21" i="7"/>
  <c r="F39" i="7" s="1"/>
  <c r="F49" i="7" s="1"/>
  <c r="K20" i="7"/>
  <c r="I20" i="7"/>
  <c r="E39" i="7" s="1"/>
  <c r="E49" i="7" s="1"/>
  <c r="K19" i="7"/>
  <c r="I19" i="7"/>
  <c r="K18" i="7"/>
  <c r="I18" i="7"/>
  <c r="F100" i="7" s="1"/>
  <c r="G100" i="7" s="1"/>
  <c r="I100" i="7" s="1"/>
  <c r="F36" i="6"/>
  <c r="E36" i="6"/>
  <c r="F35" i="6"/>
  <c r="E35" i="6"/>
  <c r="F34" i="6"/>
  <c r="E34" i="6"/>
  <c r="F32" i="6"/>
  <c r="E32" i="6"/>
  <c r="D31" i="6"/>
  <c r="D33" i="6" s="1"/>
  <c r="C31" i="6"/>
  <c r="C33" i="6" s="1"/>
  <c r="F30" i="6"/>
  <c r="E30" i="6"/>
  <c r="F29" i="6"/>
  <c r="C29" i="6"/>
  <c r="E29" i="6" s="1"/>
  <c r="C28" i="6"/>
  <c r="F28" i="6" s="1"/>
  <c r="F24" i="6"/>
  <c r="E24" i="6"/>
  <c r="F23" i="6"/>
  <c r="E23" i="6"/>
  <c r="F22" i="6"/>
  <c r="E22" i="6"/>
  <c r="F20" i="6"/>
  <c r="E20" i="6"/>
  <c r="D19" i="6"/>
  <c r="C19" i="6"/>
  <c r="C21" i="6" s="1"/>
  <c r="F18" i="6"/>
  <c r="E18" i="6"/>
  <c r="C17" i="6"/>
  <c r="E17" i="6" s="1"/>
  <c r="F16" i="6"/>
  <c r="C16" i="6"/>
  <c r="E16" i="6" s="1"/>
  <c r="D8" i="6"/>
  <c r="C8" i="6"/>
  <c r="F81" i="5"/>
  <c r="F80" i="5"/>
  <c r="M75" i="5"/>
  <c r="M74" i="5"/>
  <c r="M73" i="5"/>
  <c r="M72" i="5"/>
  <c r="M71" i="5"/>
  <c r="M70" i="5"/>
  <c r="M69" i="5"/>
  <c r="M68" i="5"/>
  <c r="M67" i="5"/>
  <c r="M66" i="5"/>
  <c r="M65" i="5"/>
  <c r="M64" i="5"/>
  <c r="M63" i="5"/>
  <c r="M62" i="5"/>
  <c r="M60" i="5"/>
  <c r="M59" i="5"/>
  <c r="M58" i="5"/>
  <c r="M57" i="5"/>
  <c r="M56" i="5"/>
  <c r="M55" i="5"/>
  <c r="I55" i="5"/>
  <c r="J55" i="5" s="1"/>
  <c r="M54" i="5"/>
  <c r="M53" i="5"/>
  <c r="M52" i="5"/>
  <c r="M51" i="5"/>
  <c r="M50" i="5"/>
  <c r="M49" i="5"/>
  <c r="M48" i="5"/>
  <c r="M47" i="5"/>
  <c r="M45" i="5"/>
  <c r="I45" i="5"/>
  <c r="J45" i="5" s="1"/>
  <c r="M44" i="5"/>
  <c r="I44" i="5"/>
  <c r="J44" i="5" s="1"/>
  <c r="M43" i="5"/>
  <c r="M42" i="5"/>
  <c r="M41" i="5"/>
  <c r="M40" i="5"/>
  <c r="M39" i="5"/>
  <c r="M38" i="5"/>
  <c r="M37" i="5"/>
  <c r="M36" i="5"/>
  <c r="M35" i="5"/>
  <c r="M34" i="5"/>
  <c r="M33" i="5"/>
  <c r="M32" i="5"/>
  <c r="M30" i="5"/>
  <c r="M29" i="5"/>
  <c r="M28" i="5"/>
  <c r="M27" i="5"/>
  <c r="M26" i="5"/>
  <c r="M25" i="5"/>
  <c r="M24" i="5"/>
  <c r="M23" i="5"/>
  <c r="M22" i="5"/>
  <c r="M21" i="5"/>
  <c r="I21" i="5"/>
  <c r="J21" i="5" s="1"/>
  <c r="M20" i="5"/>
  <c r="M19" i="5"/>
  <c r="M18" i="5"/>
  <c r="M17" i="5"/>
  <c r="D12" i="5"/>
  <c r="C12" i="5"/>
  <c r="D11" i="5"/>
  <c r="C11" i="5"/>
  <c r="D10" i="5"/>
  <c r="C10" i="5"/>
  <c r="D9" i="5"/>
  <c r="D8" i="5"/>
  <c r="C8" i="5"/>
  <c r="D93" i="4"/>
  <c r="F107" i="1" s="1"/>
  <c r="D92" i="4"/>
  <c r="J87" i="4"/>
  <c r="E87" i="4"/>
  <c r="J86" i="4"/>
  <c r="E86" i="4"/>
  <c r="J85" i="4"/>
  <c r="E85" i="4"/>
  <c r="J84" i="4"/>
  <c r="E84" i="4"/>
  <c r="M79" i="4"/>
  <c r="I79" i="4"/>
  <c r="J79" i="4" s="1"/>
  <c r="M78" i="4"/>
  <c r="I78" i="4"/>
  <c r="J78" i="4" s="1"/>
  <c r="M77" i="4"/>
  <c r="I77" i="4"/>
  <c r="J77" i="4" s="1"/>
  <c r="F106" i="1" s="1"/>
  <c r="M76" i="4"/>
  <c r="I76" i="4"/>
  <c r="J76" i="4" s="1"/>
  <c r="E72" i="4"/>
  <c r="E71" i="4"/>
  <c r="E70" i="4"/>
  <c r="E69" i="4"/>
  <c r="H46" i="4"/>
  <c r="J46" i="4" s="1"/>
  <c r="F46" i="4"/>
  <c r="K46" i="4" s="1"/>
  <c r="J45" i="4"/>
  <c r="H45" i="4"/>
  <c r="F45" i="4"/>
  <c r="K45" i="4" s="1"/>
  <c r="H44" i="4"/>
  <c r="J44" i="4" s="1"/>
  <c r="F44" i="4"/>
  <c r="I44" i="4" s="1"/>
  <c r="H43" i="4"/>
  <c r="J43" i="4" s="1"/>
  <c r="F43" i="4"/>
  <c r="K43" i="4" s="1"/>
  <c r="H42" i="4"/>
  <c r="J42" i="4" s="1"/>
  <c r="L42" i="4" s="1"/>
  <c r="F42" i="4"/>
  <c r="K42" i="4" s="1"/>
  <c r="H41" i="4"/>
  <c r="J41" i="4" s="1"/>
  <c r="F41" i="4"/>
  <c r="K41" i="4" s="1"/>
  <c r="H40" i="4"/>
  <c r="J40" i="4" s="1"/>
  <c r="F40" i="4"/>
  <c r="I40" i="4" s="1"/>
  <c r="H39" i="4"/>
  <c r="J39" i="4" s="1"/>
  <c r="F39" i="4"/>
  <c r="K39" i="4" s="1"/>
  <c r="H38" i="4"/>
  <c r="J38" i="4" s="1"/>
  <c r="F38" i="4"/>
  <c r="K38" i="4" s="1"/>
  <c r="H37" i="4"/>
  <c r="J37" i="4" s="1"/>
  <c r="F37" i="4"/>
  <c r="K37" i="4" s="1"/>
  <c r="H36" i="4"/>
  <c r="J36" i="4" s="1"/>
  <c r="L36" i="4" s="1"/>
  <c r="F36" i="4"/>
  <c r="I36" i="4" s="1"/>
  <c r="H35" i="4"/>
  <c r="J35" i="4" s="1"/>
  <c r="L35" i="4" s="1"/>
  <c r="F35" i="4"/>
  <c r="K35" i="4" s="1"/>
  <c r="H34" i="4"/>
  <c r="J34" i="4" s="1"/>
  <c r="F34" i="4"/>
  <c r="K34" i="4" s="1"/>
  <c r="I33" i="4"/>
  <c r="H33" i="4"/>
  <c r="J33" i="4" s="1"/>
  <c r="F33" i="4"/>
  <c r="K33" i="4" s="1"/>
  <c r="H32" i="4"/>
  <c r="J32" i="4" s="1"/>
  <c r="F32" i="4"/>
  <c r="I32" i="4" s="1"/>
  <c r="H30" i="4"/>
  <c r="J30" i="4" s="1"/>
  <c r="F30" i="4"/>
  <c r="K30" i="4" s="1"/>
  <c r="H29" i="4"/>
  <c r="J29" i="4" s="1"/>
  <c r="F29" i="4"/>
  <c r="K29" i="4" s="1"/>
  <c r="H28" i="4"/>
  <c r="J28" i="4" s="1"/>
  <c r="F28" i="4"/>
  <c r="K28" i="4" s="1"/>
  <c r="H27" i="4"/>
  <c r="J27" i="4" s="1"/>
  <c r="F27" i="4"/>
  <c r="I27" i="4" s="1"/>
  <c r="H26" i="4"/>
  <c r="J26" i="4" s="1"/>
  <c r="F26" i="4"/>
  <c r="K26" i="4" s="1"/>
  <c r="H25" i="4"/>
  <c r="J25" i="4" s="1"/>
  <c r="F25" i="4"/>
  <c r="K25" i="4" s="1"/>
  <c r="H24" i="4"/>
  <c r="J24" i="4" s="1"/>
  <c r="F24" i="4"/>
  <c r="K24" i="4" s="1"/>
  <c r="H23" i="4"/>
  <c r="J23" i="4" s="1"/>
  <c r="F23" i="4"/>
  <c r="I23" i="4" s="1"/>
  <c r="H22" i="4"/>
  <c r="J22" i="4" s="1"/>
  <c r="F22" i="4"/>
  <c r="K22" i="4" s="1"/>
  <c r="H21" i="4"/>
  <c r="J21" i="4" s="1"/>
  <c r="L21" i="4" s="1"/>
  <c r="F21" i="4"/>
  <c r="K21" i="4" s="1"/>
  <c r="H20" i="4"/>
  <c r="J20" i="4" s="1"/>
  <c r="F20" i="4"/>
  <c r="K20" i="4" s="1"/>
  <c r="H19" i="4"/>
  <c r="J19" i="4" s="1"/>
  <c r="L19" i="4" s="1"/>
  <c r="F19" i="4"/>
  <c r="I19" i="4" s="1"/>
  <c r="H18" i="4"/>
  <c r="J18" i="4" s="1"/>
  <c r="F18" i="4"/>
  <c r="K18" i="4" s="1"/>
  <c r="H17" i="4"/>
  <c r="J17" i="4" s="1"/>
  <c r="F17" i="4"/>
  <c r="K17" i="4" s="1"/>
  <c r="H16" i="4"/>
  <c r="J16" i="4" s="1"/>
  <c r="F16" i="4"/>
  <c r="K16" i="4" s="1"/>
  <c r="D9" i="4"/>
  <c r="C79" i="4" s="1"/>
  <c r="C9" i="4"/>
  <c r="BP6" i="9" s="1"/>
  <c r="D8" i="4"/>
  <c r="C8" i="4"/>
  <c r="C36" i="3"/>
  <c r="C37" i="3" s="1"/>
  <c r="F32" i="3"/>
  <c r="C32" i="3"/>
  <c r="F31" i="3"/>
  <c r="F30" i="3"/>
  <c r="C30" i="3"/>
  <c r="F29" i="3"/>
  <c r="C29" i="3"/>
  <c r="F28" i="3"/>
  <c r="C28" i="3"/>
  <c r="C20" i="3"/>
  <c r="D19" i="3"/>
  <c r="D24" i="3" s="1"/>
  <c r="C19" i="3"/>
  <c r="C24" i="3" s="1"/>
  <c r="G15" i="3"/>
  <c r="G14" i="3"/>
  <c r="G13" i="3"/>
  <c r="G12" i="3"/>
  <c r="G11" i="3"/>
  <c r="G10" i="3"/>
  <c r="G9" i="3"/>
  <c r="G8" i="3"/>
  <c r="F80" i="2"/>
  <c r="F78" i="2"/>
  <c r="C78" i="2"/>
  <c r="E77" i="2"/>
  <c r="C77" i="2"/>
  <c r="E76" i="2"/>
  <c r="C76" i="2"/>
  <c r="E75" i="2"/>
  <c r="C75" i="2"/>
  <c r="E74" i="2"/>
  <c r="C74" i="2"/>
  <c r="E73" i="2"/>
  <c r="C73" i="2"/>
  <c r="E72" i="2"/>
  <c r="C72" i="2"/>
  <c r="E71" i="2"/>
  <c r="C71" i="2"/>
  <c r="E70" i="2"/>
  <c r="C70" i="2"/>
  <c r="E69" i="2"/>
  <c r="C69" i="2"/>
  <c r="E68" i="2"/>
  <c r="C68" i="2"/>
  <c r="E67" i="2"/>
  <c r="C67" i="2"/>
  <c r="E66" i="2"/>
  <c r="C66" i="2"/>
  <c r="E65" i="2"/>
  <c r="C65" i="2"/>
  <c r="E64" i="2"/>
  <c r="C64" i="2"/>
  <c r="E63" i="2"/>
  <c r="C63" i="2"/>
  <c r="E62" i="2"/>
  <c r="C62" i="2"/>
  <c r="E61" i="2"/>
  <c r="C61" i="2"/>
  <c r="E60" i="2"/>
  <c r="C60" i="2"/>
  <c r="E59" i="2"/>
  <c r="C59" i="2"/>
  <c r="E58" i="2"/>
  <c r="C58" i="2"/>
  <c r="E57" i="2"/>
  <c r="C57" i="2"/>
  <c r="E56" i="2"/>
  <c r="C56" i="2"/>
  <c r="E55" i="2"/>
  <c r="C55" i="2"/>
  <c r="E54" i="2"/>
  <c r="C54" i="2"/>
  <c r="C23" i="2"/>
  <c r="E23" i="2" s="1"/>
  <c r="E22" i="2"/>
  <c r="C21" i="2"/>
  <c r="E21" i="2" s="1"/>
  <c r="C17" i="2"/>
  <c r="D15" i="2"/>
  <c r="C15" i="2"/>
  <c r="C14" i="2"/>
  <c r="C13" i="2"/>
  <c r="C16" i="2" s="1"/>
  <c r="D10" i="2"/>
  <c r="C10" i="2"/>
  <c r="C9" i="2"/>
  <c r="D8" i="2"/>
  <c r="C8" i="2"/>
  <c r="F108" i="1"/>
  <c r="F104" i="1"/>
  <c r="H103" i="1"/>
  <c r="F103" i="1"/>
  <c r="F100" i="1"/>
  <c r="D17" i="2" s="1"/>
  <c r="F90" i="1"/>
  <c r="J20" i="7" s="1"/>
  <c r="F89" i="1"/>
  <c r="I59" i="5" s="1"/>
  <c r="J59" i="5" s="1"/>
  <c r="F88" i="1"/>
  <c r="F85" i="1"/>
  <c r="D9" i="2" s="1"/>
  <c r="F84" i="1"/>
  <c r="F86" i="1" s="1"/>
  <c r="C12" i="2" s="1"/>
  <c r="F81" i="1"/>
  <c r="F83" i="1" s="1"/>
  <c r="F80" i="1"/>
  <c r="F82" i="1" s="1"/>
  <c r="N62" i="1"/>
  <c r="N60" i="1"/>
  <c r="N58" i="1"/>
  <c r="N56" i="1"/>
  <c r="N55" i="1"/>
  <c r="N54" i="1"/>
  <c r="N53" i="1"/>
  <c r="N52" i="1"/>
  <c r="N51" i="1"/>
  <c r="N50" i="1"/>
  <c r="N49" i="1"/>
  <c r="N47" i="1"/>
  <c r="N46" i="1"/>
  <c r="N43" i="1"/>
  <c r="N42" i="1"/>
  <c r="N41" i="1"/>
  <c r="N40" i="1"/>
  <c r="N39" i="1"/>
  <c r="N38" i="1"/>
  <c r="L23" i="4" l="1"/>
  <c r="L16" i="4"/>
  <c r="I16" i="4"/>
  <c r="L37" i="4"/>
  <c r="K44" i="4"/>
  <c r="L17" i="4"/>
  <c r="L18" i="4"/>
  <c r="L39" i="4"/>
  <c r="C77" i="4"/>
  <c r="L40" i="4"/>
  <c r="L22" i="4"/>
  <c r="L20" i="4"/>
  <c r="L34" i="4"/>
  <c r="L41" i="4"/>
  <c r="K27" i="4"/>
  <c r="F77" i="2"/>
  <c r="F76" i="2" s="1"/>
  <c r="F75" i="2" s="1"/>
  <c r="F74" i="2" s="1"/>
  <c r="F73" i="2" s="1"/>
  <c r="F72" i="2" s="1"/>
  <c r="F71" i="2" s="1"/>
  <c r="F70" i="2" s="1"/>
  <c r="F69" i="2" s="1"/>
  <c r="F68" i="2" s="1"/>
  <c r="F67" i="2" s="1"/>
  <c r="F66" i="2" s="1"/>
  <c r="F65" i="2" s="1"/>
  <c r="F64" i="2" s="1"/>
  <c r="F63" i="2" s="1"/>
  <c r="F62" i="2" s="1"/>
  <c r="F61" i="2" s="1"/>
  <c r="F60" i="2" s="1"/>
  <c r="F59" i="2" s="1"/>
  <c r="F58" i="2" s="1"/>
  <c r="F57" i="2" s="1"/>
  <c r="F56" i="2" s="1"/>
  <c r="F55" i="2" s="1"/>
  <c r="F54" i="2" s="1"/>
  <c r="F79" i="2" s="1"/>
  <c r="F81" i="2" s="1"/>
  <c r="I22" i="4"/>
  <c r="I39" i="4"/>
  <c r="I22" i="5"/>
  <c r="J22" i="5" s="1"/>
  <c r="I34" i="5"/>
  <c r="J34" i="5" s="1"/>
  <c r="I56" i="5"/>
  <c r="J56" i="5" s="1"/>
  <c r="I68" i="5"/>
  <c r="J68" i="5" s="1"/>
  <c r="E38" i="7"/>
  <c r="E28" i="6"/>
  <c r="I28" i="4"/>
  <c r="L28" i="4" s="1"/>
  <c r="I37" i="5"/>
  <c r="J37" i="5" s="1"/>
  <c r="I71" i="5"/>
  <c r="J71" i="5" s="1"/>
  <c r="L18" i="7"/>
  <c r="L24" i="4"/>
  <c r="I26" i="5"/>
  <c r="J26" i="5" s="1"/>
  <c r="I49" i="5"/>
  <c r="J49" i="5" s="1"/>
  <c r="I60" i="5"/>
  <c r="J60" i="5" s="1"/>
  <c r="J19" i="7"/>
  <c r="F109" i="1" s="1"/>
  <c r="K19" i="4"/>
  <c r="I24" i="4"/>
  <c r="K36" i="4"/>
  <c r="I41" i="4"/>
  <c r="I38" i="5"/>
  <c r="J38" i="5" s="1"/>
  <c r="I72" i="5"/>
  <c r="J72" i="5" s="1"/>
  <c r="F19" i="6"/>
  <c r="L19" i="7"/>
  <c r="C38" i="3"/>
  <c r="C39" i="3" s="1"/>
  <c r="I27" i="5"/>
  <c r="J27" i="5" s="1"/>
  <c r="I62" i="5"/>
  <c r="J62" i="5" s="1"/>
  <c r="I45" i="4"/>
  <c r="L45" i="4" s="1"/>
  <c r="I30" i="4"/>
  <c r="L30" i="4" s="1"/>
  <c r="I17" i="5"/>
  <c r="J17" i="5" s="1"/>
  <c r="I39" i="5"/>
  <c r="J39" i="5" s="1"/>
  <c r="I51" i="5"/>
  <c r="J51" i="5" s="1"/>
  <c r="I73" i="5"/>
  <c r="J73" i="5" s="1"/>
  <c r="L20" i="7"/>
  <c r="Q34" i="1"/>
  <c r="E34" i="1" s="1"/>
  <c r="I20" i="4"/>
  <c r="I37" i="4"/>
  <c r="I28" i="5"/>
  <c r="J28" i="5" s="1"/>
  <c r="I63" i="5"/>
  <c r="J63" i="5" s="1"/>
  <c r="C76" i="4"/>
  <c r="D21" i="6"/>
  <c r="F21" i="6" s="1"/>
  <c r="E31" i="6"/>
  <c r="J21" i="7"/>
  <c r="L32" i="4"/>
  <c r="L21" i="7"/>
  <c r="I20" i="5"/>
  <c r="J20" i="5" s="1"/>
  <c r="I54" i="5"/>
  <c r="J54" i="5" s="1"/>
  <c r="L33" i="4"/>
  <c r="L38" i="4"/>
  <c r="I32" i="5"/>
  <c r="J32" i="5" s="1"/>
  <c r="I43" i="5"/>
  <c r="J43" i="5" s="1"/>
  <c r="I66" i="5"/>
  <c r="J66" i="5" s="1"/>
  <c r="C42" i="3"/>
  <c r="C41" i="3"/>
  <c r="F33" i="6"/>
  <c r="E33" i="6"/>
  <c r="C24" i="2"/>
  <c r="E24" i="2" s="1"/>
  <c r="D20" i="3"/>
  <c r="D13" i="2"/>
  <c r="D16" i="2" s="1"/>
  <c r="D14" i="2"/>
  <c r="C31" i="3"/>
  <c r="C25" i="2"/>
  <c r="E25" i="2" s="1"/>
  <c r="G30" i="3"/>
  <c r="H30" i="3" s="1"/>
  <c r="L29" i="3"/>
  <c r="M29" i="3" s="1"/>
  <c r="L30" i="3"/>
  <c r="M30" i="3" s="1"/>
  <c r="G29" i="3"/>
  <c r="H29" i="3" s="1"/>
  <c r="L28" i="3"/>
  <c r="M28" i="3" s="1"/>
  <c r="H105" i="1" s="1"/>
  <c r="G28" i="3"/>
  <c r="H28" i="3" s="1"/>
  <c r="F105" i="1" s="1"/>
  <c r="C26" i="7"/>
  <c r="L32" i="3"/>
  <c r="M32" i="3" s="1"/>
  <c r="G32" i="3"/>
  <c r="H32" i="3" s="1"/>
  <c r="L31" i="3"/>
  <c r="M31" i="3" s="1"/>
  <c r="E26" i="7"/>
  <c r="G31" i="3"/>
  <c r="H31" i="3" s="1"/>
  <c r="L27" i="4"/>
  <c r="L44" i="4"/>
  <c r="D38" i="7"/>
  <c r="J64" i="7"/>
  <c r="F81" i="7"/>
  <c r="G81" i="7" s="1"/>
  <c r="I81" i="7" s="1"/>
  <c r="F97" i="7"/>
  <c r="G97" i="7" s="1"/>
  <c r="I97" i="7" s="1"/>
  <c r="K64" i="7"/>
  <c r="F78" i="7"/>
  <c r="G78" i="7" s="1"/>
  <c r="I78" i="7" s="1"/>
  <c r="F94" i="7"/>
  <c r="G94" i="7" s="1"/>
  <c r="I94" i="7" s="1"/>
  <c r="F38" i="7"/>
  <c r="L64" i="7"/>
  <c r="F75" i="7"/>
  <c r="G75" i="7" s="1"/>
  <c r="I75" i="7" s="1"/>
  <c r="F91" i="7"/>
  <c r="G91" i="7" s="1"/>
  <c r="I91" i="7" s="1"/>
  <c r="C35" i="7"/>
  <c r="C46" i="7" s="1"/>
  <c r="C39" i="7"/>
  <c r="C49" i="7" s="1"/>
  <c r="F88" i="7"/>
  <c r="G88" i="7" s="1"/>
  <c r="I88" i="7" s="1"/>
  <c r="I17" i="4"/>
  <c r="I25" i="4"/>
  <c r="L25" i="4" s="1"/>
  <c r="I34" i="4"/>
  <c r="I42" i="4"/>
  <c r="I33" i="5"/>
  <c r="J33" i="5" s="1"/>
  <c r="I50" i="5"/>
  <c r="J50" i="5" s="1"/>
  <c r="I67" i="5"/>
  <c r="J67" i="5" s="1"/>
  <c r="J18" i="7"/>
  <c r="D26" i="7"/>
  <c r="D35" i="7"/>
  <c r="D46" i="7" s="1"/>
  <c r="D39" i="7"/>
  <c r="D49" i="7" s="1"/>
  <c r="F85" i="7"/>
  <c r="G85" i="7" s="1"/>
  <c r="I85" i="7" s="1"/>
  <c r="E35" i="7"/>
  <c r="E46" i="7" s="1"/>
  <c r="F82" i="7"/>
  <c r="G82" i="7" s="1"/>
  <c r="I82" i="7" s="1"/>
  <c r="F98" i="7"/>
  <c r="G98" i="7" s="1"/>
  <c r="I98" i="7" s="1"/>
  <c r="F101" i="7"/>
  <c r="F31" i="6"/>
  <c r="F26" i="7"/>
  <c r="F35" i="7"/>
  <c r="F46" i="7" s="1"/>
  <c r="F79" i="7"/>
  <c r="G79" i="7" s="1"/>
  <c r="I79" i="7" s="1"/>
  <c r="F95" i="7"/>
  <c r="G95" i="7" s="1"/>
  <c r="I95" i="7" s="1"/>
  <c r="F76" i="7"/>
  <c r="G76" i="7" s="1"/>
  <c r="I76" i="7" s="1"/>
  <c r="F92" i="7"/>
  <c r="G92" i="7" s="1"/>
  <c r="I92" i="7" s="1"/>
  <c r="F73" i="7"/>
  <c r="G73" i="7" s="1"/>
  <c r="I73" i="7" s="1"/>
  <c r="F89" i="7"/>
  <c r="G89" i="7" s="1"/>
  <c r="I89" i="7" s="1"/>
  <c r="BP5" i="9"/>
  <c r="I35" i="4"/>
  <c r="F86" i="7"/>
  <c r="G86" i="7" s="1"/>
  <c r="I86" i="7" s="1"/>
  <c r="BQ5" i="9"/>
  <c r="F87" i="1"/>
  <c r="K32" i="4"/>
  <c r="K40" i="4"/>
  <c r="I57" i="5"/>
  <c r="J57" i="5" s="1"/>
  <c r="I74" i="5"/>
  <c r="J74" i="5" s="1"/>
  <c r="D10" i="4"/>
  <c r="I18" i="5"/>
  <c r="J18" i="5" s="1"/>
  <c r="I35" i="5"/>
  <c r="J35" i="5" s="1"/>
  <c r="I52" i="5"/>
  <c r="J52" i="5" s="1"/>
  <c r="I69" i="5"/>
  <c r="J69" i="5" s="1"/>
  <c r="F83" i="7"/>
  <c r="G83" i="7" s="1"/>
  <c r="I83" i="7" s="1"/>
  <c r="F99" i="7"/>
  <c r="G99" i="7" s="1"/>
  <c r="I99" i="7" s="1"/>
  <c r="F17" i="6"/>
  <c r="C10" i="4"/>
  <c r="I18" i="4"/>
  <c r="K23" i="4"/>
  <c r="I26" i="4"/>
  <c r="L26" i="4" s="1"/>
  <c r="I43" i="4"/>
  <c r="L43" i="4" s="1"/>
  <c r="I23" i="5"/>
  <c r="J23" i="5" s="1"/>
  <c r="I40" i="5"/>
  <c r="J40" i="5" s="1"/>
  <c r="I21" i="4"/>
  <c r="I29" i="4"/>
  <c r="L29" i="4" s="1"/>
  <c r="I38" i="4"/>
  <c r="I46" i="4"/>
  <c r="L46" i="4" s="1"/>
  <c r="C78" i="4"/>
  <c r="I29" i="5"/>
  <c r="J29" i="5" s="1"/>
  <c r="I47" i="5"/>
  <c r="J47" i="5" s="1"/>
  <c r="I64" i="5"/>
  <c r="J64" i="5" s="1"/>
  <c r="C48" i="7"/>
  <c r="F80" i="7"/>
  <c r="G80" i="7" s="1"/>
  <c r="I80" i="7" s="1"/>
  <c r="F96" i="7"/>
  <c r="G96" i="7" s="1"/>
  <c r="I96" i="7" s="1"/>
  <c r="C11" i="2"/>
  <c r="C22" i="3"/>
  <c r="I75" i="5"/>
  <c r="J75" i="5" s="1"/>
  <c r="F77" i="7"/>
  <c r="G77" i="7" s="1"/>
  <c r="I77" i="7" s="1"/>
  <c r="F93" i="7"/>
  <c r="G93" i="7" s="1"/>
  <c r="I93" i="7" s="1"/>
  <c r="F74" i="7"/>
  <c r="G74" i="7" s="1"/>
  <c r="I74" i="7" s="1"/>
  <c r="F90" i="7"/>
  <c r="G90" i="7" s="1"/>
  <c r="I90" i="7" s="1"/>
  <c r="BQ6" i="9"/>
  <c r="I24" i="5"/>
  <c r="J24" i="5" s="1"/>
  <c r="I41" i="5"/>
  <c r="J41" i="5" s="1"/>
  <c r="I58" i="5"/>
  <c r="J58" i="5" s="1"/>
  <c r="I19" i="5"/>
  <c r="J19" i="5" s="1"/>
  <c r="I36" i="5"/>
  <c r="J36" i="5" s="1"/>
  <c r="E19" i="6"/>
  <c r="I30" i="5"/>
  <c r="J30" i="5" s="1"/>
  <c r="I48" i="5"/>
  <c r="J48" i="5" s="1"/>
  <c r="I65" i="5"/>
  <c r="J65" i="5" s="1"/>
  <c r="F87" i="7"/>
  <c r="G87" i="7" s="1"/>
  <c r="I87" i="7" s="1"/>
  <c r="I53" i="5"/>
  <c r="J53" i="5" s="1"/>
  <c r="I70" i="5"/>
  <c r="J70" i="5" s="1"/>
  <c r="C9" i="5"/>
  <c r="I25" i="5"/>
  <c r="J25" i="5" s="1"/>
  <c r="I42" i="5"/>
  <c r="J42" i="5" s="1"/>
  <c r="I64" i="7"/>
  <c r="F84" i="7"/>
  <c r="G84" i="7" s="1"/>
  <c r="I84" i="7" s="1"/>
  <c r="C40" i="3" l="1"/>
  <c r="E21" i="6"/>
  <c r="D28" i="7"/>
  <c r="D41" i="7"/>
  <c r="C28" i="7"/>
  <c r="C41" i="7"/>
  <c r="F28" i="7"/>
  <c r="F41" i="7"/>
  <c r="D12" i="2"/>
  <c r="D22" i="3"/>
  <c r="D11" i="2"/>
  <c r="E28" i="7"/>
  <c r="E41" i="7"/>
  <c r="G61" i="7" l="1"/>
  <c r="G59" i="7"/>
  <c r="G57" i="7"/>
  <c r="G55" i="7"/>
  <c r="G62" i="7"/>
  <c r="G60" i="7"/>
  <c r="G58" i="7"/>
  <c r="G56" i="7"/>
  <c r="G54" i="7"/>
  <c r="E34" i="7"/>
  <c r="E45" i="7" s="1"/>
  <c r="E32" i="7"/>
  <c r="E44" i="7" s="1"/>
  <c r="H61" i="7"/>
  <c r="H59" i="7"/>
  <c r="H57" i="7"/>
  <c r="H55" i="7"/>
  <c r="H62" i="7"/>
  <c r="H60" i="7"/>
  <c r="H58" i="7"/>
  <c r="H56" i="7"/>
  <c r="H54" i="7"/>
  <c r="F32" i="7"/>
  <c r="F44" i="7" s="1"/>
  <c r="F34" i="7"/>
  <c r="F45" i="7" s="1"/>
  <c r="E61" i="7"/>
  <c r="E59" i="7"/>
  <c r="E57" i="7"/>
  <c r="E55" i="7"/>
  <c r="E62" i="7"/>
  <c r="E60" i="7"/>
  <c r="E58" i="7"/>
  <c r="E56" i="7"/>
  <c r="E54" i="7"/>
  <c r="C34" i="7"/>
  <c r="C45" i="7" s="1"/>
  <c r="C32" i="7"/>
  <c r="C44" i="7" s="1"/>
  <c r="F61" i="7"/>
  <c r="F59" i="7"/>
  <c r="F57" i="7"/>
  <c r="F55" i="7"/>
  <c r="F62" i="7"/>
  <c r="F60" i="7"/>
  <c r="F58" i="7"/>
  <c r="F56" i="7"/>
  <c r="F54" i="7"/>
  <c r="D32" i="7"/>
  <c r="D44" i="7" s="1"/>
  <c r="D34" i="7"/>
  <c r="D45" i="7" s="1"/>
  <c r="G63" i="7" l="1"/>
  <c r="K58" i="7" s="1"/>
  <c r="K55" i="7"/>
  <c r="E63" i="7"/>
  <c r="I60" i="7" s="1"/>
  <c r="I54" i="7"/>
  <c r="I58" i="7"/>
  <c r="K59" i="7"/>
  <c r="I62" i="7"/>
  <c r="F63" i="7"/>
  <c r="J54" i="7" s="1"/>
  <c r="H63" i="7"/>
  <c r="L57" i="7" s="1"/>
  <c r="L56" i="7"/>
  <c r="L55" i="7" l="1"/>
  <c r="L61" i="7"/>
  <c r="L59" i="7"/>
  <c r="L58" i="7"/>
  <c r="K56" i="7"/>
  <c r="L60" i="7"/>
  <c r="L62" i="7"/>
  <c r="F110" i="1"/>
  <c r="K66" i="7"/>
  <c r="K61" i="7"/>
  <c r="J57" i="7"/>
  <c r="J56" i="7"/>
  <c r="J55" i="7"/>
  <c r="J62" i="7"/>
  <c r="J61" i="7"/>
  <c r="K54" i="7"/>
  <c r="J59" i="7"/>
  <c r="K62" i="7"/>
  <c r="L54" i="7"/>
  <c r="I59" i="7"/>
  <c r="K57" i="7"/>
  <c r="K60" i="7"/>
  <c r="J60" i="7"/>
  <c r="I61" i="7"/>
  <c r="I57" i="7"/>
  <c r="J58" i="7"/>
  <c r="I56" i="7"/>
  <c r="I55" i="7"/>
  <c r="I65" i="7" s="1"/>
  <c r="J65" i="7" l="1"/>
  <c r="L65" i="7"/>
  <c r="K65" i="7"/>
</calcChain>
</file>

<file path=xl/sharedStrings.xml><?xml version="1.0" encoding="utf-8"?>
<sst xmlns="http://schemas.openxmlformats.org/spreadsheetml/2006/main" count="1159" uniqueCount="784">
  <si>
    <t>CO₂-Zwischenspeicherung in Salzkavernen – Kaverne zwischen Ein- und Ausspeicherung</t>
  </si>
  <si>
    <t>Rechenübersicht Kaverne · Masterarbeit Sarah Maxara · TH Köln / Uniper Energy Storage</t>
  </si>
  <si>
    <t>Stand: 01.10.2026 · Stoffdaten: CoolProp 8.0.0 (reines CO₂: Span &amp; Wagner; Gemisch: GERG-2008) · Abbild der Python-Skripte im Ordner C:\PythonProjekte\Masterarbeit\Kaverne (01–06)</t>
  </si>
  <si>
    <t>Worum geht es?</t>
  </si>
  <si>
    <t>Farblegende der Zellen</t>
  </si>
  <si>
    <t>Diese Mappe zeigt Schritt für Schritt, was in der Kaverne zwischen Einspeicherung und Ausspeicherung passiert – so weit es für die Obertageanlage wichtig ist:
01  Welcher Druck liegt am Kopf an, wenn nichts strömt? (= Zieldruck der Einspeicherung)
02  Wie viel CO₂ lässt sich umschlagen, und welche Teufe ist günstig?
03  Welche Ein- und Ausspeicherrate verträgt die Kaverne?
04  Was kommt beim Ausspeichern am Bohrlochkopf an? (= Start des Ausspeicherpfads)
05  Was ändert das Worst-Case-Gemisch gegenüber reinem CO₂?
06  Mit welcher Zusammensetzung startet der Ausspeicherpfad?
Verglichen werden eine tiefe (LCCS 1200 m) und eine flache Kaverne (LCCS 700 m) mit gleicher Form und gleichem Volumen – jeder Unterschied kommt also nur aus der Teufe.</t>
  </si>
  <si>
    <t>Annahme – darf geändert werden</t>
  </si>
  <si>
    <t>Stoffwert / Ergebnis aus dem Python-Code – fest</t>
  </si>
  <si>
    <t>Excel-Formel – rechnet sofort mit</t>
  </si>
  <si>
    <t>wichtiges Ergebnis</t>
  </si>
  <si>
    <t>rot</t>
  </si>
  <si>
    <t>fester Wert passt nicht mehr zu den Annahmen → Skript neu rechnen</t>
  </si>
  <si>
    <t>Inhalt</t>
  </si>
  <si>
    <t>→ 01 Stillstand</t>
  </si>
  <si>
    <t>Gassäule im Bohrloch für voll, Grenzfall und leer – Kopfdruck = Zieldruck der Einspeicherung. Mit Nachrechnung der Säule in Excel.</t>
  </si>
  <si>
    <t>→ 02 Arbeitsgas &amp; Teufe</t>
  </si>
  <si>
    <t>Inhalt, Kissengas und Arbeitsgas (langsam / schnell); Teufenfenster; Kontrolle der Stoffdaten gegen DBI.</t>
  </si>
  <si>
    <t>→ 03 Raten</t>
  </si>
  <si>
    <t>Zulässige Rate aus 10 bar/d; Kavernenbilanz über einen Zyklus bei 50.000 / 100.000 Nm³/h; Grenzrate; Nachrechnung von Q-028.</t>
  </si>
  <si>
    <t>→ 04 Bohrlochkopf</t>
  </si>
  <si>
    <t>Kopfdruck, -temperatur, Phase und Geschwindigkeit beim Ausspeichern; was das für Drossel und Übergabe heißt.</t>
  </si>
  <si>
    <t>→ 05 Gemisch vs rein</t>
  </si>
  <si>
    <t>Alle Kernzahlen mit dem Worst-Case-Gemisch neben reinem CO₂; Zweiphasengebiet des Gemischs.</t>
  </si>
  <si>
    <t>→ 06 Ausspeichergas</t>
  </si>
  <si>
    <t>Wasser, Resterdgas, Blanket, Öl, Mikrobiologie → Zusammensetzung für den Ausspeicherpfad; freies Wasser und Hydrat am Kopf.</t>
  </si>
  <si>
    <t>→ Quellen</t>
  </si>
  <si>
    <t>Herkunft aller Annahmen; zwei Literaturquellen müssen noch in die Matrix.</t>
  </si>
  <si>
    <t>→ Diagrammdaten</t>
  </si>
  <si>
    <t>Hilfstabellen für die Diagramme (nicht ändern).</t>
  </si>
  <si>
    <t>Prozesskette Kaverne – wie die Schritte aufeinander aufbauen</t>
  </si>
  <si>
    <t>Einspeicherung
Pumpe / Verdichter liefern den Kopfdruck aus 01</t>
  </si>
  <si>
    <t>01 Stillstand
Gassäule → Kopfdruck voll / leer</t>
  </si>
  <si>
    <t>02 Arbeitsgas
m = ρ·V → wie viel CO₂ umschlagbar</t>
  </si>
  <si>
    <t>03 Raten
Kavernenbilanz → Druck, T, Phase über die Zeit</t>
  </si>
  <si>
    <t>→</t>
  </si>
  <si>
    <t>↓ weiter in der zweiten Reihe</t>
  </si>
  <si>
    <t>04 Bohrlochkopf
Strang → p, T, Phase am Kopf</t>
  </si>
  <si>
    <t>05 Gemisch
dieselbe Rechnung mit Begleitstoffen</t>
  </si>
  <si>
    <t>06 Ausspeichergas
Wasser + Einträge → Zusammensetzung</t>
  </si>
  <si>
    <t>Ausspeicherpfad
Drossel, Vorwärmer, Trocknung, ggf. Rückverdichtung</t>
  </si>
  <si>
    <t>Annahmen</t>
  </si>
  <si>
    <t>Blaue Werte dürfen geändert werden. Weiße Formelwerte rechnen sofort mit. Graue Werte kommen aus dem Python-Code (CoolProp, Kavernenbilanz) – sie passen nur zu den Annahmen in Spalte „gerechnet mit“. Wird eine solche Annahme geändert, werden alle grauen Werte rot: dann das Skript neu rechnen und die Werte übertragen.</t>
  </si>
  <si>
    <t>Status</t>
  </si>
  <si>
    <t>Größe</t>
  </si>
  <si>
    <t>Symbol</t>
  </si>
  <si>
    <t>Wert</t>
  </si>
  <si>
    <t>Einheit</t>
  </si>
  <si>
    <t>Quelle / Begründung</t>
  </si>
  <si>
    <t>gerechnet mit</t>
  </si>
  <si>
    <t>Kavernen – Geometrie und Druckfenster</t>
  </si>
  <si>
    <t>Teufe LCCS, tiefe Kaverne (V1)</t>
  </si>
  <si>
    <t>z_tief</t>
  </si>
  <si>
    <t>m</t>
  </si>
  <si>
    <t>Q-030 Tab. 1 Option 2; Kaverne V1 der Einspeicherung</t>
  </si>
  <si>
    <t>Teufe LCCS, flache Kaverne (V2)</t>
  </si>
  <si>
    <t>z_flach</t>
  </si>
  <si>
    <t>Q-030 Tab. 1 Option 3 (Uniper-Eingangsdaten)</t>
  </si>
  <si>
    <t>Bezugsteufe des Kaverneninhalts unter der LCCS</t>
  </si>
  <si>
    <t>dz_bezug</t>
  </si>
  <si>
    <t>Q-028 Tab. 1: LCCS 1150 m, Kavernentemperatur bei 1355 m → gleiche Form für beide Kavernen</t>
  </si>
  <si>
    <t>Volumen (beide Kavernen)</t>
  </si>
  <si>
    <t>V_kav</t>
  </si>
  <si>
    <t>m³</t>
  </si>
  <si>
    <t>Q-028 Tab. 1. Uniper-Bestand: 250.000 m³ (Q-030 Tab. 1) – Massen und Raten skalieren linear mit V</t>
  </si>
  <si>
    <t>Maximaldruck an der LCCS, tief</t>
  </si>
  <si>
    <t>pmax_tief</t>
  </si>
  <si>
    <t>bar</t>
  </si>
  <si>
    <t>Kaverne V1 der Einspeicherung (Zwischenwert Q-028 200 / Q-030 240 bar)</t>
  </si>
  <si>
    <t>Minimaldruck an der LCCS, tief</t>
  </si>
  <si>
    <t>pmin_tief</t>
  </si>
  <si>
    <t>Kaverne V1 der Einspeicherung (Q-028: geomechanisches Minimum)</t>
  </si>
  <si>
    <t>Dichte des Gebirges</t>
  </si>
  <si>
    <t>rho_salz</t>
  </si>
  <si>
    <t>kg/m³</t>
  </si>
  <si>
    <t>Q-003 Kap. 4.2 – nur zur Einordnung von p_max (Formel unten)</t>
  </si>
  <si>
    <t>–</t>
  </si>
  <si>
    <t>rechnet live mit</t>
  </si>
  <si>
    <t>Gebirge</t>
  </si>
  <si>
    <t>Gebirgstemperatur an der Oberfläche</t>
  </si>
  <si>
    <t>T0</t>
  </si>
  <si>
    <t>°C</t>
  </si>
  <si>
    <t>Q-028 Tab. 1</t>
  </si>
  <si>
    <t>Geothermischer Gradient</t>
  </si>
  <si>
    <t>gradT</t>
  </si>
  <si>
    <t>K/m</t>
  </si>
  <si>
    <t>Q-028</t>
  </si>
  <si>
    <t>Betrieb</t>
  </si>
  <si>
    <t>Normvolumenstrom, unterer Fall</t>
  </si>
  <si>
    <t>Vn_min</t>
  </si>
  <si>
    <t>Nm³/h</t>
  </si>
  <si>
    <t>wie Einspeicherung (abgestimmt mit Martina Wall)</t>
  </si>
  <si>
    <t>Normvolumenstrom, oberer Fall</t>
  </si>
  <si>
    <t>Vn_max</t>
  </si>
  <si>
    <t>wie Einspeicherung</t>
  </si>
  <si>
    <t>Zulässige Druckänderung an der LCCS</t>
  </si>
  <si>
    <t>dpdt_max</t>
  </si>
  <si>
    <t>bar/d</t>
  </si>
  <si>
    <t>Q-030 Kap. 1.2.1; Q-089 Tab. 2</t>
  </si>
  <si>
    <t>Zulässige Druckänderung, vorsichtig</t>
  </si>
  <si>
    <t>dpdt_vors</t>
  </si>
  <si>
    <t>Q-028 Tab. 1 (dort für die Simulation)</t>
  </si>
  <si>
    <t>Einspeisetemperatur an der LCCS</t>
  </si>
  <si>
    <t>T_ein</t>
  </si>
  <si>
    <t>Q-028 Tab. 1 (angenommen)</t>
  </si>
  <si>
    <t>Stillstand zwischen Aus- und Einspeichern</t>
  </si>
  <si>
    <t>t_still</t>
  </si>
  <si>
    <t>d</t>
  </si>
  <si>
    <t>Q-028 Kap. 4</t>
  </si>
  <si>
    <t>Wärmeübergang Kaverne–Gebirge (Bezugskaverne)</t>
  </si>
  <si>
    <t>UA_ref</t>
  </si>
  <si>
    <t>kW/K</t>
  </si>
  <si>
    <t>an der Q-028-Simulation kalibriert (Kavernenrechner, Nachrechnung Blatt 03)</t>
  </si>
  <si>
    <t>Volumen der Bezugskaverne für UA</t>
  </si>
  <si>
    <t>V_ref</t>
  </si>
  <si>
    <t>Förderstrang und Übergabe</t>
  </si>
  <si>
    <t>Innendurchmesser Förderstrang</t>
  </si>
  <si>
    <t>D_strang</t>
  </si>
  <si>
    <t>Q-030 Kap. 1.2.1: 8 5/8" 36# J55 (7,825")</t>
  </si>
  <si>
    <t>Strömungsgeschwindigkeit höchstens</t>
  </si>
  <si>
    <t>v_max</t>
  </si>
  <si>
    <t>m/s</t>
  </si>
  <si>
    <t>Q-030 Kap. 1.2.1</t>
  </si>
  <si>
    <t>Rohrreibungszahl (Darcy)</t>
  </si>
  <si>
    <t>f_darcy</t>
  </si>
  <si>
    <t>Q-003 Kap. 6.2: 0,015–0,017 für neues Stahlrohr</t>
  </si>
  <si>
    <t>Übergabedruck dicht</t>
  </si>
  <si>
    <t>p_dicht</t>
  </si>
  <si>
    <t>wie Einspeicherung S1</t>
  </si>
  <si>
    <t>Übergabedruck gasförmig</t>
  </si>
  <si>
    <t>p_gas</t>
  </si>
  <si>
    <t>wie Einspeicherung S2 – Drosselung im Code auf diesen Druck</t>
  </si>
  <si>
    <t>Teufenfenster</t>
  </si>
  <si>
    <t>Sicherheitsabstand zur kritischen Temperatur</t>
  </si>
  <si>
    <t>T_marge</t>
  </si>
  <si>
    <t>K</t>
  </si>
  <si>
    <t>eigene Annahme (wie Kavernenrechner)</t>
  </si>
  <si>
    <t>Ausspeichergas (Übertrag Q-089 auf CO₂)</t>
  </si>
  <si>
    <t>Wassersättigung, Auslegung (Wasseraktivität)</t>
  </si>
  <si>
    <t>a_w</t>
  </si>
  <si>
    <t>gesättigt über reinem Wasser – Vorgabe Betreuer, konservativ</t>
  </si>
  <si>
    <t>Wassersättigung, Vergleich Q-089 (Sole)</t>
  </si>
  <si>
    <t>a_w_sole</t>
  </si>
  <si>
    <t>Q-089 Abschn. 6.5: 75 % über gesättigter NaCl-Sole bei voller Kaverne</t>
  </si>
  <si>
    <t>Fingervolumen Resterdgas (Anteil von V)</t>
  </si>
  <si>
    <t>finger</t>
  </si>
  <si>
    <t>Q-089 Abschn. 6.3: 2000 m³ in 500.000 m³ (umgewidmete Erdgaskaverne, 1. Zyklus)</t>
  </si>
  <si>
    <t>Restblanket Diesel</t>
  </si>
  <si>
    <t>V_blanket</t>
  </si>
  <si>
    <t>Q-089 Tab. 10 Fall 4c (ungünstigster Fall)</t>
  </si>
  <si>
    <t>Dichte Diesel</t>
  </si>
  <si>
    <t>rho_diesel</t>
  </si>
  <si>
    <t>Q-089 Tab. 12 (50 °C, 210 bar)</t>
  </si>
  <si>
    <t>Molare Masse Diesel</t>
  </si>
  <si>
    <t>M_diesel</t>
  </si>
  <si>
    <t>g/mol</t>
  </si>
  <si>
    <t>Q-089 Tab. 11: 121–315 g/mol, Mitte</t>
  </si>
  <si>
    <t>Verdichteröl im Einspeichergas</t>
  </si>
  <si>
    <t>oel</t>
  </si>
  <si>
    <t>kg/100.000 Nm³</t>
  </si>
  <si>
    <t>Q-089 Tab. 20 (oberer Wert), nur bei Verdichtern (S2)</t>
  </si>
  <si>
    <t>Molare Masse Verdichteröl</t>
  </si>
  <si>
    <t>M_oel</t>
  </si>
  <si>
    <t>Q-089 Tab. 5: 270–320 g/mol</t>
  </si>
  <si>
    <t>H₂S aus mikrobiellen Prozessen</t>
  </si>
  <si>
    <t>H2S_ppm</t>
  </si>
  <si>
    <t>ppm</t>
  </si>
  <si>
    <t>Q-089 Abschn. 6.4.2 (Annahme); Q-030 Kap. 1.4: zulässig 10 ppm</t>
  </si>
  <si>
    <t>CH₄ aus mikrobiellen Prozessen (nur Gemisch)</t>
  </si>
  <si>
    <t>CH4_mikro</t>
  </si>
  <si>
    <t>Q-089 Abschn. 6.4.3: 20–50 ppm; braucht H₂: 4 H₂ + CO₂ → CH₄ + 2 H₂O</t>
  </si>
  <si>
    <t>Restsole (Anteil von V)</t>
  </si>
  <si>
    <t>restsole</t>
  </si>
  <si>
    <t>eigene Annahme – nur Größenordnung der CO₂-Lösung</t>
  </si>
  <si>
    <t>Abgeleitete Größen (Excel-Formeln, rechnen mit)</t>
  </si>
  <si>
    <t>Fallbeschleunigung</t>
  </si>
  <si>
    <t>g</t>
  </si>
  <si>
    <t>m/s²</t>
  </si>
  <si>
    <t>Konstante</t>
  </si>
  <si>
    <t>Gradient p_max (aus Kaverne V1)</t>
  </si>
  <si>
    <t>grad_pmax</t>
  </si>
  <si>
    <t>bar/m</t>
  </si>
  <si>
    <t>p_max / z – gleicher Gradient für die flache Kaverne</t>
  </si>
  <si>
    <t>Gradient p_min (aus Kaverne V1)</t>
  </si>
  <si>
    <t>grad_pmin</t>
  </si>
  <si>
    <t>p_min / z</t>
  </si>
  <si>
    <t>Maximaldruck an der LCCS, flach</t>
  </si>
  <si>
    <t>pmax_flach</t>
  </si>
  <si>
    <t>Q-030 Option 3 nennt 125 bar</t>
  </si>
  <si>
    <t>Minimaldruck an der LCCS, flach</t>
  </si>
  <si>
    <t>pmin_flach</t>
  </si>
  <si>
    <t>Q-030 Option 3 nennt 40 bar</t>
  </si>
  <si>
    <t>Bezugsteufe tief</t>
  </si>
  <si>
    <t>zb_tief</t>
  </si>
  <si>
    <t>z_LCCS + Δz</t>
  </si>
  <si>
    <t>Bezugsteufe flach</t>
  </si>
  <si>
    <t>zb_flach</t>
  </si>
  <si>
    <t>Kaverneninhalt, Gebirgstemperatur tief</t>
  </si>
  <si>
    <t>Tb_tief</t>
  </si>
  <si>
    <t>T = T₀ + grad T · z</t>
  </si>
  <si>
    <t>Kaverneninhalt, Gebirgstemperatur flach</t>
  </si>
  <si>
    <t>Tb_flach</t>
  </si>
  <si>
    <t>Wärmeübergang für V_kav</t>
  </si>
  <si>
    <t>UA</t>
  </si>
  <si>
    <t>UA ∝ Oberfläche ∝ V^(2/3)</t>
  </si>
  <si>
    <t>Querschnitt Förderstrang</t>
  </si>
  <si>
    <t>A_strang</t>
  </si>
  <si>
    <t>m²</t>
  </si>
  <si>
    <t>A = π·D²/4</t>
  </si>
  <si>
    <t>Molzahl je Normkubikmeter</t>
  </si>
  <si>
    <t>N_norm</t>
  </si>
  <si>
    <t>mol/Nm³</t>
  </si>
  <si>
    <t>ideales Gas bei 0 °C, 1,01325 bar (DIN 1343)</t>
  </si>
  <si>
    <t>Molare Masse Wasser</t>
  </si>
  <si>
    <t>M_H2O</t>
  </si>
  <si>
    <t>Stoffkonstanten aus CoolProp (fest)</t>
  </si>
  <si>
    <t>Kritische Temperatur CO₂</t>
  </si>
  <si>
    <t>T_krit</t>
  </si>
  <si>
    <t>CoolProp (Span &amp; Wagner)</t>
  </si>
  <si>
    <t>Kritischer Druck CO₂</t>
  </si>
  <si>
    <t>p_krit</t>
  </si>
  <si>
    <t>CoolProp</t>
  </si>
  <si>
    <t>Normdichte reines CO₂ (0 °C, 1,01325 bar)</t>
  </si>
  <si>
    <t>rho_n_rein</t>
  </si>
  <si>
    <t>kg/Nm³</t>
  </si>
  <si>
    <t>Normdichte Worst-Case-Gemisch</t>
  </si>
  <si>
    <t>rho_n_gem</t>
  </si>
  <si>
    <t>CoolProp (GERG-2008)</t>
  </si>
  <si>
    <t>Molare Masse reines CO₂</t>
  </si>
  <si>
    <t>M_rein</t>
  </si>
  <si>
    <t>Molare Masse Worst-Case-Gemisch</t>
  </si>
  <si>
    <t>M_gem</t>
  </si>
  <si>
    <t>Molare Masse Methan</t>
  </si>
  <si>
    <t>M_ch4</t>
  </si>
  <si>
    <t>Teufe, in der das Gebirge T_krit erreicht</t>
  </si>
  <si>
    <t>z_Tkrit</t>
  </si>
  <si>
    <t>z = (T_krit − T₀) / grad T</t>
  </si>
  <si>
    <t>Kernergebnisse auf einen Blick</t>
  </si>
  <si>
    <t>Kopfdruck bei voller tiefer Kaverne (reines CO₂ / Gemisch)</t>
  </si>
  <si>
    <t>Kopfdruck bei leerer tiefer Kaverne</t>
  </si>
  <si>
    <t>niedrigster Kopfdruck im Stillstand (Blatt 01)</t>
  </si>
  <si>
    <t>Arbeitsgas tief, langsam / schnell</t>
  </si>
  <si>
    <t>Arbeitsgas tief im Zyklus bei 100.000 Nm³/h</t>
  </si>
  <si>
    <t>Kavernenbilanz (Blatt 03)</t>
  </si>
  <si>
    <t>Grenzrate flache Kaverne (einphasig)</t>
  </si>
  <si>
    <t>darüber siedet der Inhalt beim Ausspeichern (Blatt 03)</t>
  </si>
  <si>
    <t>Strang tief zweiphasig unter (an der LCCS)</t>
  </si>
  <si>
    <t>DBI (Q-030) setzt für dieselbe Teufe 160 bar Mindestdruck (Blatt 04)</t>
  </si>
  <si>
    <t>Wasser im Ausspeichergas (Auslegungsfall)</t>
  </si>
  <si>
    <t>g/Nm³</t>
  </si>
  <si>
    <t>tief, Gemisch, gesättigt – H₂ nach Q-089: 0,47–1,38 g/Nm³ (Blatt 06)</t>
  </si>
  <si>
    <t>CO₂-Anteil im Ausspeichergas (Auslegungsfall, feucht)</t>
  </si>
  <si>
    <t>mol-%</t>
  </si>
  <si>
    <t>Eingang 95 % – Rest: N₂, Ar, CH₄, H₂O, H₂ … (Blatt 06)</t>
  </si>
  <si>
    <t>01 Stillstand – welcher Druck steht am Bohrlochkopf, wenn nichts strömt?</t>
  </si>
  <si>
    <t>Kaverne tief (LCCS 1200 m) und flach (LCCS 700 m) · reines CO₂ · Temperatur = Gebirgstemperatur · Code: 01_kavernen_tief_flach_stillstand.py</t>
  </si>
  <si>
    <t>← zur Übersicht</t>
  </si>
  <si>
    <t>WAS WIRD BERECHNET?  Der Druck im Bohrloch zwischen LCCS (letzte zementierte Rohrtour, kurz über dem Kavernendach) und Bohrlochkopf, wenn nichts strömt – für beide Kavernen und drei Füllstände nach Q-028 Fig. 3: voll, Grenzfall, leer.
WARUM?  Der Kopfdruck bei voller Kaverne ist der Zieldruck, den Pumpe oder Verdichter bei der Einspeicherung liefern müssen. Der Kopfdruck bei leerer Kaverne ist der niedrigste Druck, mit dem das Ausspeichern im Stillstand startet.
WIE?  Die CO₂-Säule drückt mit ihrem Gewicht: dp/dz = ρ(p,T)·g. Weil ρ selbst vom Druck abhängt, rechnet der Code in 600 kleinen Schritten von unten (bekannter Druck an der LCCS) nach oben, in jedem Schritt mit neuer Dichte aus CoolProp. Temperatur = Gebirgstemperatur T(z) = T₀ + grad T·z, weil das ruhende CO₂ die Temperatur des Gesteins annimmt.
GRENZFALL:  der Druck an der LCCS, bei dem der Kopf genau den kritischen Druck (73,8 bar) hat. Darüber bleibt das ganze Bohrloch dicht (überkritisch oder flüssig), darunter wechselt das CO₂ im oberen Bohrloch die Phase. In der flachen Kaverne gibt es ihn nicht – dort ist der Kopf in jedem Füllstand unterkritisch.
ERGEBNIS:  Tief und voll: 107,6 bar am Kopf (= Wert der Einspeicherung). Die Säule liefert also über 100 bar „gratis“. Flach und voll: nur 64,5 bar, weil die Säule kürzer ist.
NACHRECHNEN:  Ganz unten auf dem Blatt rechnet Excel die Säule der tiefen Kaverne selbst nach – in 50-m-Schritten mit den Dichten aus CoolProp. Der Kopfdruck stimmt bis auf wenige hundertstel bar mit dem Code überein.
WAS KANNST DU HIER MACHEN?  Teufen, Druckfenster und Gebirgstemperatur auf der Übersicht ändern: weiße Zellen rechnen sofort mit, graue werden rot und müssen mit 01_kavernen_tief_flach_stillstand.py neu gerechnet werden.</t>
  </si>
  <si>
    <t>Kavernenparameter</t>
  </si>
  <si>
    <t>tief</t>
  </si>
  <si>
    <t>flach</t>
  </si>
  <si>
    <t>Formel / Herkunft</t>
  </si>
  <si>
    <t>Teufe LCCS</t>
  </si>
  <si>
    <t>Annahme (Übersicht)</t>
  </si>
  <si>
    <t>Bezugsteufe des Kaverneninhalts</t>
  </si>
  <si>
    <t>z_LCCS + 205 m (Geometrie wie Q-028)</t>
  </si>
  <si>
    <t>Gebirgstemperatur an der LCCS</t>
  </si>
  <si>
    <t>Gebirgstemperatur Kaverneninhalt</t>
  </si>
  <si>
    <t>T = T₀ + grad T · z_Bezug</t>
  </si>
  <si>
    <t>Abstand zur kritischen Temperatur</t>
  </si>
  <si>
    <t>T_Kaverne − 30,98 °C: je größer, desto weniger Gefahr einer Flüssigphase</t>
  </si>
  <si>
    <t>Maximaldruck an der LCCS</t>
  </si>
  <si>
    <t>flach mit gleichem Gradienten wie tief</t>
  </si>
  <si>
    <t>Minimaldruck an der LCCS</t>
  </si>
  <si>
    <t>Gebirgsdruck an der LCCS</t>
  </si>
  <si>
    <t>p = ρ_Gebirge · g · z</t>
  </si>
  <si>
    <t>p_max im Verhältnis zum Gebirgsdruck</t>
  </si>
  <si>
    <t>beide Kavernen gleich ausgenutzt (≈ 81 %)</t>
  </si>
  <si>
    <t>darüber ist ruhendes CO₂ kälter als 31 °C</t>
  </si>
  <si>
    <t>Ergebnis: Gassäule im Stillstand (Code, 600 Schritte)</t>
  </si>
  <si>
    <t>Kaverne · Füllstand</t>
  </si>
  <si>
    <t>p an der LCCS [bar]</t>
  </si>
  <si>
    <t>p am Kopf [bar]</t>
  </si>
  <si>
    <t>Säulengewinn [bar]</t>
  </si>
  <si>
    <t>ρ am Kopf [kg/m³]</t>
  </si>
  <si>
    <t>ρ an der LCCS [kg/m³]</t>
  </si>
  <si>
    <t>Phase am Kopf (10 °C)</t>
  </si>
  <si>
    <t>Bedeutung</t>
  </si>
  <si>
    <t>tief · voll</t>
  </si>
  <si>
    <t>überkritisch, flüssigkeitsähnlich</t>
  </si>
  <si>
    <t>Zieldruck der Einspeicherung</t>
  </si>
  <si>
    <t>tief · Grenzfall</t>
  </si>
  <si>
    <t>flüssig</t>
  </si>
  <si>
    <t>darüber bleibt das ganze Bohrloch dicht</t>
  </si>
  <si>
    <t>tief · leer</t>
  </si>
  <si>
    <t>Nassdampf</t>
  </si>
  <si>
    <t>gasförmig</t>
  </si>
  <si>
    <t>oberes Bohrloch (0–236 m) auf der Siedelinie: Nassdampf</t>
  </si>
  <si>
    <t>flach · voll</t>
  </si>
  <si>
    <t>Kopf schon voll unterkritisch: Phasenwechsel im Bohrloch</t>
  </si>
  <si>
    <t>flach · leer</t>
  </si>
  <si>
    <t>ganze Säule gasförmig</t>
  </si>
  <si>
    <t>Diagramme – Darstellung nach Buzogany &amp; Kruck (2022), Fig. 3</t>
  </si>
  <si>
    <t>SO LIEST DU DIE DIAGRAMME:  Oben ist der Bohrlochkopf (0 m), unten die LCCS. Jede Linie ist eine ruhende Säule. Links: Der Druck nimmt nach unten zu – je steiler die Linie, desto leichter ist das CO₂. Bei „leer“ (gepunktet) ist das CO₂ gasförmig und leicht, deshalb wächst der Druck kaum. Rechts: Die Dichte nimmt nach unten ab, obwohl der Druck steigt – das Gestein wird wärmer, und die Temperatur gewinnt (Q-028: mögliche instabile Schichtung). Bei „tief leer“ fehlt oben ein Stück: dort liegt die Säule auf der Siedelinie (Nassdampf), die Dichte ist durch p und T allein nicht bestimmt.
ORANGE = FLACH:  Die flache Säule endet bei 700 m. Selbst voll liegt ihr Kopf (64,5 bar) unter dem kritischen Druck.</t>
  </si>
  <si>
    <t>So rechnet der Code die Säule – Nachrechnung in Excel (Kaverne tief, voll)</t>
  </si>
  <si>
    <t>Von unten nach oben: p(z) = p(z + Δz) − (ρ(z) + ρ(z + Δz))/2 · g · Δz / 10⁵. Die Dichten stammen aus dem Code (CoolProp), der Druck ist Excel-Formel.</t>
  </si>
  <si>
    <t>Teufe z [m]</t>
  </si>
  <si>
    <t>T(z) [°C]</t>
  </si>
  <si>
    <t>ρ(z) aus CoolProp [kg/m³]</t>
  </si>
  <si>
    <t>Δp zum Punkt darunter [bar]</t>
  </si>
  <si>
    <t>p(z) [bar]</t>
  </si>
  <si>
    <t>Kopfdruck Excel</t>
  </si>
  <si>
    <t>Kopfdruck Code (600 Schritte)</t>
  </si>
  <si>
    <t>Abweichung</t>
  </si>
  <si>
    <t>← wenige hundertstel bar: die grobe Excel-Rechnung bestätigt den Code</t>
  </si>
  <si>
    <t>02 Arbeitsgas &amp; Teufe – wie viel CO₂ lässt sich umschlagen, und welche Teufe ist günstig?</t>
  </si>
  <si>
    <t>Massenbilanz m = ρ(p,T)·V · reines CO₂ · Code: 02_arbeitsgas_teufe.py</t>
  </si>
  <si>
    <t>WAS WIRD BERECHNET?  Wie viel CO₂ die Kaverne enthält (TGV, voll), wie viel bei p_min als Kissengas drin bleibt (CGV) und wie viel man umschlagen kann: Arbeitsgas WGV = TGV − CGV. Dazu das Teufenfenster, in dem eine CO₂-Kaverne sinnvoll liegt.
WIE?  Massenbilanz wie DBI (Q-030 Kap. 1.3): m = ρ(p,T) · V. Nicht über das Druckverhältnis rechnen – nahe dem kritischen Punkt ändert sich ρ sehr ungleichmäßig mit p. Die Dichte gilt in der Bezugsteufe (Kaverneninhalt), dort ist der Druck um die Säule zwischen LCCS und Bezugsteufe höher als an der LCCS.
ZWEI GRENZFÄLLE:  langsam = isotherm: das Gebirge heizt den Inhalt nach, er bleibt auf Gebirgstemperatur → größtes Arbeitsgas. schnell = isentrop: keine Wärmezufuhr, der Inhalt kühlt beim Entspannen ab, wird dichter, und es bleibt mehr Kissengas drin → kleinstes Arbeitsgas. Der echte Wert hängt von der Rate ab (Blatt 03).
TEUFENFENSTER:  untere Grenze – das Gebirge muss in der Kaverne mindestens 3 K wärmer sein als T_krit, sonst bildet sich beim Abkühlen Flüssigkeit in der Kaverne (Q-028 Kap. 5, Q-030 Option 3). Obere Grenze – p_min muss unter p_krit liegen, sonst bleibt der Inhalt immer dicht und das Arbeitsgas liegt nur im flachen Teil der Dichtekurve (Q-028: „deep CO₂ caverns do not lead to a further increase of the storage content“).
ERGEBNIS:  Langsam schlagen beide Kavernen viel um (tief 77 %, flach 88 %). Schnell bleibt in der tiefen Kaverne fast alles drin (11 %), die flache wird zweiphasig. Beide liegen im Teufenfenster – die flache nur knapp über der Temperaturgrenze.
WAS KANNST DU HIER MACHEN?  Volumen ändern (Übersicht): Massen rechnen sofort mit, Anteile ändern sich nicht. Sicherheitsabstand T_marge ändern: das Teufenfenster rechnet sofort mit.</t>
  </si>
  <si>
    <t>Kontrolle der Stoffdaten gegen DBI (Q-030 Tab. 3)</t>
  </si>
  <si>
    <t>DBI-Option</t>
  </si>
  <si>
    <t>p [bar]</t>
  </si>
  <si>
    <t>T [°C]</t>
  </si>
  <si>
    <t>ρ DBI [kg/m³]</t>
  </si>
  <si>
    <t>ρ CoolProp [kg/m³]</t>
  </si>
  <si>
    <t>Option 2 (= tiefe Kaverne)</t>
  </si>
  <si>
    <t>Option 2 exakt; 84 °C / 33 °C: DBI hat T vermutlich gerundet</t>
  </si>
  <si>
    <t>Option 1</t>
  </si>
  <si>
    <t>Option 3</t>
  </si>
  <si>
    <t>Inhalt bei voller Kaverne (TGV)</t>
  </si>
  <si>
    <t>Volumen</t>
  </si>
  <si>
    <t>p_max an der LCCS</t>
  </si>
  <si>
    <t>Annahme</t>
  </si>
  <si>
    <t>Druck in der Bezugsteufe</t>
  </si>
  <si>
    <t>p_LCCS + Gewicht der Säule bis zur Bezugsteufe (Code)</t>
  </si>
  <si>
    <t>Übersicht</t>
  </si>
  <si>
    <t>Dichte voll</t>
  </si>
  <si>
    <t>CoolProp ρ(p, T)</t>
  </si>
  <si>
    <t>TGV = ρ · V</t>
  </si>
  <si>
    <t>t</t>
  </si>
  <si>
    <t>Masse = Dichte × Volumen, in Tonnen</t>
  </si>
  <si>
    <t>Kissengas und Arbeitsgas je Mindestdruck</t>
  </si>
  <si>
    <t>Kaverne: Variante</t>
  </si>
  <si>
    <t>p_min an der LCCS [bar]</t>
  </si>
  <si>
    <t>p Bezugsteufe [bar]</t>
  </si>
  <si>
    <t>ρ langsam [kg/m³]</t>
  </si>
  <si>
    <t>CGV langsam [t]</t>
  </si>
  <si>
    <t>WGV langsam [t]</t>
  </si>
  <si>
    <t>Anteil langsam</t>
  </si>
  <si>
    <t>ρ schnell [kg/m³]</t>
  </si>
  <si>
    <t>T schnell [°C]</t>
  </si>
  <si>
    <t>Phase schnell</t>
  </si>
  <si>
    <t>WGV schnell [t]</t>
  </si>
  <si>
    <t>Anteil schnell</t>
  </si>
  <si>
    <t>tief: geomechanisch</t>
  </si>
  <si>
    <t>einphasig</t>
  </si>
  <si>
    <t>tief: überkritisch</t>
  </si>
  <si>
    <t>tief: Bohrloch dicht</t>
  </si>
  <si>
    <t>flach: geomechanisch</t>
  </si>
  <si>
    <t>zweiphasig, q = 0,17</t>
  </si>
  <si>
    <t>flach: überkritisch</t>
  </si>
  <si>
    <t>Teufenfenster (Excel-Formeln)</t>
  </si>
  <si>
    <t>Formel / Bedeutung</t>
  </si>
  <si>
    <t>Bezugsteufe mindestens</t>
  </si>
  <si>
    <t>Gebirge ≥ T_krit + T_marge: keine Flüssigphase in der ruhenden Kaverne</t>
  </si>
  <si>
    <t>LCCS mindestens</t>
  </si>
  <si>
    <t>untere Grenze, auf die LCCS umgerechnet</t>
  </si>
  <si>
    <t>LCCS höchstens</t>
  </si>
  <si>
    <t>p_min = grad_pmin · z &lt; p_krit: Arbeitsgas reicht in den steilen Teil der Dichtekurve</t>
  </si>
  <si>
    <t>Kaverne tief im Fenster?</t>
  </si>
  <si>
    <t xml:space="preserve">   Abstand zur unteren / oberen Grenze</t>
  </si>
  <si>
    <t>tief liegt nahe der oberen Grenze</t>
  </si>
  <si>
    <t>Kaverne flach im Fenster?</t>
  </si>
  <si>
    <t>flach liegt nahe der unteren Grenze → beim schnellen Ausspeichern Flüssigphase (Blatt 03)</t>
  </si>
  <si>
    <t>Diagramme</t>
  </si>
  <si>
    <t>03 Ein- und Ausspeicherrate – was verträgt die Kaverne?</t>
  </si>
  <si>
    <t>Druckänderungsrate, Kavernenbilanz über einen Zyklus, Grenzrate · reines CO₂ · Code: 03_ein_ausspeicherrate.py</t>
  </si>
  <si>
    <t>WAS WIRD BERECHNET?  Welche Ein- und Ausspeicherrate die Kaverne verträgt, und was bei 50.000 und 100.000 Nm³/h mit Druck, Temperatur und Phase des Kaverneninhalts passiert.
GRENZE 1 – DRUCKÄNDERUNG:  Der Druck an der LCCS darf sich höchstens um 10 bar/d ändern (Gebirgsmechanik, Q-030; vorsichtig 6 bar/d nach Q-028). Wie viel Masse je bar herauskommt, sagt die Ableitung ∂ρ/∂p (Q-028 Fig. 5): ṁ_max = V · ∂ρ/∂p · (dp/dt)_max. Langsam gilt die isotherme Ableitung, schnell die isentrope (1/c², c = Schallgeschwindigkeit) – Excel rechnet beides unten selbst.
GRENZE 2 – PHASE IN DER KAVERNE:  Beim Ausspeichern entspannt der Inhalt und kühlt ab. Fällt er ins Zweiphasengebiet, siedet CO₂ in der Kaverne; der Druck hängt dann nur noch an der Temperatur und ist kein Maß mehr für den Inhalt (Q-028). „Grenzrate“ = höchste Rate, bei der der Inhalt bis p_min einphasig bleibt.
WIE (KAVERNENBILANZ)?  Der Code bilanziert Masse und innere Energie des Inhalts in Zeitschritten von 0,02 d: dm/dt = ṁ, dU/dt = ṁ·h + UA·(T_Gebirge − T). Aus Dichte (m/V) und innerer Energie (U/m) folgen mit CoolProp Druck, Temperatur und Phase. Ist die Druckänderung zu schnell, wird die Rate gekürzt. Zyklus wie Q-028: ausspeichern – 21,67 d Stillstand – einspeichern – 21,67 d Stillstand. Excel kann das nicht selbst rechnen (CoolProp nötig) – die Ergebnisse stehen grau, die Bilanzprüfung ist Formel.
VALIDIERUNG:  Der Code rechnet die Q-028-Simulation nach (Tabelle unten): Endzustand und Raten passen gut.
ERGEBNIS:  Tief: 100.000 Nm³/h gehen – der Inhalt bleibt einphasig, die Rate wird nur bei fast voller Kaverne kurz gekürzt. Flach: bis etwa 55.000 Nm³/h einphasig, bei 100.000 Nm³/h siedet der Inhalt nach knapp 13 Tagen.
WAS KANNST DU HIER MACHEN?  dp/dt, Volumen und Volumenströme auf der Übersicht ändern: Grenze 1 rechnet sofort mit. Die Kavernenbilanz muss mit 03_ein_ausspeicherrate.py neu gerechnet werden.</t>
  </si>
  <si>
    <t>Massenstrom (reines CO₂)</t>
  </si>
  <si>
    <t>50.000 Nm³/h</t>
  </si>
  <si>
    <t>100.000 Nm³/h</t>
  </si>
  <si>
    <t>Formel</t>
  </si>
  <si>
    <t>Normvolumenstrom</t>
  </si>
  <si>
    <t>Massenstrom</t>
  </si>
  <si>
    <t>kg/s</t>
  </si>
  <si>
    <t>ṁ = V_n · ρ_n / 3600</t>
  </si>
  <si>
    <t>Massenstrom pro Tag</t>
  </si>
  <si>
    <t>t/d</t>
  </si>
  <si>
    <t>× 86.400 s/d ÷ 1000 kg/t</t>
  </si>
  <si>
    <t>Grenze 1: zulässige Rate aus der Druckänderung</t>
  </si>
  <si>
    <t>ρ(p − 0,5 bar) [kg/m³]</t>
  </si>
  <si>
    <t>ρ(p + 0,5 bar) [kg/m³]</t>
  </si>
  <si>
    <t>∂ρ/∂p isotherm [kg/m³ je bar]</t>
  </si>
  <si>
    <t>Schall-geschwindigkeit c [m/s]</t>
  </si>
  <si>
    <t>∂ρ/∂p isentrop = 10⁵/c² [kg/m³ je bar]</t>
  </si>
  <si>
    <t>ṁ langsam, 10 bar/d [kg/s]</t>
  </si>
  <si>
    <t>ṁ schnell, 10 bar/d [kg/s]</t>
  </si>
  <si>
    <t>ṁ langsam, 6 bar/d [kg/s]</t>
  </si>
  <si>
    <t>100.000 Nm³/h möglich?</t>
  </si>
  <si>
    <t>Kaverne tief</t>
  </si>
  <si>
    <t>Kaverne flach</t>
  </si>
  <si>
    <t>Diagramm Grenze 1</t>
  </si>
  <si>
    <t>SO LIEST DU DAS DIAGRAMM:  Jede Kurve zeigt, wie viel kg/s man bei einem bestimmten Kavernendruck entnehmen darf, ohne die 10 bar/d zu überschreiten. Liegt die rote Linie (100.000 Nm³/h) über einer Kurve, muss die Rate dort gekürzt werden.
WAS MAN SIEHT:  Bei voller Kaverne (rechts) ist dichtes CO₂ kaum kompressibel – je bar kommt wenig Masse heraus, die zulässige Rate ist klein. Um 80 bar (Übergang gasförmig/überkritisch) ist CO₂ sehr kompressibel – dort sind sehr hohe Raten möglich (Q-028: „highest rates in the transition between supercritical and gaseous“). Gestrichelt (schnell) ist die Grenze immer kleiner, weil sich der Inhalt beim schnellen Entspannen zusätzlich abkühlt und der Druck schneller fällt.</t>
  </si>
  <si>
    <t>Validierung: Nachrechnung der Q-028-Simulation</t>
  </si>
  <si>
    <t>650.000 m³, LCCS 1150 m, 55 °C, Ausspeichern 135 → 70 bar mit der höchsten Rate bei 6 bar/d, UA = 546 kW/K</t>
  </si>
  <si>
    <t>Code</t>
  </si>
  <si>
    <t>Druck am Ende (Kavernenmitte)</t>
  </si>
  <si>
    <t>Temperatur am Ende</t>
  </si>
  <si>
    <t>kleinste Rate</t>
  </si>
  <si>
    <t>t/h</t>
  </si>
  <si>
    <t>Q-028 nennt die Raten nur ungefähr (Fig. 8: ca. 90.000–600.000 kg/h)</t>
  </si>
  <si>
    <t>größte Rate</t>
  </si>
  <si>
    <t>Kavernenbilanz: Ausspeichern im Zyklus (Code, 10 bar/d)</t>
  </si>
  <si>
    <t>Kaverne · Rate</t>
  </si>
  <si>
    <t>Rate [kg/s]</t>
  </si>
  <si>
    <t>Dauer Aus-speichern [d]</t>
  </si>
  <si>
    <t>T Start [°C]</t>
  </si>
  <si>
    <t>T tiefste [°C]</t>
  </si>
  <si>
    <t>Inhalt Start [t]</t>
  </si>
  <si>
    <t>Inhalt Ende [t]</t>
  </si>
  <si>
    <t>Arbeitsgas [t]</t>
  </si>
  <si>
    <t>Anteil</t>
  </si>
  <si>
    <t>Rate gekürzt (Zeitanteil)</t>
  </si>
  <si>
    <t>mittlere Rate [kg/s]</t>
  </si>
  <si>
    <t>Bilanz: Rate × Dauer [t]</t>
  </si>
  <si>
    <t>Kaverneninhalt</t>
  </si>
  <si>
    <t>tief · 50.000 Nm³/h</t>
  </si>
  <si>
    <t>tief · 100.000 Nm³/h</t>
  </si>
  <si>
    <t>flach · 50.000 Nm³/h</t>
  </si>
  <si>
    <t>flach · 100.000 Nm³/h</t>
  </si>
  <si>
    <t>zweiphasig ab Tag 12,7</t>
  </si>
  <si>
    <t>Spalte „Bilanz“ = mittlere Rate × Dauer – muss etwa dem Arbeitsgas entsprechen (Massenbilanz).</t>
  </si>
  <si>
    <t>Was danach passiert (Code)</t>
  </si>
  <si>
    <t>Stillstand: p Anfang [bar]</t>
  </si>
  <si>
    <t>Stillstand: p Ende [bar]</t>
  </si>
  <si>
    <t>Druckanstieg [bar]</t>
  </si>
  <si>
    <t>Einspeichern: Dauer [d]</t>
  </si>
  <si>
    <t>Einspeichern: T höchste [°C]</t>
  </si>
  <si>
    <t>Druckabfall [bar]</t>
  </si>
  <si>
    <t>Nach dem Ausspeichern heizt das Gebirge den kalten Inhalt nach → der Druck steigt im Stillstand. Nach dem Einspeichern kühlt der warme Inhalt ab → der Druck fällt, die Kaverne ist nicht mehr ganz voll.</t>
  </si>
  <si>
    <t>Grenzrate: höchste Ausspeicherrate, bei der der Inhalt einphasig bleibt (Code)</t>
  </si>
  <si>
    <t>Kaverne</t>
  </si>
  <si>
    <t>Grenzrate [kg/s]</t>
  </si>
  <si>
    <t>Grenzrate [Nm³/h]</t>
  </si>
  <si>
    <t>nicht bindend: auch 150 kg/s bleiben einphasig – begrenzend ist allein die Druckänderungsrate (Grenze 1)</t>
  </si>
  <si>
    <t>darüber kühlt der Inhalt so stark ab, dass er vor p_min ins Zweiphasengebiet fällt</t>
  </si>
  <si>
    <t>Diagramme Zyklus</t>
  </si>
  <si>
    <t>04 Bohrlochkopf – was kommt beim Ausspeichern oben an?</t>
  </si>
  <si>
    <t>Strömender Förderstrang (Schwere + Reibung, adiabat bzw. Gebirgstemperatur) · reines CO₂ · Code: 04_bohrlochkopf_ausspeicherung.py</t>
  </si>
  <si>
    <t>WAS WIRD BERECHNET?  Was beim Ausspeichern oben am Bohrlochkopf ankommt: Druck, Temperatur, Phase und Geschwindigkeit. Das ist der Startpunkt des Ausspeicherpfads (Drossel, Vorwärmer, Trocknung, ggf. Rückverdichtung).
WIE?  Für 14 Zeitpunkte jeder Ausspeicherung aus Blatt 03 rechnet der Code den Förderstrang von der LCCS nach oben: dp = −(ρ·g + f/D·ρ·v²/2)·dz – Schwere der Säule plus Reibung im 8 5/8"-Strang. Für die Temperatur zwei Grenzfälle: adiabat (schnell, kein Wärmeaustausch: h + g·z = konstant, das CO₂ kühlt beim Aufsteigen um g·z ab) und Gebirge (langsam: das CO₂ nimmt überall die Gesteinstemperatur an). Der echte Kopfzustand liegt dazwischen.
WARUM ZWEIPHASIG?  Beim Aufsteigen sinken Druck und Temperatur gleichzeitig. Kreuzt der Weg die Siedelinie, strömt oben ein Gas-Flüssig-Gemisch – das soll vermieden werden (Q-030 Kap. 1.1: Druckstöße; Q-028: Schwingungen, Druckspitzen). In der tiefen Kaverne passiert das unter etwa 153 bar an der LCCS – DBI hebt für dieselbe Teufe den Mindestdruck auf 160 bar an (Q-030).
FOLGEN FÜR OBEN:  Der Kopfdruck liegt fast immer unter 91 bar → für eine dichte Übergabe muss zurückverdichtet werden. Drosselt man auf 30 bar, endet das CO₂ zweiphasig bei −5,6 °C → vor der Drossel vorwärmen. v bleibt in der tiefen Kaverne unter 20 m/s.
EXCEL RECHNET SELBST:  Strangquerschnitt, Geschwindigkeit am Kopf v = ṁ/(ρ·A), die 20-m/s-Prüfung, die Übergabe-Entscheidung und die Abkühlung im adiabaten Strang. Druck, Temperatur und Dichte am Kopf kommen aus dem Code.
WAS KANNST DU HIER MACHEN?  Strangdurchmesser oder Übergabedruck ändern (Übersicht): Geschwindigkeit und Entscheidung rechnen sofort mit; für neue Kopfzustände 04_bohrlochkopf_ausspeicherung.py neu rechnen.</t>
  </si>
  <si>
    <t>Förderstrang</t>
  </si>
  <si>
    <t>Innendurchmesser</t>
  </si>
  <si>
    <t>Q-030: 8 5/8"</t>
  </si>
  <si>
    <t>Querschnitt</t>
  </si>
  <si>
    <t>Länge (LCCS bis Kopf)</t>
  </si>
  <si>
    <t>Enthalpieabnahme adiabat</t>
  </si>
  <si>
    <t>kJ/kg</t>
  </si>
  <si>
    <t>Δh = g·z: Hubarbeit, das CO₂ wird dabei kälter</t>
  </si>
  <si>
    <t>Q-030</t>
  </si>
  <si>
    <t>Kopfzustand beim Ausspeichern – schneller Grenzfall (adiabat) und langsamer Grenzfall (Gebirge)</t>
  </si>
  <si>
    <t>Zeit [d]</t>
  </si>
  <si>
    <t>T Kaverne [°C]</t>
  </si>
  <si>
    <t>p Kopf adiabat [bar]</t>
  </si>
  <si>
    <t>T Kopf adiabat [°C]</t>
  </si>
  <si>
    <t>ρ Kopf adiabat [kg/m³]</t>
  </si>
  <si>
    <t>v Kopf = ṁ/(ρ·A) [m/s]</t>
  </si>
  <si>
    <t>v ≤ 20 m/s?</t>
  </si>
  <si>
    <t>Phase am Kopf</t>
  </si>
  <si>
    <t>Strang zwei-phasig?</t>
  </si>
  <si>
    <t>Übergabe dicht (91 bar)</t>
  </si>
  <si>
    <t>T nach Drossel 30 bar [°C]</t>
  </si>
  <si>
    <t>p Kopf Gebirge [bar]</t>
  </si>
  <si>
    <t>T Kopf Gebirge [°C]</t>
  </si>
  <si>
    <t>Kaverne tief · 50.000 Nm³/h</t>
  </si>
  <si>
    <t>überkritisch</t>
  </si>
  <si>
    <t>nein</t>
  </si>
  <si>
    <t>zweiphasig, q = 0,16</t>
  </si>
  <si>
    <t>ja</t>
  </si>
  <si>
    <t>zweiphasig, q = 0,34</t>
  </si>
  <si>
    <t>zweiphasig, q = 0,44</t>
  </si>
  <si>
    <t>zweiphasig, q = 0,56</t>
  </si>
  <si>
    <t>zweiphasig, q = 0,68</t>
  </si>
  <si>
    <t>zweiphasig, q = 0,76</t>
  </si>
  <si>
    <t>zweiphasig, q = 0,82</t>
  </si>
  <si>
    <t>zweiphasig, q = 0,87</t>
  </si>
  <si>
    <t>zweiphasig, q = 0,91</t>
  </si>
  <si>
    <t>zweiphasig, q = 0,95</t>
  </si>
  <si>
    <t>Kaverne tief · 100.000 Nm³/h</t>
  </si>
  <si>
    <t>zweiphasig, q = 0,10</t>
  </si>
  <si>
    <t>zweiphasig, q = 0,36</t>
  </si>
  <si>
    <t>zweiphasig, q = 0,48</t>
  </si>
  <si>
    <t>zweiphasig, q = 0,71</t>
  </si>
  <si>
    <t>zweiphasig, q = 0,80</t>
  </si>
  <si>
    <t>zweiphasig, q = 0,83</t>
  </si>
  <si>
    <t>zweiphasig, q = 0,84</t>
  </si>
  <si>
    <t>zweiphasig, q = 0,85</t>
  </si>
  <si>
    <t>zweiphasig, q = 0,86</t>
  </si>
  <si>
    <t>zweiphasig, q = 0,88</t>
  </si>
  <si>
    <t>zweiphasig, q = 1,00</t>
  </si>
  <si>
    <t>Kaverne flach · 50.000 Nm³/h</t>
  </si>
  <si>
    <t>zweiphasig, q = 0,37</t>
  </si>
  <si>
    <t>zweiphasig, q = 0,99</t>
  </si>
  <si>
    <t>zweiphasig, q = 0,97</t>
  </si>
  <si>
    <t>zweiphasig, q = 0,96</t>
  </si>
  <si>
    <t>Kaverne flach · 100.000 Nm³/h</t>
  </si>
  <si>
    <t>zweiphasig, q = 0,90</t>
  </si>
  <si>
    <t>zweiphasig, q = 0,89</t>
  </si>
  <si>
    <t>„Phase am Kopf“ zweiphasig mit Dampfanteil q. Die Gebirgs-Grenzfälle sitzen am Kopf meist bei 45 bar / 10 °C = Siedelinie bei Gesteinstemperatur.</t>
  </si>
  <si>
    <t>Ab welchem Kavernendruck wird der Strang zweiphasig? (Code, Bisektion)</t>
  </si>
  <si>
    <t>Vergleich DBI (Q-030 Option 2)</t>
  </si>
  <si>
    <t>Unterschied [bar]</t>
  </si>
  <si>
    <t>DBI: Option 2 (1200 m) → Mindestdruck 160 bar, damit am Kopf keine Flüssigkeit entsteht</t>
  </si>
  <si>
    <t>Diagramm</t>
  </si>
  <si>
    <t>SO LIEST DU DAS DIAGRAMM:  Jeder Punkt ist ein Kopfzustand zu einem Zeitpunkt der Ausspeicherung. Ganz rechts oben steht der Anfang (volle Kaverne), dann wandern die Punkte nach links unten. Punkte auf der blauen Sättigungslinie bedeuten: am Kopf kommt ein Gas-Flüssig-Gemisch an.
WAS MAN SIEHT:  Nur am Anfang liegt der Kopf über der grünen 91-bar-Linie – danach reicht der Druck für eine dichte Übergabe nicht mehr. Für eine gasförmige Übergabe (30 bar) muss gedrosselt werden; weil die Punkte auf der Siedelinie sitzen, verdampft dabei Flüssigkeit, und es wird sehr kalt (−5,6 °C) → Vorwärmer vor der Drossel.</t>
  </si>
  <si>
    <t>05 Worst-Case-Gemisch gegenüber reinem CO₂</t>
  </si>
  <si>
    <t>95 % CO₂, 2,4 % N₂, 1 % Ar, 1 % CH₄, 0,5 % H₂, 0,1 % CO · Code: 05_gemisch_vs_rein.py</t>
  </si>
  <si>
    <t>WAS WIRD BERECHNET?  Dieselben Rechnungen wie in 01–04, jetzt mit dem Worst-Case-Gemisch der Einspeicherung und direkt neben reinem CO₂.
WARUM VERHÄLT SICH DAS GEMISCH ANDERS?  Reines CO₂ hat eine Siedelinie, die am kritischen Punkt (31,0 °C / 73,8 bar) endet. Das Gemisch hat stattdessen ein Zweiphasengebiet (Fläche), das bis 82,2 bar (Cricondenbar) und 28,1 °C (Cricondentherm) reicht. Die leichten Begleitstoffe (N₂, Ar, H₂, CH₄) machen das Gemisch weniger dicht und verschieben die Grenze: Flüssigkeit entsteht schon bei höherem Druck, aber erst bei tieferer Temperatur.
ERGEBNIS:  Das Gemisch ist in der Säule leichter → 7 bar mehr Kopfdruck bei voller tiefer Kaverne (114,9 statt 107,6 bar – derselbe Wert wie in der Einspeicherungs-Mappe). Es passt etwa 8–12 % weniger Masse in die Kaverne. Beim Ausspeichern reagiert es ähnlich wie reines CO₂: tief einphasig, flach bei 100.000 Nm³/h zweiphasig.
HINWEIS:  Im Zweiphasengebiet endet die Gemisch-Bilanz an der Phasengrenze (der schnelle Stoffwert-Aufruf ist dort nicht belastbar). Für die Auslegung reicht der Zeitpunkt, an dem die Grenze erreicht wird.
WAS KANNST DU HIER MACHEN?  Volumen ändern: Massen rechnen sofort mit. Neue Gemischwerte: 05_gemisch_vs_rein.py neu rechnen.</t>
  </si>
  <si>
    <t>Phasengrenzen</t>
  </si>
  <si>
    <t>Temperatur [°C]</t>
  </si>
  <si>
    <t>Druck [bar]</t>
  </si>
  <si>
    <t>reines CO₂: kritischer Punkt</t>
  </si>
  <si>
    <t>Ende der Siedelinie</t>
  </si>
  <si>
    <t>Gemisch: kritischer Punkt</t>
  </si>
  <si>
    <t>Blasen- und Taulinie treffen sich</t>
  </si>
  <si>
    <t>Gemisch: Cricondenbar</t>
  </si>
  <si>
    <t>höchster Druck des Zweiphasengebiets – darüber nie zweiphasig</t>
  </si>
  <si>
    <t>Gemisch: Cricondentherm</t>
  </si>
  <si>
    <t>höchste Temperatur des Zweiphasengebiets – darüber nie zweiphasig</t>
  </si>
  <si>
    <t>Vergleich der Kernzahlen</t>
  </si>
  <si>
    <t>Kaverne: Größe</t>
  </si>
  <si>
    <t>reines CO₂</t>
  </si>
  <si>
    <t>Gemisch</t>
  </si>
  <si>
    <t>Gemisch − rein</t>
  </si>
  <si>
    <t>relativ</t>
  </si>
  <si>
    <t>Kopfdruck voll (Stillstand)</t>
  </si>
  <si>
    <t>Kopfdruck leer (Stillstand)</t>
  </si>
  <si>
    <t>Inhalt voll (TGV = ρ·V)</t>
  </si>
  <si>
    <t>Dichte bei p_min, langsam</t>
  </si>
  <si>
    <t>Arbeitsgas langsam (WGV)</t>
  </si>
  <si>
    <t>Ratengrenze 10 bar/d bei 210 bar</t>
  </si>
  <si>
    <t>Ratengrenze 10 bar/d bei 140 bar</t>
  </si>
  <si>
    <t>Ratengrenze 10 bar/d bei 70 bar</t>
  </si>
  <si>
    <t>Ausspeichern 50.000 Nm³/h</t>
  </si>
  <si>
    <t>einphasig, T min 44,0 °C</t>
  </si>
  <si>
    <t>einphasig, T min 44,6 °C</t>
  </si>
  <si>
    <t>Ausspeichern 100.000 Nm³/h</t>
  </si>
  <si>
    <t>einphasig, T min 38,1 °C</t>
  </si>
  <si>
    <t>einphasig, T min 38,8 °C</t>
  </si>
  <si>
    <t>Ratengrenze 10 bar/d bei 122 bar</t>
  </si>
  <si>
    <t>Ratengrenze 10 bar/d bei 82 bar</t>
  </si>
  <si>
    <t>Ratengrenze 10 bar/d bei 41 bar</t>
  </si>
  <si>
    <t>einphasig, T min 30,0 °C</t>
  </si>
  <si>
    <t>einphasig, T min 30,7 °C</t>
  </si>
  <si>
    <t>zweiphasig nach 12,7 d</t>
  </si>
  <si>
    <t>zweiphasig nach 17,9 d</t>
  </si>
  <si>
    <t>06 Ausspeichergas – was nimmt das CO₂ in der Kaverne auf?</t>
  </si>
  <si>
    <t>Übertrag der H₂-Studie Q-089 auf CO₂ · Code: 06_zusammensetzung_nach_kaverne.py, ausspeichergas.py</t>
  </si>
  <si>
    <t>WAS WIRD BERECHNET?  Mit welcher Zusammensetzung das Gas die Kaverne verlässt – das ist der Startpunkt für den Ausspeicherpfad. Wir speichern mit wenig Verunreinigungen ein und bekommen mehr zurück; genau vorhersagen lässt sich das nicht. Deshalb klare Worst-Case-Annahmen, mit denen man weiterrechnen kann.
GRUNDLAGE:  Die Konzeptstudie Q-089 (UGS für DGMK 2024) hat für Wasserstoff in einer Uniper-Musterkaverne (frühere Erdgaskaverne, Diesel-Blanket aus der Solung, ölgeschmierte Kolbenverdichter) abgeschätzt, was das Gas in der Kaverne aufnimmt. Dieselben Quellen gelten für CO₂ – die Mengen ändern sich mit dem Stoff (Tabelle 1).
WASSER (WICHTIGSTER EINTRAG):  Das Gas nimmt Wasser aus der Restsole und den feuchten Wänden auf. Annahme: gesättigt. Dichtes CO₂ löst viel mehr Wasser als H₂ und als gasförmiges CO₂ (Modell Spycher et al. 2003). Steigt das Gas zum Kopf auf, kühlt es ab und der Druck sinkt – es kann weniger Wasser halten, freies Wasser fällt aus. Mit freiem Wasser bildet CO₂ unter etwa 10 °C Hydrat (feste Eis-ähnliche Verbindung) – Gefahr für Drossel und Leitungen.
CHEMIE:  CO₂ + H₂O ⇌ H₂CO₃ (Kohlensäure): freies Wasser ist sauer (pH ≈ 3–4) → Korrosion, deshalb trocknen. Mikroben brauchen einen Elektronendonator: im Gemisch liefert ihn H₂ (4 H₂ + CO₂ → CH₄ + 2 H₂O, Sulfatreduktion zu H₂S), in reinem CO₂ fehlt er. Saure Sole und hoher Salzgehalt hemmen die Mikroben zusätzlich.
EXCEL RECHNET SELBST:  Wassergehalt in g/Nm³, alle Einträge in ppm, die komplette Zusammensetzung (Molbilanz) und die Hydrat- und Wasserprüfung am Kopf. Aus dem Code kommen nur die Wassersättigung (Spycher) und Dichten (CoolProp).
WAS KANNST DU HIER MACHEN?  Auf der Übersicht Wasseraktivität, Fingervolumen, Blanket, Öl, H₂S oder CH₄ ändern – alles rechnet sofort mit. Auslegungsfall für den Ausspeicherpfad: tiefe Kaverne, Gemisch, 1. Zyklus (Spalte „tief Gemisch“).</t>
  </si>
  <si>
    <t>Tabelle 1: Übertrag der Einträge von H₂ (Q-089) auf CO₂</t>
  </si>
  <si>
    <t>Eintrag</t>
  </si>
  <si>
    <t>Ansatz bei H₂ (Q-089)</t>
  </si>
  <si>
    <t>Übertrag auf CO₂</t>
  </si>
  <si>
    <t>gilt</t>
  </si>
  <si>
    <t>Wasser</t>
  </si>
  <si>
    <t>Sättigung, voll 75 % (Sole), leer 100 %; 0,47–1,38 g/Nm³ (Abschn. 6.5)</t>
  </si>
  <si>
    <t>gesättigt über reinem Wasser, wasserreichster Zustand; Löslichkeit nach Spycher et al. (2003)</t>
  </si>
  <si>
    <t>immer</t>
  </si>
  <si>
    <t>Resterdgas (CH₄)</t>
  </si>
  <si>
    <t>Finger 1000–2000 m³ in 500.000 m³, homogen vermischt: +0,25–0,5 % (Abschn. 6.3)</t>
  </si>
  <si>
    <t>gleiches Volumenverhältnis; dichtes CO₂ hat je m³ ~2,5-mal so viele Mole wie H₂ → kleinerer Anteil</t>
  </si>
  <si>
    <t>1. Zyklus</t>
  </si>
  <si>
    <t>Diesel-Blanket</t>
  </si>
  <si>
    <t>Restblanket 0,08–1,76 m³; H₂ wird bei 162 kg gesättigt (Abschn. 6.1.2)</t>
  </si>
  <si>
    <t>dichtes CO₂ ist ein Lösungsmittel (Extraktion, Q-003 Kap. 8.2.2.1) → 1,76 m³ vollständig gelöst</t>
  </si>
  <si>
    <t>bis ausgetragen</t>
  </si>
  <si>
    <t>Verdichteröl</t>
  </si>
  <si>
    <t>0,135–0,26 kg je 100.000 Nm³ (Tab. 20)</t>
  </si>
  <si>
    <t>oberer Wert; nur mit Verdichtern (S2-Pfad)</t>
  </si>
  <si>
    <t>S2</t>
  </si>
  <si>
    <t>H₂S (Mikroben)</t>
  </si>
  <si>
    <t>10 ppm angenommen (Abschn. 6.4.2)</t>
  </si>
  <si>
    <t>übernommen; Q-030 nennt 10 ppm als zulässig</t>
  </si>
  <si>
    <t>CH₄ (Mikroben)</t>
  </si>
  <si>
    <t>20–50 ppm (Abschn. 6.4.3)</t>
  </si>
  <si>
    <t>nur Gemisch, verbraucht H₂ (4 : 1); reines CO₂ hat keinen Wasserstoff</t>
  </si>
  <si>
    <t>CO₂ in Restsole</t>
  </si>
  <si>
    <t>eigene Abschätzung (1 % von V, Spycher als obere Schranke): Zusammensetzung praktisch unverändert</t>
  </si>
  <si>
    <t>Größenordnung</t>
  </si>
  <si>
    <t>Wasser im Ausspeichergas</t>
  </si>
  <si>
    <t>Fall</t>
  </si>
  <si>
    <t>p voll [bar]</t>
  </si>
  <si>
    <t>T voll [°C]</t>
  </si>
  <si>
    <t>Sättigung voll [ppm]</t>
  </si>
  <si>
    <t>p leer [bar]</t>
  </si>
  <si>
    <t>T leer [°C]</t>
  </si>
  <si>
    <t>Sättigung leer [ppm]</t>
  </si>
  <si>
    <t>Auslegung y [ppm]</t>
  </si>
  <si>
    <t>Wasser [g/Nm³]</t>
  </si>
  <si>
    <t>Vergleich Q-089 [ppm]</t>
  </si>
  <si>
    <t>Vergleich Q-089 [g/Nm³]</t>
  </si>
  <si>
    <t>tief rein</t>
  </si>
  <si>
    <t>tief Gemisch</t>
  </si>
  <si>
    <t>flach rein</t>
  </si>
  <si>
    <t>flach Gemisch</t>
  </si>
  <si>
    <t>Sättigung über reinem Wasser aus dem Code (Spycher et al. 2003; „leer“ = Kavernenzustand am Ende des Ausspeicherns, 100.000 Nm³/h). g/Nm³ = y/(1−y) · N_norm · M_H₂O. Zum Vergleich H₂ (Q-089): 0,47–1,38 g/Nm³.</t>
  </si>
  <si>
    <t>Einträge in der Kaverne (Molbilanz)</t>
  </si>
  <si>
    <t>Inhalt voll (TGV)</t>
  </si>
  <si>
    <t>aus Blatt 02 (rein) bzw. 05 (Gemisch)</t>
  </si>
  <si>
    <t>Molare Masse</t>
  </si>
  <si>
    <t>CoolProp (Übersicht)</t>
  </si>
  <si>
    <t>Molmenge im Speicher</t>
  </si>
  <si>
    <t>kmol</t>
  </si>
  <si>
    <t>n = TGV · 1000 / M</t>
  </si>
  <si>
    <t>Fingervolumen mit Resterdgas</t>
  </si>
  <si>
    <t>Anteil · V (Q-089 Abschn. 6.3)</t>
  </si>
  <si>
    <t>Dichte CH₄ im Finger (bei p_max)</t>
  </si>
  <si>
    <t>CoolProp, Methan bei Druck und Temperatur der vollen Kaverne</t>
  </si>
  <si>
    <t>Resterdgas CH₄</t>
  </si>
  <si>
    <t>n = V_Finger · ρ_CH₄ / M_CH₄</t>
  </si>
  <si>
    <t>→ Resterdgas CH₄</t>
  </si>
  <si>
    <t>nur 1. Zyklus</t>
  </si>
  <si>
    <t>Diesel aus dem Restblanket</t>
  </si>
  <si>
    <t>n = V · ρ / M (vollständig gelöst)</t>
  </si>
  <si>
    <t>→ Diesel</t>
  </si>
  <si>
    <t>→ Verdichteröl</t>
  </si>
  <si>
    <t>kg je 100.000 Nm³ → g/Nm³ → mol/Nm³ → Anteil</t>
  </si>
  <si>
    <t>→ H₂S (Mikroben)</t>
  </si>
  <si>
    <t>→ CH₄ (Mikroben)</t>
  </si>
  <si>
    <t>nur Gemisch (braucht H₂)</t>
  </si>
  <si>
    <t>H₂ verbraucht</t>
  </si>
  <si>
    <t>4 H₂ + CO₂ → CH₄ + 2 H₂O</t>
  </si>
  <si>
    <t>→ Wasser (Auslegung)</t>
  </si>
  <si>
    <t>Tabelle oben</t>
  </si>
  <si>
    <t>CO₂ in Restsole (Abschätzung)</t>
  </si>
  <si>
    <t>Code: 1 % von V Restsole, Löslichkeit reines Wasser (obere Schranke)</t>
  </si>
  <si>
    <t>→ Anteil am Inhalt</t>
  </si>
  <si>
    <t>vernachlässigbar</t>
  </si>
  <si>
    <t>Einträge auf einen Blick [ppm] (für das Diagramm)</t>
  </si>
  <si>
    <t>Diesel</t>
  </si>
  <si>
    <t>H₂S</t>
  </si>
  <si>
    <t>CH₄ Mikroben</t>
  </si>
  <si>
    <t>Zusammensetzung des Ausspeichergases (Molbilanz in Excel)</t>
  </si>
  <si>
    <t>Molmenge je Komponente = Eingangsanteil · n + Einträge. Anteil feucht = n_i / Σn · (1 − y_H₂O); Wasser = y_H₂O.</t>
  </si>
  <si>
    <t>Komponente</t>
  </si>
  <si>
    <t>Eingang rein</t>
  </si>
  <si>
    <t>Eingang Gemisch</t>
  </si>
  <si>
    <t>n tief rein [kmol]</t>
  </si>
  <si>
    <t>n tief Gemisch [kmol]</t>
  </si>
  <si>
    <t>n flach rein [kmol]</t>
  </si>
  <si>
    <t>n flach Gemisch [kmol]</t>
  </si>
  <si>
    <t>tief rein [mol-%]</t>
  </si>
  <si>
    <t>tief Gemisch [mol-%]</t>
  </si>
  <si>
    <t>flach rein [mol-%]</t>
  </si>
  <si>
    <t>flach Gemisch [mol-%]</t>
  </si>
  <si>
    <t>CO₂</t>
  </si>
  <si>
    <t>N₂</t>
  </si>
  <si>
    <t>Ar</t>
  </si>
  <si>
    <t>CH₄</t>
  </si>
  <si>
    <t>H₂</t>
  </si>
  <si>
    <t>CO</t>
  </si>
  <si>
    <t>Diesel (C10–C20)</t>
  </si>
  <si>
    <t>Summe trocken</t>
  </si>
  <si>
    <t>H₂O</t>
  </si>
  <si>
    <t>Summe feucht (muss 100 % sein)</t>
  </si>
  <si>
    <t>Kontrolle: CO₂-Anteil tief Gemisch aus dem Code</t>
  </si>
  <si>
    <t>← Excel-Molbilanz = Code</t>
  </si>
  <si>
    <t>Bohrlochkopf: fällt freies Wasser aus, droht Hydrat? (Kaverne tief, reines CO₂, 100.000 Nm³/h)</t>
  </si>
  <si>
    <t>Hydratgrenze (Näherung zwischen den Quadrupelpunkten, Sloan &amp; Koh 2008 – noch nicht in der Quellenmatrix):</t>
  </si>
  <si>
    <t>Q1: T / p</t>
  </si>
  <si>
    <t>Q2: T / p</t>
  </si>
  <si>
    <t>Kopfzustand</t>
  </si>
  <si>
    <t>Sättigung bei p, T [ppm]</t>
  </si>
  <si>
    <t>Wasser im Gas [ppm]</t>
  </si>
  <si>
    <t>freies Wasser?</t>
  </si>
  <si>
    <t>Hydrat ab T &lt; [°C]</t>
  </si>
  <si>
    <t>Hydratgefahr?</t>
  </si>
  <si>
    <t>Spycher gültig (≥ 12 °C)?</t>
  </si>
  <si>
    <t>Punkt 1, adiabat</t>
  </si>
  <si>
    <t>Punkt 1, Gebirge</t>
  </si>
  <si>
    <t>Punkt 2, adiabat</t>
  </si>
  <si>
    <t>Punkt 2, Gebirge</t>
  </si>
  <si>
    <t>Punkt 3, adiabat</t>
  </si>
  <si>
    <t>Punkt 3, Gebirge</t>
  </si>
  <si>
    <t>Punkt 4, adiabat</t>
  </si>
  <si>
    <t>Punkt 4, Gebirge</t>
  </si>
  <si>
    <t>Punkt 5, adiabat</t>
  </si>
  <si>
    <t>Punkt 5, Gebirge</t>
  </si>
  <si>
    <t>Punkt 6, adiabat</t>
  </si>
  <si>
    <t>Punkt 6, Gebirge</t>
  </si>
  <si>
    <t>Punkt 7, adiabat</t>
  </si>
  <si>
    <t>Punkt 7, Gebirge</t>
  </si>
  <si>
    <t>Punkt 8, adiabat</t>
  </si>
  <si>
    <t>Punkt 8, Gebirge</t>
  </si>
  <si>
    <t>Punkt 9, adiabat</t>
  </si>
  <si>
    <t>Punkt 9, Gebirge</t>
  </si>
  <si>
    <t>Punkt 10, adiabat</t>
  </si>
  <si>
    <t>Punkt 10, Gebirge</t>
  </si>
  <si>
    <t>Punkt 11, adiabat</t>
  </si>
  <si>
    <t>Punkt 11, Gebirge</t>
  </si>
  <si>
    <t>Punkt 12, adiabat</t>
  </si>
  <si>
    <t>Punkt 12, Gebirge</t>
  </si>
  <si>
    <t>Punkt 13, adiabat</t>
  </si>
  <si>
    <t>Punkt 13, Gebirge</t>
  </si>
  <si>
    <t>Punkt 14, adiabat</t>
  </si>
  <si>
    <t>Punkt 14, Gebirge</t>
  </si>
  <si>
    <t>nach Drossel auf 30 bar</t>
  </si>
  <si>
    <t>extrapoliert</t>
  </si>
  <si>
    <t>Am Kopf fällt in allen Fällen freies Wasser aus → Abscheider und Trocknung. Nach der Drossel ist es kälter als die Hydratgrenze → vor der Drossel vorwärmen.</t>
  </si>
  <si>
    <t>Quellen</t>
  </si>
  <si>
    <t>Herkunft der Annahmen und Stoffdaten dieser Mappe (IDs wie in der Quellen- und Wissensmatrix)</t>
  </si>
  <si>
    <t>ID</t>
  </si>
  <si>
    <t>Quelle</t>
  </si>
  <si>
    <t>Verwendet für</t>
  </si>
  <si>
    <t>Q-003</t>
  </si>
  <si>
    <t>Minkley et al. (2022): ESsCO2 – Energiespeicherung mit superkritischem CO₂ in Salzkavernen, Abschlussbericht</t>
  </si>
  <si>
    <t>Gebirgsdichte (Kap. 4.2), Rohrreibung 0,015–0,017 (Kap. 6.2), sCO₂ als Lösungsmittel und Wassergehalt 0,1–5 g/Nm³ (Kap. 8.2.2.1), große Kaverne in 800 m</t>
  </si>
  <si>
    <t>Q-019</t>
  </si>
  <si>
    <t>DBI (2026): Projektskizze DGMK 915 – Bewertung bestehender Untertagespeicher für die CO₂-Zwischenspeicherung</t>
  </si>
  <si>
    <t>Gliederung flache/mittlere/tiefe Kaverne, Einträge aus Kavernenhistorie, Hydratbildung bei der Ausspeicherung</t>
  </si>
  <si>
    <t>Buzogany, R.; Kruck, O. (2022): CO₂ – Storage in Salt Caverns, Thermodynamic Analysis and Challenges. SMRI Fall 2022</t>
  </si>
  <si>
    <t>Kavernengeometrie und Volumen 650.000 m³, Gebirge 10 °C + 0,03 K/m, 6 bar/d, Einspeisetemperatur 30 °C, Zyklus, Validierung</t>
  </si>
  <si>
    <t>Q-029</t>
  </si>
  <si>
    <t>DBI für Uniper: CCUS-P2 – CO₂-Storage for CCU/S, Phase 2 – Detailing Study, Final Report V08</t>
  </si>
  <si>
    <t>Einordnung, Option 1 (1400 m)</t>
  </si>
  <si>
    <t>DBI für Uniper: CCUS-P1 – CO₂-Storage for CCU/S, Phase 1 – Initial Concept Study, Final Report</t>
  </si>
  <si>
    <t>Kavernen Option 2 / 3 (Teufen, Druckfenster), 10 bar/d, 20 m/s, 8 5/8"-Strang, 60.000 Nm³/h, Mindestdruck 160 bar, Dichten zur Kontrolle, H₂S 10 ppm</t>
  </si>
  <si>
    <t>Q-031</t>
  </si>
  <si>
    <t>DBI: CO₂-Storage for CCUS – Final Presentation Phase 1</t>
  </si>
  <si>
    <t>Kolbenverdichter empfohlen</t>
  </si>
  <si>
    <t>Q-089</t>
  </si>
  <si>
    <t>UGS für DGMK (2024): Konzeptstudie zu Reinheitsanforderungen H₂-Netz</t>
  </si>
  <si>
    <t>Verunreinigungen in der Kaverne: Wasser, Resterdgas, Blanket, Verdichteröl, Mikrobiologie</t>
  </si>
  <si>
    <t>neu</t>
  </si>
  <si>
    <t>Spycher, N.; Pruess, K.; Ennis-King, J. (2003): CO₂-H₂O mixtures in the geological sequestration of CO₂. I. Assessment and calculation of mutual solubilities from 12 to 100 °C and up to 600 bar. Geochim. Cosmochim. Acta 67 (16), 3015–3031</t>
  </si>
  <si>
    <t>NOCH IN DIE QUELLENMATRIX AUFNEHMEN – Wassersättigung von CO₂, CO₂-Löslichkeit in Wasser</t>
  </si>
  <si>
    <t>Sloan, E. D.; Koh, C. A. (2008): Clathrate Hydrates of Natural Gases, 3. Aufl., CRC Press</t>
  </si>
  <si>
    <t>NOCH IN DIE QUELLENMATRIX AUFNEHMEN – Quadrupelpunkte der CO₂-Hydratlinie (Näherung)</t>
  </si>
  <si>
    <t>C:\PythonProjekte\Masterarbeit\Kaverne (01–06, kaverne_bausteine.py, ausspeichergas.py), Dokumentation_Kaverne.docx</t>
  </si>
  <si>
    <t>alle grauen Werte dieser Mappe</t>
  </si>
  <si>
    <t>Diagrammdaten</t>
  </si>
  <si>
    <t>Hilfstabellen für die Diagramme (CoolProp, fest – nicht ändern)</t>
  </si>
  <si>
    <t>Gassäulen tief (Stillstand)</t>
  </si>
  <si>
    <t>Gassäulen flach (Stillstand)</t>
  </si>
  <si>
    <t>Dichte über Druck bei Gebirgstemperatur</t>
  </si>
  <si>
    <t>Zyklus tief, 50.000 Nm³/h</t>
  </si>
  <si>
    <t>Zyklus tief, 100.000 Nm³/h</t>
  </si>
  <si>
    <t>Zyklus flach, 50.000 Nm³/h</t>
  </si>
  <si>
    <t>Zyklus flach, 100.000 Nm³/h</t>
  </si>
  <si>
    <t>Sättigungslinie CO₂</t>
  </si>
  <si>
    <t>Zweiphasengebiet Gemisch</t>
  </si>
  <si>
    <t>Pfad tief rein 100k</t>
  </si>
  <si>
    <t>Pfad tief gem 100k</t>
  </si>
  <si>
    <t>Pfad flach rein 100k</t>
  </si>
  <si>
    <t>Pfad flach gem 100k</t>
  </si>
  <si>
    <t>Wassersättigung (Spycher 2003)</t>
  </si>
  <si>
    <t>Hilfslinien (Formeln)</t>
  </si>
  <si>
    <t>z [m]</t>
  </si>
  <si>
    <t>p voll</t>
  </si>
  <si>
    <t>p Grenzfall</t>
  </si>
  <si>
    <t>p leer</t>
  </si>
  <si>
    <t>ρ voll</t>
  </si>
  <si>
    <t>ρ Grenzfall</t>
  </si>
  <si>
    <t>ρ leer</t>
  </si>
  <si>
    <t>ρ tief</t>
  </si>
  <si>
    <t>ρ tief Fenster</t>
  </si>
  <si>
    <t>ρ flach</t>
  </si>
  <si>
    <t>ρ flach Fenster</t>
  </si>
  <si>
    <t>t [d]</t>
  </si>
  <si>
    <t>p LCCS</t>
  </si>
  <si>
    <t>T Kaverne</t>
  </si>
  <si>
    <t>Inhalt [kt]</t>
  </si>
  <si>
    <t>p Mitte</t>
  </si>
  <si>
    <t>12 °C</t>
  </si>
  <si>
    <t>20 °C</t>
  </si>
  <si>
    <t>31 °C</t>
  </si>
  <si>
    <t>40 °C</t>
  </si>
  <si>
    <t>50 °C</t>
  </si>
  <si>
    <t>x Rate</t>
  </si>
  <si>
    <t>x Übergabe</t>
  </si>
  <si>
    <t>91 bar</t>
  </si>
  <si>
    <t>30 bar</t>
  </si>
  <si>
    <t>DIAGRAMME:  Links: Wie dicht CO₂ bei Gebirgstemperatur ist. Die dicken Abschnitte sind die Betriebsfenster (p_min bis p_max). Arbeitsgas ist der Höhenunterschied zwischen dem oberen und unteren Ende des dicken Abschnitts. Die Kurven sind nur dort steil, wo CO₂ von gasförmig nach überkritisch wechselt (um 74–100 bar) – genau dort bringt jedes bar Druck am meisten Masse. Die flache Kaverne ist kälter, ihre Kurve springt fast senkrecht: viel Arbeitsgas, aber ganz nah am Phasenwechsel.
RECHTS:  grün = langsam ausspeichern, blau = schnell. Der Abstand zeigt, wie stark die Rate über das nutzbare Arbeitsgas entscheidet. Q-028 findet in seiner Vollsimulation 22–32 %.</t>
  </si>
  <si>
    <t>Massenstrom im Jahr</t>
  </si>
  <si>
    <t>DIAGRAMME:  Jede Linie ist ein Zyklus: erst fällt der Druck (Ausspeichern), dann folgt ein flaches Stück (Stillstand), dann steigt er (Einspeichern), dann wieder Stillstand. Durchgezogen = 100.000 Nm³/h, gepunktet = 50.000 Nm³/h – der langsamere Zyklus dauert entsprechend länger.
TEMPERATUR:  Beim Ausspeichern kühlt der Inhalt ab (Entspannung), im Stillstand heizt ihn das Gebirge wieder auf. Beim Einspeichern wird er durch die Verdichtung in der Kaverne wärmer. Fällt die orange Linie (flach) unter 31 °C, während der Druck unter 74 bar liegt, siedet CO₂ in der Kaverne – der Druck bleibt dann eine Weile fast konstant (Plateau).</t>
  </si>
  <si>
    <t>DIAGRAMM:  Jede Linie ist der Weg des Kaverneninhalts beim Ausspeichern – von rechts oben (voll, warm) nach links unten (leer, abgekühlt). Blau: Siedelinie von reinem CO₂. Rot: Grenze des Zweiphasengebiets des Gemischs.
WAS MAN SIEHT:  Berührt ein Weg seine Grenze, beginnt in der Kaverne das Sieden. Die tiefe Kaverne (durchgezogen) bleibt mit beiden Stoffen rechts davon – einphasig. Die flache Kaverne (gestrichelt) läuft in die Grenze: reines CO₂ trifft die Siedelinie, das Gemisch schon früher und bei höherem Druck die rote Fläche.</t>
  </si>
  <si>
    <t>DIAGRAMME:  Links: Wie viel Wasser CO₂ höchstens halten kann (je Linie eine Temperatur). Im Gas (unter ~60 bar) sinkt die Sättigung mit dem Druck, im dichten CO₂ steigt sie wieder – das Minimum liegt am Phasenwechsel (der Sprung bei 12 °C und 20 °C ist das Sieden). Die roten Punkte sind die Kavernenzustände: voll, dicht und warm – viel Wasser. Am Kopf ist es kälter und der Druck niedriger → die Sättigung liegt tiefer, der Überschuss fällt als freies Wasser aus.
RECHTS:  Einträge in ppm, logarithmisch. Wasser ist mit Abstand der größte Eintrag, danach Resterdgas (nur im 1. Zyklus); Diesel und Öl sind Spuren (unter 2 ppm) – für den Kohlenwasserstoff-Taupunkt trotzdem wichtig (Q-089).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</si>
</sst>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
    <numFmt numFmtId="166" formatCode="0.0000"/>
    <numFmt numFmtId="167" formatCode="0.0%"/>
    <numFmt numFmtId="168" formatCode="\+0.0;\-0.0"/>
    <numFmt numFmtId="169" formatCode="\+0.00;\-0.00"/>
    <numFmt numFmtId="170" formatCode="\+0.00%;\-0.00%"/>
    <numFmt numFmtId="171" formatCode="\+0;\-0"/>
    <numFmt numFmtId="172" formatCode="\+0.0%;\-0.0%"/>
    <numFmt numFmtId="173" formatCode="\+0%;\-0%"/>
    <numFmt numFmtId="174" formatCode="0.0000%"/>
    <numFmt numFmtId="175" formatCode="0.000%"/>
    <numFmt numFmtId="176" formatCode="\+0.0000%;\-0.0000%"/>
  </numFmts>
  <fonts count="20" x14ac:knownFonts="1">
    <font>
      <sz val="11"/>
      <color theme="1"/>
      <name val="Calibri"/>
      <family val="2"/>
      <scheme val="minor"/>
    </font>
    <font>
      <b/>
      <sz val="16"/>
      <color rgb="FF00304F"/>
      <name val="Calibri"/>
    </font>
    <font>
      <sz val="10"/>
      <color rgb="FF595959"/>
      <name val="Calibri"/>
    </font>
    <font>
      <b/>
      <sz val="10"/>
      <color rgb="FF0476D9"/>
      <name val="Calibri"/>
    </font>
    <font>
      <b/>
      <sz val="11"/>
      <color rgb="FF00304F"/>
      <name val="Calibri"/>
    </font>
    <font>
      <sz val="10"/>
      <name val="Calibri"/>
    </font>
    <font>
      <b/>
      <sz val="10"/>
      <color rgb="FF0000FF"/>
      <name val="Calibri"/>
    </font>
    <font>
      <sz val="10"/>
      <color rgb="FF000000"/>
      <name val="Calibri"/>
    </font>
    <font>
      <sz val="10"/>
      <color rgb="FF404040"/>
      <name val="Calibri"/>
    </font>
    <font>
      <b/>
      <sz val="10"/>
      <color rgb="FF000000"/>
      <name val="Calibri"/>
    </font>
    <font>
      <sz val="11"/>
      <color rgb="FF9C0006"/>
      <name val="Calibri"/>
    </font>
    <font>
      <b/>
      <sz val="12"/>
      <color rgb="FFFFFFFF"/>
      <name val="Calibri"/>
    </font>
    <font>
      <b/>
      <sz val="10"/>
      <color rgb="FF00304F"/>
      <name val="Calibri"/>
    </font>
    <font>
      <i/>
      <sz val="10"/>
      <color rgb="FF595959"/>
      <name val="Calibri"/>
    </font>
    <font>
      <sz val="9"/>
      <color rgb="FF595959"/>
      <name val="Calibri"/>
    </font>
    <font>
      <b/>
      <sz val="10"/>
      <color rgb="FFFFFFFF"/>
      <name val="Calibri"/>
    </font>
    <font>
      <sz val="10"/>
      <color rgb="FFFFFFFF"/>
      <name val="Calibri"/>
    </font>
    <font>
      <sz val="9"/>
      <color rgb="FF404040"/>
      <name val="Calibri"/>
    </font>
    <font>
      <b/>
      <sz val="10"/>
      <name val="Calibri"/>
    </font>
    <font>
      <b/>
      <sz val="10"/>
      <color rgb="FFCA220E"/>
      <name val="Calibri"/>
    </font>
  </fonts>
  <fills count="13">
    <fill>
      <patternFill patternType="none"/>
    </fill>
    <fill>
      <patternFill patternType="gray125"/>
    </fill>
    <fill>
      <patternFill patternType="solid">
        <fgColor rgb="FFFFF2CC"/>
      </patternFill>
    </fill>
    <fill>
      <patternFill patternType="solid">
        <fgColor rgb="FFE7E6E6"/>
      </patternFill>
    </fill>
    <fill>
      <patternFill patternType="solid">
        <fgColor rgb="FFFFFFFF"/>
      </patternFill>
    </fill>
    <fill>
      <patternFill patternType="solid">
        <fgColor rgb="FFE2EFDA"/>
      </patternFill>
    </fill>
    <fill>
      <patternFill patternType="solid">
        <fgColor rgb="FFF8CBAD"/>
      </patternFill>
    </fill>
    <fill>
      <patternFill patternType="solid">
        <fgColor rgb="FF1F4E79"/>
      </patternFill>
    </fill>
    <fill>
      <patternFill patternType="solid">
        <fgColor rgb="FF00304F"/>
      </patternFill>
    </fill>
    <fill>
      <patternFill patternType="solid">
        <fgColor rgb="FFEAF1DD"/>
      </patternFill>
    </fill>
    <fill>
      <patternFill patternType="solid">
        <fgColor rgb="FFDDE7F0"/>
      </patternFill>
    </fill>
    <fill>
      <patternFill patternType="solid">
        <fgColor rgb="FFFCE4D6"/>
      </patternFill>
    </fill>
    <fill>
      <patternFill patternType="solid">
        <fgColor rgb="FFFFF7EE"/>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304F"/>
      </left>
      <right style="thin">
        <color rgb="FF00304F"/>
      </right>
      <top style="thin">
        <color rgb="FF00304F"/>
      </top>
      <bottom style="thin">
        <color rgb="FF00304F"/>
      </bottom>
      <diagonal/>
    </border>
    <border>
      <left style="thin">
        <color rgb="FFEE7203"/>
      </left>
      <right style="thin">
        <color rgb="FFEE7203"/>
      </right>
      <top style="thin">
        <color rgb="FFEE7203"/>
      </top>
      <bottom style="thin">
        <color rgb="FFEE7203"/>
      </bottom>
      <diagonal/>
    </border>
  </borders>
  <cellStyleXfs count="1">
    <xf numFmtId="0" fontId="0" fillId="0" borderId="0"/>
  </cellStyleXfs>
  <cellXfs count="93">
    <xf numFmtId="0" fontId="0" fillId="0" borderId="0" xfId="0"/>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6" fillId="2" borderId="1" xfId="0" applyFont="1" applyFill="1" applyBorder="1" applyAlignment="1">
      <alignment vertical="center"/>
    </xf>
    <xf numFmtId="0" fontId="8" fillId="3" borderId="1" xfId="0" applyFont="1" applyFill="1" applyBorder="1" applyAlignment="1">
      <alignment vertical="center"/>
    </xf>
    <xf numFmtId="0" fontId="7" fillId="4" borderId="1" xfId="0" applyFont="1" applyFill="1" applyBorder="1" applyAlignment="1">
      <alignment vertical="center"/>
    </xf>
    <xf numFmtId="0" fontId="9" fillId="5" borderId="1" xfId="0" applyFont="1" applyFill="1" applyBorder="1" applyAlignment="1">
      <alignment vertical="center"/>
    </xf>
    <xf numFmtId="0" fontId="10" fillId="6" borderId="1" xfId="0" applyFont="1" applyFill="1" applyBorder="1" applyAlignment="1">
      <alignment vertical="center"/>
    </xf>
    <xf numFmtId="0" fontId="3" fillId="0" borderId="0" xfId="0" applyFont="1" applyAlignment="1">
      <alignment vertical="center"/>
    </xf>
    <xf numFmtId="0" fontId="1" fillId="0" borderId="0" xfId="0" applyFont="1" applyAlignment="1">
      <alignment horizontal="center" vertical="center"/>
    </xf>
    <xf numFmtId="0" fontId="13" fillId="0" borderId="0" xfId="0" applyFont="1" applyAlignment="1">
      <alignment vertical="center"/>
    </xf>
    <xf numFmtId="0" fontId="9" fillId="0" borderId="0" xfId="0" applyFont="1" applyAlignment="1">
      <alignment vertical="center"/>
    </xf>
    <xf numFmtId="0" fontId="16" fillId="0" borderId="0" xfId="0" applyFont="1" applyAlignment="1">
      <alignment vertical="center"/>
    </xf>
    <xf numFmtId="0" fontId="15" fillId="7" borderId="1" xfId="0" applyFont="1" applyFill="1" applyBorder="1" applyAlignment="1">
      <alignment horizontal="center" vertical="center" wrapText="1"/>
    </xf>
    <xf numFmtId="0" fontId="12" fillId="10" borderId="1" xfId="0" applyFont="1" applyFill="1" applyBorder="1" applyAlignment="1">
      <alignment vertical="center"/>
    </xf>
    <xf numFmtId="0" fontId="0" fillId="10" borderId="1" xfId="0" applyFill="1" applyBorder="1"/>
    <xf numFmtId="0" fontId="7" fillId="0" borderId="1" xfId="0" applyFont="1" applyBorder="1" applyAlignment="1">
      <alignment vertical="top" wrapText="1"/>
    </xf>
    <xf numFmtId="0" fontId="7" fillId="0" borderId="1" xfId="0" applyFont="1" applyBorder="1" applyAlignment="1">
      <alignment vertical="center"/>
    </xf>
    <xf numFmtId="3" fontId="6" fillId="2" borderId="1" xfId="0" applyNumberFormat="1" applyFont="1" applyFill="1" applyBorder="1" applyAlignment="1">
      <alignment vertical="center"/>
    </xf>
    <xf numFmtId="3" fontId="8" fillId="3" borderId="1" xfId="0" applyNumberFormat="1" applyFont="1" applyFill="1" applyBorder="1" applyAlignment="1">
      <alignment vertical="center"/>
    </xf>
    <xf numFmtId="164" fontId="6" fillId="2" borderId="1" xfId="0" applyNumberFormat="1" applyFont="1" applyFill="1" applyBorder="1" applyAlignment="1">
      <alignment vertical="center"/>
    </xf>
    <xf numFmtId="164" fontId="8" fillId="3" borderId="1" xfId="0" applyNumberFormat="1" applyFont="1" applyFill="1" applyBorder="1" applyAlignment="1">
      <alignment vertical="center"/>
    </xf>
    <xf numFmtId="0" fontId="7" fillId="4" borderId="1" xfId="0" applyFont="1" applyFill="1" applyBorder="1" applyAlignment="1">
      <alignment horizontal="center" vertical="center"/>
    </xf>
    <xf numFmtId="165" fontId="6" fillId="2" borderId="1" xfId="0" applyNumberFormat="1" applyFont="1" applyFill="1" applyBorder="1" applyAlignment="1">
      <alignment vertical="center"/>
    </xf>
    <xf numFmtId="165" fontId="8" fillId="3" borderId="1" xfId="0" applyNumberFormat="1" applyFont="1" applyFill="1" applyBorder="1" applyAlignment="1">
      <alignment vertical="center"/>
    </xf>
    <xf numFmtId="2" fontId="6" fillId="2" borderId="1" xfId="0" applyNumberFormat="1" applyFont="1" applyFill="1" applyBorder="1" applyAlignment="1">
      <alignment vertical="center"/>
    </xf>
    <xf numFmtId="2" fontId="8" fillId="3" borderId="1" xfId="0" applyNumberFormat="1" applyFont="1" applyFill="1" applyBorder="1" applyAlignment="1">
      <alignment vertical="center"/>
    </xf>
    <xf numFmtId="1" fontId="6" fillId="2" borderId="1" xfId="0" applyNumberFormat="1" applyFont="1" applyFill="1" applyBorder="1" applyAlignment="1">
      <alignment vertical="center"/>
    </xf>
    <xf numFmtId="1" fontId="8" fillId="3" borderId="1" xfId="0" applyNumberFormat="1" applyFont="1" applyFill="1" applyBorder="1" applyAlignment="1">
      <alignment vertical="center"/>
    </xf>
    <xf numFmtId="166" fontId="6" fillId="2" borderId="1" xfId="0" applyNumberFormat="1" applyFont="1" applyFill="1" applyBorder="1" applyAlignment="1">
      <alignment vertical="center"/>
    </xf>
    <xf numFmtId="166" fontId="8" fillId="3" borderId="1" xfId="0" applyNumberFormat="1" applyFont="1" applyFill="1" applyBorder="1" applyAlignment="1">
      <alignment vertical="center"/>
    </xf>
    <xf numFmtId="167" fontId="6" fillId="2" borderId="1" xfId="0" applyNumberFormat="1" applyFont="1" applyFill="1" applyBorder="1" applyAlignment="1">
      <alignment vertical="center"/>
    </xf>
    <xf numFmtId="166" fontId="7" fillId="4" borderId="1" xfId="0" applyNumberFormat="1" applyFont="1" applyFill="1" applyBorder="1" applyAlignment="1">
      <alignment vertical="center"/>
    </xf>
    <xf numFmtId="164" fontId="7" fillId="4" borderId="1" xfId="0" applyNumberFormat="1" applyFont="1" applyFill="1" applyBorder="1" applyAlignment="1">
      <alignment vertical="center"/>
    </xf>
    <xf numFmtId="3" fontId="7" fillId="4" borderId="1" xfId="0" applyNumberFormat="1" applyFont="1" applyFill="1" applyBorder="1" applyAlignment="1">
      <alignment vertical="center"/>
    </xf>
    <xf numFmtId="1" fontId="7" fillId="4" borderId="1" xfId="0" applyNumberFormat="1" applyFont="1" applyFill="1" applyBorder="1" applyAlignment="1">
      <alignment vertical="center"/>
    </xf>
    <xf numFmtId="2" fontId="7" fillId="4" borderId="1" xfId="0" applyNumberFormat="1" applyFont="1" applyFill="1" applyBorder="1" applyAlignment="1">
      <alignment vertical="center"/>
    </xf>
    <xf numFmtId="164" fontId="9" fillId="5" borderId="1" xfId="0" applyNumberFormat="1" applyFont="1" applyFill="1" applyBorder="1" applyAlignment="1">
      <alignment vertical="center"/>
    </xf>
    <xf numFmtId="9" fontId="9" fillId="5" borderId="1" xfId="0" applyNumberFormat="1" applyFont="1" applyFill="1" applyBorder="1" applyAlignment="1">
      <alignment vertical="center"/>
    </xf>
    <xf numFmtId="3" fontId="9" fillId="5" borderId="1" xfId="0" applyNumberFormat="1" applyFont="1" applyFill="1" applyBorder="1" applyAlignment="1">
      <alignment vertical="center"/>
    </xf>
    <xf numFmtId="1" fontId="9" fillId="5" borderId="1" xfId="0" applyNumberFormat="1" applyFont="1" applyFill="1" applyBorder="1" applyAlignment="1">
      <alignment vertical="center"/>
    </xf>
    <xf numFmtId="2" fontId="9" fillId="5" borderId="1" xfId="0" applyNumberFormat="1" applyFont="1" applyFill="1" applyBorder="1" applyAlignment="1">
      <alignment vertical="center"/>
    </xf>
    <xf numFmtId="10" fontId="9" fillId="5" borderId="1" xfId="0" applyNumberFormat="1" applyFont="1" applyFill="1" applyBorder="1" applyAlignment="1">
      <alignment vertical="center"/>
    </xf>
    <xf numFmtId="168" fontId="7" fillId="4" borderId="1" xfId="0" applyNumberFormat="1" applyFont="1" applyFill="1" applyBorder="1" applyAlignment="1">
      <alignment vertical="center"/>
    </xf>
    <xf numFmtId="0" fontId="9" fillId="0" borderId="1" xfId="0" applyFont="1" applyBorder="1" applyAlignment="1">
      <alignment vertical="center"/>
    </xf>
    <xf numFmtId="2" fontId="18" fillId="5" borderId="1" xfId="0" applyNumberFormat="1" applyFont="1" applyFill="1" applyBorder="1" applyAlignment="1">
      <alignment vertical="center"/>
    </xf>
    <xf numFmtId="0" fontId="14" fillId="0" borderId="0" xfId="0" applyFont="1" applyAlignment="1">
      <alignment vertical="center"/>
    </xf>
    <xf numFmtId="169" fontId="7" fillId="4" borderId="1" xfId="0" applyNumberFormat="1" applyFont="1" applyFill="1" applyBorder="1" applyAlignment="1">
      <alignment vertical="center"/>
    </xf>
    <xf numFmtId="170" fontId="7" fillId="4" borderId="1" xfId="0" applyNumberFormat="1" applyFont="1" applyFill="1" applyBorder="1" applyAlignment="1">
      <alignment vertical="center"/>
    </xf>
    <xf numFmtId="9" fontId="8" fillId="3" borderId="1" xfId="0" applyNumberFormat="1" applyFont="1" applyFill="1" applyBorder="1" applyAlignment="1">
      <alignment vertical="center"/>
    </xf>
    <xf numFmtId="0" fontId="8" fillId="3" borderId="1" xfId="0" applyFont="1" applyFill="1" applyBorder="1" applyAlignment="1">
      <alignment horizontal="center" vertical="center"/>
    </xf>
    <xf numFmtId="171" fontId="7" fillId="4" borderId="1" xfId="0" applyNumberFormat="1" applyFont="1" applyFill="1" applyBorder="1" applyAlignment="1">
      <alignment vertical="center"/>
    </xf>
    <xf numFmtId="172" fontId="7" fillId="4" borderId="1" xfId="0" applyNumberFormat="1" applyFont="1" applyFill="1" applyBorder="1" applyAlignment="1">
      <alignment vertical="center"/>
    </xf>
    <xf numFmtId="173" fontId="7" fillId="4" borderId="1" xfId="0" applyNumberFormat="1" applyFont="1" applyFill="1" applyBorder="1" applyAlignment="1">
      <alignment vertical="center"/>
    </xf>
    <xf numFmtId="10" fontId="7" fillId="4" borderId="1" xfId="0" applyNumberFormat="1" applyFont="1" applyFill="1" applyBorder="1" applyAlignment="1">
      <alignment vertical="center"/>
    </xf>
    <xf numFmtId="0" fontId="12" fillId="0" borderId="0" xfId="0" applyFont="1" applyAlignment="1">
      <alignment vertical="center"/>
    </xf>
    <xf numFmtId="4" fontId="7" fillId="4" borderId="1" xfId="0" applyNumberFormat="1" applyFont="1" applyFill="1" applyBorder="1" applyAlignment="1">
      <alignment vertical="center"/>
    </xf>
    <xf numFmtId="167" fontId="8" fillId="3" borderId="1" xfId="0" applyNumberFormat="1" applyFont="1" applyFill="1" applyBorder="1" applyAlignment="1">
      <alignment vertical="center"/>
    </xf>
    <xf numFmtId="174" fontId="7" fillId="4" borderId="1" xfId="0" applyNumberFormat="1" applyFont="1" applyFill="1" applyBorder="1" applyAlignment="1">
      <alignment vertical="center"/>
    </xf>
    <xf numFmtId="174" fontId="9" fillId="5" borderId="1" xfId="0" applyNumberFormat="1" applyFont="1" applyFill="1" applyBorder="1" applyAlignment="1">
      <alignment vertical="center"/>
    </xf>
    <xf numFmtId="175" fontId="7" fillId="4" borderId="1" xfId="0" applyNumberFormat="1" applyFont="1" applyFill="1" applyBorder="1" applyAlignment="1">
      <alignment vertical="center"/>
    </xf>
    <xf numFmtId="174" fontId="8" fillId="3" borderId="1" xfId="0" applyNumberFormat="1" applyFont="1" applyFill="1" applyBorder="1" applyAlignment="1">
      <alignment vertical="center"/>
    </xf>
    <xf numFmtId="176" fontId="7" fillId="4" borderId="1" xfId="0" applyNumberFormat="1" applyFont="1" applyFill="1" applyBorder="1" applyAlignment="1">
      <alignment vertical="center"/>
    </xf>
    <xf numFmtId="0" fontId="9" fillId="5" borderId="1" xfId="0" applyFont="1" applyFill="1" applyBorder="1" applyAlignment="1">
      <alignment horizontal="center" vertical="center"/>
    </xf>
    <xf numFmtId="0" fontId="19" fillId="0" borderId="1" xfId="0" applyFont="1" applyBorder="1" applyAlignment="1">
      <alignment vertical="center"/>
    </xf>
    <xf numFmtId="0" fontId="15" fillId="7" borderId="1" xfId="0" applyFont="1" applyFill="1" applyBorder="1" applyAlignment="1">
      <alignment vertical="center" wrapText="1"/>
    </xf>
    <xf numFmtId="164" fontId="17" fillId="3" borderId="0" xfId="0" applyNumberFormat="1" applyFont="1" applyFill="1"/>
    <xf numFmtId="1" fontId="17" fillId="3" borderId="0" xfId="0" applyNumberFormat="1" applyFont="1" applyFill="1"/>
    <xf numFmtId="0" fontId="7" fillId="0" borderId="0" xfId="0" applyFont="1" applyAlignment="1">
      <alignment vertical="center"/>
    </xf>
    <xf numFmtId="0" fontId="0" fillId="0" borderId="0" xfId="0"/>
    <xf numFmtId="0" fontId="7" fillId="0" borderId="1" xfId="0" applyFont="1" applyBorder="1" applyAlignment="1">
      <alignment vertical="center"/>
    </xf>
    <xf numFmtId="0" fontId="0" fillId="0" borderId="3" xfId="0" applyBorder="1"/>
    <xf numFmtId="0" fontId="15" fillId="7" borderId="1" xfId="0" applyFont="1" applyFill="1" applyBorder="1" applyAlignment="1">
      <alignment horizontal="center" vertical="center" wrapText="1"/>
    </xf>
    <xf numFmtId="0" fontId="11" fillId="8" borderId="1" xfId="0" applyFont="1" applyFill="1" applyBorder="1" applyAlignment="1">
      <alignment vertical="center" wrapText="1"/>
    </xf>
    <xf numFmtId="0" fontId="0" fillId="0" borderId="2" xfId="0" applyBorder="1"/>
    <xf numFmtId="0" fontId="12" fillId="10" borderId="4" xfId="0" applyFont="1" applyFill="1" applyBorder="1" applyAlignment="1">
      <alignment horizontal="center" vertical="center" wrapText="1"/>
    </xf>
    <xf numFmtId="0" fontId="0" fillId="10" borderId="4" xfId="0" applyFill="1" applyBorder="1"/>
    <xf numFmtId="0" fontId="3" fillId="0" borderId="0" xfId="0" applyFont="1" applyAlignment="1">
      <alignment vertical="center"/>
    </xf>
    <xf numFmtId="0" fontId="7" fillId="0" borderId="1" xfId="0" applyFont="1" applyBorder="1" applyAlignment="1">
      <alignment vertical="top" wrapText="1"/>
    </xf>
    <xf numFmtId="0" fontId="14" fillId="0" borderId="0" xfId="0" applyFont="1" applyAlignment="1">
      <alignment vertical="top" wrapText="1"/>
    </xf>
    <xf numFmtId="0" fontId="5" fillId="0" borderId="0" xfId="0" applyFont="1" applyAlignment="1">
      <alignment vertical="top" wrapText="1"/>
    </xf>
    <xf numFmtId="0" fontId="12" fillId="9" borderId="4" xfId="0" applyFont="1" applyFill="1" applyBorder="1" applyAlignment="1">
      <alignment horizontal="center" vertical="center" wrapText="1"/>
    </xf>
    <xf numFmtId="0" fontId="0" fillId="9" borderId="4" xfId="0" applyFill="1" applyBorder="1"/>
    <xf numFmtId="0" fontId="12" fillId="11" borderId="4" xfId="0" applyFont="1" applyFill="1" applyBorder="1" applyAlignment="1">
      <alignment horizontal="center" vertical="center" wrapText="1"/>
    </xf>
    <xf numFmtId="0" fontId="0" fillId="11" borderId="4" xfId="0" applyFill="1" applyBorder="1"/>
    <xf numFmtId="0" fontId="9" fillId="0" borderId="0" xfId="0" applyFont="1" applyAlignment="1">
      <alignment vertical="center"/>
    </xf>
    <xf numFmtId="0" fontId="5" fillId="12" borderId="5" xfId="0" applyFont="1" applyFill="1" applyBorder="1" applyAlignment="1">
      <alignment vertical="top" wrapText="1"/>
    </xf>
    <xf numFmtId="0" fontId="0" fillId="0" borderId="5" xfId="0" applyBorder="1"/>
    <xf numFmtId="0" fontId="9" fillId="0" borderId="1" xfId="0" applyFont="1" applyBorder="1" applyAlignment="1">
      <alignment vertical="center"/>
    </xf>
    <xf numFmtId="0" fontId="7" fillId="0" borderId="0" xfId="0" applyFont="1" applyBorder="1" applyAlignment="1">
      <alignment vertical="center"/>
    </xf>
    <xf numFmtId="3" fontId="7" fillId="4" borderId="0" xfId="0" applyNumberFormat="1" applyFont="1" applyFill="1" applyBorder="1" applyAlignment="1">
      <alignment vertical="center"/>
    </xf>
    <xf numFmtId="0" fontId="0" fillId="0" borderId="0" xfId="0" applyBorder="1"/>
  </cellXfs>
  <cellStyles count="1">
    <cellStyle name="Standard" xfId="0" builtinId="0"/>
  </cellStyles>
  <dxfs count="8">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Druck im Bohrloch (Stillstand)</a:t>
            </a:r>
          </a:p>
        </c:rich>
      </c:tx>
      <c:overlay val="0"/>
    </c:title>
    <c:autoTitleDeleted val="0"/>
    <c:plotArea>
      <c:layout/>
      <c:scatterChart>
        <c:scatterStyle val="lineMarker"/>
        <c:varyColors val="1"/>
        <c:ser>
          <c:idx val="0"/>
          <c:order val="0"/>
          <c:tx>
            <c:v>tief voll</c:v>
          </c:tx>
          <c:spPr>
            <a:ln w="28575">
              <a:solidFill>
                <a:srgbClr val="00304F"/>
              </a:solidFill>
              <a:prstDash val="solid"/>
            </a:ln>
          </c:spPr>
          <c:marker>
            <c:symbol val="none"/>
          </c:marker>
          <c:xVal>
            <c:numRef>
              <c:f>Diagrammdaten!$C$5:$C$29</c:f>
              <c:numCache>
                <c:formatCode>0.0</c:formatCode>
                <c:ptCount val="25"/>
                <c:pt idx="0">
                  <c:v>107.603219569636</c:v>
                </c:pt>
                <c:pt idx="1">
                  <c:v>112.1341797962734</c:v>
                </c:pt>
                <c:pt idx="2">
                  <c:v>116.6408956363134</c:v>
                </c:pt>
                <c:pt idx="3">
                  <c:v>121.12349405283599</c:v>
                </c:pt>
                <c:pt idx="4">
                  <c:v>125.58211155495179</c:v>
                </c:pt>
                <c:pt idx="5">
                  <c:v>130.0168939094205</c:v>
                </c:pt>
                <c:pt idx="6">
                  <c:v>134.42799578384989</c:v>
                </c:pt>
                <c:pt idx="7">
                  <c:v>138.81558035303229</c:v>
                </c:pt>
                <c:pt idx="8">
                  <c:v>143.1798189021624</c:v>
                </c:pt>
                <c:pt idx="9">
                  <c:v>147.52089045854169</c:v>
                </c:pt>
                <c:pt idx="10">
                  <c:v>151.8389814770035</c:v>
                </c:pt>
                <c:pt idx="11">
                  <c:v>156.1342855942197</c:v>
                </c:pt>
                <c:pt idx="12">
                  <c:v>160.4070034547488</c:v>
                </c:pt>
                <c:pt idx="13">
                  <c:v>164.65734259893159</c:v>
                </c:pt>
                <c:pt idx="14">
                  <c:v>168.8855173915604</c:v>
                </c:pt>
                <c:pt idx="15">
                  <c:v>173.0917489623186</c:v>
                </c:pt>
                <c:pt idx="16">
                  <c:v>177.27626512552101</c:v>
                </c:pt>
                <c:pt idx="17">
                  <c:v>181.43930024805519</c:v>
                </c:pt>
                <c:pt idx="18">
                  <c:v>185.58109504021709</c:v>
                </c:pt>
                <c:pt idx="19">
                  <c:v>189.7018962532259</c:v>
                </c:pt>
                <c:pt idx="20">
                  <c:v>193.8019562780313</c:v>
                </c:pt>
                <c:pt idx="21">
                  <c:v>197.8815326508965</c:v>
                </c:pt>
                <c:pt idx="22">
                  <c:v>201.94088748061549</c:v>
                </c:pt>
                <c:pt idx="23">
                  <c:v>205.98028681901269</c:v>
                </c:pt>
                <c:pt idx="24">
                  <c:v>210</c:v>
                </c:pt>
              </c:numCache>
            </c:numRef>
          </c:xVal>
          <c:yVal>
            <c:numRef>
              <c:f>Diagrammdaten!$B$5:$B$29</c:f>
              <c:numCache>
                <c:formatCode>0.0</c:formatCode>
                <c:ptCount val="2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numCache>
            </c:numRef>
          </c:yVal>
          <c:smooth val="0"/>
          <c:extLst>
            <c:ext xmlns:c16="http://schemas.microsoft.com/office/drawing/2014/chart" uri="{C3380CC4-5D6E-409C-BE32-E72D297353CC}">
              <c16:uniqueId val="{00000000-2132-4C2B-BEA3-716AFD12C8B6}"/>
            </c:ext>
          </c:extLst>
        </c:ser>
        <c:ser>
          <c:idx val="1"/>
          <c:order val="1"/>
          <c:tx>
            <c:v>tief Grenzfall</c:v>
          </c:tx>
          <c:spPr>
            <a:ln w="25400">
              <a:solidFill>
                <a:srgbClr val="00304F"/>
              </a:solidFill>
              <a:prstDash val="dash"/>
            </a:ln>
          </c:spPr>
          <c:marker>
            <c:symbol val="none"/>
          </c:marker>
          <c:xVal>
            <c:numRef>
              <c:f>Diagrammdaten!$D$5:$D$29</c:f>
              <c:numCache>
                <c:formatCode>0.0</c:formatCode>
                <c:ptCount val="25"/>
                <c:pt idx="0">
                  <c:v>73.772983734405997</c:v>
                </c:pt>
                <c:pt idx="1">
                  <c:v>78.158267321259842</c:v>
                </c:pt>
                <c:pt idx="2">
                  <c:v>82.515515006843174</c:v>
                </c:pt>
                <c:pt idx="3">
                  <c:v>86.844824126783294</c:v>
                </c:pt>
                <c:pt idx="4">
                  <c:v>91.146308952922539</c:v>
                </c:pt>
                <c:pt idx="5">
                  <c:v>95.420100595198704</c:v>
                </c:pt>
                <c:pt idx="6">
                  <c:v>99.666346779218586</c:v>
                </c:pt>
                <c:pt idx="7">
                  <c:v>103.8852115876218</c:v>
                </c:pt>
                <c:pt idx="8">
                  <c:v>108.0768752419294</c:v>
                </c:pt>
                <c:pt idx="9">
                  <c:v>112.2415339760144</c:v>
                </c:pt>
                <c:pt idx="10">
                  <c:v>116.3794000175083</c:v>
                </c:pt>
                <c:pt idx="11">
                  <c:v>120.4907016558676</c:v>
                </c:pt>
                <c:pt idx="12">
                  <c:v>124.57568334295929</c:v>
                </c:pt>
                <c:pt idx="13">
                  <c:v>128.63460575014929</c:v>
                </c:pt>
                <c:pt idx="14">
                  <c:v>132.66774569907011</c:v>
                </c:pt>
                <c:pt idx="15">
                  <c:v>136.67539589228869</c:v>
                </c:pt>
                <c:pt idx="16">
                  <c:v>140.65786439246239</c:v>
                </c:pt>
                <c:pt idx="17">
                  <c:v>144.61547382910479</c:v>
                </c:pt>
                <c:pt idx="18">
                  <c:v>148.5485603444501</c:v>
                </c:pt>
                <c:pt idx="19">
                  <c:v>152.4574723180242</c:v>
                </c:pt>
                <c:pt idx="20">
                  <c:v>156.34256892904841</c:v>
                </c:pt>
                <c:pt idx="21">
                  <c:v>160.20421862475399</c:v>
                </c:pt>
                <c:pt idx="22">
                  <c:v>164.04279756157959</c:v>
                </c:pt>
                <c:pt idx="23">
                  <c:v>167.85868807738589</c:v>
                </c:pt>
                <c:pt idx="24">
                  <c:v>171.65227723953399</c:v>
                </c:pt>
              </c:numCache>
            </c:numRef>
          </c:xVal>
          <c:yVal>
            <c:numRef>
              <c:f>Diagrammdaten!$B$5:$B$29</c:f>
              <c:numCache>
                <c:formatCode>0.0</c:formatCode>
                <c:ptCount val="2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numCache>
            </c:numRef>
          </c:yVal>
          <c:smooth val="0"/>
          <c:extLst>
            <c:ext xmlns:c16="http://schemas.microsoft.com/office/drawing/2014/chart" uri="{C3380CC4-5D6E-409C-BE32-E72D297353CC}">
              <c16:uniqueId val="{00000001-2132-4C2B-BEA3-716AFD12C8B6}"/>
            </c:ext>
          </c:extLst>
        </c:ser>
        <c:ser>
          <c:idx val="2"/>
          <c:order val="2"/>
          <c:tx>
            <c:v>tief leer</c:v>
          </c:tx>
          <c:spPr>
            <a:ln w="25400">
              <a:solidFill>
                <a:srgbClr val="00304F"/>
              </a:solidFill>
              <a:prstDash val="sysDot"/>
            </a:ln>
          </c:spPr>
          <c:marker>
            <c:symbol val="none"/>
          </c:marker>
          <c:xVal>
            <c:numRef>
              <c:f>Diagrammdaten!$E$5:$E$29</c:f>
              <c:numCache>
                <c:formatCode>0.0</c:formatCode>
                <c:ptCount val="25"/>
                <c:pt idx="0">
                  <c:v>44.992994186969852</c:v>
                </c:pt>
                <c:pt idx="1">
                  <c:v>46.658027336303412</c:v>
                </c:pt>
                <c:pt idx="2">
                  <c:v>48.469673788771722</c:v>
                </c:pt>
                <c:pt idx="3">
                  <c:v>50.287386984021232</c:v>
                </c:pt>
                <c:pt idx="4">
                  <c:v>52.113012402204589</c:v>
                </c:pt>
                <c:pt idx="5">
                  <c:v>53.576395779275323</c:v>
                </c:pt>
                <c:pt idx="6">
                  <c:v>54.422451099446228</c:v>
                </c:pt>
                <c:pt idx="7">
                  <c:v>55.269945504788083</c:v>
                </c:pt>
                <c:pt idx="8">
                  <c:v>56.119079339465053</c:v>
                </c:pt>
                <c:pt idx="9">
                  <c:v>56.970011793445003</c:v>
                </c:pt>
                <c:pt idx="10">
                  <c:v>57.822871235687643</c:v>
                </c:pt>
                <c:pt idx="11">
                  <c:v>58.677762156197382</c:v>
                </c:pt>
                <c:pt idx="12">
                  <c:v>59.534770035388831</c:v>
                </c:pt>
                <c:pt idx="13">
                  <c:v>60.393964903905619</c:v>
                </c:pt>
                <c:pt idx="14">
                  <c:v>61.255404045156617</c:v>
                </c:pt>
                <c:pt idx="15">
                  <c:v>62.119134114436157</c:v>
                </c:pt>
                <c:pt idx="16">
                  <c:v>62.985192844205663</c:v>
                </c:pt>
                <c:pt idx="17">
                  <c:v>63.853610443206122</c:v>
                </c:pt>
                <c:pt idx="18">
                  <c:v>64.724410759818767</c:v>
                </c:pt>
                <c:pt idx="19">
                  <c:v>65.597612257397259</c:v>
                </c:pt>
                <c:pt idx="20">
                  <c:v>66.473228835324207</c:v>
                </c:pt>
                <c:pt idx="21">
                  <c:v>67.351270520858037</c:v>
                </c:pt>
                <c:pt idx="22">
                  <c:v>68.231744051372317</c:v>
                </c:pt>
                <c:pt idx="23">
                  <c:v>69.114653363081544</c:v>
                </c:pt>
                <c:pt idx="24">
                  <c:v>70</c:v>
                </c:pt>
              </c:numCache>
            </c:numRef>
          </c:xVal>
          <c:yVal>
            <c:numRef>
              <c:f>Diagrammdaten!$B$5:$B$29</c:f>
              <c:numCache>
                <c:formatCode>0.0</c:formatCode>
                <c:ptCount val="2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numCache>
            </c:numRef>
          </c:yVal>
          <c:smooth val="0"/>
          <c:extLst>
            <c:ext xmlns:c16="http://schemas.microsoft.com/office/drawing/2014/chart" uri="{C3380CC4-5D6E-409C-BE32-E72D297353CC}">
              <c16:uniqueId val="{00000002-2132-4C2B-BEA3-716AFD12C8B6}"/>
            </c:ext>
          </c:extLst>
        </c:ser>
        <c:ser>
          <c:idx val="3"/>
          <c:order val="3"/>
          <c:tx>
            <c:v>flach voll</c:v>
          </c:tx>
          <c:spPr>
            <a:ln w="28575">
              <a:solidFill>
                <a:srgbClr val="EE7203"/>
              </a:solidFill>
              <a:prstDash val="solid"/>
            </a:ln>
          </c:spPr>
          <c:marker>
            <c:symbol val="none"/>
          </c:marker>
          <c:xVal>
            <c:numRef>
              <c:f>Diagrammdaten!$K$5:$K$19</c:f>
              <c:numCache>
                <c:formatCode>0.0</c:formatCode>
                <c:ptCount val="15"/>
                <c:pt idx="0">
                  <c:v>64.451601415047293</c:v>
                </c:pt>
                <c:pt idx="1">
                  <c:v>68.787210666953214</c:v>
                </c:pt>
                <c:pt idx="2">
                  <c:v>73.093184936200174</c:v>
                </c:pt>
                <c:pt idx="3">
                  <c:v>77.36959412762485</c:v>
                </c:pt>
                <c:pt idx="4">
                  <c:v>81.61652897478838</c:v>
                </c:pt>
                <c:pt idx="5">
                  <c:v>85.834101350701133</c:v>
                </c:pt>
                <c:pt idx="6">
                  <c:v>90.022444400755106</c:v>
                </c:pt>
                <c:pt idx="7">
                  <c:v>94.181712608250777</c:v>
                </c:pt>
                <c:pt idx="8">
                  <c:v>98.312079648692674</c:v>
                </c:pt>
                <c:pt idx="9">
                  <c:v>102.4137452764283</c:v>
                </c:pt>
                <c:pt idx="10">
                  <c:v>106.48692878272681</c:v>
                </c:pt>
                <c:pt idx="11">
                  <c:v>110.5318714851804</c:v>
                </c:pt>
                <c:pt idx="12">
                  <c:v>114.54883687369041</c:v>
                </c:pt>
                <c:pt idx="13">
                  <c:v>118.5381105692055</c:v>
                </c:pt>
                <c:pt idx="14">
                  <c:v>122.5</c:v>
                </c:pt>
              </c:numCache>
            </c:numRef>
          </c:xVal>
          <c:yVal>
            <c:numRef>
              <c:f>Diagrammdaten!$J$5:$J$19</c:f>
              <c:numCache>
                <c:formatCode>0.0</c:formatCode>
                <c:ptCount val="1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numCache>
            </c:numRef>
          </c:yVal>
          <c:smooth val="0"/>
          <c:extLst>
            <c:ext xmlns:c16="http://schemas.microsoft.com/office/drawing/2014/chart" uri="{C3380CC4-5D6E-409C-BE32-E72D297353CC}">
              <c16:uniqueId val="{00000003-2132-4C2B-BEA3-716AFD12C8B6}"/>
            </c:ext>
          </c:extLst>
        </c:ser>
        <c:ser>
          <c:idx val="4"/>
          <c:order val="4"/>
          <c:tx>
            <c:v>flach leer</c:v>
          </c:tx>
          <c:spPr>
            <a:ln w="25400">
              <a:solidFill>
                <a:srgbClr val="EE7203"/>
              </a:solidFill>
              <a:prstDash val="sysDot"/>
            </a:ln>
          </c:spPr>
          <c:marker>
            <c:symbol val="none"/>
          </c:marker>
          <c:xVal>
            <c:numRef>
              <c:f>Diagrammdaten!$L$5:$L$19</c:f>
              <c:numCache>
                <c:formatCode>0.0</c:formatCode>
                <c:ptCount val="15"/>
                <c:pt idx="0">
                  <c:v>34.702663420089401</c:v>
                </c:pt>
                <c:pt idx="1">
                  <c:v>35.129885211888222</c:v>
                </c:pt>
                <c:pt idx="2">
                  <c:v>35.558752831307309</c:v>
                </c:pt>
                <c:pt idx="3">
                  <c:v>35.989266987093707</c:v>
                </c:pt>
                <c:pt idx="4">
                  <c:v>36.42142783214647</c:v>
                </c:pt>
                <c:pt idx="5">
                  <c:v>36.855235016826647</c:v>
                </c:pt>
                <c:pt idx="6">
                  <c:v>37.290687736556848</c:v>
                </c:pt>
                <c:pt idx="7">
                  <c:v>37.727784774580527</c:v>
                </c:pt>
                <c:pt idx="8">
                  <c:v>38.166524668172961</c:v>
                </c:pt>
                <c:pt idx="9">
                  <c:v>38.606905360369304</c:v>
                </c:pt>
                <c:pt idx="10">
                  <c:v>39.048924615148991</c:v>
                </c:pt>
                <c:pt idx="11">
                  <c:v>39.492579918293117</c:v>
                </c:pt>
                <c:pt idx="12">
                  <c:v>39.937868503460393</c:v>
                </c:pt>
                <c:pt idx="13">
                  <c:v>40.384787375804883</c:v>
                </c:pt>
                <c:pt idx="14">
                  <c:v>40.833333333333343</c:v>
                </c:pt>
              </c:numCache>
            </c:numRef>
          </c:xVal>
          <c:yVal>
            <c:numRef>
              <c:f>Diagrammdaten!$J$5:$J$19</c:f>
              <c:numCache>
                <c:formatCode>0.0</c:formatCode>
                <c:ptCount val="1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numCache>
            </c:numRef>
          </c:yVal>
          <c:smooth val="0"/>
          <c:extLst>
            <c:ext xmlns:c16="http://schemas.microsoft.com/office/drawing/2014/chart" uri="{C3380CC4-5D6E-409C-BE32-E72D297353CC}">
              <c16:uniqueId val="{00000004-2132-4C2B-BEA3-716AFD12C8B6}"/>
            </c:ext>
          </c:extLst>
        </c:ser>
        <c:dLbls>
          <c:showLegendKey val="0"/>
          <c:showVal val="0"/>
          <c:showCatName val="0"/>
          <c:showSerName val="0"/>
          <c:showPercent val="0"/>
          <c:showBubbleSize val="0"/>
        </c:dLbls>
        <c:axId val="10"/>
        <c:axId val="20"/>
      </c:scatterChart>
      <c:valAx>
        <c:axId val="10"/>
        <c:scaling>
          <c:orientation val="minMax"/>
          <c:max val="230"/>
          <c:min val="0"/>
        </c:scaling>
        <c:delete val="0"/>
        <c:axPos val="b"/>
        <c:majorGridlines>
          <c:spPr>
            <a:ln>
              <a:solidFill>
                <a:srgbClr val="E0E0E0"/>
              </a:solidFill>
              <a:prstDash val="solid"/>
            </a:ln>
          </c:spPr>
        </c:majorGridlines>
        <c:title>
          <c:tx>
            <c:rich>
              <a:bodyPr/>
              <a:lstStyle/>
              <a:p>
                <a:pPr>
                  <a:defRPr/>
                </a:pPr>
                <a:r>
                  <a:rPr lang="de-DE"/>
                  <a:t>Druck [bar]</a:t>
                </a:r>
              </a:p>
            </c:rich>
          </c:tx>
          <c:overlay val="0"/>
        </c:title>
        <c:numFmt formatCode="0" sourceLinked="0"/>
        <c:majorTickMark val="none"/>
        <c:minorTickMark val="none"/>
        <c:tickLblPos val="nextTo"/>
        <c:crossAx val="20"/>
        <c:crosses val="max"/>
        <c:crossBetween val="midCat"/>
      </c:valAx>
      <c:valAx>
        <c:axId val="20"/>
        <c:scaling>
          <c:orientation val="maxMin"/>
          <c:max val="1200"/>
          <c:min val="0"/>
        </c:scaling>
        <c:delete val="0"/>
        <c:axPos val="l"/>
        <c:majorGridlines>
          <c:spPr>
            <a:ln>
              <a:solidFill>
                <a:srgbClr val="E0E0E0"/>
              </a:solidFill>
              <a:prstDash val="solid"/>
            </a:ln>
          </c:spPr>
        </c:majorGridlines>
        <c:title>
          <c:tx>
            <c:rich>
              <a:bodyPr/>
              <a:lstStyle/>
              <a:p>
                <a:pPr>
                  <a:defRPr/>
                </a:pPr>
                <a:r>
                  <a:rPr lang="de-DE"/>
                  <a:t>Teufe [m]</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Dichte im Bohrloch (Stillstand)</a:t>
            </a:r>
          </a:p>
        </c:rich>
      </c:tx>
      <c:overlay val="0"/>
    </c:title>
    <c:autoTitleDeleted val="0"/>
    <c:plotArea>
      <c:layout/>
      <c:scatterChart>
        <c:scatterStyle val="lineMarker"/>
        <c:varyColors val="1"/>
        <c:ser>
          <c:idx val="0"/>
          <c:order val="0"/>
          <c:tx>
            <c:v>tief voll</c:v>
          </c:tx>
          <c:spPr>
            <a:ln w="28575">
              <a:solidFill>
                <a:srgbClr val="00304F"/>
              </a:solidFill>
              <a:prstDash val="solid"/>
            </a:ln>
          </c:spPr>
          <c:marker>
            <c:symbol val="none"/>
          </c:marker>
          <c:xVal>
            <c:numRef>
              <c:f>Diagrammdaten!$F$5:$F$29</c:f>
              <c:numCache>
                <c:formatCode>0.0</c:formatCode>
                <c:ptCount val="25"/>
                <c:pt idx="0">
                  <c:v>926.32203680404973</c:v>
                </c:pt>
                <c:pt idx="1">
                  <c:v>921.36648651154132</c:v>
                </c:pt>
                <c:pt idx="2">
                  <c:v>916.43579278043876</c:v>
                </c:pt>
                <c:pt idx="3">
                  <c:v>911.53192593962683</c:v>
                </c:pt>
                <c:pt idx="4">
                  <c:v>906.65680676935619</c:v>
                </c:pt>
                <c:pt idx="5">
                  <c:v>901.81228956803022</c:v>
                </c:pt>
                <c:pt idx="6">
                  <c:v>897.00015115065389</c:v>
                </c:pt>
                <c:pt idx="7">
                  <c:v>892.22208663027288</c:v>
                </c:pt>
                <c:pt idx="8">
                  <c:v>887.47971201925975</c:v>
                </c:pt>
                <c:pt idx="9">
                  <c:v>882.77457279218447</c:v>
                </c:pt>
                <c:pt idx="10">
                  <c:v>878.10815671138118</c:v>
                </c:pt>
                <c:pt idx="11">
                  <c:v>873.48190858756891</c:v>
                </c:pt>
                <c:pt idx="12">
                  <c:v>868.89724435846188</c:v>
                </c:pt>
                <c:pt idx="13">
                  <c:v>864.35556197154017</c:v>
                </c:pt>
                <c:pt idx="14">
                  <c:v>859.8582470542101</c:v>
                </c:pt>
                <c:pt idx="15">
                  <c:v>855.40667218201588</c:v>
                </c:pt>
                <c:pt idx="16">
                  <c:v>851.00218948102633</c:v>
                </c:pt>
                <c:pt idx="17">
                  <c:v>846.64611733448464</c:v>
                </c:pt>
                <c:pt idx="18">
                  <c:v>842.33972272629626</c:v>
                </c:pt>
                <c:pt idx="19">
                  <c:v>838.08420130895161</c:v>
                </c:pt>
                <c:pt idx="20">
                  <c:v>833.88065746306995</c:v>
                </c:pt>
                <c:pt idx="21">
                  <c:v>829.73008646458027</c:v>
                </c:pt>
                <c:pt idx="22">
                  <c:v>825.63336044695302</c:v>
                </c:pt>
                <c:pt idx="23">
                  <c:v>821.59121924258886</c:v>
                </c:pt>
                <c:pt idx="24">
                  <c:v>817.60426652443198</c:v>
                </c:pt>
              </c:numCache>
            </c:numRef>
          </c:xVal>
          <c:yVal>
            <c:numRef>
              <c:f>Diagrammdaten!$B$5:$B$29</c:f>
              <c:numCache>
                <c:formatCode>0.0</c:formatCode>
                <c:ptCount val="2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numCache>
            </c:numRef>
          </c:yVal>
          <c:smooth val="0"/>
          <c:extLst>
            <c:ext xmlns:c16="http://schemas.microsoft.com/office/drawing/2014/chart" uri="{C3380CC4-5D6E-409C-BE32-E72D297353CC}">
              <c16:uniqueId val="{00000000-085B-482D-B2C5-472F2191D3AD}"/>
            </c:ext>
          </c:extLst>
        </c:ser>
        <c:ser>
          <c:idx val="1"/>
          <c:order val="1"/>
          <c:tx>
            <c:v>tief Grenzfall</c:v>
          </c:tx>
          <c:spPr>
            <a:ln w="25400">
              <a:solidFill>
                <a:srgbClr val="00304F"/>
              </a:solidFill>
              <a:prstDash val="dash"/>
            </a:ln>
          </c:spPr>
          <c:marker>
            <c:symbol val="none"/>
          </c:marker>
          <c:xVal>
            <c:numRef>
              <c:f>Diagrammdaten!$G$5:$G$29</c:f>
              <c:numCache>
                <c:formatCode>0.0</c:formatCode>
                <c:ptCount val="25"/>
                <c:pt idx="0">
                  <c:v>897.02184237551046</c:v>
                </c:pt>
                <c:pt idx="1">
                  <c:v>891.29696094414601</c:v>
                </c:pt>
                <c:pt idx="2">
                  <c:v>885.59013174469567</c:v>
                </c:pt>
                <c:pt idx="3">
                  <c:v>879.90480432797744</c:v>
                </c:pt>
                <c:pt idx="4">
                  <c:v>874.24442768815766</c:v>
                </c:pt>
                <c:pt idx="5">
                  <c:v>868.61241563100634</c:v>
                </c:pt>
                <c:pt idx="6">
                  <c:v>863.01213016673432</c:v>
                </c:pt>
                <c:pt idx="7">
                  <c:v>857.44688227794222</c:v>
                </c:pt>
                <c:pt idx="8">
                  <c:v>851.9199462387578</c:v>
                </c:pt>
                <c:pt idx="9">
                  <c:v>846.43458116796171</c:v>
                </c:pt>
                <c:pt idx="10">
                  <c:v>840.99405219765913</c:v>
                </c:pt>
                <c:pt idx="11">
                  <c:v>835.60164381162735</c:v>
                </c:pt>
                <c:pt idx="12">
                  <c:v>830.26065954508908</c:v>
                </c:pt>
                <c:pt idx="13">
                  <c:v>824.97440497719253</c:v>
                </c:pt>
                <c:pt idx="14">
                  <c:v>819.74615419197278</c:v>
                </c:pt>
                <c:pt idx="15">
                  <c:v>814.57910302663697</c:v>
                </c:pt>
                <c:pt idx="16">
                  <c:v>809.47631463563653</c:v>
                </c:pt>
                <c:pt idx="17">
                  <c:v>804.44066401861562</c:v>
                </c:pt>
                <c:pt idx="18">
                  <c:v>799.4747878723515</c:v>
                </c:pt>
                <c:pt idx="19">
                  <c:v>794.58104476984238</c:v>
                </c:pt>
                <c:pt idx="20">
                  <c:v>789.76148863507353</c:v>
                </c:pt>
                <c:pt idx="21">
                  <c:v>785.01785630095117</c:v>
                </c:pt>
                <c:pt idx="22">
                  <c:v>780.35156806685075</c:v>
                </c:pt>
                <c:pt idx="23">
                  <c:v>775.76373890279206</c:v>
                </c:pt>
                <c:pt idx="24">
                  <c:v>771.25519736750493</c:v>
                </c:pt>
              </c:numCache>
            </c:numRef>
          </c:xVal>
          <c:yVal>
            <c:numRef>
              <c:f>Diagrammdaten!$B$5:$B$29</c:f>
              <c:numCache>
                <c:formatCode>0.0</c:formatCode>
                <c:ptCount val="2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numCache>
            </c:numRef>
          </c:yVal>
          <c:smooth val="0"/>
          <c:extLst>
            <c:ext xmlns:c16="http://schemas.microsoft.com/office/drawing/2014/chart" uri="{C3380CC4-5D6E-409C-BE32-E72D297353CC}">
              <c16:uniqueId val="{00000001-085B-482D-B2C5-472F2191D3AD}"/>
            </c:ext>
          </c:extLst>
        </c:ser>
        <c:ser>
          <c:idx val="2"/>
          <c:order val="2"/>
          <c:tx>
            <c:v>tief leer</c:v>
          </c:tx>
          <c:spPr>
            <a:ln w="25400">
              <a:solidFill>
                <a:srgbClr val="00304F"/>
              </a:solidFill>
              <a:prstDash val="sysDot"/>
            </a:ln>
          </c:spPr>
          <c:marker>
            <c:symbol val="none"/>
          </c:marker>
          <c:xVal>
            <c:numRef>
              <c:f>Diagrammdaten!$H$5:$H$29</c:f>
              <c:numCache>
                <c:formatCode>General</c:formatCode>
                <c:ptCount val="25"/>
                <c:pt idx="5" formatCode="0.0">
                  <c:v>172.35312893618291</c:v>
                </c:pt>
                <c:pt idx="6" formatCode="0.0">
                  <c:v>172.621519049852</c:v>
                </c:pt>
                <c:pt idx="7" formatCode="0.0">
                  <c:v>172.9361403382413</c:v>
                </c:pt>
                <c:pt idx="8" formatCode="0.0">
                  <c:v>173.2871502061312</c:v>
                </c:pt>
                <c:pt idx="9" formatCode="0.0">
                  <c:v>173.6673159513561</c:v>
                </c:pt>
                <c:pt idx="10" formatCode="0.0">
                  <c:v>174.0711215222214</c:v>
                </c:pt>
                <c:pt idx="11" formatCode="0.0">
                  <c:v>174.4942300427463</c:v>
                </c:pt>
                <c:pt idx="12" formatCode="0.0">
                  <c:v>174.93314967554269</c:v>
                </c:pt>
                <c:pt idx="13" formatCode="0.0">
                  <c:v>175.385018717165</c:v>
                </c:pt>
                <c:pt idx="14" formatCode="0.0">
                  <c:v>175.84746215970779</c:v>
                </c:pt>
                <c:pt idx="15" formatCode="0.0">
                  <c:v>176.3184920198822</c:v>
                </c:pt>
                <c:pt idx="16" formatCode="0.0">
                  <c:v>176.79643510684511</c:v>
                </c:pt>
                <c:pt idx="17" formatCode="0.0">
                  <c:v>177.27987846440661</c:v>
                </c:pt>
                <c:pt idx="18" formatCode="0.0">
                  <c:v>177.76762657287509</c:v>
                </c:pt>
                <c:pt idx="19" formatCode="0.0">
                  <c:v>178.25866668657179</c:v>
                </c:pt>
                <c:pt idx="20" formatCode="0.0">
                  <c:v>178.75214006440939</c:v>
                </c:pt>
                <c:pt idx="21" formatCode="0.0">
                  <c:v>179.2473176918887</c:v>
                </c:pt>
                <c:pt idx="22" formatCode="0.0">
                  <c:v>179.7435796054763</c:v>
                </c:pt>
                <c:pt idx="23" formatCode="0.0">
                  <c:v>180.24039723890161</c:v>
                </c:pt>
                <c:pt idx="24" formatCode="0.0">
                  <c:v>180.73731839070081</c:v>
                </c:pt>
              </c:numCache>
            </c:numRef>
          </c:xVal>
          <c:yVal>
            <c:numRef>
              <c:f>Diagrammdaten!$B$5:$B$29</c:f>
              <c:numCache>
                <c:formatCode>0.0</c:formatCode>
                <c:ptCount val="2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numCache>
            </c:numRef>
          </c:yVal>
          <c:smooth val="0"/>
          <c:extLst>
            <c:ext xmlns:c16="http://schemas.microsoft.com/office/drawing/2014/chart" uri="{C3380CC4-5D6E-409C-BE32-E72D297353CC}">
              <c16:uniqueId val="{00000002-085B-482D-B2C5-472F2191D3AD}"/>
            </c:ext>
          </c:extLst>
        </c:ser>
        <c:ser>
          <c:idx val="3"/>
          <c:order val="3"/>
          <c:tx>
            <c:v>flach voll</c:v>
          </c:tx>
          <c:spPr>
            <a:ln w="28575">
              <a:solidFill>
                <a:srgbClr val="EE7203"/>
              </a:solidFill>
              <a:prstDash val="solid"/>
            </a:ln>
          </c:spPr>
          <c:marker>
            <c:symbol val="none"/>
          </c:marker>
          <c:xVal>
            <c:numRef>
              <c:f>Diagrammdaten!$M$5:$M$19</c:f>
              <c:numCache>
                <c:formatCode>0.0</c:formatCode>
                <c:ptCount val="15"/>
                <c:pt idx="0">
                  <c:v>887.0117119116203</c:v>
                </c:pt>
                <c:pt idx="1">
                  <c:v>880.96399899561413</c:v>
                </c:pt>
                <c:pt idx="2">
                  <c:v>874.92840128777129</c:v>
                </c:pt>
                <c:pt idx="3">
                  <c:v>868.90911450950523</c:v>
                </c:pt>
                <c:pt idx="4">
                  <c:v>862.91042415748097</c:v>
                </c:pt>
                <c:pt idx="5">
                  <c:v>856.93665750622074</c:v>
                </c:pt>
                <c:pt idx="6">
                  <c:v>850.99215867839359</c:v>
                </c:pt>
                <c:pt idx="7">
                  <c:v>845.08128484855445</c:v>
                </c:pt>
                <c:pt idx="8">
                  <c:v>839.20842021912779</c:v>
                </c:pt>
                <c:pt idx="9">
                  <c:v>833.3779820885394</c:v>
                </c:pt>
                <c:pt idx="10">
                  <c:v>827.59443846398631</c:v>
                </c:pt>
                <c:pt idx="11">
                  <c:v>821.86229914870137</c:v>
                </c:pt>
                <c:pt idx="12">
                  <c:v>816.18608864203884</c:v>
                </c:pt>
                <c:pt idx="13">
                  <c:v>810.57029773547436</c:v>
                </c:pt>
                <c:pt idx="14">
                  <c:v>805.01931822061511</c:v>
                </c:pt>
              </c:numCache>
            </c:numRef>
          </c:xVal>
          <c:yVal>
            <c:numRef>
              <c:f>Diagrammdaten!$J$5:$J$19</c:f>
              <c:numCache>
                <c:formatCode>0.0</c:formatCode>
                <c:ptCount val="1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numCache>
            </c:numRef>
          </c:yVal>
          <c:smooth val="0"/>
          <c:extLst>
            <c:ext xmlns:c16="http://schemas.microsoft.com/office/drawing/2014/chart" uri="{C3380CC4-5D6E-409C-BE32-E72D297353CC}">
              <c16:uniqueId val="{00000003-085B-482D-B2C5-472F2191D3AD}"/>
            </c:ext>
          </c:extLst>
        </c:ser>
        <c:ser>
          <c:idx val="4"/>
          <c:order val="4"/>
          <c:tx>
            <c:v>flach leer</c:v>
          </c:tx>
          <c:spPr>
            <a:ln w="25400">
              <a:solidFill>
                <a:srgbClr val="EE7203"/>
              </a:solidFill>
              <a:prstDash val="sysDot"/>
            </a:ln>
          </c:spPr>
          <c:marker>
            <c:symbol val="none"/>
          </c:marker>
          <c:xVal>
            <c:numRef>
              <c:f>Diagrammdaten!$N$5:$N$19</c:f>
              <c:numCache>
                <c:formatCode>0.0</c:formatCode>
                <c:ptCount val="15"/>
                <c:pt idx="0">
                  <c:v>86.927627812342095</c:v>
                </c:pt>
                <c:pt idx="1">
                  <c:v>87.263056171686742</c:v>
                </c:pt>
                <c:pt idx="2">
                  <c:v>87.598691117570098</c:v>
                </c:pt>
                <c:pt idx="3">
                  <c:v>87.934413303751199</c:v>
                </c:pt>
                <c:pt idx="4">
                  <c:v>88.270114922448641</c:v>
                </c:pt>
                <c:pt idx="5">
                  <c:v>88.60569843290773</c:v>
                </c:pt>
                <c:pt idx="6">
                  <c:v>88.941075491279975</c:v>
                </c:pt>
                <c:pt idx="7">
                  <c:v>89.276166036568952</c:v>
                </c:pt>
                <c:pt idx="8">
                  <c:v>89.610897463693959</c:v>
                </c:pt>
                <c:pt idx="9">
                  <c:v>89.945204012356143</c:v>
                </c:pt>
                <c:pt idx="10">
                  <c:v>90.279026058757523</c:v>
                </c:pt>
                <c:pt idx="11">
                  <c:v>90.61230956683724</c:v>
                </c:pt>
                <c:pt idx="12">
                  <c:v>90.945005565253183</c:v>
                </c:pt>
                <c:pt idx="13">
                  <c:v>91.277069666415102</c:v>
                </c:pt>
                <c:pt idx="14">
                  <c:v>91.608461624269168</c:v>
                </c:pt>
              </c:numCache>
            </c:numRef>
          </c:xVal>
          <c:yVal>
            <c:numRef>
              <c:f>Diagrammdaten!$J$5:$J$19</c:f>
              <c:numCache>
                <c:formatCode>0.0</c:formatCode>
                <c:ptCount val="15"/>
                <c:pt idx="0">
                  <c:v>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numCache>
            </c:numRef>
          </c:yVal>
          <c:smooth val="0"/>
          <c:extLst>
            <c:ext xmlns:c16="http://schemas.microsoft.com/office/drawing/2014/chart" uri="{C3380CC4-5D6E-409C-BE32-E72D297353CC}">
              <c16:uniqueId val="{00000004-085B-482D-B2C5-472F2191D3AD}"/>
            </c:ext>
          </c:extLst>
        </c:ser>
        <c:dLbls>
          <c:showLegendKey val="0"/>
          <c:showVal val="0"/>
          <c:showCatName val="0"/>
          <c:showSerName val="0"/>
          <c:showPercent val="0"/>
          <c:showBubbleSize val="0"/>
        </c:dLbls>
        <c:axId val="10"/>
        <c:axId val="20"/>
      </c:scatterChart>
      <c:valAx>
        <c:axId val="10"/>
        <c:scaling>
          <c:orientation val="minMax"/>
          <c:max val="1000"/>
          <c:min val="0"/>
        </c:scaling>
        <c:delete val="0"/>
        <c:axPos val="b"/>
        <c:majorGridlines>
          <c:spPr>
            <a:ln>
              <a:solidFill>
                <a:srgbClr val="E0E0E0"/>
              </a:solidFill>
              <a:prstDash val="solid"/>
            </a:ln>
          </c:spPr>
        </c:majorGridlines>
        <c:title>
          <c:tx>
            <c:rich>
              <a:bodyPr/>
              <a:lstStyle/>
              <a:p>
                <a:pPr>
                  <a:defRPr/>
                </a:pPr>
                <a:r>
                  <a:rPr lang="de-DE"/>
                  <a:t>Dichte [kg/m³]</a:t>
                </a:r>
              </a:p>
            </c:rich>
          </c:tx>
          <c:overlay val="0"/>
        </c:title>
        <c:numFmt formatCode="0" sourceLinked="0"/>
        <c:majorTickMark val="none"/>
        <c:minorTickMark val="none"/>
        <c:tickLblPos val="nextTo"/>
        <c:crossAx val="20"/>
        <c:crosses val="max"/>
        <c:crossBetween val="midCat"/>
      </c:valAx>
      <c:valAx>
        <c:axId val="20"/>
        <c:scaling>
          <c:orientation val="maxMin"/>
          <c:max val="1200"/>
          <c:min val="0"/>
        </c:scaling>
        <c:delete val="0"/>
        <c:axPos val="l"/>
        <c:majorGridlines>
          <c:spPr>
            <a:ln>
              <a:solidFill>
                <a:srgbClr val="E0E0E0"/>
              </a:solidFill>
              <a:prstDash val="solid"/>
            </a:ln>
          </c:spPr>
        </c:majorGridlines>
        <c:title>
          <c:tx>
            <c:rich>
              <a:bodyPr/>
              <a:lstStyle/>
              <a:p>
                <a:pPr>
                  <a:defRPr/>
                </a:pPr>
                <a:r>
                  <a:rPr lang="de-DE"/>
                  <a:t>Teufe [m]</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Dichte über Druck bei Gebirgstemperatur</a:t>
            </a:r>
          </a:p>
        </c:rich>
      </c:tx>
      <c:overlay val="0"/>
    </c:title>
    <c:autoTitleDeleted val="0"/>
    <c:plotArea>
      <c:layout/>
      <c:scatterChart>
        <c:scatterStyle val="lineMarker"/>
        <c:varyColors val="1"/>
        <c:ser>
          <c:idx val="0"/>
          <c:order val="0"/>
          <c:tx>
            <c:v>tief (52 °C)</c:v>
          </c:tx>
          <c:spPr>
            <a:ln w="15875">
              <a:solidFill>
                <a:srgbClr val="5B9BD5"/>
              </a:solidFill>
              <a:prstDash val="solid"/>
            </a:ln>
          </c:spPr>
          <c:marker>
            <c:symbol val="none"/>
          </c:marker>
          <c:xVal>
            <c:numRef>
              <c:f>Diagrammdaten!$P$5:$P$75</c:f>
              <c:numCache>
                <c:formatCode>0.0</c:formatCode>
                <c:ptCount val="71"/>
                <c:pt idx="0">
                  <c:v>20</c:v>
                </c:pt>
                <c:pt idx="1">
                  <c:v>23</c:v>
                </c:pt>
                <c:pt idx="2">
                  <c:v>26</c:v>
                </c:pt>
                <c:pt idx="3">
                  <c:v>29</c:v>
                </c:pt>
                <c:pt idx="4">
                  <c:v>32</c:v>
                </c:pt>
                <c:pt idx="5">
                  <c:v>35</c:v>
                </c:pt>
                <c:pt idx="6">
                  <c:v>38</c:v>
                </c:pt>
                <c:pt idx="7">
                  <c:v>41</c:v>
                </c:pt>
                <c:pt idx="8">
                  <c:v>44</c:v>
                </c:pt>
                <c:pt idx="9">
                  <c:v>47</c:v>
                </c:pt>
                <c:pt idx="10">
                  <c:v>50</c:v>
                </c:pt>
                <c:pt idx="11">
                  <c:v>53</c:v>
                </c:pt>
                <c:pt idx="12">
                  <c:v>56</c:v>
                </c:pt>
                <c:pt idx="13">
                  <c:v>59</c:v>
                </c:pt>
                <c:pt idx="14">
                  <c:v>62</c:v>
                </c:pt>
                <c:pt idx="15">
                  <c:v>65</c:v>
                </c:pt>
                <c:pt idx="16">
                  <c:v>68</c:v>
                </c:pt>
                <c:pt idx="17">
                  <c:v>71</c:v>
                </c:pt>
                <c:pt idx="18">
                  <c:v>74</c:v>
                </c:pt>
                <c:pt idx="19">
                  <c:v>77</c:v>
                </c:pt>
                <c:pt idx="20">
                  <c:v>80</c:v>
                </c:pt>
                <c:pt idx="21">
                  <c:v>83</c:v>
                </c:pt>
                <c:pt idx="22">
                  <c:v>86</c:v>
                </c:pt>
                <c:pt idx="23">
                  <c:v>89</c:v>
                </c:pt>
                <c:pt idx="24">
                  <c:v>92</c:v>
                </c:pt>
                <c:pt idx="25">
                  <c:v>95</c:v>
                </c:pt>
                <c:pt idx="26">
                  <c:v>98</c:v>
                </c:pt>
                <c:pt idx="27">
                  <c:v>101</c:v>
                </c:pt>
                <c:pt idx="28">
                  <c:v>104</c:v>
                </c:pt>
                <c:pt idx="29">
                  <c:v>107</c:v>
                </c:pt>
                <c:pt idx="30">
                  <c:v>110</c:v>
                </c:pt>
                <c:pt idx="31">
                  <c:v>113</c:v>
                </c:pt>
                <c:pt idx="32">
                  <c:v>116</c:v>
                </c:pt>
                <c:pt idx="33">
                  <c:v>119</c:v>
                </c:pt>
                <c:pt idx="34">
                  <c:v>122</c:v>
                </c:pt>
                <c:pt idx="35">
                  <c:v>125</c:v>
                </c:pt>
                <c:pt idx="36">
                  <c:v>128</c:v>
                </c:pt>
                <c:pt idx="37">
                  <c:v>131</c:v>
                </c:pt>
                <c:pt idx="38">
                  <c:v>134</c:v>
                </c:pt>
                <c:pt idx="39">
                  <c:v>137</c:v>
                </c:pt>
                <c:pt idx="40">
                  <c:v>140</c:v>
                </c:pt>
                <c:pt idx="41">
                  <c:v>143</c:v>
                </c:pt>
                <c:pt idx="42">
                  <c:v>146</c:v>
                </c:pt>
                <c:pt idx="43">
                  <c:v>149</c:v>
                </c:pt>
                <c:pt idx="44">
                  <c:v>152</c:v>
                </c:pt>
                <c:pt idx="45">
                  <c:v>155</c:v>
                </c:pt>
                <c:pt idx="46">
                  <c:v>158</c:v>
                </c:pt>
                <c:pt idx="47">
                  <c:v>161</c:v>
                </c:pt>
                <c:pt idx="48">
                  <c:v>164</c:v>
                </c:pt>
                <c:pt idx="49">
                  <c:v>167</c:v>
                </c:pt>
                <c:pt idx="50">
                  <c:v>170</c:v>
                </c:pt>
                <c:pt idx="51">
                  <c:v>173</c:v>
                </c:pt>
                <c:pt idx="52">
                  <c:v>176</c:v>
                </c:pt>
                <c:pt idx="53">
                  <c:v>179</c:v>
                </c:pt>
                <c:pt idx="54">
                  <c:v>182</c:v>
                </c:pt>
                <c:pt idx="55">
                  <c:v>185</c:v>
                </c:pt>
                <c:pt idx="56">
                  <c:v>188</c:v>
                </c:pt>
                <c:pt idx="57">
                  <c:v>191</c:v>
                </c:pt>
                <c:pt idx="58">
                  <c:v>194</c:v>
                </c:pt>
                <c:pt idx="59">
                  <c:v>197</c:v>
                </c:pt>
                <c:pt idx="60">
                  <c:v>200</c:v>
                </c:pt>
                <c:pt idx="61">
                  <c:v>203</c:v>
                </c:pt>
                <c:pt idx="62">
                  <c:v>206</c:v>
                </c:pt>
                <c:pt idx="63">
                  <c:v>209</c:v>
                </c:pt>
                <c:pt idx="64">
                  <c:v>212</c:v>
                </c:pt>
                <c:pt idx="65">
                  <c:v>215</c:v>
                </c:pt>
                <c:pt idx="66">
                  <c:v>218</c:v>
                </c:pt>
                <c:pt idx="67">
                  <c:v>221</c:v>
                </c:pt>
                <c:pt idx="68">
                  <c:v>224</c:v>
                </c:pt>
                <c:pt idx="69">
                  <c:v>227</c:v>
                </c:pt>
                <c:pt idx="70">
                  <c:v>230</c:v>
                </c:pt>
              </c:numCache>
            </c:numRef>
          </c:xVal>
          <c:yVal>
            <c:numRef>
              <c:f>Diagrammdaten!$Q$5:$Q$75</c:f>
              <c:numCache>
                <c:formatCode>0.0</c:formatCode>
                <c:ptCount val="71"/>
                <c:pt idx="0">
                  <c:v>35.290293911585941</c:v>
                </c:pt>
                <c:pt idx="1">
                  <c:v>41.135655210807784</c:v>
                </c:pt>
                <c:pt idx="2">
                  <c:v>47.153145127633742</c:v>
                </c:pt>
                <c:pt idx="3">
                  <c:v>53.355072070134867</c:v>
                </c:pt>
                <c:pt idx="4">
                  <c:v>59.755132904999023</c:v>
                </c:pt>
                <c:pt idx="5">
                  <c:v>66.368625069982158</c:v>
                </c:pt>
                <c:pt idx="6">
                  <c:v>73.21270024047088</c:v>
                </c:pt>
                <c:pt idx="7">
                  <c:v>80.306669575714039</c:v>
                </c:pt>
                <c:pt idx="8">
                  <c:v>87.67237344443781</c:v>
                </c:pt>
                <c:pt idx="9">
                  <c:v>95.334632349264069</c:v>
                </c:pt>
                <c:pt idx="10">
                  <c:v>103.321800876897</c:v>
                </c:pt>
                <c:pt idx="11">
                  <c:v>111.6664533663083</c:v>
                </c:pt>
                <c:pt idx="12">
                  <c:v>120.4062392488635</c:v>
                </c:pt>
                <c:pt idx="13">
                  <c:v>129.58495852275911</c:v>
                </c:pt>
                <c:pt idx="14">
                  <c:v>139.2539246633101</c:v>
                </c:pt>
                <c:pt idx="15">
                  <c:v>149.4737046981636</c:v>
                </c:pt>
                <c:pt idx="16">
                  <c:v>160.31635531498009</c:v>
                </c:pt>
                <c:pt idx="17">
                  <c:v>171.86830972043251</c:v>
                </c:pt>
                <c:pt idx="18">
                  <c:v>184.23410864818541</c:v>
                </c:pt>
                <c:pt idx="19">
                  <c:v>197.5411952593056</c:v>
                </c:pt>
                <c:pt idx="20">
                  <c:v>211.94596195566899</c:v>
                </c:pt>
                <c:pt idx="21">
                  <c:v>227.6410216000717</c:v>
                </c:pt>
                <c:pt idx="22">
                  <c:v>244.8629497008308</c:v>
                </c:pt>
                <c:pt idx="23">
                  <c:v>263.89772184440727</c:v>
                </c:pt>
                <c:pt idx="24">
                  <c:v>285.07616910048517</c:v>
                </c:pt>
                <c:pt idx="25">
                  <c:v>308.74225773811122</c:v>
                </c:pt>
                <c:pt idx="26">
                  <c:v>335.16639990891952</c:v>
                </c:pt>
                <c:pt idx="27">
                  <c:v>364.38190176819558</c:v>
                </c:pt>
                <c:pt idx="28">
                  <c:v>395.95646881770881</c:v>
                </c:pt>
                <c:pt idx="29">
                  <c:v>428.77718416926069</c:v>
                </c:pt>
                <c:pt idx="30">
                  <c:v>461.1347341097391</c:v>
                </c:pt>
                <c:pt idx="31">
                  <c:v>491.40747792282531</c:v>
                </c:pt>
                <c:pt idx="32">
                  <c:v>518.71017966167369</c:v>
                </c:pt>
                <c:pt idx="33">
                  <c:v>542.82940532640646</c:v>
                </c:pt>
                <c:pt idx="34">
                  <c:v>563.98569771225709</c:v>
                </c:pt>
                <c:pt idx="35">
                  <c:v>582.57297588797826</c:v>
                </c:pt>
                <c:pt idx="36">
                  <c:v>599.00591691468469</c:v>
                </c:pt>
                <c:pt idx="37">
                  <c:v>613.65430227083698</c:v>
                </c:pt>
                <c:pt idx="38">
                  <c:v>626.82487246582173</c:v>
                </c:pt>
                <c:pt idx="39">
                  <c:v>638.76422416741912</c:v>
                </c:pt>
                <c:pt idx="40">
                  <c:v>649.66864177920343</c:v>
                </c:pt>
                <c:pt idx="41">
                  <c:v>659.69459023869274</c:v>
                </c:pt>
                <c:pt idx="42">
                  <c:v>668.96769125286812</c:v>
                </c:pt>
                <c:pt idx="43">
                  <c:v>677.58978130805031</c:v>
                </c:pt>
                <c:pt idx="44">
                  <c:v>685.64427205517723</c:v>
                </c:pt>
                <c:pt idx="45">
                  <c:v>693.20017549803026</c:v>
                </c:pt>
                <c:pt idx="46">
                  <c:v>700.31512955808512</c:v>
                </c:pt>
                <c:pt idx="47">
                  <c:v>707.03768952139274</c:v>
                </c:pt>
                <c:pt idx="48">
                  <c:v>713.40908214081617</c:v>
                </c:pt>
                <c:pt idx="49">
                  <c:v>719.46456419000765</c:v>
                </c:pt>
                <c:pt idx="50">
                  <c:v>725.23448679241267</c:v>
                </c:pt>
                <c:pt idx="51">
                  <c:v>730.7451381529645</c:v>
                </c:pt>
                <c:pt idx="52">
                  <c:v>736.01941726046346</c:v>
                </c:pt>
                <c:pt idx="53">
                  <c:v>741.0773771073259</c:v>
                </c:pt>
                <c:pt idx="54">
                  <c:v>745.936666090166</c:v>
                </c:pt>
                <c:pt idx="55">
                  <c:v>750.61288919553158</c:v>
                </c:pt>
                <c:pt idx="56">
                  <c:v>755.11990545662286</c:v>
                </c:pt>
                <c:pt idx="57">
                  <c:v>759.47007439826609</c:v>
                </c:pt>
                <c:pt idx="58">
                  <c:v>763.67446137355716</c:v>
                </c:pt>
                <c:pt idx="59">
                  <c:v>767.74300956791069</c:v>
                </c:pt>
                <c:pt idx="60">
                  <c:v>771.68468481990237</c:v>
                </c:pt>
                <c:pt idx="61">
                  <c:v>775.5075981536404</c:v>
                </c:pt>
                <c:pt idx="62">
                  <c:v>779.21910994162317</c:v>
                </c:pt>
                <c:pt idx="63">
                  <c:v>782.82591885295221</c:v>
                </c:pt>
                <c:pt idx="64">
                  <c:v>786.33413813971811</c:v>
                </c:pt>
                <c:pt idx="65">
                  <c:v>789.74936133732001</c:v>
                </c:pt>
                <c:pt idx="66">
                  <c:v>793.07671907459871</c:v>
                </c:pt>
                <c:pt idx="67">
                  <c:v>796.32092838562085</c:v>
                </c:pt>
                <c:pt idx="68">
                  <c:v>799.48633567045749</c:v>
                </c:pt>
                <c:pt idx="69">
                  <c:v>802.57695425494956</c:v>
                </c:pt>
                <c:pt idx="70">
                  <c:v>805.59649733930098</c:v>
                </c:pt>
              </c:numCache>
            </c:numRef>
          </c:yVal>
          <c:smooth val="0"/>
          <c:extLst>
            <c:ext xmlns:c16="http://schemas.microsoft.com/office/drawing/2014/chart" uri="{C3380CC4-5D6E-409C-BE32-E72D297353CC}">
              <c16:uniqueId val="{00000000-34CC-45D5-86B7-1E8C00E5DFD0}"/>
            </c:ext>
          </c:extLst>
        </c:ser>
        <c:ser>
          <c:idx val="1"/>
          <c:order val="1"/>
          <c:tx>
            <c:v>tief: Betriebsfenster</c:v>
          </c:tx>
          <c:spPr>
            <a:ln w="50800">
              <a:solidFill>
                <a:srgbClr val="00304F"/>
              </a:solidFill>
              <a:prstDash val="solid"/>
            </a:ln>
          </c:spPr>
          <c:marker>
            <c:symbol val="none"/>
          </c:marker>
          <c:xVal>
            <c:numRef>
              <c:f>Diagrammdaten!$P$5:$P$75</c:f>
              <c:numCache>
                <c:formatCode>0.0</c:formatCode>
                <c:ptCount val="71"/>
                <c:pt idx="0">
                  <c:v>20</c:v>
                </c:pt>
                <c:pt idx="1">
                  <c:v>23</c:v>
                </c:pt>
                <c:pt idx="2">
                  <c:v>26</c:v>
                </c:pt>
                <c:pt idx="3">
                  <c:v>29</c:v>
                </c:pt>
                <c:pt idx="4">
                  <c:v>32</c:v>
                </c:pt>
                <c:pt idx="5">
                  <c:v>35</c:v>
                </c:pt>
                <c:pt idx="6">
                  <c:v>38</c:v>
                </c:pt>
                <c:pt idx="7">
                  <c:v>41</c:v>
                </c:pt>
                <c:pt idx="8">
                  <c:v>44</c:v>
                </c:pt>
                <c:pt idx="9">
                  <c:v>47</c:v>
                </c:pt>
                <c:pt idx="10">
                  <c:v>50</c:v>
                </c:pt>
                <c:pt idx="11">
                  <c:v>53</c:v>
                </c:pt>
                <c:pt idx="12">
                  <c:v>56</c:v>
                </c:pt>
                <c:pt idx="13">
                  <c:v>59</c:v>
                </c:pt>
                <c:pt idx="14">
                  <c:v>62</c:v>
                </c:pt>
                <c:pt idx="15">
                  <c:v>65</c:v>
                </c:pt>
                <c:pt idx="16">
                  <c:v>68</c:v>
                </c:pt>
                <c:pt idx="17">
                  <c:v>71</c:v>
                </c:pt>
                <c:pt idx="18">
                  <c:v>74</c:v>
                </c:pt>
                <c:pt idx="19">
                  <c:v>77</c:v>
                </c:pt>
                <c:pt idx="20">
                  <c:v>80</c:v>
                </c:pt>
                <c:pt idx="21">
                  <c:v>83</c:v>
                </c:pt>
                <c:pt idx="22">
                  <c:v>86</c:v>
                </c:pt>
                <c:pt idx="23">
                  <c:v>89</c:v>
                </c:pt>
                <c:pt idx="24">
                  <c:v>92</c:v>
                </c:pt>
                <c:pt idx="25">
                  <c:v>95</c:v>
                </c:pt>
                <c:pt idx="26">
                  <c:v>98</c:v>
                </c:pt>
                <c:pt idx="27">
                  <c:v>101</c:v>
                </c:pt>
                <c:pt idx="28">
                  <c:v>104</c:v>
                </c:pt>
                <c:pt idx="29">
                  <c:v>107</c:v>
                </c:pt>
                <c:pt idx="30">
                  <c:v>110</c:v>
                </c:pt>
                <c:pt idx="31">
                  <c:v>113</c:v>
                </c:pt>
                <c:pt idx="32">
                  <c:v>116</c:v>
                </c:pt>
                <c:pt idx="33">
                  <c:v>119</c:v>
                </c:pt>
                <c:pt idx="34">
                  <c:v>122</c:v>
                </c:pt>
                <c:pt idx="35">
                  <c:v>125</c:v>
                </c:pt>
                <c:pt idx="36">
                  <c:v>128</c:v>
                </c:pt>
                <c:pt idx="37">
                  <c:v>131</c:v>
                </c:pt>
                <c:pt idx="38">
                  <c:v>134</c:v>
                </c:pt>
                <c:pt idx="39">
                  <c:v>137</c:v>
                </c:pt>
                <c:pt idx="40">
                  <c:v>140</c:v>
                </c:pt>
                <c:pt idx="41">
                  <c:v>143</c:v>
                </c:pt>
                <c:pt idx="42">
                  <c:v>146</c:v>
                </c:pt>
                <c:pt idx="43">
                  <c:v>149</c:v>
                </c:pt>
                <c:pt idx="44">
                  <c:v>152</c:v>
                </c:pt>
                <c:pt idx="45">
                  <c:v>155</c:v>
                </c:pt>
                <c:pt idx="46">
                  <c:v>158</c:v>
                </c:pt>
                <c:pt idx="47">
                  <c:v>161</c:v>
                </c:pt>
                <c:pt idx="48">
                  <c:v>164</c:v>
                </c:pt>
                <c:pt idx="49">
                  <c:v>167</c:v>
                </c:pt>
                <c:pt idx="50">
                  <c:v>170</c:v>
                </c:pt>
                <c:pt idx="51">
                  <c:v>173</c:v>
                </c:pt>
                <c:pt idx="52">
                  <c:v>176</c:v>
                </c:pt>
                <c:pt idx="53">
                  <c:v>179</c:v>
                </c:pt>
                <c:pt idx="54">
                  <c:v>182</c:v>
                </c:pt>
                <c:pt idx="55">
                  <c:v>185</c:v>
                </c:pt>
                <c:pt idx="56">
                  <c:v>188</c:v>
                </c:pt>
                <c:pt idx="57">
                  <c:v>191</c:v>
                </c:pt>
                <c:pt idx="58">
                  <c:v>194</c:v>
                </c:pt>
                <c:pt idx="59">
                  <c:v>197</c:v>
                </c:pt>
                <c:pt idx="60">
                  <c:v>200</c:v>
                </c:pt>
                <c:pt idx="61">
                  <c:v>203</c:v>
                </c:pt>
                <c:pt idx="62">
                  <c:v>206</c:v>
                </c:pt>
                <c:pt idx="63">
                  <c:v>209</c:v>
                </c:pt>
                <c:pt idx="64">
                  <c:v>212</c:v>
                </c:pt>
                <c:pt idx="65">
                  <c:v>215</c:v>
                </c:pt>
                <c:pt idx="66">
                  <c:v>218</c:v>
                </c:pt>
                <c:pt idx="67">
                  <c:v>221</c:v>
                </c:pt>
                <c:pt idx="68">
                  <c:v>224</c:v>
                </c:pt>
                <c:pt idx="69">
                  <c:v>227</c:v>
                </c:pt>
                <c:pt idx="70">
                  <c:v>230</c:v>
                </c:pt>
              </c:numCache>
            </c:numRef>
          </c:xVal>
          <c:yVal>
            <c:numRef>
              <c:f>Diagrammdaten!$R$5:$R$75</c:f>
              <c:numCache>
                <c:formatCode>General</c:formatCode>
                <c:ptCount val="71"/>
                <c:pt idx="18" formatCode="0.0">
                  <c:v>184.23410864818541</c:v>
                </c:pt>
                <c:pt idx="19" formatCode="0.0">
                  <c:v>197.5411952593056</c:v>
                </c:pt>
                <c:pt idx="20" formatCode="0.0">
                  <c:v>211.94596195566899</c:v>
                </c:pt>
                <c:pt idx="21" formatCode="0.0">
                  <c:v>227.6410216000717</c:v>
                </c:pt>
                <c:pt idx="22" formatCode="0.0">
                  <c:v>244.8629497008308</c:v>
                </c:pt>
                <c:pt idx="23" formatCode="0.0">
                  <c:v>263.89772184440727</c:v>
                </c:pt>
                <c:pt idx="24" formatCode="0.0">
                  <c:v>285.07616910048517</c:v>
                </c:pt>
                <c:pt idx="25" formatCode="0.0">
                  <c:v>308.74225773811122</c:v>
                </c:pt>
                <c:pt idx="26" formatCode="0.0">
                  <c:v>335.16639990891952</c:v>
                </c:pt>
                <c:pt idx="27" formatCode="0.0">
                  <c:v>364.38190176819558</c:v>
                </c:pt>
                <c:pt idx="28" formatCode="0.0">
                  <c:v>395.95646881770881</c:v>
                </c:pt>
                <c:pt idx="29" formatCode="0.0">
                  <c:v>428.77718416926069</c:v>
                </c:pt>
                <c:pt idx="30" formatCode="0.0">
                  <c:v>461.1347341097391</c:v>
                </c:pt>
                <c:pt idx="31" formatCode="0.0">
                  <c:v>491.40747792282531</c:v>
                </c:pt>
                <c:pt idx="32" formatCode="0.0">
                  <c:v>518.71017966167369</c:v>
                </c:pt>
                <c:pt idx="33" formatCode="0.0">
                  <c:v>542.82940532640646</c:v>
                </c:pt>
                <c:pt idx="34" formatCode="0.0">
                  <c:v>563.98569771225709</c:v>
                </c:pt>
                <c:pt idx="35" formatCode="0.0">
                  <c:v>582.57297588797826</c:v>
                </c:pt>
                <c:pt idx="36" formatCode="0.0">
                  <c:v>599.00591691468469</c:v>
                </c:pt>
                <c:pt idx="37" formatCode="0.0">
                  <c:v>613.65430227083698</c:v>
                </c:pt>
                <c:pt idx="38" formatCode="0.0">
                  <c:v>626.82487246582173</c:v>
                </c:pt>
                <c:pt idx="39" formatCode="0.0">
                  <c:v>638.76422416741912</c:v>
                </c:pt>
                <c:pt idx="40" formatCode="0.0">
                  <c:v>649.66864177920343</c:v>
                </c:pt>
                <c:pt idx="41" formatCode="0.0">
                  <c:v>659.69459023869274</c:v>
                </c:pt>
                <c:pt idx="42" formatCode="0.0">
                  <c:v>668.96769125286812</c:v>
                </c:pt>
                <c:pt idx="43" formatCode="0.0">
                  <c:v>677.58978130805031</c:v>
                </c:pt>
                <c:pt idx="44" formatCode="0.0">
                  <c:v>685.64427205517723</c:v>
                </c:pt>
                <c:pt idx="45" formatCode="0.0">
                  <c:v>693.20017549803026</c:v>
                </c:pt>
                <c:pt idx="46" formatCode="0.0">
                  <c:v>700.31512955808512</c:v>
                </c:pt>
                <c:pt idx="47" formatCode="0.0">
                  <c:v>707.03768952139274</c:v>
                </c:pt>
                <c:pt idx="48" formatCode="0.0">
                  <c:v>713.40908214081617</c:v>
                </c:pt>
                <c:pt idx="49" formatCode="0.0">
                  <c:v>719.46456419000765</c:v>
                </c:pt>
                <c:pt idx="50" formatCode="0.0">
                  <c:v>725.23448679241267</c:v>
                </c:pt>
                <c:pt idx="51" formatCode="0.0">
                  <c:v>730.7451381529645</c:v>
                </c:pt>
                <c:pt idx="52" formatCode="0.0">
                  <c:v>736.01941726046346</c:v>
                </c:pt>
                <c:pt idx="53" formatCode="0.0">
                  <c:v>741.0773771073259</c:v>
                </c:pt>
                <c:pt idx="54" formatCode="0.0">
                  <c:v>745.936666090166</c:v>
                </c:pt>
                <c:pt idx="55" formatCode="0.0">
                  <c:v>750.61288919553158</c:v>
                </c:pt>
                <c:pt idx="56" formatCode="0.0">
                  <c:v>755.11990545662286</c:v>
                </c:pt>
                <c:pt idx="57" formatCode="0.0">
                  <c:v>759.47007439826609</c:v>
                </c:pt>
                <c:pt idx="58" formatCode="0.0">
                  <c:v>763.67446137355716</c:v>
                </c:pt>
                <c:pt idx="59" formatCode="0.0">
                  <c:v>767.74300956791069</c:v>
                </c:pt>
                <c:pt idx="60" formatCode="0.0">
                  <c:v>771.68468481990237</c:v>
                </c:pt>
                <c:pt idx="61" formatCode="0.0">
                  <c:v>775.5075981536404</c:v>
                </c:pt>
                <c:pt idx="62" formatCode="0.0">
                  <c:v>779.21910994162317</c:v>
                </c:pt>
                <c:pt idx="63" formatCode="0.0">
                  <c:v>782.82591885295221</c:v>
                </c:pt>
                <c:pt idx="64" formatCode="0.0">
                  <c:v>786.33413813971811</c:v>
                </c:pt>
                <c:pt idx="65" formatCode="0.0">
                  <c:v>789.74936133732001</c:v>
                </c:pt>
                <c:pt idx="66" formatCode="0.0">
                  <c:v>793.07671907459871</c:v>
                </c:pt>
                <c:pt idx="67" formatCode="0.0">
                  <c:v>796.32092838562085</c:v>
                </c:pt>
                <c:pt idx="68" formatCode="0.0">
                  <c:v>799.48633567045749</c:v>
                </c:pt>
                <c:pt idx="69" formatCode="0.0">
                  <c:v>802.57695425494956</c:v>
                </c:pt>
              </c:numCache>
            </c:numRef>
          </c:yVal>
          <c:smooth val="0"/>
          <c:extLst>
            <c:ext xmlns:c16="http://schemas.microsoft.com/office/drawing/2014/chart" uri="{C3380CC4-5D6E-409C-BE32-E72D297353CC}">
              <c16:uniqueId val="{00000001-34CC-45D5-86B7-1E8C00E5DFD0}"/>
            </c:ext>
          </c:extLst>
        </c:ser>
        <c:ser>
          <c:idx val="2"/>
          <c:order val="2"/>
          <c:tx>
            <c:v>flach (37 °C)</c:v>
          </c:tx>
          <c:spPr>
            <a:ln w="15875">
              <a:solidFill>
                <a:srgbClr val="F4B183"/>
              </a:solidFill>
              <a:prstDash val="solid"/>
            </a:ln>
          </c:spPr>
          <c:marker>
            <c:symbol val="none"/>
          </c:marker>
          <c:xVal>
            <c:numRef>
              <c:f>Diagrammdaten!$P$5:$P$75</c:f>
              <c:numCache>
                <c:formatCode>0.0</c:formatCode>
                <c:ptCount val="71"/>
                <c:pt idx="0">
                  <c:v>20</c:v>
                </c:pt>
                <c:pt idx="1">
                  <c:v>23</c:v>
                </c:pt>
                <c:pt idx="2">
                  <c:v>26</c:v>
                </c:pt>
                <c:pt idx="3">
                  <c:v>29</c:v>
                </c:pt>
                <c:pt idx="4">
                  <c:v>32</c:v>
                </c:pt>
                <c:pt idx="5">
                  <c:v>35</c:v>
                </c:pt>
                <c:pt idx="6">
                  <c:v>38</c:v>
                </c:pt>
                <c:pt idx="7">
                  <c:v>41</c:v>
                </c:pt>
                <c:pt idx="8">
                  <c:v>44</c:v>
                </c:pt>
                <c:pt idx="9">
                  <c:v>47</c:v>
                </c:pt>
                <c:pt idx="10">
                  <c:v>50</c:v>
                </c:pt>
                <c:pt idx="11">
                  <c:v>53</c:v>
                </c:pt>
                <c:pt idx="12">
                  <c:v>56</c:v>
                </c:pt>
                <c:pt idx="13">
                  <c:v>59</c:v>
                </c:pt>
                <c:pt idx="14">
                  <c:v>62</c:v>
                </c:pt>
                <c:pt idx="15">
                  <c:v>65</c:v>
                </c:pt>
                <c:pt idx="16">
                  <c:v>68</c:v>
                </c:pt>
                <c:pt idx="17">
                  <c:v>71</c:v>
                </c:pt>
                <c:pt idx="18">
                  <c:v>74</c:v>
                </c:pt>
                <c:pt idx="19">
                  <c:v>77</c:v>
                </c:pt>
                <c:pt idx="20">
                  <c:v>80</c:v>
                </c:pt>
                <c:pt idx="21">
                  <c:v>83</c:v>
                </c:pt>
                <c:pt idx="22">
                  <c:v>86</c:v>
                </c:pt>
                <c:pt idx="23">
                  <c:v>89</c:v>
                </c:pt>
                <c:pt idx="24">
                  <c:v>92</c:v>
                </c:pt>
                <c:pt idx="25">
                  <c:v>95</c:v>
                </c:pt>
                <c:pt idx="26">
                  <c:v>98</c:v>
                </c:pt>
                <c:pt idx="27">
                  <c:v>101</c:v>
                </c:pt>
                <c:pt idx="28">
                  <c:v>104</c:v>
                </c:pt>
                <c:pt idx="29">
                  <c:v>107</c:v>
                </c:pt>
                <c:pt idx="30">
                  <c:v>110</c:v>
                </c:pt>
                <c:pt idx="31">
                  <c:v>113</c:v>
                </c:pt>
                <c:pt idx="32">
                  <c:v>116</c:v>
                </c:pt>
                <c:pt idx="33">
                  <c:v>119</c:v>
                </c:pt>
                <c:pt idx="34">
                  <c:v>122</c:v>
                </c:pt>
                <c:pt idx="35">
                  <c:v>125</c:v>
                </c:pt>
                <c:pt idx="36">
                  <c:v>128</c:v>
                </c:pt>
                <c:pt idx="37">
                  <c:v>131</c:v>
                </c:pt>
                <c:pt idx="38">
                  <c:v>134</c:v>
                </c:pt>
                <c:pt idx="39">
                  <c:v>137</c:v>
                </c:pt>
                <c:pt idx="40">
                  <c:v>140</c:v>
                </c:pt>
                <c:pt idx="41">
                  <c:v>143</c:v>
                </c:pt>
                <c:pt idx="42">
                  <c:v>146</c:v>
                </c:pt>
                <c:pt idx="43">
                  <c:v>149</c:v>
                </c:pt>
                <c:pt idx="44">
                  <c:v>152</c:v>
                </c:pt>
                <c:pt idx="45">
                  <c:v>155</c:v>
                </c:pt>
                <c:pt idx="46">
                  <c:v>158</c:v>
                </c:pt>
                <c:pt idx="47">
                  <c:v>161</c:v>
                </c:pt>
                <c:pt idx="48">
                  <c:v>164</c:v>
                </c:pt>
                <c:pt idx="49">
                  <c:v>167</c:v>
                </c:pt>
                <c:pt idx="50">
                  <c:v>170</c:v>
                </c:pt>
                <c:pt idx="51">
                  <c:v>173</c:v>
                </c:pt>
                <c:pt idx="52">
                  <c:v>176</c:v>
                </c:pt>
                <c:pt idx="53">
                  <c:v>179</c:v>
                </c:pt>
                <c:pt idx="54">
                  <c:v>182</c:v>
                </c:pt>
                <c:pt idx="55">
                  <c:v>185</c:v>
                </c:pt>
                <c:pt idx="56">
                  <c:v>188</c:v>
                </c:pt>
                <c:pt idx="57">
                  <c:v>191</c:v>
                </c:pt>
                <c:pt idx="58">
                  <c:v>194</c:v>
                </c:pt>
                <c:pt idx="59">
                  <c:v>197</c:v>
                </c:pt>
                <c:pt idx="60">
                  <c:v>200</c:v>
                </c:pt>
                <c:pt idx="61">
                  <c:v>203</c:v>
                </c:pt>
                <c:pt idx="62">
                  <c:v>206</c:v>
                </c:pt>
                <c:pt idx="63">
                  <c:v>209</c:v>
                </c:pt>
                <c:pt idx="64">
                  <c:v>212</c:v>
                </c:pt>
                <c:pt idx="65">
                  <c:v>215</c:v>
                </c:pt>
                <c:pt idx="66">
                  <c:v>218</c:v>
                </c:pt>
                <c:pt idx="67">
                  <c:v>221</c:v>
                </c:pt>
                <c:pt idx="68">
                  <c:v>224</c:v>
                </c:pt>
                <c:pt idx="69">
                  <c:v>227</c:v>
                </c:pt>
                <c:pt idx="70">
                  <c:v>230</c:v>
                </c:pt>
              </c:numCache>
            </c:numRef>
          </c:xVal>
          <c:yVal>
            <c:numRef>
              <c:f>Diagrammdaten!$S$5:$S$75</c:f>
              <c:numCache>
                <c:formatCode>0.0</c:formatCode>
                <c:ptCount val="71"/>
                <c:pt idx="0">
                  <c:v>37.594702102892413</c:v>
                </c:pt>
                <c:pt idx="1">
                  <c:v>43.961219207675683</c:v>
                </c:pt>
                <c:pt idx="2">
                  <c:v>50.566407172143713</c:v>
                </c:pt>
                <c:pt idx="3">
                  <c:v>57.433318475535494</c:v>
                </c:pt>
                <c:pt idx="4">
                  <c:v>64.588690179663516</c:v>
                </c:pt>
                <c:pt idx="5">
                  <c:v>72.063789227013601</c:v>
                </c:pt>
                <c:pt idx="6">
                  <c:v>79.895519483466515</c:v>
                </c:pt>
                <c:pt idx="7">
                  <c:v>88.127895543816535</c:v>
                </c:pt>
                <c:pt idx="8">
                  <c:v>96.814041385408089</c:v>
                </c:pt>
                <c:pt idx="9">
                  <c:v>106.0189581469244</c:v>
                </c:pt>
                <c:pt idx="10">
                  <c:v>115.8234498532151</c:v>
                </c:pt>
                <c:pt idx="11">
                  <c:v>126.3298473204008</c:v>
                </c:pt>
                <c:pt idx="12">
                  <c:v>137.67062658287921</c:v>
                </c:pt>
                <c:pt idx="13">
                  <c:v>150.02188738103629</c:v>
                </c:pt>
                <c:pt idx="14">
                  <c:v>163.6254132457768</c:v>
                </c:pt>
                <c:pt idx="15">
                  <c:v>178.82684137639421</c:v>
                </c:pt>
                <c:pt idx="16">
                  <c:v>196.14647162684491</c:v>
                </c:pt>
                <c:pt idx="17">
                  <c:v>216.42299223786091</c:v>
                </c:pt>
                <c:pt idx="18">
                  <c:v>241.1425674905349</c:v>
                </c:pt>
                <c:pt idx="19">
                  <c:v>273.32916115210543</c:v>
                </c:pt>
                <c:pt idx="20">
                  <c:v>320.55800579262711</c:v>
                </c:pt>
                <c:pt idx="21">
                  <c:v>406.68833670958088</c:v>
                </c:pt>
                <c:pt idx="22">
                  <c:v>528.30642158492253</c:v>
                </c:pt>
                <c:pt idx="23">
                  <c:v>591.92902909750683</c:v>
                </c:pt>
                <c:pt idx="24">
                  <c:v>627.4017704548171</c:v>
                </c:pt>
                <c:pt idx="25">
                  <c:v>651.83842975590517</c:v>
                </c:pt>
                <c:pt idx="26">
                  <c:v>670.54652833638045</c:v>
                </c:pt>
                <c:pt idx="27">
                  <c:v>685.7762281625711</c:v>
                </c:pt>
                <c:pt idx="28">
                  <c:v>698.67381519392529</c:v>
                </c:pt>
                <c:pt idx="29">
                  <c:v>709.89849909045643</c:v>
                </c:pt>
                <c:pt idx="30">
                  <c:v>719.86299117248018</c:v>
                </c:pt>
                <c:pt idx="31">
                  <c:v>728.84239175255789</c:v>
                </c:pt>
                <c:pt idx="32">
                  <c:v>737.02916143819891</c:v>
                </c:pt>
                <c:pt idx="33">
                  <c:v>744.56324768717207</c:v>
                </c:pt>
                <c:pt idx="34">
                  <c:v>751.54968039381549</c:v>
                </c:pt>
                <c:pt idx="35">
                  <c:v>758.06938590142317</c:v>
                </c:pt>
                <c:pt idx="36">
                  <c:v>764.18611814533097</c:v>
                </c:pt>
                <c:pt idx="37">
                  <c:v>769.95106134957655</c:v>
                </c:pt>
                <c:pt idx="38">
                  <c:v>775.40598107346182</c:v>
                </c:pt>
                <c:pt idx="39">
                  <c:v>780.58543956941708</c:v>
                </c:pt>
                <c:pt idx="40">
                  <c:v>785.51839024658955</c:v>
                </c:pt>
                <c:pt idx="41">
                  <c:v>790.22934941793255</c:v>
                </c:pt>
                <c:pt idx="42">
                  <c:v>794.73927358541926</c:v>
                </c:pt>
                <c:pt idx="43">
                  <c:v>799.06622733373331</c:v>
                </c:pt>
                <c:pt idx="44">
                  <c:v>803.22589952275086</c:v>
                </c:pt>
                <c:pt idx="45">
                  <c:v>807.2320076955566</c:v>
                </c:pt>
                <c:pt idx="46">
                  <c:v>811.09661883229251</c:v>
                </c:pt>
                <c:pt idx="47">
                  <c:v>814.83040661033749</c:v>
                </c:pt>
                <c:pt idx="48">
                  <c:v>818.44285984486373</c:v>
                </c:pt>
                <c:pt idx="49">
                  <c:v>821.94245294425355</c:v>
                </c:pt>
                <c:pt idx="50">
                  <c:v>825.33678648623822</c:v>
                </c:pt>
                <c:pt idx="51">
                  <c:v>828.63270405383423</c:v>
                </c:pt>
                <c:pt idx="52">
                  <c:v>831.83639003359519</c:v>
                </c:pt>
                <c:pt idx="53">
                  <c:v>834.95345201641919</c:v>
                </c:pt>
                <c:pt idx="54">
                  <c:v>837.98899064645059</c:v>
                </c:pt>
                <c:pt idx="55">
                  <c:v>840.94765916276083</c:v>
                </c:pt>
                <c:pt idx="56">
                  <c:v>843.83371441952715</c:v>
                </c:pt>
                <c:pt idx="57">
                  <c:v>846.65106081653823</c:v>
                </c:pt>
                <c:pt idx="58">
                  <c:v>849.40328829655186</c:v>
                </c:pt>
                <c:pt idx="59">
                  <c:v>852.09370535016956</c:v>
                </c:pt>
                <c:pt idx="60">
                  <c:v>854.72536779812413</c:v>
                </c:pt>
                <c:pt idx="61">
                  <c:v>857.30110398502029</c:v>
                </c:pt>
                <c:pt idx="62">
                  <c:v>859.82353690959633</c:v>
                </c:pt>
                <c:pt idx="63">
                  <c:v>862.29510372862683</c:v>
                </c:pt>
                <c:pt idx="64">
                  <c:v>864.71807300020441</c:v>
                </c:pt>
                <c:pt idx="65">
                  <c:v>867.09455997387818</c:v>
                </c:pt>
                <c:pt idx="66">
                  <c:v>869.42654018723886</c:v>
                </c:pt>
                <c:pt idx="67">
                  <c:v>871.71586158907712</c:v>
                </c:pt>
                <c:pt idx="68">
                  <c:v>873.96425537653602</c:v>
                </c:pt>
                <c:pt idx="69">
                  <c:v>876.17334570633636</c:v>
                </c:pt>
                <c:pt idx="70">
                  <c:v>878.34465841744316</c:v>
                </c:pt>
              </c:numCache>
            </c:numRef>
          </c:yVal>
          <c:smooth val="0"/>
          <c:extLst>
            <c:ext xmlns:c16="http://schemas.microsoft.com/office/drawing/2014/chart" uri="{C3380CC4-5D6E-409C-BE32-E72D297353CC}">
              <c16:uniqueId val="{00000002-34CC-45D5-86B7-1E8C00E5DFD0}"/>
            </c:ext>
          </c:extLst>
        </c:ser>
        <c:ser>
          <c:idx val="3"/>
          <c:order val="3"/>
          <c:tx>
            <c:v>flach: Betriebsfenster</c:v>
          </c:tx>
          <c:spPr>
            <a:ln w="50800">
              <a:solidFill>
                <a:srgbClr val="EE7203"/>
              </a:solidFill>
              <a:prstDash val="solid"/>
            </a:ln>
          </c:spPr>
          <c:marker>
            <c:symbol val="none"/>
          </c:marker>
          <c:xVal>
            <c:numRef>
              <c:f>Diagrammdaten!$P$5:$P$75</c:f>
              <c:numCache>
                <c:formatCode>0.0</c:formatCode>
                <c:ptCount val="71"/>
                <c:pt idx="0">
                  <c:v>20</c:v>
                </c:pt>
                <c:pt idx="1">
                  <c:v>23</c:v>
                </c:pt>
                <c:pt idx="2">
                  <c:v>26</c:v>
                </c:pt>
                <c:pt idx="3">
                  <c:v>29</c:v>
                </c:pt>
                <c:pt idx="4">
                  <c:v>32</c:v>
                </c:pt>
                <c:pt idx="5">
                  <c:v>35</c:v>
                </c:pt>
                <c:pt idx="6">
                  <c:v>38</c:v>
                </c:pt>
                <c:pt idx="7">
                  <c:v>41</c:v>
                </c:pt>
                <c:pt idx="8">
                  <c:v>44</c:v>
                </c:pt>
                <c:pt idx="9">
                  <c:v>47</c:v>
                </c:pt>
                <c:pt idx="10">
                  <c:v>50</c:v>
                </c:pt>
                <c:pt idx="11">
                  <c:v>53</c:v>
                </c:pt>
                <c:pt idx="12">
                  <c:v>56</c:v>
                </c:pt>
                <c:pt idx="13">
                  <c:v>59</c:v>
                </c:pt>
                <c:pt idx="14">
                  <c:v>62</c:v>
                </c:pt>
                <c:pt idx="15">
                  <c:v>65</c:v>
                </c:pt>
                <c:pt idx="16">
                  <c:v>68</c:v>
                </c:pt>
                <c:pt idx="17">
                  <c:v>71</c:v>
                </c:pt>
                <c:pt idx="18">
                  <c:v>74</c:v>
                </c:pt>
                <c:pt idx="19">
                  <c:v>77</c:v>
                </c:pt>
                <c:pt idx="20">
                  <c:v>80</c:v>
                </c:pt>
                <c:pt idx="21">
                  <c:v>83</c:v>
                </c:pt>
                <c:pt idx="22">
                  <c:v>86</c:v>
                </c:pt>
                <c:pt idx="23">
                  <c:v>89</c:v>
                </c:pt>
                <c:pt idx="24">
                  <c:v>92</c:v>
                </c:pt>
                <c:pt idx="25">
                  <c:v>95</c:v>
                </c:pt>
                <c:pt idx="26">
                  <c:v>98</c:v>
                </c:pt>
                <c:pt idx="27">
                  <c:v>101</c:v>
                </c:pt>
                <c:pt idx="28">
                  <c:v>104</c:v>
                </c:pt>
                <c:pt idx="29">
                  <c:v>107</c:v>
                </c:pt>
                <c:pt idx="30">
                  <c:v>110</c:v>
                </c:pt>
                <c:pt idx="31">
                  <c:v>113</c:v>
                </c:pt>
                <c:pt idx="32">
                  <c:v>116</c:v>
                </c:pt>
                <c:pt idx="33">
                  <c:v>119</c:v>
                </c:pt>
                <c:pt idx="34">
                  <c:v>122</c:v>
                </c:pt>
                <c:pt idx="35">
                  <c:v>125</c:v>
                </c:pt>
                <c:pt idx="36">
                  <c:v>128</c:v>
                </c:pt>
                <c:pt idx="37">
                  <c:v>131</c:v>
                </c:pt>
                <c:pt idx="38">
                  <c:v>134</c:v>
                </c:pt>
                <c:pt idx="39">
                  <c:v>137</c:v>
                </c:pt>
                <c:pt idx="40">
                  <c:v>140</c:v>
                </c:pt>
                <c:pt idx="41">
                  <c:v>143</c:v>
                </c:pt>
                <c:pt idx="42">
                  <c:v>146</c:v>
                </c:pt>
                <c:pt idx="43">
                  <c:v>149</c:v>
                </c:pt>
                <c:pt idx="44">
                  <c:v>152</c:v>
                </c:pt>
                <c:pt idx="45">
                  <c:v>155</c:v>
                </c:pt>
                <c:pt idx="46">
                  <c:v>158</c:v>
                </c:pt>
                <c:pt idx="47">
                  <c:v>161</c:v>
                </c:pt>
                <c:pt idx="48">
                  <c:v>164</c:v>
                </c:pt>
                <c:pt idx="49">
                  <c:v>167</c:v>
                </c:pt>
                <c:pt idx="50">
                  <c:v>170</c:v>
                </c:pt>
                <c:pt idx="51">
                  <c:v>173</c:v>
                </c:pt>
                <c:pt idx="52">
                  <c:v>176</c:v>
                </c:pt>
                <c:pt idx="53">
                  <c:v>179</c:v>
                </c:pt>
                <c:pt idx="54">
                  <c:v>182</c:v>
                </c:pt>
                <c:pt idx="55">
                  <c:v>185</c:v>
                </c:pt>
                <c:pt idx="56">
                  <c:v>188</c:v>
                </c:pt>
                <c:pt idx="57">
                  <c:v>191</c:v>
                </c:pt>
                <c:pt idx="58">
                  <c:v>194</c:v>
                </c:pt>
                <c:pt idx="59">
                  <c:v>197</c:v>
                </c:pt>
                <c:pt idx="60">
                  <c:v>200</c:v>
                </c:pt>
                <c:pt idx="61">
                  <c:v>203</c:v>
                </c:pt>
                <c:pt idx="62">
                  <c:v>206</c:v>
                </c:pt>
                <c:pt idx="63">
                  <c:v>209</c:v>
                </c:pt>
                <c:pt idx="64">
                  <c:v>212</c:v>
                </c:pt>
                <c:pt idx="65">
                  <c:v>215</c:v>
                </c:pt>
                <c:pt idx="66">
                  <c:v>218</c:v>
                </c:pt>
                <c:pt idx="67">
                  <c:v>221</c:v>
                </c:pt>
                <c:pt idx="68">
                  <c:v>224</c:v>
                </c:pt>
                <c:pt idx="69">
                  <c:v>227</c:v>
                </c:pt>
                <c:pt idx="70">
                  <c:v>230</c:v>
                </c:pt>
              </c:numCache>
            </c:numRef>
          </c:xVal>
          <c:yVal>
            <c:numRef>
              <c:f>Diagrammdaten!$T$5:$T$75</c:f>
              <c:numCache>
                <c:formatCode>General</c:formatCode>
                <c:ptCount val="71"/>
                <c:pt idx="8" formatCode="0.0">
                  <c:v>96.814041385408089</c:v>
                </c:pt>
                <c:pt idx="9" formatCode="0.0">
                  <c:v>106.0189581469244</c:v>
                </c:pt>
                <c:pt idx="10" formatCode="0.0">
                  <c:v>115.8234498532151</c:v>
                </c:pt>
                <c:pt idx="11" formatCode="0.0">
                  <c:v>126.3298473204008</c:v>
                </c:pt>
                <c:pt idx="12" formatCode="0.0">
                  <c:v>137.67062658287921</c:v>
                </c:pt>
                <c:pt idx="13" formatCode="0.0">
                  <c:v>150.02188738103629</c:v>
                </c:pt>
                <c:pt idx="14" formatCode="0.0">
                  <c:v>163.6254132457768</c:v>
                </c:pt>
                <c:pt idx="15" formatCode="0.0">
                  <c:v>178.82684137639421</c:v>
                </c:pt>
                <c:pt idx="16" formatCode="0.0">
                  <c:v>196.14647162684491</c:v>
                </c:pt>
                <c:pt idx="17" formatCode="0.0">
                  <c:v>216.42299223786091</c:v>
                </c:pt>
                <c:pt idx="18" formatCode="0.0">
                  <c:v>241.1425674905349</c:v>
                </c:pt>
                <c:pt idx="19" formatCode="0.0">
                  <c:v>273.32916115210543</c:v>
                </c:pt>
                <c:pt idx="20" formatCode="0.0">
                  <c:v>320.55800579262711</c:v>
                </c:pt>
                <c:pt idx="21" formatCode="0.0">
                  <c:v>406.68833670958088</c:v>
                </c:pt>
                <c:pt idx="22" formatCode="0.0">
                  <c:v>528.30642158492253</c:v>
                </c:pt>
                <c:pt idx="23" formatCode="0.0">
                  <c:v>591.92902909750683</c:v>
                </c:pt>
                <c:pt idx="24" formatCode="0.0">
                  <c:v>627.4017704548171</c:v>
                </c:pt>
                <c:pt idx="25" formatCode="0.0">
                  <c:v>651.83842975590517</c:v>
                </c:pt>
                <c:pt idx="26" formatCode="0.0">
                  <c:v>670.54652833638045</c:v>
                </c:pt>
                <c:pt idx="27" formatCode="0.0">
                  <c:v>685.7762281625711</c:v>
                </c:pt>
                <c:pt idx="28" formatCode="0.0">
                  <c:v>698.67381519392529</c:v>
                </c:pt>
                <c:pt idx="29" formatCode="0.0">
                  <c:v>709.89849909045643</c:v>
                </c:pt>
                <c:pt idx="30" formatCode="0.0">
                  <c:v>719.86299117248018</c:v>
                </c:pt>
                <c:pt idx="31" formatCode="0.0">
                  <c:v>728.84239175255789</c:v>
                </c:pt>
                <c:pt idx="32" formatCode="0.0">
                  <c:v>737.02916143819891</c:v>
                </c:pt>
                <c:pt idx="33" formatCode="0.0">
                  <c:v>744.56324768717207</c:v>
                </c:pt>
                <c:pt idx="34" formatCode="0.0">
                  <c:v>751.54968039381549</c:v>
                </c:pt>
                <c:pt idx="35" formatCode="0.0">
                  <c:v>758.06938590142317</c:v>
                </c:pt>
                <c:pt idx="36" formatCode="0.0">
                  <c:v>764.18611814533097</c:v>
                </c:pt>
                <c:pt idx="37" formatCode="0.0">
                  <c:v>769.95106134957655</c:v>
                </c:pt>
                <c:pt idx="38" formatCode="0.0">
                  <c:v>775.40598107346182</c:v>
                </c:pt>
                <c:pt idx="39" formatCode="0.0">
                  <c:v>780.58543956941708</c:v>
                </c:pt>
              </c:numCache>
            </c:numRef>
          </c:yVal>
          <c:smooth val="0"/>
          <c:extLst>
            <c:ext xmlns:c16="http://schemas.microsoft.com/office/drawing/2014/chart" uri="{C3380CC4-5D6E-409C-BE32-E72D297353CC}">
              <c16:uniqueId val="{00000003-34CC-45D5-86B7-1E8C00E5DFD0}"/>
            </c:ext>
          </c:extLst>
        </c:ser>
        <c:dLbls>
          <c:showLegendKey val="0"/>
          <c:showVal val="0"/>
          <c:showCatName val="0"/>
          <c:showSerName val="0"/>
          <c:showPercent val="0"/>
          <c:showBubbleSize val="0"/>
        </c:dLbls>
        <c:axId val="10"/>
        <c:axId val="20"/>
      </c:scatterChart>
      <c:valAx>
        <c:axId val="10"/>
        <c:scaling>
          <c:orientation val="minMax"/>
          <c:max val="230"/>
          <c:min val="20"/>
        </c:scaling>
        <c:delete val="0"/>
        <c:axPos val="b"/>
        <c:majorGridlines>
          <c:spPr>
            <a:ln>
              <a:solidFill>
                <a:srgbClr val="E0E0E0"/>
              </a:solidFill>
              <a:prstDash val="solid"/>
            </a:ln>
          </c:spPr>
        </c:majorGridlines>
        <c:title>
          <c:tx>
            <c:rich>
              <a:bodyPr/>
              <a:lstStyle/>
              <a:p>
                <a:pPr>
                  <a:defRPr/>
                </a:pPr>
                <a:r>
                  <a:rPr lang="de-DE"/>
                  <a:t>Druck in der Bezugsteufe [bar]</a:t>
                </a:r>
              </a:p>
            </c:rich>
          </c:tx>
          <c:overlay val="0"/>
        </c:title>
        <c:numFmt formatCode="0" sourceLinked="0"/>
        <c:majorTickMark val="none"/>
        <c:minorTickMark val="none"/>
        <c:tickLblPos val="nextTo"/>
        <c:crossAx val="20"/>
        <c:crosses val="min"/>
        <c:crossBetween val="midCat"/>
      </c:valAx>
      <c:valAx>
        <c:axId val="20"/>
        <c:scaling>
          <c:orientation val="minMax"/>
          <c:max val="950"/>
          <c:min val="0"/>
        </c:scaling>
        <c:delete val="0"/>
        <c:axPos val="l"/>
        <c:majorGridlines>
          <c:spPr>
            <a:ln>
              <a:solidFill>
                <a:srgbClr val="E0E0E0"/>
              </a:solidFill>
              <a:prstDash val="solid"/>
            </a:ln>
          </c:spPr>
        </c:majorGridlines>
        <c:title>
          <c:tx>
            <c:rich>
              <a:bodyPr/>
              <a:lstStyle/>
              <a:p>
                <a:pPr>
                  <a:defRPr/>
                </a:pPr>
                <a:r>
                  <a:rPr lang="de-DE"/>
                  <a:t>Dichte [kg/m³]</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Arbeitsgasanteil je Mindestdruck</a:t>
            </a:r>
          </a:p>
        </c:rich>
      </c:tx>
      <c:overlay val="0"/>
    </c:title>
    <c:autoTitleDeleted val="0"/>
    <c:plotArea>
      <c:layout/>
      <c:barChart>
        <c:barDir val="col"/>
        <c:grouping val="clustered"/>
        <c:varyColors val="1"/>
        <c:ser>
          <c:idx val="0"/>
          <c:order val="0"/>
          <c:tx>
            <c:v>langsam (isotherm)</c:v>
          </c:tx>
          <c:spPr>
            <a:solidFill>
              <a:srgbClr val="007335"/>
            </a:solidFill>
            <a:ln>
              <a:prstDash val="solid"/>
            </a:ln>
          </c:spPr>
          <c:invertIfNegative val="1"/>
          <c:cat>
            <c:strRef>
              <c:f>'02 Arbeitsgas &amp; Teufe'!$B$28:$B$32</c:f>
              <c:strCache>
                <c:ptCount val="5"/>
                <c:pt idx="0">
                  <c:v>tief: geomechanisch</c:v>
                </c:pt>
                <c:pt idx="1">
                  <c:v>tief: überkritisch</c:v>
                </c:pt>
                <c:pt idx="2">
                  <c:v>tief: Bohrloch dicht</c:v>
                </c:pt>
                <c:pt idx="3">
                  <c:v>flach: geomechanisch</c:v>
                </c:pt>
                <c:pt idx="4">
                  <c:v>flach: überkritisch</c:v>
                </c:pt>
              </c:strCache>
            </c:strRef>
          </c:cat>
          <c:val>
            <c:numRef>
              <c:f>'02 Arbeitsgas &amp; Teufe'!$H$28:$H$32</c:f>
              <c:numCache>
                <c:formatCode>0%</c:formatCode>
                <c:ptCount val="5"/>
                <c:pt idx="0">
                  <c:v>0.77269440982048454</c:v>
                </c:pt>
                <c:pt idx="1">
                  <c:v>0.74989956899978227</c:v>
                </c:pt>
                <c:pt idx="2">
                  <c:v>6.05443179187444E-2</c:v>
                </c:pt>
                <c:pt idx="3">
                  <c:v>0.8813074487119692</c:v>
                </c:pt>
                <c:pt idx="4">
                  <c:v>0.61062481452950168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ED6-4E2D-B02F-C15E2BE4BE66}"/>
            </c:ext>
          </c:extLst>
        </c:ser>
        <c:ser>
          <c:idx val="1"/>
          <c:order val="1"/>
          <c:tx>
            <c:v>schnell (isentrop)</c:v>
          </c:tx>
          <c:spPr>
            <a:solidFill>
              <a:srgbClr val="0476D9"/>
            </a:solidFill>
            <a:ln>
              <a:prstDash val="solid"/>
            </a:ln>
          </c:spPr>
          <c:invertIfNegative val="1"/>
          <c:cat>
            <c:strRef>
              <c:f>'02 Arbeitsgas &amp; Teufe'!$B$28:$B$32</c:f>
              <c:strCache>
                <c:ptCount val="5"/>
                <c:pt idx="0">
                  <c:v>tief: geomechanisch</c:v>
                </c:pt>
                <c:pt idx="1">
                  <c:v>tief: überkritisch</c:v>
                </c:pt>
                <c:pt idx="2">
                  <c:v>tief: Bohrloch dicht</c:v>
                </c:pt>
                <c:pt idx="3">
                  <c:v>flach: geomechanisch</c:v>
                </c:pt>
                <c:pt idx="4">
                  <c:v>flach: überkritisch</c:v>
                </c:pt>
              </c:strCache>
            </c:strRef>
          </c:cat>
          <c:val>
            <c:numRef>
              <c:f>'02 Arbeitsgas &amp; Teufe'!$M$28:$M$32</c:f>
              <c:numCache>
                <c:formatCode>0%</c:formatCode>
                <c:ptCount val="5"/>
                <c:pt idx="0">
                  <c:v>0.10836749077155564</c:v>
                </c:pt>
                <c:pt idx="1">
                  <c:v>0.1035297718226648</c:v>
                </c:pt>
                <c:pt idx="2">
                  <c:v>2.1698288639472648E-2</c:v>
                </c:pt>
                <c:pt idx="3">
                  <c:v>0.37687817219281705</c:v>
                </c:pt>
                <c:pt idx="4">
                  <c:v>4.2030153859869863E-2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4ED6-4E2D-B02F-C15E2BE4BE6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spPr>
            <a:ln>
              <a:solidFill>
                <a:srgbClr val="E0E0E0"/>
              </a:solidFill>
              <a:prstDash val="solid"/>
            </a:ln>
          </c:spPr>
        </c:majorGridlines>
        <c:title>
          <c:tx>
            <c:rich>
              <a:bodyPr/>
              <a:lstStyle/>
              <a:p>
                <a:pPr>
                  <a:defRPr/>
                </a:pPr>
                <a:r>
                  <a:rPr lang="de-DE"/>
                  <a:t>Anteil am Inhalt bei p_max</a:t>
                </a:r>
              </a:p>
            </c:rich>
          </c:tx>
          <c:overlay val="0"/>
        </c:title>
        <c:numFmt formatCode="0%" sourceLinked="0"/>
        <c:majorTickMark val="none"/>
        <c:minorTickMark val="none"/>
        <c:tickLblPos val="nextTo"/>
        <c:crossAx val="10"/>
        <c:crosses val="min"/>
        <c:crossBetween val="between"/>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Zulässige Rate aus 10 bar/d</a:t>
            </a:r>
          </a:p>
        </c:rich>
      </c:tx>
      <c:overlay val="0"/>
    </c:title>
    <c:autoTitleDeleted val="0"/>
    <c:plotArea>
      <c:layout/>
      <c:scatterChart>
        <c:scatterStyle val="lineMarker"/>
        <c:varyColors val="1"/>
        <c:ser>
          <c:idx val="0"/>
          <c:order val="0"/>
          <c:tx>
            <c:v>tief: langsam</c:v>
          </c:tx>
          <c:spPr>
            <a:ln w="28575">
              <a:solidFill>
                <a:srgbClr val="00304F"/>
              </a:solidFill>
              <a:prstDash val="solid"/>
            </a:ln>
          </c:spPr>
          <c:marker>
            <c:symbol val="none"/>
          </c:marker>
          <c:xVal>
            <c:numRef>
              <c:f>'03 Raten'!$B$16:$B$30</c:f>
              <c:numCache>
                <c:formatCode>0.0</c:formatCode>
                <c:ptCount val="15"/>
                <c:pt idx="0">
                  <c:v>70</c:v>
                </c:pt>
                <c:pt idx="1">
                  <c:v>80</c:v>
                </c:pt>
                <c:pt idx="2">
                  <c:v>90</c:v>
                </c:pt>
                <c:pt idx="3">
                  <c:v>100</c:v>
                </c:pt>
                <c:pt idx="4">
                  <c:v>110</c:v>
                </c:pt>
                <c:pt idx="5">
                  <c:v>120</c:v>
                </c:pt>
                <c:pt idx="6">
                  <c:v>130</c:v>
                </c:pt>
                <c:pt idx="7">
                  <c:v>140</c:v>
                </c:pt>
                <c:pt idx="8">
                  <c:v>150</c:v>
                </c:pt>
                <c:pt idx="9">
                  <c:v>160</c:v>
                </c:pt>
                <c:pt idx="10">
                  <c:v>170</c:v>
                </c:pt>
                <c:pt idx="11">
                  <c:v>180</c:v>
                </c:pt>
                <c:pt idx="12">
                  <c:v>190</c:v>
                </c:pt>
                <c:pt idx="13">
                  <c:v>200</c:v>
                </c:pt>
                <c:pt idx="14">
                  <c:v>210</c:v>
                </c:pt>
              </c:numCache>
            </c:numRef>
          </c:xVal>
          <c:yVal>
            <c:numRef>
              <c:f>'03 Raten'!$I$16:$I$30</c:f>
              <c:numCache>
                <c:formatCode>0.0</c:formatCode>
                <c:ptCount val="15"/>
                <c:pt idx="0">
                  <c:v>317.58888629826731</c:v>
                </c:pt>
                <c:pt idx="1">
                  <c:v>431.55830032107866</c:v>
                </c:pt>
                <c:pt idx="2">
                  <c:v>647.8010867506747</c:v>
                </c:pt>
                <c:pt idx="3">
                  <c:v>818.6192679655021</c:v>
                </c:pt>
                <c:pt idx="4">
                  <c:v>535.28281240478964</c:v>
                </c:pt>
                <c:pt idx="5">
                  <c:v>337.84445520551719</c:v>
                </c:pt>
                <c:pt idx="6">
                  <c:v>242.78977557883957</c:v>
                </c:pt>
                <c:pt idx="7">
                  <c:v>189.43624793055568</c:v>
                </c:pt>
                <c:pt idx="8">
                  <c:v>155.58317774898555</c:v>
                </c:pt>
                <c:pt idx="9">
                  <c:v>132.28644338785844</c:v>
                </c:pt>
                <c:pt idx="10">
                  <c:v>115.30331985760914</c:v>
                </c:pt>
                <c:pt idx="11">
                  <c:v>102.37859755276671</c:v>
                </c:pt>
                <c:pt idx="12">
                  <c:v>92.211103056428229</c:v>
                </c:pt>
                <c:pt idx="13">
                  <c:v>84.000476556097922</c:v>
                </c:pt>
                <c:pt idx="14">
                  <c:v>77.228258143745109</c:v>
                </c:pt>
              </c:numCache>
            </c:numRef>
          </c:yVal>
          <c:smooth val="0"/>
          <c:extLst>
            <c:ext xmlns:c16="http://schemas.microsoft.com/office/drawing/2014/chart" uri="{C3380CC4-5D6E-409C-BE32-E72D297353CC}">
              <c16:uniqueId val="{00000000-4B47-4C0D-986E-17113E2D370C}"/>
            </c:ext>
          </c:extLst>
        </c:ser>
        <c:ser>
          <c:idx val="1"/>
          <c:order val="1"/>
          <c:tx>
            <c:v>tief: schnell</c:v>
          </c:tx>
          <c:spPr>
            <a:ln w="25400">
              <a:solidFill>
                <a:srgbClr val="00304F"/>
              </a:solidFill>
              <a:prstDash val="dash"/>
            </a:ln>
          </c:spPr>
          <c:marker>
            <c:symbol val="none"/>
          </c:marker>
          <c:xVal>
            <c:numRef>
              <c:f>'03 Raten'!$B$16:$B$30</c:f>
              <c:numCache>
                <c:formatCode>0.0</c:formatCode>
                <c:ptCount val="15"/>
                <c:pt idx="0">
                  <c:v>70</c:v>
                </c:pt>
                <c:pt idx="1">
                  <c:v>80</c:v>
                </c:pt>
                <c:pt idx="2">
                  <c:v>90</c:v>
                </c:pt>
                <c:pt idx="3">
                  <c:v>100</c:v>
                </c:pt>
                <c:pt idx="4">
                  <c:v>110</c:v>
                </c:pt>
                <c:pt idx="5">
                  <c:v>120</c:v>
                </c:pt>
                <c:pt idx="6">
                  <c:v>130</c:v>
                </c:pt>
                <c:pt idx="7">
                  <c:v>140</c:v>
                </c:pt>
                <c:pt idx="8">
                  <c:v>150</c:v>
                </c:pt>
                <c:pt idx="9">
                  <c:v>160</c:v>
                </c:pt>
                <c:pt idx="10">
                  <c:v>170</c:v>
                </c:pt>
                <c:pt idx="11">
                  <c:v>180</c:v>
                </c:pt>
                <c:pt idx="12">
                  <c:v>190</c:v>
                </c:pt>
                <c:pt idx="13">
                  <c:v>200</c:v>
                </c:pt>
                <c:pt idx="14">
                  <c:v>210</c:v>
                </c:pt>
              </c:numCache>
            </c:numRef>
          </c:xVal>
          <c:yVal>
            <c:numRef>
              <c:f>'03 Raten'!$J$16:$J$30</c:f>
              <c:numCache>
                <c:formatCode>0.0</c:formatCode>
                <c:ptCount val="15"/>
                <c:pt idx="0">
                  <c:v>139.54182687203908</c:v>
                </c:pt>
                <c:pt idx="1">
                  <c:v>148.758163448917</c:v>
                </c:pt>
                <c:pt idx="2">
                  <c:v>155.59234929517473</c:v>
                </c:pt>
                <c:pt idx="3">
                  <c:v>144.29741846362046</c:v>
                </c:pt>
                <c:pt idx="4">
                  <c:v>109.12353238788144</c:v>
                </c:pt>
                <c:pt idx="5">
                  <c:v>83.856575753250723</c:v>
                </c:pt>
                <c:pt idx="6">
                  <c:v>68.669407437882654</c:v>
                </c:pt>
                <c:pt idx="7">
                  <c:v>58.669595972733923</c:v>
                </c:pt>
                <c:pt idx="8">
                  <c:v>51.557240168176705</c:v>
                </c:pt>
                <c:pt idx="9">
                  <c:v>46.213381158617942</c:v>
                </c:pt>
                <c:pt idx="10">
                  <c:v>42.034495130908404</c:v>
                </c:pt>
                <c:pt idx="11">
                  <c:v>38.666480891210874</c:v>
                </c:pt>
                <c:pt idx="12">
                  <c:v>35.887370681998433</c:v>
                </c:pt>
                <c:pt idx="13">
                  <c:v>33.550450139446561</c:v>
                </c:pt>
                <c:pt idx="14">
                  <c:v>31.554524951704952</c:v>
                </c:pt>
              </c:numCache>
            </c:numRef>
          </c:yVal>
          <c:smooth val="0"/>
          <c:extLst>
            <c:ext xmlns:c16="http://schemas.microsoft.com/office/drawing/2014/chart" uri="{C3380CC4-5D6E-409C-BE32-E72D297353CC}">
              <c16:uniqueId val="{00000001-4B47-4C0D-986E-17113E2D370C}"/>
            </c:ext>
          </c:extLst>
        </c:ser>
        <c:ser>
          <c:idx val="2"/>
          <c:order val="2"/>
          <c:tx>
            <c:v>flach: langsam</c:v>
          </c:tx>
          <c:spPr>
            <a:ln w="28575">
              <a:solidFill>
                <a:srgbClr val="EE7203"/>
              </a:solidFill>
              <a:prstDash val="solid"/>
            </a:ln>
          </c:spPr>
          <c:marker>
            <c:symbol val="none"/>
          </c:marker>
          <c:xVal>
            <c:numRef>
              <c:f>'03 Raten'!$B$32:$B$46</c:f>
              <c:numCache>
                <c:formatCode>0.0</c:formatCode>
                <c:ptCount val="15"/>
                <c:pt idx="0">
                  <c:v>40.833333333333343</c:v>
                </c:pt>
                <c:pt idx="1">
                  <c:v>46.666666666666671</c:v>
                </c:pt>
                <c:pt idx="2">
                  <c:v>52.5</c:v>
                </c:pt>
                <c:pt idx="3">
                  <c:v>58.333333333333343</c:v>
                </c:pt>
                <c:pt idx="4">
                  <c:v>64.166666666666671</c:v>
                </c:pt>
                <c:pt idx="5">
                  <c:v>70</c:v>
                </c:pt>
                <c:pt idx="6">
                  <c:v>75.833333333333343</c:v>
                </c:pt>
                <c:pt idx="7">
                  <c:v>81.666666666666657</c:v>
                </c:pt>
                <c:pt idx="8">
                  <c:v>87.5</c:v>
                </c:pt>
                <c:pt idx="9">
                  <c:v>93.333333333333343</c:v>
                </c:pt>
                <c:pt idx="10">
                  <c:v>99.166666666666657</c:v>
                </c:pt>
                <c:pt idx="11">
                  <c:v>105</c:v>
                </c:pt>
                <c:pt idx="12">
                  <c:v>110.8333333333333</c:v>
                </c:pt>
                <c:pt idx="13">
                  <c:v>116.6666666666667</c:v>
                </c:pt>
                <c:pt idx="14">
                  <c:v>122.5</c:v>
                </c:pt>
              </c:numCache>
            </c:numRef>
          </c:xVal>
          <c:yVal>
            <c:numRef>
              <c:f>'03 Raten'!$I$32:$I$46</c:f>
              <c:numCache>
                <c:formatCode>0.0</c:formatCode>
                <c:ptCount val="15"/>
                <c:pt idx="0">
                  <c:v>218.36346903305045</c:v>
                </c:pt>
                <c:pt idx="1">
                  <c:v>247.66618215524147</c:v>
                </c:pt>
                <c:pt idx="2">
                  <c:v>288.89172366010774</c:v>
                </c:pt>
                <c:pt idx="3">
                  <c:v>352.09202572927222</c:v>
                </c:pt>
                <c:pt idx="4">
                  <c:v>464.07338001837081</c:v>
                </c:pt>
                <c:pt idx="5">
                  <c:v>730.87298015967599</c:v>
                </c:pt>
                <c:pt idx="6">
                  <c:v>2297.347143346044</c:v>
                </c:pt>
                <c:pt idx="7">
                  <c:v>643.34322516235045</c:v>
                </c:pt>
                <c:pt idx="8">
                  <c:v>360.04236476754966</c:v>
                </c:pt>
                <c:pt idx="9">
                  <c:v>263.85020777117739</c:v>
                </c:pt>
                <c:pt idx="10">
                  <c:v>212.03565098114007</c:v>
                </c:pt>
                <c:pt idx="11">
                  <c:v>178.92677557021315</c:v>
                </c:pt>
                <c:pt idx="12">
                  <c:v>155.66206481906744</c:v>
                </c:pt>
                <c:pt idx="13">
                  <c:v>138.28895308078447</c:v>
                </c:pt>
                <c:pt idx="14">
                  <c:v>124.7556767485564</c:v>
                </c:pt>
              </c:numCache>
            </c:numRef>
          </c:yVal>
          <c:smooth val="0"/>
          <c:extLst>
            <c:ext xmlns:c16="http://schemas.microsoft.com/office/drawing/2014/chart" uri="{C3380CC4-5D6E-409C-BE32-E72D297353CC}">
              <c16:uniqueId val="{00000002-4B47-4C0D-986E-17113E2D370C}"/>
            </c:ext>
          </c:extLst>
        </c:ser>
        <c:ser>
          <c:idx val="3"/>
          <c:order val="3"/>
          <c:tx>
            <c:v>flach: schnell</c:v>
          </c:tx>
          <c:spPr>
            <a:ln w="25400">
              <a:solidFill>
                <a:srgbClr val="EE7203"/>
              </a:solidFill>
              <a:prstDash val="dash"/>
            </a:ln>
          </c:spPr>
          <c:marker>
            <c:symbol val="none"/>
          </c:marker>
          <c:xVal>
            <c:numRef>
              <c:f>'03 Raten'!$B$32:$B$46</c:f>
              <c:numCache>
                <c:formatCode>0.0</c:formatCode>
                <c:ptCount val="15"/>
                <c:pt idx="0">
                  <c:v>40.833333333333343</c:v>
                </c:pt>
                <c:pt idx="1">
                  <c:v>46.666666666666671</c:v>
                </c:pt>
                <c:pt idx="2">
                  <c:v>52.5</c:v>
                </c:pt>
                <c:pt idx="3">
                  <c:v>58.333333333333343</c:v>
                </c:pt>
                <c:pt idx="4">
                  <c:v>64.166666666666671</c:v>
                </c:pt>
                <c:pt idx="5">
                  <c:v>70</c:v>
                </c:pt>
                <c:pt idx="6">
                  <c:v>75.833333333333343</c:v>
                </c:pt>
                <c:pt idx="7">
                  <c:v>81.666666666666657</c:v>
                </c:pt>
                <c:pt idx="8">
                  <c:v>87.5</c:v>
                </c:pt>
                <c:pt idx="9">
                  <c:v>93.333333333333343</c:v>
                </c:pt>
                <c:pt idx="10">
                  <c:v>99.166666666666657</c:v>
                </c:pt>
                <c:pt idx="11">
                  <c:v>105</c:v>
                </c:pt>
                <c:pt idx="12">
                  <c:v>110.8333333333333</c:v>
                </c:pt>
                <c:pt idx="13">
                  <c:v>116.6666666666667</c:v>
                </c:pt>
                <c:pt idx="14">
                  <c:v>122.5</c:v>
                </c:pt>
              </c:numCache>
            </c:numRef>
          </c:xVal>
          <c:yVal>
            <c:numRef>
              <c:f>'03 Raten'!$J$32:$J$46</c:f>
              <c:numCache>
                <c:formatCode>0.0</c:formatCode>
                <c:ptCount val="15"/>
                <c:pt idx="0">
                  <c:v>128.78023702082001</c:v>
                </c:pt>
                <c:pt idx="1">
                  <c:v>135.01610820984197</c:v>
                </c:pt>
                <c:pt idx="2">
                  <c:v>142.25627895637257</c:v>
                </c:pt>
                <c:pt idx="3">
                  <c:v>150.90349763734724</c:v>
                </c:pt>
                <c:pt idx="4">
                  <c:v>161.75221534710329</c:v>
                </c:pt>
                <c:pt idx="5">
                  <c:v>176.93294030067148</c:v>
                </c:pt>
                <c:pt idx="6">
                  <c:v>205.75437872497133</c:v>
                </c:pt>
                <c:pt idx="7">
                  <c:v>108.63895240312446</c:v>
                </c:pt>
                <c:pt idx="8">
                  <c:v>80.489491863208372</c:v>
                </c:pt>
                <c:pt idx="9">
                  <c:v>67.536707547491389</c:v>
                </c:pt>
                <c:pt idx="10">
                  <c:v>59.326655189542429</c:v>
                </c:pt>
                <c:pt idx="11">
                  <c:v>53.447751993326314</c:v>
                </c:pt>
                <c:pt idx="12">
                  <c:v>48.941129079363634</c:v>
                </c:pt>
                <c:pt idx="13">
                  <c:v>45.332805926376594</c:v>
                </c:pt>
                <c:pt idx="14">
                  <c:v>42.355418592091432</c:v>
                </c:pt>
              </c:numCache>
            </c:numRef>
          </c:yVal>
          <c:smooth val="0"/>
          <c:extLst>
            <c:ext xmlns:c16="http://schemas.microsoft.com/office/drawing/2014/chart" uri="{C3380CC4-5D6E-409C-BE32-E72D297353CC}">
              <c16:uniqueId val="{00000003-4B47-4C0D-986E-17113E2D370C}"/>
            </c:ext>
          </c:extLst>
        </c:ser>
        <c:ser>
          <c:idx val="4"/>
          <c:order val="4"/>
          <c:tx>
            <c:v>50.000 Nm³/h</c:v>
          </c:tx>
          <c:spPr>
            <a:ln w="12700">
              <a:solidFill>
                <a:srgbClr val="CA220E"/>
              </a:solidFill>
              <a:prstDash val="sysDash"/>
            </a:ln>
          </c:spPr>
          <c:marker>
            <c:symbol val="none"/>
          </c:marker>
          <c:xVal>
            <c:numRef>
              <c:f>Diagrammdaten!$BO$5:$BO$6</c:f>
              <c:numCache>
                <c:formatCode>General</c:formatCode>
                <c:ptCount val="2"/>
                <c:pt idx="0">
                  <c:v>30</c:v>
                </c:pt>
                <c:pt idx="1">
                  <c:v>230</c:v>
                </c:pt>
              </c:numCache>
            </c:numRef>
          </c:xVal>
          <c:yVal>
            <c:numRef>
              <c:f>Diagrammdaten!$BP$5:$BP$6</c:f>
              <c:numCache>
                <c:formatCode>General</c:formatCode>
                <c:ptCount val="2"/>
                <c:pt idx="0">
                  <c:v>27.455732520438474</c:v>
                </c:pt>
                <c:pt idx="1">
                  <c:v>27.455732520438474</c:v>
                </c:pt>
              </c:numCache>
            </c:numRef>
          </c:yVal>
          <c:smooth val="0"/>
          <c:extLst>
            <c:ext xmlns:c16="http://schemas.microsoft.com/office/drawing/2014/chart" uri="{C3380CC4-5D6E-409C-BE32-E72D297353CC}">
              <c16:uniqueId val="{00000004-4B47-4C0D-986E-17113E2D370C}"/>
            </c:ext>
          </c:extLst>
        </c:ser>
        <c:ser>
          <c:idx val="5"/>
          <c:order val="5"/>
          <c:tx>
            <c:v>100.000 Nm³/h</c:v>
          </c:tx>
          <c:spPr>
            <a:ln w="19050">
              <a:solidFill>
                <a:srgbClr val="CA220E"/>
              </a:solidFill>
              <a:prstDash val="solid"/>
            </a:ln>
          </c:spPr>
          <c:marker>
            <c:symbol val="none"/>
          </c:marker>
          <c:xVal>
            <c:numRef>
              <c:f>Diagrammdaten!$BO$5:$BO$6</c:f>
              <c:numCache>
                <c:formatCode>General</c:formatCode>
                <c:ptCount val="2"/>
                <c:pt idx="0">
                  <c:v>30</c:v>
                </c:pt>
                <c:pt idx="1">
                  <c:v>230</c:v>
                </c:pt>
              </c:numCache>
            </c:numRef>
          </c:xVal>
          <c:yVal>
            <c:numRef>
              <c:f>Diagrammdaten!$BQ$5:$BQ$6</c:f>
              <c:numCache>
                <c:formatCode>General</c:formatCode>
                <c:ptCount val="2"/>
                <c:pt idx="0">
                  <c:v>54.911465040876948</c:v>
                </c:pt>
                <c:pt idx="1">
                  <c:v>54.911465040876948</c:v>
                </c:pt>
              </c:numCache>
            </c:numRef>
          </c:yVal>
          <c:smooth val="0"/>
          <c:extLst>
            <c:ext xmlns:c16="http://schemas.microsoft.com/office/drawing/2014/chart" uri="{C3380CC4-5D6E-409C-BE32-E72D297353CC}">
              <c16:uniqueId val="{00000005-4B47-4C0D-986E-17113E2D370C}"/>
            </c:ext>
          </c:extLst>
        </c:ser>
        <c:dLbls>
          <c:showLegendKey val="0"/>
          <c:showVal val="0"/>
          <c:showCatName val="0"/>
          <c:showSerName val="0"/>
          <c:showPercent val="0"/>
          <c:showBubbleSize val="0"/>
        </c:dLbls>
        <c:axId val="10"/>
        <c:axId val="20"/>
      </c:scatterChart>
      <c:valAx>
        <c:axId val="10"/>
        <c:scaling>
          <c:orientation val="minMax"/>
          <c:max val="220"/>
          <c:min val="30"/>
        </c:scaling>
        <c:delete val="0"/>
        <c:axPos val="b"/>
        <c:majorGridlines>
          <c:spPr>
            <a:ln>
              <a:solidFill>
                <a:srgbClr val="E0E0E0"/>
              </a:solidFill>
              <a:prstDash val="solid"/>
            </a:ln>
          </c:spPr>
        </c:majorGridlines>
        <c:title>
          <c:tx>
            <c:rich>
              <a:bodyPr/>
              <a:lstStyle/>
              <a:p>
                <a:pPr>
                  <a:defRPr/>
                </a:pPr>
                <a:r>
                  <a:rPr lang="de-DE"/>
                  <a:t>Druck an der LCCS [bar]</a:t>
                </a:r>
              </a:p>
            </c:rich>
          </c:tx>
          <c:overlay val="0"/>
        </c:title>
        <c:numFmt formatCode="0" sourceLinked="0"/>
        <c:majorTickMark val="none"/>
        <c:minorTickMark val="none"/>
        <c:tickLblPos val="nextTo"/>
        <c:crossAx val="20"/>
        <c:crosses val="min"/>
        <c:crossBetween val="midCat"/>
      </c:valAx>
      <c:valAx>
        <c:axId val="20"/>
        <c:scaling>
          <c:orientation val="minMax"/>
          <c:max val="400"/>
          <c:min val="0"/>
        </c:scaling>
        <c:delete val="0"/>
        <c:axPos val="l"/>
        <c:majorGridlines>
          <c:spPr>
            <a:ln>
              <a:solidFill>
                <a:srgbClr val="E0E0E0"/>
              </a:solidFill>
              <a:prstDash val="solid"/>
            </a:ln>
          </c:spPr>
        </c:majorGridlines>
        <c:title>
          <c:tx>
            <c:rich>
              <a:bodyPr/>
              <a:lstStyle/>
              <a:p>
                <a:pPr>
                  <a:defRPr/>
                </a:pPr>
                <a:r>
                  <a:rPr lang="de-DE"/>
                  <a:t>Rate [kg/s]</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Druck an der LCCS über einen Zyklus</a:t>
            </a:r>
          </a:p>
        </c:rich>
      </c:tx>
      <c:overlay val="0"/>
    </c:title>
    <c:autoTitleDeleted val="0"/>
    <c:plotArea>
      <c:layout/>
      <c:scatterChart>
        <c:scatterStyle val="lineMarker"/>
        <c:varyColors val="1"/>
        <c:ser>
          <c:idx val="0"/>
          <c:order val="0"/>
          <c:tx>
            <c:v>tief, 50.000 Nm³/h</c:v>
          </c:tx>
          <c:spPr>
            <a:ln w="19050">
              <a:solidFill>
                <a:srgbClr val="00304F"/>
              </a:solidFill>
              <a:prstDash val="sysDot"/>
            </a:ln>
          </c:spPr>
          <c:marker>
            <c:symbol val="none"/>
          </c:marker>
          <c:xVal>
            <c:numRef>
              <c:f>Diagrammdaten!$V$5:$V$372</c:f>
              <c:numCache>
                <c:formatCode>0.0</c:formatCode>
                <c:ptCount val="368"/>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82.000000000000824</c:v>
                </c:pt>
                <c:pt idx="83">
                  <c:v>83.000000000000625</c:v>
                </c:pt>
                <c:pt idx="84">
                  <c:v>84.000000000000426</c:v>
                </c:pt>
                <c:pt idx="85">
                  <c:v>85.000000000000227</c:v>
                </c:pt>
                <c:pt idx="86">
                  <c:v>86.000000000000028</c:v>
                </c:pt>
                <c:pt idx="87">
                  <c:v>86.999999999999829</c:v>
                </c:pt>
                <c:pt idx="88">
                  <c:v>87.999999999999631</c:v>
                </c:pt>
                <c:pt idx="89">
                  <c:v>88.999999999999432</c:v>
                </c:pt>
                <c:pt idx="90">
                  <c:v>89.999999999999233</c:v>
                </c:pt>
                <c:pt idx="91">
                  <c:v>90.999999999999034</c:v>
                </c:pt>
                <c:pt idx="92">
                  <c:v>91.999999999998835</c:v>
                </c:pt>
                <c:pt idx="93">
                  <c:v>92.999999999998636</c:v>
                </c:pt>
                <c:pt idx="94">
                  <c:v>93.999999999998437</c:v>
                </c:pt>
                <c:pt idx="95">
                  <c:v>94.999999999998238</c:v>
                </c:pt>
                <c:pt idx="96">
                  <c:v>95.999999999998039</c:v>
                </c:pt>
                <c:pt idx="97">
                  <c:v>96.99999999999784</c:v>
                </c:pt>
                <c:pt idx="98">
                  <c:v>97.999999999997641</c:v>
                </c:pt>
                <c:pt idx="99">
                  <c:v>98.999999999997442</c:v>
                </c:pt>
                <c:pt idx="100">
                  <c:v>99.999999999997243</c:v>
                </c:pt>
                <c:pt idx="101">
                  <c:v>100.999999999997</c:v>
                </c:pt>
                <c:pt idx="102">
                  <c:v>101.9999999999968</c:v>
                </c:pt>
                <c:pt idx="103">
                  <c:v>102.9999999999966</c:v>
                </c:pt>
                <c:pt idx="104">
                  <c:v>103.9999999999964</c:v>
                </c:pt>
                <c:pt idx="105">
                  <c:v>104.99999999999621</c:v>
                </c:pt>
                <c:pt idx="106">
                  <c:v>105.99999999999601</c:v>
                </c:pt>
                <c:pt idx="107">
                  <c:v>106.99999999999589</c:v>
                </c:pt>
                <c:pt idx="108">
                  <c:v>107.99999999999569</c:v>
                </c:pt>
                <c:pt idx="109">
                  <c:v>108.9999999999955</c:v>
                </c:pt>
                <c:pt idx="110">
                  <c:v>109.9999999999953</c:v>
                </c:pt>
                <c:pt idx="111">
                  <c:v>110.9999999999951</c:v>
                </c:pt>
                <c:pt idx="112">
                  <c:v>111.9999999999949</c:v>
                </c:pt>
                <c:pt idx="113">
                  <c:v>112.9999999999947</c:v>
                </c:pt>
                <c:pt idx="114">
                  <c:v>113.9999999999945</c:v>
                </c:pt>
                <c:pt idx="115">
                  <c:v>114.9999999999943</c:v>
                </c:pt>
                <c:pt idx="116">
                  <c:v>115.9999999999941</c:v>
                </c:pt>
                <c:pt idx="117">
                  <c:v>116.9999999999939</c:v>
                </c:pt>
                <c:pt idx="118">
                  <c:v>117.9999999999937</c:v>
                </c:pt>
                <c:pt idx="119">
                  <c:v>118.99999999999351</c:v>
                </c:pt>
                <c:pt idx="120">
                  <c:v>119.99999999999331</c:v>
                </c:pt>
                <c:pt idx="121">
                  <c:v>120.99999999999309</c:v>
                </c:pt>
                <c:pt idx="122">
                  <c:v>121.99999999999289</c:v>
                </c:pt>
                <c:pt idx="123">
                  <c:v>122.9999999999927</c:v>
                </c:pt>
                <c:pt idx="124">
                  <c:v>123.9999999999925</c:v>
                </c:pt>
                <c:pt idx="125">
                  <c:v>124.9999999999923</c:v>
                </c:pt>
                <c:pt idx="126">
                  <c:v>125.9999999999921</c:v>
                </c:pt>
                <c:pt idx="127">
                  <c:v>126.9999999999919</c:v>
                </c:pt>
                <c:pt idx="128">
                  <c:v>127.9999999999917</c:v>
                </c:pt>
                <c:pt idx="129">
                  <c:v>128.99999999999221</c:v>
                </c:pt>
                <c:pt idx="130">
                  <c:v>129.9999999999927</c:v>
                </c:pt>
                <c:pt idx="131">
                  <c:v>130.99999999999321</c:v>
                </c:pt>
                <c:pt idx="132">
                  <c:v>131.99999999999369</c:v>
                </c:pt>
                <c:pt idx="133">
                  <c:v>132.9999999999942</c:v>
                </c:pt>
                <c:pt idx="134">
                  <c:v>133.99999999999471</c:v>
                </c:pt>
                <c:pt idx="135">
                  <c:v>134.99999999999531</c:v>
                </c:pt>
                <c:pt idx="136">
                  <c:v>135.99999999999579</c:v>
                </c:pt>
                <c:pt idx="137">
                  <c:v>136.99999999999631</c:v>
                </c:pt>
                <c:pt idx="138">
                  <c:v>137.99999999999679</c:v>
                </c:pt>
                <c:pt idx="139">
                  <c:v>138.9999999999973</c:v>
                </c:pt>
                <c:pt idx="140">
                  <c:v>139.99999999999781</c:v>
                </c:pt>
                <c:pt idx="141">
                  <c:v>140.99999999999829</c:v>
                </c:pt>
                <c:pt idx="142">
                  <c:v>141.99999999999881</c:v>
                </c:pt>
                <c:pt idx="143">
                  <c:v>142.99999999999929</c:v>
                </c:pt>
                <c:pt idx="144">
                  <c:v>143.99999999999989</c:v>
                </c:pt>
                <c:pt idx="145">
                  <c:v>145.0000000000004</c:v>
                </c:pt>
                <c:pt idx="146">
                  <c:v>146.00000000000091</c:v>
                </c:pt>
                <c:pt idx="147">
                  <c:v>147.00000000000139</c:v>
                </c:pt>
                <c:pt idx="148">
                  <c:v>148.0000000000019</c:v>
                </c:pt>
                <c:pt idx="149">
                  <c:v>149.00000000000239</c:v>
                </c:pt>
                <c:pt idx="150">
                  <c:v>150.0000000000029</c:v>
                </c:pt>
                <c:pt idx="151">
                  <c:v>151.00000000000341</c:v>
                </c:pt>
                <c:pt idx="152">
                  <c:v>152.00000000000401</c:v>
                </c:pt>
                <c:pt idx="153">
                  <c:v>153.00000000000449</c:v>
                </c:pt>
                <c:pt idx="154">
                  <c:v>154.000000000005</c:v>
                </c:pt>
                <c:pt idx="155">
                  <c:v>155.00000000000551</c:v>
                </c:pt>
                <c:pt idx="156">
                  <c:v>156.000000000006</c:v>
                </c:pt>
                <c:pt idx="157">
                  <c:v>157.00000000000651</c:v>
                </c:pt>
                <c:pt idx="158">
                  <c:v>158.00000000000699</c:v>
                </c:pt>
                <c:pt idx="159">
                  <c:v>159.0000000000075</c:v>
                </c:pt>
                <c:pt idx="160">
                  <c:v>160.00000000000799</c:v>
                </c:pt>
                <c:pt idx="161">
                  <c:v>161.00000000000861</c:v>
                </c:pt>
                <c:pt idx="162">
                  <c:v>162.00000000000909</c:v>
                </c:pt>
                <c:pt idx="163">
                  <c:v>163.00000000000961</c:v>
                </c:pt>
                <c:pt idx="164">
                  <c:v>164.00000000001009</c:v>
                </c:pt>
                <c:pt idx="165">
                  <c:v>165.0000000000106</c:v>
                </c:pt>
                <c:pt idx="166">
                  <c:v>165.90000000001109</c:v>
                </c:pt>
                <c:pt idx="167">
                  <c:v>166.78000000001151</c:v>
                </c:pt>
                <c:pt idx="168">
                  <c:v>167.780000000012</c:v>
                </c:pt>
                <c:pt idx="169">
                  <c:v>168.78000000001251</c:v>
                </c:pt>
                <c:pt idx="170">
                  <c:v>169.78000000001299</c:v>
                </c:pt>
                <c:pt idx="171">
                  <c:v>170.78000000001359</c:v>
                </c:pt>
                <c:pt idx="172">
                  <c:v>171.7800000000141</c:v>
                </c:pt>
                <c:pt idx="173">
                  <c:v>172.78000000001461</c:v>
                </c:pt>
                <c:pt idx="174">
                  <c:v>173.78000000001509</c:v>
                </c:pt>
                <c:pt idx="175">
                  <c:v>174.7800000000156</c:v>
                </c:pt>
                <c:pt idx="176">
                  <c:v>175.78000000001609</c:v>
                </c:pt>
                <c:pt idx="177">
                  <c:v>176.7800000000166</c:v>
                </c:pt>
                <c:pt idx="178">
                  <c:v>177.78000000001711</c:v>
                </c:pt>
                <c:pt idx="179">
                  <c:v>178.78000000001771</c:v>
                </c:pt>
                <c:pt idx="180">
                  <c:v>179.78000000001819</c:v>
                </c:pt>
                <c:pt idx="181">
                  <c:v>180.7800000000187</c:v>
                </c:pt>
                <c:pt idx="182">
                  <c:v>181.78000000001919</c:v>
                </c:pt>
                <c:pt idx="183">
                  <c:v>182.7800000000197</c:v>
                </c:pt>
                <c:pt idx="184">
                  <c:v>183.78000000002021</c:v>
                </c:pt>
                <c:pt idx="185">
                  <c:v>184.78000000002069</c:v>
                </c:pt>
                <c:pt idx="186">
                  <c:v>185.7800000000212</c:v>
                </c:pt>
                <c:pt idx="187">
                  <c:v>186.78000000002169</c:v>
                </c:pt>
                <c:pt idx="188">
                  <c:v>187.58000000002221</c:v>
                </c:pt>
                <c:pt idx="189">
                  <c:v>188.56000000002271</c:v>
                </c:pt>
                <c:pt idx="190">
                  <c:v>189.56000000002319</c:v>
                </c:pt>
                <c:pt idx="191">
                  <c:v>190.56000000002371</c:v>
                </c:pt>
                <c:pt idx="192">
                  <c:v>191.56000000002419</c:v>
                </c:pt>
                <c:pt idx="193">
                  <c:v>192.5600000000247</c:v>
                </c:pt>
                <c:pt idx="194">
                  <c:v>193.56000000002521</c:v>
                </c:pt>
                <c:pt idx="195">
                  <c:v>194.5600000000257</c:v>
                </c:pt>
                <c:pt idx="196">
                  <c:v>195.56000000002621</c:v>
                </c:pt>
                <c:pt idx="197">
                  <c:v>196.56000000002669</c:v>
                </c:pt>
                <c:pt idx="198">
                  <c:v>197.56000000002729</c:v>
                </c:pt>
                <c:pt idx="199">
                  <c:v>198.5600000000278</c:v>
                </c:pt>
                <c:pt idx="200">
                  <c:v>199.56000000002831</c:v>
                </c:pt>
                <c:pt idx="201">
                  <c:v>200.56000000002879</c:v>
                </c:pt>
                <c:pt idx="202">
                  <c:v>201.56000000002931</c:v>
                </c:pt>
                <c:pt idx="203">
                  <c:v>202.56000000002979</c:v>
                </c:pt>
                <c:pt idx="204">
                  <c:v>203.5600000000303</c:v>
                </c:pt>
                <c:pt idx="205">
                  <c:v>204.56000000003081</c:v>
                </c:pt>
                <c:pt idx="206">
                  <c:v>205.56000000003141</c:v>
                </c:pt>
                <c:pt idx="207">
                  <c:v>206.56000000003189</c:v>
                </c:pt>
                <c:pt idx="208">
                  <c:v>207.5600000000324</c:v>
                </c:pt>
                <c:pt idx="209">
                  <c:v>208.56000000003289</c:v>
                </c:pt>
                <c:pt idx="210">
                  <c:v>209.5600000000334</c:v>
                </c:pt>
                <c:pt idx="211">
                  <c:v>210.56000000003391</c:v>
                </c:pt>
                <c:pt idx="212">
                  <c:v>211.56000000003439</c:v>
                </c:pt>
                <c:pt idx="213">
                  <c:v>212.5600000000349</c:v>
                </c:pt>
                <c:pt idx="214">
                  <c:v>213.56000000003539</c:v>
                </c:pt>
                <c:pt idx="215">
                  <c:v>214.56000000003601</c:v>
                </c:pt>
                <c:pt idx="216">
                  <c:v>215.5600000000365</c:v>
                </c:pt>
                <c:pt idx="217">
                  <c:v>216.56000000003701</c:v>
                </c:pt>
                <c:pt idx="218">
                  <c:v>217.56000000003749</c:v>
                </c:pt>
                <c:pt idx="219">
                  <c:v>218.560000000038</c:v>
                </c:pt>
                <c:pt idx="220">
                  <c:v>219.56000000003851</c:v>
                </c:pt>
                <c:pt idx="221">
                  <c:v>220.560000000039</c:v>
                </c:pt>
                <c:pt idx="222">
                  <c:v>221.56000000003951</c:v>
                </c:pt>
                <c:pt idx="223">
                  <c:v>222.56000000003999</c:v>
                </c:pt>
                <c:pt idx="224">
                  <c:v>223.56000000004059</c:v>
                </c:pt>
                <c:pt idx="225">
                  <c:v>224.5600000000411</c:v>
                </c:pt>
                <c:pt idx="226">
                  <c:v>225.56000000004161</c:v>
                </c:pt>
                <c:pt idx="227">
                  <c:v>226.56000000004209</c:v>
                </c:pt>
                <c:pt idx="228">
                  <c:v>227.56000000004261</c:v>
                </c:pt>
                <c:pt idx="229">
                  <c:v>228.56000000004309</c:v>
                </c:pt>
                <c:pt idx="230">
                  <c:v>229.5600000000436</c:v>
                </c:pt>
                <c:pt idx="231">
                  <c:v>230.56000000004411</c:v>
                </c:pt>
                <c:pt idx="232">
                  <c:v>231.56000000004471</c:v>
                </c:pt>
                <c:pt idx="233">
                  <c:v>232.56000000004519</c:v>
                </c:pt>
                <c:pt idx="234">
                  <c:v>233.5600000000457</c:v>
                </c:pt>
                <c:pt idx="235">
                  <c:v>234.56000000004619</c:v>
                </c:pt>
                <c:pt idx="236">
                  <c:v>235.5600000000467</c:v>
                </c:pt>
                <c:pt idx="237">
                  <c:v>236.56000000004721</c:v>
                </c:pt>
                <c:pt idx="238">
                  <c:v>237.56000000004769</c:v>
                </c:pt>
                <c:pt idx="239">
                  <c:v>238.56000000004821</c:v>
                </c:pt>
                <c:pt idx="240">
                  <c:v>239.56000000004869</c:v>
                </c:pt>
                <c:pt idx="241">
                  <c:v>240.56000000004931</c:v>
                </c:pt>
                <c:pt idx="242">
                  <c:v>241.5600000000498</c:v>
                </c:pt>
                <c:pt idx="243">
                  <c:v>242.56000000005031</c:v>
                </c:pt>
                <c:pt idx="244">
                  <c:v>243.56000000005079</c:v>
                </c:pt>
                <c:pt idx="245">
                  <c:v>244.5600000000513</c:v>
                </c:pt>
                <c:pt idx="246">
                  <c:v>245.56000000005179</c:v>
                </c:pt>
                <c:pt idx="247">
                  <c:v>246.5600000000523</c:v>
                </c:pt>
                <c:pt idx="248">
                  <c:v>247.56000000005281</c:v>
                </c:pt>
                <c:pt idx="249">
                  <c:v>248.56000000005329</c:v>
                </c:pt>
                <c:pt idx="250">
                  <c:v>249.56000000005389</c:v>
                </c:pt>
                <c:pt idx="251">
                  <c:v>250.5600000000544</c:v>
                </c:pt>
                <c:pt idx="252">
                  <c:v>251.56000000005491</c:v>
                </c:pt>
                <c:pt idx="253">
                  <c:v>252.5600000000554</c:v>
                </c:pt>
                <c:pt idx="254">
                  <c:v>253.56000000005591</c:v>
                </c:pt>
                <c:pt idx="255">
                  <c:v>254.56000000005639</c:v>
                </c:pt>
                <c:pt idx="256">
                  <c:v>255.5600000000569</c:v>
                </c:pt>
                <c:pt idx="257">
                  <c:v>256.56000000005662</c:v>
                </c:pt>
                <c:pt idx="258">
                  <c:v>257.56000000005571</c:v>
                </c:pt>
                <c:pt idx="259">
                  <c:v>258.5600000000548</c:v>
                </c:pt>
                <c:pt idx="260">
                  <c:v>259.56000000005389</c:v>
                </c:pt>
                <c:pt idx="261">
                  <c:v>260.56000000005298</c:v>
                </c:pt>
                <c:pt idx="262">
                  <c:v>261.56000000005213</c:v>
                </c:pt>
                <c:pt idx="263">
                  <c:v>262.56000000005122</c:v>
                </c:pt>
                <c:pt idx="264">
                  <c:v>263.56000000005031</c:v>
                </c:pt>
                <c:pt idx="265">
                  <c:v>264.56000000004929</c:v>
                </c:pt>
                <c:pt idx="266">
                  <c:v>265.56000000004838</c:v>
                </c:pt>
                <c:pt idx="267">
                  <c:v>266.56000000004752</c:v>
                </c:pt>
                <c:pt idx="268">
                  <c:v>267.56000000004661</c:v>
                </c:pt>
                <c:pt idx="269">
                  <c:v>268.5600000000457</c:v>
                </c:pt>
                <c:pt idx="270">
                  <c:v>269.56000000004479</c:v>
                </c:pt>
                <c:pt idx="271">
                  <c:v>270.56000000004389</c:v>
                </c:pt>
                <c:pt idx="272">
                  <c:v>271.56000000004298</c:v>
                </c:pt>
                <c:pt idx="273">
                  <c:v>272.56000000004212</c:v>
                </c:pt>
                <c:pt idx="274">
                  <c:v>273.56000000004121</c:v>
                </c:pt>
                <c:pt idx="275">
                  <c:v>274.56000000004019</c:v>
                </c:pt>
                <c:pt idx="276">
                  <c:v>275.56000000003928</c:v>
                </c:pt>
                <c:pt idx="277">
                  <c:v>276.56000000003837</c:v>
                </c:pt>
                <c:pt idx="278">
                  <c:v>277.56000000003752</c:v>
                </c:pt>
                <c:pt idx="279">
                  <c:v>278.56000000003661</c:v>
                </c:pt>
                <c:pt idx="280">
                  <c:v>279.5600000000357</c:v>
                </c:pt>
                <c:pt idx="281">
                  <c:v>280.56000000003479</c:v>
                </c:pt>
                <c:pt idx="282">
                  <c:v>281.56000000003388</c:v>
                </c:pt>
                <c:pt idx="283">
                  <c:v>282.56000000003303</c:v>
                </c:pt>
                <c:pt idx="284">
                  <c:v>283.56000000003212</c:v>
                </c:pt>
                <c:pt idx="285">
                  <c:v>284.56000000003121</c:v>
                </c:pt>
                <c:pt idx="286">
                  <c:v>285.56000000003019</c:v>
                </c:pt>
                <c:pt idx="287">
                  <c:v>286.56000000002928</c:v>
                </c:pt>
                <c:pt idx="288">
                  <c:v>287.56000000002842</c:v>
                </c:pt>
                <c:pt idx="289">
                  <c:v>288.56000000002751</c:v>
                </c:pt>
                <c:pt idx="290">
                  <c:v>289.5600000000266</c:v>
                </c:pt>
                <c:pt idx="291">
                  <c:v>290.5600000000257</c:v>
                </c:pt>
                <c:pt idx="292">
                  <c:v>291.56000000002479</c:v>
                </c:pt>
                <c:pt idx="293">
                  <c:v>292.56000000002388</c:v>
                </c:pt>
                <c:pt idx="294">
                  <c:v>293.56000000002302</c:v>
                </c:pt>
                <c:pt idx="295">
                  <c:v>294.56000000002211</c:v>
                </c:pt>
                <c:pt idx="296">
                  <c:v>295.56000000002109</c:v>
                </c:pt>
                <c:pt idx="297">
                  <c:v>296.56000000002018</c:v>
                </c:pt>
                <c:pt idx="298">
                  <c:v>297.56000000001927</c:v>
                </c:pt>
                <c:pt idx="299">
                  <c:v>298.56000000001842</c:v>
                </c:pt>
                <c:pt idx="300">
                  <c:v>299.56000000001751</c:v>
                </c:pt>
                <c:pt idx="301">
                  <c:v>300.5600000000166</c:v>
                </c:pt>
                <c:pt idx="302">
                  <c:v>301.56000000001569</c:v>
                </c:pt>
                <c:pt idx="303">
                  <c:v>302.56000000001478</c:v>
                </c:pt>
                <c:pt idx="304">
                  <c:v>303.56000000001387</c:v>
                </c:pt>
                <c:pt idx="305">
                  <c:v>304.56000000001302</c:v>
                </c:pt>
                <c:pt idx="306">
                  <c:v>305.56000000001211</c:v>
                </c:pt>
                <c:pt idx="307">
                  <c:v>306.56000000001109</c:v>
                </c:pt>
                <c:pt idx="308">
                  <c:v>307.56000000001018</c:v>
                </c:pt>
                <c:pt idx="309">
                  <c:v>308.56000000000932</c:v>
                </c:pt>
                <c:pt idx="310">
                  <c:v>309.56000000000842</c:v>
                </c:pt>
                <c:pt idx="311">
                  <c:v>310.56000000000751</c:v>
                </c:pt>
                <c:pt idx="312">
                  <c:v>311.5600000000066</c:v>
                </c:pt>
                <c:pt idx="313">
                  <c:v>312.56000000000569</c:v>
                </c:pt>
                <c:pt idx="314">
                  <c:v>313.56000000000478</c:v>
                </c:pt>
                <c:pt idx="315">
                  <c:v>314.56000000000392</c:v>
                </c:pt>
                <c:pt idx="316">
                  <c:v>315.56000000000301</c:v>
                </c:pt>
                <c:pt idx="317">
                  <c:v>316.56000000000199</c:v>
                </c:pt>
                <c:pt idx="318">
                  <c:v>317.56000000000108</c:v>
                </c:pt>
                <c:pt idx="319">
                  <c:v>318.56000000000017</c:v>
                </c:pt>
                <c:pt idx="320">
                  <c:v>319.55999999999932</c:v>
                </c:pt>
                <c:pt idx="321">
                  <c:v>320.55999999999841</c:v>
                </c:pt>
                <c:pt idx="322">
                  <c:v>321.5599999999975</c:v>
                </c:pt>
                <c:pt idx="323">
                  <c:v>322.55999999999659</c:v>
                </c:pt>
                <c:pt idx="324">
                  <c:v>323.55999999999568</c:v>
                </c:pt>
                <c:pt idx="325">
                  <c:v>324.55999999999477</c:v>
                </c:pt>
                <c:pt idx="326">
                  <c:v>325.55999999999392</c:v>
                </c:pt>
                <c:pt idx="327">
                  <c:v>326.55999999999301</c:v>
                </c:pt>
                <c:pt idx="328">
                  <c:v>327.55999999999199</c:v>
                </c:pt>
                <c:pt idx="329">
                  <c:v>328.55999999999108</c:v>
                </c:pt>
                <c:pt idx="330">
                  <c:v>329.55999999999023</c:v>
                </c:pt>
                <c:pt idx="331">
                  <c:v>330.55999999998932</c:v>
                </c:pt>
                <c:pt idx="332">
                  <c:v>331.55999999998841</c:v>
                </c:pt>
                <c:pt idx="333">
                  <c:v>332.5599999999875</c:v>
                </c:pt>
                <c:pt idx="334">
                  <c:v>333.55999999998659</c:v>
                </c:pt>
                <c:pt idx="335">
                  <c:v>334.55999999998568</c:v>
                </c:pt>
                <c:pt idx="336">
                  <c:v>335.55999999998483</c:v>
                </c:pt>
                <c:pt idx="337">
                  <c:v>336.55999999998392</c:v>
                </c:pt>
                <c:pt idx="338">
                  <c:v>337.55999999998289</c:v>
                </c:pt>
                <c:pt idx="339">
                  <c:v>338.55999999998198</c:v>
                </c:pt>
                <c:pt idx="340">
                  <c:v>339.55999999998107</c:v>
                </c:pt>
                <c:pt idx="341">
                  <c:v>340.55999999998022</c:v>
                </c:pt>
                <c:pt idx="342">
                  <c:v>341.55999999997931</c:v>
                </c:pt>
                <c:pt idx="343">
                  <c:v>342.5599999999784</c:v>
                </c:pt>
                <c:pt idx="344">
                  <c:v>343.55999999997749</c:v>
                </c:pt>
                <c:pt idx="345">
                  <c:v>344.55999999997658</c:v>
                </c:pt>
                <c:pt idx="346">
                  <c:v>345.33999999997587</c:v>
                </c:pt>
                <c:pt idx="347">
                  <c:v>346.33999999997502</c:v>
                </c:pt>
                <c:pt idx="348">
                  <c:v>347.33999999997411</c:v>
                </c:pt>
                <c:pt idx="349">
                  <c:v>348.33999999997309</c:v>
                </c:pt>
                <c:pt idx="350">
                  <c:v>349.33999999997218</c:v>
                </c:pt>
                <c:pt idx="351">
                  <c:v>350.33999999997133</c:v>
                </c:pt>
                <c:pt idx="352">
                  <c:v>351.33999999997042</c:v>
                </c:pt>
                <c:pt idx="353">
                  <c:v>352.33999999996951</c:v>
                </c:pt>
                <c:pt idx="354">
                  <c:v>353.3399999999686</c:v>
                </c:pt>
                <c:pt idx="355">
                  <c:v>354.33999999996769</c:v>
                </c:pt>
                <c:pt idx="356">
                  <c:v>355.33999999996678</c:v>
                </c:pt>
                <c:pt idx="357">
                  <c:v>356.33999999996593</c:v>
                </c:pt>
                <c:pt idx="358">
                  <c:v>357.33999999996502</c:v>
                </c:pt>
                <c:pt idx="359">
                  <c:v>358.33999999996399</c:v>
                </c:pt>
                <c:pt idx="360">
                  <c:v>359.33999999996308</c:v>
                </c:pt>
                <c:pt idx="361">
                  <c:v>360.33999999996217</c:v>
                </c:pt>
                <c:pt idx="362">
                  <c:v>361.33999999996132</c:v>
                </c:pt>
                <c:pt idx="363">
                  <c:v>362.33999999996041</c:v>
                </c:pt>
                <c:pt idx="364">
                  <c:v>363.3399999999595</c:v>
                </c:pt>
                <c:pt idx="365">
                  <c:v>364.33999999995859</c:v>
                </c:pt>
                <c:pt idx="366">
                  <c:v>365.33999999995768</c:v>
                </c:pt>
                <c:pt idx="367">
                  <c:v>366.27999999995677</c:v>
                </c:pt>
              </c:numCache>
            </c:numRef>
          </c:xVal>
          <c:yVal>
            <c:numRef>
              <c:f>Diagrammdaten!$W$5:$W$372</c:f>
              <c:numCache>
                <c:formatCode>0.0</c:formatCode>
                <c:ptCount val="368"/>
                <c:pt idx="0">
                  <c:v>209.82999595112349</c:v>
                </c:pt>
                <c:pt idx="1">
                  <c:v>201.572830778194</c:v>
                </c:pt>
                <c:pt idx="2">
                  <c:v>194.0192776024879</c:v>
                </c:pt>
                <c:pt idx="3">
                  <c:v>187.102366706151</c:v>
                </c:pt>
                <c:pt idx="4">
                  <c:v>180.7615850217561</c:v>
                </c:pt>
                <c:pt idx="5">
                  <c:v>174.9422977277514</c:v>
                </c:pt>
                <c:pt idx="6">
                  <c:v>169.59521074495319</c:v>
                </c:pt>
                <c:pt idx="7">
                  <c:v>164.67587333833001</c:v>
                </c:pt>
                <c:pt idx="8">
                  <c:v>160.14421978749371</c:v>
                </c:pt>
                <c:pt idx="9">
                  <c:v>155.96414874102209</c:v>
                </c:pt>
                <c:pt idx="10">
                  <c:v>152.1031385313791</c:v>
                </c:pt>
                <c:pt idx="11">
                  <c:v>148.53189645875199</c:v>
                </c:pt>
                <c:pt idx="12">
                  <c:v>145.22403987430721</c:v>
                </c:pt>
                <c:pt idx="13">
                  <c:v>142.15580680455929</c:v>
                </c:pt>
                <c:pt idx="14">
                  <c:v>139.30579384529341</c:v>
                </c:pt>
                <c:pt idx="15">
                  <c:v>136.65471909906941</c:v>
                </c:pt>
                <c:pt idx="16">
                  <c:v>134.18520801800489</c:v>
                </c:pt>
                <c:pt idx="17">
                  <c:v>131.8816001288734</c:v>
                </c:pt>
                <c:pt idx="18">
                  <c:v>129.72977474901239</c:v>
                </c:pt>
                <c:pt idx="19">
                  <c:v>127.7169939402946</c:v>
                </c:pt>
                <c:pt idx="20">
                  <c:v>125.83176108820641</c:v>
                </c:pt>
                <c:pt idx="21">
                  <c:v>124.0636936292281</c:v>
                </c:pt>
                <c:pt idx="22">
                  <c:v>122.4034085796914</c:v>
                </c:pt>
                <c:pt idx="23">
                  <c:v>120.8424196409203</c:v>
                </c:pt>
                <c:pt idx="24">
                  <c:v>119.3730447680861</c:v>
                </c:pt>
                <c:pt idx="25">
                  <c:v>117.9883231933933</c:v>
                </c:pt>
                <c:pt idx="26">
                  <c:v>116.68194098797829</c:v>
                </c:pt>
                <c:pt idx="27">
                  <c:v>115.4481643317511</c:v>
                </c:pt>
                <c:pt idx="28">
                  <c:v>114.2817797369454</c:v>
                </c:pt>
                <c:pt idx="29">
                  <c:v>113.17804053990341</c:v>
                </c:pt>
                <c:pt idx="30">
                  <c:v>112.1326190377893</c:v>
                </c:pt>
                <c:pt idx="31">
                  <c:v>111.14156370286069</c:v>
                </c:pt>
                <c:pt idx="32">
                  <c:v>110.20126095791341</c:v>
                </c:pt>
                <c:pt idx="33">
                  <c:v>109.3084010429922</c:v>
                </c:pt>
                <c:pt idx="34">
                  <c:v>108.45994754616881</c:v>
                </c:pt>
                <c:pt idx="35">
                  <c:v>107.6531102109423</c:v>
                </c:pt>
                <c:pt idx="36">
                  <c:v>106.8853206696069</c:v>
                </c:pt>
                <c:pt idx="37">
                  <c:v>106.1542107865492</c:v>
                </c:pt>
                <c:pt idx="38">
                  <c:v>105.45759332769541</c:v>
                </c:pt>
                <c:pt idx="39">
                  <c:v>104.79344470248709</c:v>
                </c:pt>
                <c:pt idx="40">
                  <c:v>104.15988955263251</c:v>
                </c:pt>
                <c:pt idx="41">
                  <c:v>103.5551869874582</c:v>
                </c:pt>
                <c:pt idx="42">
                  <c:v>102.9777182886758</c:v>
                </c:pt>
                <c:pt idx="43">
                  <c:v>102.4259759277157</c:v>
                </c:pt>
                <c:pt idx="44">
                  <c:v>101.89855375629379</c:v>
                </c:pt>
                <c:pt idx="45">
                  <c:v>101.3941382455652</c:v>
                </c:pt>
                <c:pt idx="46">
                  <c:v>100.91150066113821</c:v>
                </c:pt>
                <c:pt idx="47">
                  <c:v>100.4494900706943</c:v>
                </c:pt>
                <c:pt idx="48">
                  <c:v>100.00702708825889</c:v>
                </c:pt>
                <c:pt idx="49">
                  <c:v>99.583098264976087</c:v>
                </c:pt>
                <c:pt idx="50">
                  <c:v>99.176751041122188</c:v>
                </c:pt>
                <c:pt idx="51">
                  <c:v>98.787089178767943</c:v>
                </c:pt>
                <c:pt idx="52">
                  <c:v>98.41326859975689</c:v>
                </c:pt>
                <c:pt idx="53">
                  <c:v>98.05449355999005</c:v>
                </c:pt>
                <c:pt idx="54">
                  <c:v>97.710013098859847</c:v>
                </c:pt>
                <c:pt idx="55">
                  <c:v>97.379117712202358</c:v>
                </c:pt>
                <c:pt idx="56">
                  <c:v>97.061136208107413</c:v>
                </c:pt>
                <c:pt idx="57">
                  <c:v>96.755432716882979</c:v>
                </c:pt>
                <c:pt idx="58">
                  <c:v>96.461403838625273</c:v>
                </c:pt>
                <c:pt idx="59">
                  <c:v>96.17847592368993</c:v>
                </c:pt>
                <c:pt idx="60">
                  <c:v>95.906102490115131</c:v>
                </c:pt>
                <c:pt idx="61">
                  <c:v>95.643761792032308</c:v>
                </c:pt>
                <c:pt idx="62">
                  <c:v>95.390954554794774</c:v>
                </c:pt>
                <c:pt idx="63">
                  <c:v>95.147201896641064</c:v>
                </c:pt>
                <c:pt idx="64">
                  <c:v>94.912043454251858</c:v>
                </c:pt>
                <c:pt idx="65">
                  <c:v>94.685035726206195</c:v>
                </c:pt>
                <c:pt idx="66">
                  <c:v>94.465750642865117</c:v>
                </c:pt>
                <c:pt idx="67">
                  <c:v>94.253774364656138</c:v>
                </c:pt>
                <c:pt idx="68">
                  <c:v>94.048706303974228</c:v>
                </c:pt>
                <c:pt idx="69">
                  <c:v>93.850158359362908</c:v>
                </c:pt>
                <c:pt idx="70">
                  <c:v>93.657754344965525</c:v>
                </c:pt>
                <c:pt idx="71">
                  <c:v>93.471129593583285</c:v>
                </c:pt>
                <c:pt idx="72">
                  <c:v>93.289930708291195</c:v>
                </c:pt>
                <c:pt idx="73">
                  <c:v>93.113815435399857</c:v>
                </c:pt>
                <c:pt idx="74">
                  <c:v>92.942452630572859</c:v>
                </c:pt>
                <c:pt idx="75">
                  <c:v>92.775522290023758</c:v>
                </c:pt>
                <c:pt idx="76">
                  <c:v>92.612715619696999</c:v>
                </c:pt>
                <c:pt idx="77">
                  <c:v>92.453735117178567</c:v>
                </c:pt>
                <c:pt idx="78">
                  <c:v>92.298294643543315</c:v>
                </c:pt>
                <c:pt idx="79">
                  <c:v>92.146119465348477</c:v>
                </c:pt>
                <c:pt idx="80">
                  <c:v>91.996946250510973</c:v>
                </c:pt>
                <c:pt idx="81">
                  <c:v>91.850523005660719</c:v>
                </c:pt>
                <c:pt idx="82">
                  <c:v>91.706608946881147</c:v>
                </c:pt>
                <c:pt idx="83">
                  <c:v>91.564974300433533</c:v>
                </c:pt>
                <c:pt idx="84">
                  <c:v>91.425400035448732</c:v>
                </c:pt>
                <c:pt idx="85">
                  <c:v>91.287677537046662</c:v>
                </c:pt>
                <c:pt idx="86">
                  <c:v>91.151608237169725</c:v>
                </c:pt>
                <c:pt idx="87">
                  <c:v>91.017003234481251</c:v>
                </c:pt>
                <c:pt idx="88">
                  <c:v>90.883682961613005</c:v>
                </c:pt>
                <c:pt idx="89">
                  <c:v>90.751477021495432</c:v>
                </c:pt>
                <c:pt idx="90">
                  <c:v>90.620224504650665</c:v>
                </c:pt>
                <c:pt idx="91">
                  <c:v>90.48977594229433</c:v>
                </c:pt>
                <c:pt idx="92">
                  <c:v>90.360017122738142</c:v>
                </c:pt>
                <c:pt idx="93">
                  <c:v>90.230919982948194</c:v>
                </c:pt>
                <c:pt idx="94">
                  <c:v>90.102370286778793</c:v>
                </c:pt>
                <c:pt idx="95">
                  <c:v>89.974221449286972</c:v>
                </c:pt>
                <c:pt idx="96">
                  <c:v>89.846318217959066</c:v>
                </c:pt>
                <c:pt idx="97">
                  <c:v>89.718499485829128</c:v>
                </c:pt>
                <c:pt idx="98">
                  <c:v>89.590599550715027</c:v>
                </c:pt>
                <c:pt idx="99">
                  <c:v>89.462448921979473</c:v>
                </c:pt>
                <c:pt idx="100">
                  <c:v>89.333874958766927</c:v>
                </c:pt>
                <c:pt idx="101">
                  <c:v>89.204702438528471</c:v>
                </c:pt>
                <c:pt idx="102">
                  <c:v>89.074754093333496</c:v>
                </c:pt>
                <c:pt idx="103">
                  <c:v>88.943851126205629</c:v>
                </c:pt>
                <c:pt idx="104">
                  <c:v>88.811813707662253</c:v>
                </c:pt>
                <c:pt idx="105">
                  <c:v>88.678461446336314</c:v>
                </c:pt>
                <c:pt idx="106">
                  <c:v>88.543613824219548</c:v>
                </c:pt>
                <c:pt idx="107">
                  <c:v>88.407090585419439</c:v>
                </c:pt>
                <c:pt idx="108">
                  <c:v>88.268712066897692</c:v>
                </c:pt>
                <c:pt idx="109">
                  <c:v>88.128299460103918</c:v>
                </c:pt>
                <c:pt idx="110">
                  <c:v>87.98567499354148</c:v>
                </c:pt>
                <c:pt idx="111">
                  <c:v>87.84066202799869</c:v>
                </c:pt>
                <c:pt idx="112">
                  <c:v>87.693085058346639</c:v>
                </c:pt>
                <c:pt idx="113">
                  <c:v>87.542769618276154</c:v>
                </c:pt>
                <c:pt idx="114">
                  <c:v>87.389542087076293</c:v>
                </c:pt>
                <c:pt idx="115">
                  <c:v>87.233229400468318</c:v>
                </c:pt>
                <c:pt idx="116">
                  <c:v>87.073658670409884</c:v>
                </c:pt>
                <c:pt idx="117">
                  <c:v>86.910656721711419</c:v>
                </c:pt>
                <c:pt idx="118">
                  <c:v>86.744049556073236</c:v>
                </c:pt>
                <c:pt idx="119">
                  <c:v>86.573661756709555</c:v>
                </c:pt>
                <c:pt idx="120">
                  <c:v>86.399315848974481</c:v>
                </c:pt>
                <c:pt idx="121">
                  <c:v>86.22083163420703</c:v>
                </c:pt>
                <c:pt idx="122">
                  <c:v>86.038025515323412</c:v>
                </c:pt>
                <c:pt idx="123">
                  <c:v>85.850709833314397</c:v>
                </c:pt>
                <c:pt idx="124">
                  <c:v>85.658692233750941</c:v>
                </c:pt>
                <c:pt idx="125">
                  <c:v>85.461775081314002</c:v>
                </c:pt>
                <c:pt idx="126">
                  <c:v>85.259754939246051</c:v>
                </c:pt>
                <c:pt idx="127">
                  <c:v>85.052422126873864</c:v>
                </c:pt>
                <c:pt idx="128">
                  <c:v>84.839560366542159</c:v>
                </c:pt>
                <c:pt idx="129">
                  <c:v>84.620946526377267</c:v>
                </c:pt>
                <c:pt idx="130">
                  <c:v>84.396350461718043</c:v>
                </c:pt>
                <c:pt idx="131">
                  <c:v>84.165534953762588</c:v>
                </c:pt>
                <c:pt idx="132">
                  <c:v>83.928255740077276</c:v>
                </c:pt>
                <c:pt idx="133">
                  <c:v>83.68426162821703</c:v>
                </c:pt>
                <c:pt idx="134">
                  <c:v>83.4332946810312</c:v>
                </c:pt>
                <c:pt idx="135">
                  <c:v>83.175090460370157</c:v>
                </c:pt>
                <c:pt idx="136">
                  <c:v>82.909378315025691</c:v>
                </c:pt>
                <c:pt idx="137">
                  <c:v>82.635881698646415</c:v>
                </c:pt>
                <c:pt idx="138">
                  <c:v>82.354318504113209</c:v>
                </c:pt>
                <c:pt idx="139">
                  <c:v>82.064401402309812</c:v>
                </c:pt>
                <c:pt idx="140">
                  <c:v>81.765838174585326</c:v>
                </c:pt>
                <c:pt idx="141">
                  <c:v>81.458332031118289</c:v>
                </c:pt>
                <c:pt idx="142">
                  <c:v>81.141581908416839</c:v>
                </c:pt>
                <c:pt idx="143">
                  <c:v>80.815282742125817</c:v>
                </c:pt>
                <c:pt idx="144">
                  <c:v>80.479125712753287</c:v>
                </c:pt>
                <c:pt idx="145">
                  <c:v>80.132798463667811</c:v>
                </c:pt>
                <c:pt idx="146">
                  <c:v>79.775985292039749</c:v>
                </c:pt>
                <c:pt idx="147">
                  <c:v>79.408367314395647</c:v>
                </c:pt>
                <c:pt idx="148">
                  <c:v>79.029622609180535</c:v>
                </c:pt>
                <c:pt idx="149">
                  <c:v>78.639426339143156</c:v>
                </c:pt>
                <c:pt idx="150">
                  <c:v>78.237450856560002</c:v>
                </c:pt>
                <c:pt idx="151">
                  <c:v>77.823365794311286</c:v>
                </c:pt>
                <c:pt idx="152">
                  <c:v>77.396838145663409</c:v>
                </c:pt>
                <c:pt idx="153">
                  <c:v>76.957532335346528</c:v>
                </c:pt>
                <c:pt idx="154">
                  <c:v>76.505110284185577</c:v>
                </c:pt>
                <c:pt idx="155">
                  <c:v>76.039231469152597</c:v>
                </c:pt>
                <c:pt idx="156">
                  <c:v>75.55955298033291</c:v>
                </c:pt>
                <c:pt idx="157">
                  <c:v>75.065729575920571</c:v>
                </c:pt>
                <c:pt idx="158">
                  <c:v>74.557413736010147</c:v>
                </c:pt>
                <c:pt idx="159">
                  <c:v>74.034255715652108</c:v>
                </c:pt>
                <c:pt idx="160">
                  <c:v>73.495903597385279</c:v>
                </c:pt>
                <c:pt idx="161">
                  <c:v>72.94200334326365</c:v>
                </c:pt>
                <c:pt idx="162">
                  <c:v>72.372198846247557</c:v>
                </c:pt>
                <c:pt idx="163">
                  <c:v>71.786131980741615</c:v>
                </c:pt>
                <c:pt idx="164">
                  <c:v>71.183442652022563</c:v>
                </c:pt>
                <c:pt idx="165">
                  <c:v>70.56376884430631</c:v>
                </c:pt>
                <c:pt idx="166">
                  <c:v>69.991239970446742</c:v>
                </c:pt>
                <c:pt idx="167">
                  <c:v>70.834965314090439</c:v>
                </c:pt>
                <c:pt idx="168">
                  <c:v>71.48438139174165</c:v>
                </c:pt>
                <c:pt idx="169">
                  <c:v>71.912030866162894</c:v>
                </c:pt>
                <c:pt idx="170">
                  <c:v>72.193350787298044</c:v>
                </c:pt>
                <c:pt idx="171">
                  <c:v>72.378289717785606</c:v>
                </c:pt>
                <c:pt idx="172">
                  <c:v>72.499817173887038</c:v>
                </c:pt>
                <c:pt idx="173">
                  <c:v>72.579654002558684</c:v>
                </c:pt>
                <c:pt idx="174">
                  <c:v>72.632093209984973</c:v>
                </c:pt>
                <c:pt idx="175">
                  <c:v>72.666532915894621</c:v>
                </c:pt>
                <c:pt idx="176">
                  <c:v>72.689149676378847</c:v>
                </c:pt>
                <c:pt idx="177">
                  <c:v>72.704001514065169</c:v>
                </c:pt>
                <c:pt idx="178">
                  <c:v>72.713754017704119</c:v>
                </c:pt>
                <c:pt idx="179">
                  <c:v>72.720157894308286</c:v>
                </c:pt>
                <c:pt idx="180">
                  <c:v>72.724362873239869</c:v>
                </c:pt>
                <c:pt idx="181">
                  <c:v>72.727123964615245</c:v>
                </c:pt>
                <c:pt idx="182">
                  <c:v>72.728936953600851</c:v>
                </c:pt>
                <c:pt idx="183">
                  <c:v>72.730127394572705</c:v>
                </c:pt>
                <c:pt idx="184">
                  <c:v>72.73090905739889</c:v>
                </c:pt>
                <c:pt idx="185">
                  <c:v>72.731422309013979</c:v>
                </c:pt>
                <c:pt idx="186">
                  <c:v>72.731759317404553</c:v>
                </c:pt>
                <c:pt idx="187">
                  <c:v>72.731980601799975</c:v>
                </c:pt>
                <c:pt idx="188">
                  <c:v>72.732101513879243</c:v>
                </c:pt>
                <c:pt idx="189">
                  <c:v>72.817168989857095</c:v>
                </c:pt>
                <c:pt idx="190">
                  <c:v>73.106501673880132</c:v>
                </c:pt>
                <c:pt idx="191">
                  <c:v>73.519230390638313</c:v>
                </c:pt>
                <c:pt idx="192">
                  <c:v>74.005400374502457</c:v>
                </c:pt>
                <c:pt idx="193">
                  <c:v>74.534215598744154</c:v>
                </c:pt>
                <c:pt idx="194">
                  <c:v>75.086479653916911</c:v>
                </c:pt>
                <c:pt idx="195">
                  <c:v>75.650109603200349</c:v>
                </c:pt>
                <c:pt idx="196">
                  <c:v>76.217441810742741</c:v>
                </c:pt>
                <c:pt idx="197">
                  <c:v>76.783592857447303</c:v>
                </c:pt>
                <c:pt idx="198">
                  <c:v>77.34544938546604</c:v>
                </c:pt>
                <c:pt idx="199">
                  <c:v>77.901037767618178</c:v>
                </c:pt>
                <c:pt idx="200">
                  <c:v>78.449126123080433</c:v>
                </c:pt>
                <c:pt idx="201">
                  <c:v>78.98897021302308</c:v>
                </c:pt>
                <c:pt idx="202">
                  <c:v>79.520149468865668</c:v>
                </c:pt>
                <c:pt idx="203">
                  <c:v>80.042460102263675</c:v>
                </c:pt>
                <c:pt idx="204">
                  <c:v>80.555844740410521</c:v>
                </c:pt>
                <c:pt idx="205">
                  <c:v>81.060345663387224</c:v>
                </c:pt>
                <c:pt idx="206">
                  <c:v>81.556073436310953</c:v>
                </c:pt>
                <c:pt idx="207">
                  <c:v>82.043185673491536</c:v>
                </c:pt>
                <c:pt idx="208">
                  <c:v>82.521872528652153</c:v>
                </c:pt>
                <c:pt idx="209">
                  <c:v>82.992346687405387</c:v>
                </c:pt>
                <c:pt idx="210">
                  <c:v>83.454836397643035</c:v>
                </c:pt>
                <c:pt idx="211">
                  <c:v>83.909580565717022</c:v>
                </c:pt>
                <c:pt idx="212">
                  <c:v>84.356825268083398</c:v>
                </c:pt>
                <c:pt idx="213">
                  <c:v>84.796821240235033</c:v>
                </c:pt>
                <c:pt idx="214">
                  <c:v>85.229822045838219</c:v>
                </c:pt>
                <c:pt idx="215">
                  <c:v>85.656082723601287</c:v>
                </c:pt>
                <c:pt idx="216">
                  <c:v>86.075858773426773</c:v>
                </c:pt>
                <c:pt idx="217">
                  <c:v>86.489405387041941</c:v>
                </c:pt>
                <c:pt idx="218">
                  <c:v>86.896976858313849</c:v>
                </c:pt>
                <c:pt idx="219">
                  <c:v>87.29882612920062</c:v>
                </c:pt>
                <c:pt idx="220">
                  <c:v>87.695204441623346</c:v>
                </c:pt>
                <c:pt idx="221">
                  <c:v>88.086361075475338</c:v>
                </c:pt>
                <c:pt idx="222">
                  <c:v>88.472543159696798</c:v>
                </c:pt>
                <c:pt idx="223">
                  <c:v>88.853995547818812</c:v>
                </c:pt>
                <c:pt idx="224">
                  <c:v>89.230960752166865</c:v>
                </c:pt>
                <c:pt idx="225">
                  <c:v>89.603678932512622</c:v>
                </c:pt>
                <c:pt idx="226">
                  <c:v>89.972387935665481</c:v>
                </c:pt>
                <c:pt idx="227">
                  <c:v>90.337323382668586</c:v>
                </c:pt>
                <c:pt idx="228">
                  <c:v>90.698718799994197</c:v>
                </c:pt>
                <c:pt idx="229">
                  <c:v>91.056805790736249</c:v>
                </c:pt>
                <c:pt idx="230">
                  <c:v>91.411814241298998</c:v>
                </c:pt>
                <c:pt idx="231">
                  <c:v>91.763972558671441</c:v>
                </c:pt>
                <c:pt idx="232">
                  <c:v>92.11350793303734</c:v>
                </c:pt>
                <c:pt idx="233">
                  <c:v>92.460646620344065</c:v>
                </c:pt>
                <c:pt idx="234">
                  <c:v>92.805614239449099</c:v>
                </c:pt>
                <c:pt idx="235">
                  <c:v>93.148636078652387</c:v>
                </c:pt>
                <c:pt idx="236">
                  <c:v>93.48993740671402</c:v>
                </c:pt>
                <c:pt idx="237">
                  <c:v>93.829743783987681</c:v>
                </c:pt>
                <c:pt idx="238">
                  <c:v>94.168281369790421</c:v>
                </c:pt>
                <c:pt idx="239">
                  <c:v>94.505777222782044</c:v>
                </c:pt>
                <c:pt idx="240">
                  <c:v>94.84245959183599</c:v>
                </c:pt>
                <c:pt idx="241">
                  <c:v>95.178558195577097</c:v>
                </c:pt>
                <c:pt idx="242">
                  <c:v>95.514304489491408</c:v>
                </c:pt>
                <c:pt idx="243">
                  <c:v>95.849931920244416</c:v>
                </c:pt>
                <c:pt idx="244">
                  <c:v>96.18567616748939</c:v>
                </c:pt>
                <c:pt idx="245">
                  <c:v>96.521775374098596</c:v>
                </c:pt>
                <c:pt idx="246">
                  <c:v>96.858470366254451</c:v>
                </c:pt>
                <c:pt idx="247">
                  <c:v>97.196004865287406</c:v>
                </c:pt>
                <c:pt idx="248">
                  <c:v>97.534625693443374</c:v>
                </c:pt>
                <c:pt idx="249">
                  <c:v>97.874582975909505</c:v>
                </c:pt>
                <c:pt idx="250">
                  <c:v>98.216130341447567</c:v>
                </c:pt>
                <c:pt idx="251">
                  <c:v>98.559525123784695</c:v>
                </c:pt>
                <c:pt idx="252">
                  <c:v>98.905028565543461</c:v>
                </c:pt>
                <c:pt idx="253">
                  <c:v>99.2529060259304</c:v>
                </c:pt>
                <c:pt idx="254">
                  <c:v>99.603427192557973</c:v>
                </c:pt>
                <c:pt idx="255">
                  <c:v>99.95686629663939</c:v>
                </c:pt>
                <c:pt idx="256">
                  <c:v>100.31350232909919</c:v>
                </c:pt>
                <c:pt idx="257">
                  <c:v>100.6736192525432</c:v>
                </c:pt>
                <c:pt idx="258">
                  <c:v>101.0375061993455</c:v>
                </c:pt>
                <c:pt idx="259">
                  <c:v>101.4054576365438</c:v>
                </c:pt>
                <c:pt idx="260">
                  <c:v>101.7777734546701</c:v>
                </c:pt>
                <c:pt idx="261">
                  <c:v>102.15475886404511</c:v>
                </c:pt>
                <c:pt idx="262">
                  <c:v>102.53672363690571</c:v>
                </c:pt>
                <c:pt idx="263">
                  <c:v>102.9239716211645</c:v>
                </c:pt>
                <c:pt idx="264">
                  <c:v>103.31678777856381</c:v>
                </c:pt>
                <c:pt idx="265">
                  <c:v>103.7155020087945</c:v>
                </c:pt>
                <c:pt idx="266">
                  <c:v>104.1204620611523</c:v>
                </c:pt>
                <c:pt idx="267">
                  <c:v>104.5320256803886</c:v>
                </c:pt>
                <c:pt idx="268">
                  <c:v>104.9505597455872</c:v>
                </c:pt>
                <c:pt idx="269">
                  <c:v>105.37644007472601</c:v>
                </c:pt>
                <c:pt idx="270">
                  <c:v>105.8100514598472</c:v>
                </c:pt>
                <c:pt idx="271">
                  <c:v>106.25178781079499</c:v>
                </c:pt>
                <c:pt idx="272">
                  <c:v>106.7020523620865</c:v>
                </c:pt>
                <c:pt idx="273">
                  <c:v>107.1612579239214</c:v>
                </c:pt>
                <c:pt idx="274">
                  <c:v>107.62982716921211</c:v>
                </c:pt>
                <c:pt idx="275">
                  <c:v>108.1081929534207</c:v>
                </c:pt>
                <c:pt idx="276">
                  <c:v>108.5967986661681</c:v>
                </c:pt>
                <c:pt idx="277">
                  <c:v>109.0960986145186</c:v>
                </c:pt>
                <c:pt idx="278">
                  <c:v>109.60655843726801</c:v>
                </c:pt>
                <c:pt idx="279">
                  <c:v>110.12865555020009</c:v>
                </c:pt>
                <c:pt idx="280">
                  <c:v>110.6628796199719</c:v>
                </c:pt>
                <c:pt idx="281">
                  <c:v>111.2097330644667</c:v>
                </c:pt>
                <c:pt idx="282">
                  <c:v>111.76973157568609</c:v>
                </c:pt>
                <c:pt idx="283">
                  <c:v>112.3434046603339</c:v>
                </c:pt>
                <c:pt idx="284">
                  <c:v>112.93129619218639</c:v>
                </c:pt>
                <c:pt idx="285">
                  <c:v>113.53396496945879</c:v>
                </c:pt>
                <c:pt idx="286">
                  <c:v>114.1519852697823</c:v>
                </c:pt>
                <c:pt idx="287">
                  <c:v>114.7859473951177</c:v>
                </c:pt>
                <c:pt idx="288">
                  <c:v>115.4364581989725</c:v>
                </c:pt>
                <c:pt idx="289">
                  <c:v>116.10414158879961</c:v>
                </c:pt>
                <c:pt idx="290">
                  <c:v>116.7896389972735</c:v>
                </c:pt>
                <c:pt idx="291">
                  <c:v>117.4936098174523</c:v>
                </c:pt>
                <c:pt idx="292">
                  <c:v>118.2167317983792</c:v>
                </c:pt>
                <c:pt idx="293">
                  <c:v>118.9597013995994</c:v>
                </c:pt>
                <c:pt idx="294">
                  <c:v>119.7232341051004</c:v>
                </c:pt>
                <c:pt idx="295">
                  <c:v>120.5080646993535</c:v>
                </c:pt>
                <c:pt idx="296">
                  <c:v>121.3149475102432</c:v>
                </c:pt>
                <c:pt idx="297">
                  <c:v>122.1446566256715</c:v>
                </c:pt>
                <c:pt idx="298">
                  <c:v>122.9979860923245</c:v>
                </c:pt>
                <c:pt idx="299">
                  <c:v>123.87575010648879</c:v>
                </c:pt>
                <c:pt idx="300">
                  <c:v>124.7787832077033</c:v>
                </c:pt>
                <c:pt idx="301">
                  <c:v>125.7079404864467</c:v>
                </c:pt>
                <c:pt idx="302">
                  <c:v>126.66409781694099</c:v>
                </c:pt>
                <c:pt idx="303">
                  <c:v>127.6481521253889</c:v>
                </c:pt>
                <c:pt idx="304">
                  <c:v>128.66102170270511</c:v>
                </c:pt>
                <c:pt idx="305">
                  <c:v>129.70364656900381</c:v>
                </c:pt>
                <c:pt idx="306">
                  <c:v>130.7769888948207</c:v>
                </c:pt>
                <c:pt idx="307">
                  <c:v>131.88203348146979</c:v>
                </c:pt>
                <c:pt idx="308">
                  <c:v>133.01978830008321</c:v>
                </c:pt>
                <c:pt idx="309">
                  <c:v>134.19128508601901</c:v>
                </c:pt>
                <c:pt idx="310">
                  <c:v>135.3975799824764</c:v>
                </c:pt>
                <c:pt idx="311">
                  <c:v>136.6397542246431</c:v>
                </c:pt>
                <c:pt idx="312">
                  <c:v>137.91891485353321</c:v>
                </c:pt>
                <c:pt idx="313">
                  <c:v>139.23619544709899</c:v>
                </c:pt>
                <c:pt idx="314">
                  <c:v>140.59275685526009</c:v>
                </c:pt>
                <c:pt idx="315">
                  <c:v>141.989787925244</c:v>
                </c:pt>
                <c:pt idx="316">
                  <c:v>143.4285062041435</c:v>
                </c:pt>
                <c:pt idx="317">
                  <c:v>144.91015860671109</c:v>
                </c:pt>
                <c:pt idx="318">
                  <c:v>146.4360220382095</c:v>
                </c:pt>
                <c:pt idx="319">
                  <c:v>148.0074039642482</c:v>
                </c:pt>
                <c:pt idx="320">
                  <c:v>149.62564292208469</c:v>
                </c:pt>
                <c:pt idx="321">
                  <c:v>151.29210897040991</c:v>
                </c:pt>
                <c:pt idx="322">
                  <c:v>153.0082040771596</c:v>
                </c:pt>
                <c:pt idx="323">
                  <c:v>154.7753624471828</c:v>
                </c:pt>
                <c:pt idx="324">
                  <c:v>156.59505079354699</c:v>
                </c:pt>
                <c:pt idx="325">
                  <c:v>158.46876855764879</c:v>
                </c:pt>
                <c:pt idx="326">
                  <c:v>160.39804808432081</c:v>
                </c:pt>
                <c:pt idx="327">
                  <c:v>162.38445475851631</c:v>
                </c:pt>
                <c:pt idx="328">
                  <c:v>164.42958711007799</c:v>
                </c:pt>
                <c:pt idx="329">
                  <c:v>166.53507689268491</c:v>
                </c:pt>
                <c:pt idx="330">
                  <c:v>168.7025891422447</c:v>
                </c:pt>
                <c:pt idx="331">
                  <c:v>170.93382221903639</c:v>
                </c:pt>
                <c:pt idx="332">
                  <c:v>173.23050783692219</c:v>
                </c:pt>
                <c:pt idx="333">
                  <c:v>175.5944110818505</c:v>
                </c:pt>
                <c:pt idx="334">
                  <c:v>178.0273304211058</c:v>
                </c:pt>
                <c:pt idx="335">
                  <c:v>180.5310977040437</c:v>
                </c:pt>
                <c:pt idx="336">
                  <c:v>183.1075781547494</c:v>
                </c:pt>
                <c:pt idx="337">
                  <c:v>185.75867035685479</c:v>
                </c:pt>
                <c:pt idx="338">
                  <c:v>188.48630623103671</c:v>
                </c:pt>
                <c:pt idx="339">
                  <c:v>191.29245100611149</c:v>
                </c:pt>
                <c:pt idx="340">
                  <c:v>194.17910318524579</c:v>
                </c:pt>
                <c:pt idx="341">
                  <c:v>197.1482945096086</c:v>
                </c:pt>
                <c:pt idx="342">
                  <c:v>200.20208992258489</c:v>
                </c:pt>
                <c:pt idx="343">
                  <c:v>203.3425875385314</c:v>
                </c:pt>
                <c:pt idx="344">
                  <c:v>206.57191862079449</c:v>
                </c:pt>
                <c:pt idx="345">
                  <c:v>209.89224757431151</c:v>
                </c:pt>
                <c:pt idx="346">
                  <c:v>208.0007117369849</c:v>
                </c:pt>
                <c:pt idx="347">
                  <c:v>205.4993114389134</c:v>
                </c:pt>
                <c:pt idx="348">
                  <c:v>203.24519422608921</c:v>
                </c:pt>
                <c:pt idx="349">
                  <c:v>201.21367909732751</c:v>
                </c:pt>
                <c:pt idx="350">
                  <c:v>199.3825842591786</c:v>
                </c:pt>
                <c:pt idx="351">
                  <c:v>197.73196947805911</c:v>
                </c:pt>
                <c:pt idx="352">
                  <c:v>196.2439053071104</c:v>
                </c:pt>
                <c:pt idx="353">
                  <c:v>194.90226646001989</c:v>
                </c:pt>
                <c:pt idx="354">
                  <c:v>193.69254683460611</c:v>
                </c:pt>
                <c:pt idx="355">
                  <c:v>192.60169391682979</c:v>
                </c:pt>
                <c:pt idx="356">
                  <c:v>191.6179605148898</c:v>
                </c:pt>
                <c:pt idx="357">
                  <c:v>190.73077197938389</c:v>
                </c:pt>
                <c:pt idx="358">
                  <c:v>189.93060725640731</c:v>
                </c:pt>
                <c:pt idx="359">
                  <c:v>189.20889229560231</c:v>
                </c:pt>
                <c:pt idx="360">
                  <c:v>188.55790449375681</c:v>
                </c:pt>
                <c:pt idx="361">
                  <c:v>187.9706869976751</c:v>
                </c:pt>
                <c:pt idx="362">
                  <c:v>187.44097181837381</c:v>
                </c:pt>
                <c:pt idx="363">
                  <c:v>186.96311082314779</c:v>
                </c:pt>
                <c:pt idx="364">
                  <c:v>186.53201377423269</c:v>
                </c:pt>
                <c:pt idx="365">
                  <c:v>186.14309267359241</c:v>
                </c:pt>
                <c:pt idx="366">
                  <c:v>185.79221175401571</c:v>
                </c:pt>
                <c:pt idx="367">
                  <c:v>185.49373206051641</c:v>
                </c:pt>
              </c:numCache>
            </c:numRef>
          </c:yVal>
          <c:smooth val="0"/>
          <c:extLst>
            <c:ext xmlns:c16="http://schemas.microsoft.com/office/drawing/2014/chart" uri="{C3380CC4-5D6E-409C-BE32-E72D297353CC}">
              <c16:uniqueId val="{00000000-5537-43AD-8F00-A9673F9ABC27}"/>
            </c:ext>
          </c:extLst>
        </c:ser>
        <c:ser>
          <c:idx val="1"/>
          <c:order val="1"/>
          <c:tx>
            <c:v>tief, 100.000 Nm³/h</c:v>
          </c:tx>
          <c:spPr>
            <a:ln w="25400">
              <a:solidFill>
                <a:srgbClr val="00304F"/>
              </a:solidFill>
              <a:prstDash val="solid"/>
            </a:ln>
          </c:spPr>
          <c:marker>
            <c:symbol val="none"/>
          </c:marker>
          <c:xVal>
            <c:numRef>
              <c:f>Diagrammdaten!$AA$5:$AA$203</c:f>
              <c:numCache>
                <c:formatCode>0.0</c:formatCode>
                <c:ptCount val="199"/>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81.780000000000868</c:v>
                </c:pt>
                <c:pt idx="83">
                  <c:v>82.780000000000669</c:v>
                </c:pt>
                <c:pt idx="84">
                  <c:v>83.78000000000047</c:v>
                </c:pt>
                <c:pt idx="85">
                  <c:v>84.780000000000271</c:v>
                </c:pt>
                <c:pt idx="86">
                  <c:v>85.780000000000072</c:v>
                </c:pt>
                <c:pt idx="87">
                  <c:v>86.779999999999873</c:v>
                </c:pt>
                <c:pt idx="88">
                  <c:v>87.779999999999674</c:v>
                </c:pt>
                <c:pt idx="89">
                  <c:v>88.779999999999475</c:v>
                </c:pt>
                <c:pt idx="90">
                  <c:v>89.779999999999276</c:v>
                </c:pt>
                <c:pt idx="91">
                  <c:v>90.779999999999077</c:v>
                </c:pt>
                <c:pt idx="92">
                  <c:v>91.779999999998878</c:v>
                </c:pt>
                <c:pt idx="93">
                  <c:v>92.77999999999868</c:v>
                </c:pt>
                <c:pt idx="94">
                  <c:v>93.779999999998481</c:v>
                </c:pt>
                <c:pt idx="95">
                  <c:v>94.779999999998282</c:v>
                </c:pt>
                <c:pt idx="96">
                  <c:v>95.779999999998083</c:v>
                </c:pt>
                <c:pt idx="97">
                  <c:v>96.779999999997884</c:v>
                </c:pt>
                <c:pt idx="98">
                  <c:v>97.779999999997685</c:v>
                </c:pt>
                <c:pt idx="99">
                  <c:v>98.779999999997486</c:v>
                </c:pt>
                <c:pt idx="100">
                  <c:v>99.779999999997287</c:v>
                </c:pt>
                <c:pt idx="101">
                  <c:v>100.7799999999971</c:v>
                </c:pt>
                <c:pt idx="102">
                  <c:v>101.7799999999969</c:v>
                </c:pt>
                <c:pt idx="103">
                  <c:v>102.7799999999967</c:v>
                </c:pt>
                <c:pt idx="104">
                  <c:v>103.7599999999965</c:v>
                </c:pt>
                <c:pt idx="105">
                  <c:v>104.7599999999963</c:v>
                </c:pt>
                <c:pt idx="106">
                  <c:v>105.7599999999961</c:v>
                </c:pt>
                <c:pt idx="107">
                  <c:v>106.7599999999959</c:v>
                </c:pt>
                <c:pt idx="108">
                  <c:v>107.7599999999957</c:v>
                </c:pt>
                <c:pt idx="109">
                  <c:v>108.7599999999955</c:v>
                </c:pt>
                <c:pt idx="110">
                  <c:v>109.7599999999953</c:v>
                </c:pt>
                <c:pt idx="111">
                  <c:v>110.7599999999951</c:v>
                </c:pt>
                <c:pt idx="112">
                  <c:v>111.7599999999949</c:v>
                </c:pt>
                <c:pt idx="113">
                  <c:v>112.7599999999947</c:v>
                </c:pt>
                <c:pt idx="114">
                  <c:v>113.75999999999451</c:v>
                </c:pt>
                <c:pt idx="115">
                  <c:v>114.75999999999431</c:v>
                </c:pt>
                <c:pt idx="116">
                  <c:v>115.75999999999409</c:v>
                </c:pt>
                <c:pt idx="117">
                  <c:v>116.75999999999389</c:v>
                </c:pt>
                <c:pt idx="118">
                  <c:v>117.7599999999937</c:v>
                </c:pt>
                <c:pt idx="119">
                  <c:v>118.7599999999935</c:v>
                </c:pt>
                <c:pt idx="120">
                  <c:v>119.7599999999933</c:v>
                </c:pt>
                <c:pt idx="121">
                  <c:v>120.7599999999931</c:v>
                </c:pt>
                <c:pt idx="122">
                  <c:v>121.7599999999929</c:v>
                </c:pt>
                <c:pt idx="123">
                  <c:v>122.7599999999927</c:v>
                </c:pt>
                <c:pt idx="124">
                  <c:v>123.7599999999925</c:v>
                </c:pt>
                <c:pt idx="125">
                  <c:v>124.7599999999923</c:v>
                </c:pt>
                <c:pt idx="126">
                  <c:v>125.7599999999921</c:v>
                </c:pt>
                <c:pt idx="127">
                  <c:v>126.7599999999919</c:v>
                </c:pt>
                <c:pt idx="128">
                  <c:v>127.75999999999171</c:v>
                </c:pt>
                <c:pt idx="129">
                  <c:v>128.75999999999209</c:v>
                </c:pt>
                <c:pt idx="130">
                  <c:v>129.7599999999926</c:v>
                </c:pt>
                <c:pt idx="131">
                  <c:v>130.75999999999311</c:v>
                </c:pt>
                <c:pt idx="132">
                  <c:v>131.7599999999936</c:v>
                </c:pt>
                <c:pt idx="133">
                  <c:v>132.75999999999411</c:v>
                </c:pt>
                <c:pt idx="134">
                  <c:v>133.75999999999459</c:v>
                </c:pt>
                <c:pt idx="135">
                  <c:v>134.7599999999951</c:v>
                </c:pt>
                <c:pt idx="136">
                  <c:v>135.75999999999561</c:v>
                </c:pt>
                <c:pt idx="137">
                  <c:v>136.75999999999621</c:v>
                </c:pt>
                <c:pt idx="138">
                  <c:v>137.75999999999669</c:v>
                </c:pt>
                <c:pt idx="139">
                  <c:v>138.75999999999721</c:v>
                </c:pt>
                <c:pt idx="140">
                  <c:v>139.75999999999769</c:v>
                </c:pt>
                <c:pt idx="141">
                  <c:v>140.7599999999982</c:v>
                </c:pt>
                <c:pt idx="142">
                  <c:v>141.75999999999871</c:v>
                </c:pt>
                <c:pt idx="143">
                  <c:v>142.7599999999992</c:v>
                </c:pt>
                <c:pt idx="144">
                  <c:v>143.75999999999971</c:v>
                </c:pt>
                <c:pt idx="145">
                  <c:v>144.76000000000019</c:v>
                </c:pt>
                <c:pt idx="146">
                  <c:v>145.76000000000079</c:v>
                </c:pt>
                <c:pt idx="147">
                  <c:v>146.7600000000013</c:v>
                </c:pt>
                <c:pt idx="148">
                  <c:v>147.76000000000181</c:v>
                </c:pt>
                <c:pt idx="149">
                  <c:v>148.76000000000229</c:v>
                </c:pt>
                <c:pt idx="150">
                  <c:v>149.7600000000028</c:v>
                </c:pt>
                <c:pt idx="151">
                  <c:v>150.76000000000329</c:v>
                </c:pt>
                <c:pt idx="152">
                  <c:v>151.7600000000038</c:v>
                </c:pt>
                <c:pt idx="153">
                  <c:v>152.76000000000431</c:v>
                </c:pt>
                <c:pt idx="154">
                  <c:v>153.76000000000491</c:v>
                </c:pt>
                <c:pt idx="155">
                  <c:v>154.76000000000539</c:v>
                </c:pt>
                <c:pt idx="156">
                  <c:v>155.7600000000059</c:v>
                </c:pt>
                <c:pt idx="157">
                  <c:v>156.76000000000639</c:v>
                </c:pt>
                <c:pt idx="158">
                  <c:v>157.7600000000069</c:v>
                </c:pt>
                <c:pt idx="159">
                  <c:v>158.76000000000741</c:v>
                </c:pt>
                <c:pt idx="160">
                  <c:v>159.76000000000789</c:v>
                </c:pt>
                <c:pt idx="161">
                  <c:v>160.7600000000084</c:v>
                </c:pt>
                <c:pt idx="162">
                  <c:v>161.76000000000889</c:v>
                </c:pt>
                <c:pt idx="163">
                  <c:v>162.76000000000951</c:v>
                </c:pt>
                <c:pt idx="164">
                  <c:v>163.76000000001</c:v>
                </c:pt>
                <c:pt idx="165">
                  <c:v>164.76000000001051</c:v>
                </c:pt>
                <c:pt idx="166">
                  <c:v>165.76000000001099</c:v>
                </c:pt>
                <c:pt idx="167">
                  <c:v>166.7600000000115</c:v>
                </c:pt>
                <c:pt idx="168">
                  <c:v>167.76000000001201</c:v>
                </c:pt>
                <c:pt idx="169">
                  <c:v>168.7600000000125</c:v>
                </c:pt>
                <c:pt idx="170">
                  <c:v>169.76000000001301</c:v>
                </c:pt>
                <c:pt idx="171">
                  <c:v>170.76000000001349</c:v>
                </c:pt>
                <c:pt idx="172">
                  <c:v>171.76000000001409</c:v>
                </c:pt>
                <c:pt idx="173">
                  <c:v>172.7600000000146</c:v>
                </c:pt>
                <c:pt idx="174">
                  <c:v>173.76000000001511</c:v>
                </c:pt>
                <c:pt idx="175">
                  <c:v>174.76000000001559</c:v>
                </c:pt>
                <c:pt idx="176">
                  <c:v>175.76000000001611</c:v>
                </c:pt>
                <c:pt idx="177">
                  <c:v>176.54000000001651</c:v>
                </c:pt>
                <c:pt idx="178">
                  <c:v>177.54000000001699</c:v>
                </c:pt>
                <c:pt idx="179">
                  <c:v>178.5400000000175</c:v>
                </c:pt>
                <c:pt idx="180">
                  <c:v>179.54000000001801</c:v>
                </c:pt>
                <c:pt idx="181">
                  <c:v>180.54000000001861</c:v>
                </c:pt>
                <c:pt idx="182">
                  <c:v>181.54000000001909</c:v>
                </c:pt>
                <c:pt idx="183">
                  <c:v>182.5400000000196</c:v>
                </c:pt>
                <c:pt idx="184">
                  <c:v>183.54000000002009</c:v>
                </c:pt>
                <c:pt idx="185">
                  <c:v>184.5400000000206</c:v>
                </c:pt>
                <c:pt idx="186">
                  <c:v>185.54000000002111</c:v>
                </c:pt>
                <c:pt idx="187">
                  <c:v>186.54000000002159</c:v>
                </c:pt>
                <c:pt idx="188">
                  <c:v>187.5400000000221</c:v>
                </c:pt>
                <c:pt idx="189">
                  <c:v>188.54000000002259</c:v>
                </c:pt>
                <c:pt idx="190">
                  <c:v>189.54000000002321</c:v>
                </c:pt>
                <c:pt idx="191">
                  <c:v>190.5400000000237</c:v>
                </c:pt>
                <c:pt idx="192">
                  <c:v>191.54000000002421</c:v>
                </c:pt>
                <c:pt idx="193">
                  <c:v>192.54000000002469</c:v>
                </c:pt>
                <c:pt idx="194">
                  <c:v>193.5400000000252</c:v>
                </c:pt>
                <c:pt idx="195">
                  <c:v>194.54000000002571</c:v>
                </c:pt>
                <c:pt idx="196">
                  <c:v>195.5400000000262</c:v>
                </c:pt>
                <c:pt idx="197">
                  <c:v>196.54000000002671</c:v>
                </c:pt>
                <c:pt idx="198">
                  <c:v>197.54000000002719</c:v>
                </c:pt>
              </c:numCache>
            </c:numRef>
          </c:xVal>
          <c:yVal>
            <c:numRef>
              <c:f>Diagrammdaten!$AB$5:$AB$203</c:f>
              <c:numCache>
                <c:formatCode>0.0</c:formatCode>
                <c:ptCount val="199"/>
                <c:pt idx="0">
                  <c:v>209.82999595112349</c:v>
                </c:pt>
                <c:pt idx="1">
                  <c:v>199.93921918372331</c:v>
                </c:pt>
                <c:pt idx="2">
                  <c:v>190.23284089927071</c:v>
                </c:pt>
                <c:pt idx="3">
                  <c:v>180.64089428030519</c:v>
                </c:pt>
                <c:pt idx="4">
                  <c:v>171.08340187830089</c:v>
                </c:pt>
                <c:pt idx="5">
                  <c:v>161.46242050485401</c:v>
                </c:pt>
                <c:pt idx="6">
                  <c:v>151.64750163527529</c:v>
                </c:pt>
                <c:pt idx="7">
                  <c:v>142.1640609376295</c:v>
                </c:pt>
                <c:pt idx="8">
                  <c:v>133.81222565266469</c:v>
                </c:pt>
                <c:pt idx="9">
                  <c:v>126.47013614317331</c:v>
                </c:pt>
                <c:pt idx="10">
                  <c:v>120.0241211504762</c:v>
                </c:pt>
                <c:pt idx="11">
                  <c:v>114.37292167814191</c:v>
                </c:pt>
                <c:pt idx="12">
                  <c:v>109.42642393730129</c:v>
                </c:pt>
                <c:pt idx="13">
                  <c:v>105.1044482061523</c:v>
                </c:pt>
                <c:pt idx="14">
                  <c:v>101.335623445327</c:v>
                </c:pt>
                <c:pt idx="15">
                  <c:v>98.0563668590259</c:v>
                </c:pt>
                <c:pt idx="16">
                  <c:v>95.209977887158374</c:v>
                </c:pt>
                <c:pt idx="17">
                  <c:v>92.745847608185898</c:v>
                </c:pt>
                <c:pt idx="18">
                  <c:v>90.618777441618093</c:v>
                </c:pt>
                <c:pt idx="19">
                  <c:v>88.788395672333706</c:v>
                </c:pt>
                <c:pt idx="20">
                  <c:v>87.218656994929717</c:v>
                </c:pt>
                <c:pt idx="21">
                  <c:v>85.877409163516973</c:v>
                </c:pt>
                <c:pt idx="22">
                  <c:v>84.736011814217491</c:v>
                </c:pt>
                <c:pt idx="23">
                  <c:v>83.768995160624385</c:v>
                </c:pt>
                <c:pt idx="24">
                  <c:v>82.953749839001375</c:v>
                </c:pt>
                <c:pt idx="25">
                  <c:v>82.270242875272018</c:v>
                </c:pt>
                <c:pt idx="26">
                  <c:v>81.700757790797311</c:v>
                </c:pt>
                <c:pt idx="27">
                  <c:v>81.229658687343147</c:v>
                </c:pt>
                <c:pt idx="28">
                  <c:v>80.84317847024758</c:v>
                </c:pt>
                <c:pt idx="29">
                  <c:v>80.529230206460511</c:v>
                </c:pt>
                <c:pt idx="30">
                  <c:v>80.277238372782662</c:v>
                </c:pt>
                <c:pt idx="31">
                  <c:v>80.077984255466063</c:v>
                </c:pt>
                <c:pt idx="32">
                  <c:v>79.923458313815246</c:v>
                </c:pt>
                <c:pt idx="33">
                  <c:v>79.806713340748928</c:v>
                </c:pt>
                <c:pt idx="34">
                  <c:v>79.721716385333991</c:v>
                </c:pt>
                <c:pt idx="35">
                  <c:v>79.663203439378094</c:v>
                </c:pt>
                <c:pt idx="36">
                  <c:v>79.626545822513435</c:v>
                </c:pt>
                <c:pt idx="37">
                  <c:v>79.60763811037944</c:v>
                </c:pt>
                <c:pt idx="38">
                  <c:v>79.602813828268822</c:v>
                </c:pt>
                <c:pt idx="39">
                  <c:v>79.60878919393474</c:v>
                </c:pt>
                <c:pt idx="40">
                  <c:v>79.622629934317914</c:v>
                </c:pt>
                <c:pt idx="41">
                  <c:v>79.641733371788547</c:v>
                </c:pt>
                <c:pt idx="42">
                  <c:v>79.663817654712858</c:v>
                </c:pt>
                <c:pt idx="43">
                  <c:v>79.686911398085584</c:v>
                </c:pt>
                <c:pt idx="44">
                  <c:v>79.709339288327726</c:v>
                </c:pt>
                <c:pt idx="45">
                  <c:v>79.72970200221485</c:v>
                </c:pt>
                <c:pt idx="46">
                  <c:v>79.746852663793675</c:v>
                </c:pt>
                <c:pt idx="47">
                  <c:v>79.759883400133432</c:v>
                </c:pt>
                <c:pt idx="48">
                  <c:v>79.768399626960246</c:v>
                </c:pt>
                <c:pt idx="49">
                  <c:v>79.772431298166978</c:v>
                </c:pt>
                <c:pt idx="50">
                  <c:v>79.771221192856714</c:v>
                </c:pt>
                <c:pt idx="51">
                  <c:v>79.763847909014615</c:v>
                </c:pt>
                <c:pt idx="52">
                  <c:v>79.749322080923022</c:v>
                </c:pt>
                <c:pt idx="53">
                  <c:v>79.726609210381156</c:v>
                </c:pt>
                <c:pt idx="54">
                  <c:v>79.694648181495737</c:v>
                </c:pt>
                <c:pt idx="55">
                  <c:v>79.652369256458968</c:v>
                </c:pt>
                <c:pt idx="56">
                  <c:v>79.598710209013831</c:v>
                </c:pt>
                <c:pt idx="57">
                  <c:v>79.532628061491096</c:v>
                </c:pt>
                <c:pt idx="58">
                  <c:v>79.453103903473718</c:v>
                </c:pt>
                <c:pt idx="59">
                  <c:v>79.359138898222909</c:v>
                </c:pt>
                <c:pt idx="60">
                  <c:v>79.249740627578944</c:v>
                </c:pt>
                <c:pt idx="61">
                  <c:v>79.123900288763465</c:v>
                </c:pt>
                <c:pt idx="62">
                  <c:v>78.980562813309746</c:v>
                </c:pt>
                <c:pt idx="63">
                  <c:v>78.81859346203187</c:v>
                </c:pt>
                <c:pt idx="64">
                  <c:v>78.636745414113108</c:v>
                </c:pt>
                <c:pt idx="65">
                  <c:v>78.433632844906157</c:v>
                </c:pt>
                <c:pt idx="66">
                  <c:v>78.207712802403691</c:v>
                </c:pt>
                <c:pt idx="67">
                  <c:v>77.957277179737076</c:v>
                </c:pt>
                <c:pt idx="68">
                  <c:v>77.680453966990896</c:v>
                </c:pt>
                <c:pt idx="69">
                  <c:v>77.375215457317779</c:v>
                </c:pt>
                <c:pt idx="70">
                  <c:v>77.039390517324634</c:v>
                </c:pt>
                <c:pt idx="71">
                  <c:v>76.670678305015727</c:v>
                </c:pt>
                <c:pt idx="72">
                  <c:v>76.26666157215098</c:v>
                </c:pt>
                <c:pt idx="73">
                  <c:v>75.824818548526054</c:v>
                </c:pt>
                <c:pt idx="74">
                  <c:v>75.342533125299937</c:v>
                </c:pt>
                <c:pt idx="75">
                  <c:v>74.817103532074782</c:v>
                </c:pt>
                <c:pt idx="76">
                  <c:v>74.245749940916838</c:v>
                </c:pt>
                <c:pt idx="77">
                  <c:v>73.625621483016999</c:v>
                </c:pt>
                <c:pt idx="78">
                  <c:v>72.953803094830292</c:v>
                </c:pt>
                <c:pt idx="79">
                  <c:v>72.227322477135544</c:v>
                </c:pt>
                <c:pt idx="80">
                  <c:v>71.443157295440088</c:v>
                </c:pt>
                <c:pt idx="81">
                  <c:v>70.598242603200333</c:v>
                </c:pt>
                <c:pt idx="82">
                  <c:v>70.221146802995463</c:v>
                </c:pt>
                <c:pt idx="83">
                  <c:v>72.152850565721465</c:v>
                </c:pt>
                <c:pt idx="84">
                  <c:v>73.499964043273124</c:v>
                </c:pt>
                <c:pt idx="85">
                  <c:v>74.435305376852199</c:v>
                </c:pt>
                <c:pt idx="86">
                  <c:v>75.083017560496572</c:v>
                </c:pt>
                <c:pt idx="87">
                  <c:v>75.530794767409049</c:v>
                </c:pt>
                <c:pt idx="88">
                  <c:v>75.840012646486656</c:v>
                </c:pt>
                <c:pt idx="89">
                  <c:v>76.053390997464064</c:v>
                </c:pt>
                <c:pt idx="90">
                  <c:v>76.200562338762623</c:v>
                </c:pt>
                <c:pt idx="91">
                  <c:v>76.302035686911793</c:v>
                </c:pt>
                <c:pt idx="92">
                  <c:v>76.371984859540618</c:v>
                </c:pt>
                <c:pt idx="93">
                  <c:v>76.420195854653926</c:v>
                </c:pt>
                <c:pt idx="94">
                  <c:v>76.453420752235658</c:v>
                </c:pt>
                <c:pt idx="95">
                  <c:v>76.476316227455513</c:v>
                </c:pt>
                <c:pt idx="96">
                  <c:v>76.492092848629966</c:v>
                </c:pt>
                <c:pt idx="97">
                  <c:v>76.502963696677057</c:v>
                </c:pt>
                <c:pt idx="98">
                  <c:v>76.510454055011948</c:v>
                </c:pt>
                <c:pt idx="99">
                  <c:v>76.51561506503154</c:v>
                </c:pt>
                <c:pt idx="100">
                  <c:v>76.519171066626882</c:v>
                </c:pt>
                <c:pt idx="101">
                  <c:v>76.521621178094904</c:v>
                </c:pt>
                <c:pt idx="102">
                  <c:v>76.523309314098086</c:v>
                </c:pt>
                <c:pt idx="103">
                  <c:v>76.52447244188842</c:v>
                </c:pt>
                <c:pt idx="104">
                  <c:v>76.499339274110042</c:v>
                </c:pt>
                <c:pt idx="105">
                  <c:v>76.727911809007722</c:v>
                </c:pt>
                <c:pt idx="106">
                  <c:v>77.236443826079892</c:v>
                </c:pt>
                <c:pt idx="107">
                  <c:v>77.911571618082178</c:v>
                </c:pt>
                <c:pt idx="108">
                  <c:v>78.68414849780811</c:v>
                </c:pt>
                <c:pt idx="109">
                  <c:v>79.511444834625095</c:v>
                </c:pt>
                <c:pt idx="110">
                  <c:v>80.366810202700819</c:v>
                </c:pt>
                <c:pt idx="111">
                  <c:v>81.233567735891967</c:v>
                </c:pt>
                <c:pt idx="112">
                  <c:v>82.101339509826857</c:v>
                </c:pt>
                <c:pt idx="113">
                  <c:v>82.963792152813269</c:v>
                </c:pt>
                <c:pt idx="114">
                  <c:v>83.817227664392476</c:v>
                </c:pt>
                <c:pt idx="115">
                  <c:v>84.659686733355343</c:v>
                </c:pt>
                <c:pt idx="116">
                  <c:v>85.490368642277048</c:v>
                </c:pt>
                <c:pt idx="117">
                  <c:v>86.309250468981276</c:v>
                </c:pt>
                <c:pt idx="118">
                  <c:v>87.116834289910599</c:v>
                </c:pt>
                <c:pt idx="119">
                  <c:v>87.913978390820574</c:v>
                </c:pt>
                <c:pt idx="120">
                  <c:v>88.701784838364162</c:v>
                </c:pt>
                <c:pt idx="121">
                  <c:v>89.481525585386464</c:v>
                </c:pt>
                <c:pt idx="122">
                  <c:v>90.254595198516924</c:v>
                </c:pt>
                <c:pt idx="123">
                  <c:v>91.022481922588227</c:v>
                </c:pt>
                <c:pt idx="124">
                  <c:v>91.786751128293389</c:v>
                </c:pt>
                <c:pt idx="125">
                  <c:v>92.549036813235674</c:v>
                </c:pt>
                <c:pt idx="126">
                  <c:v>93.311038050600672</c:v>
                </c:pt>
                <c:pt idx="127">
                  <c:v>94.074518252474547</c:v>
                </c:pt>
                <c:pt idx="128">
                  <c:v>94.841305894124716</c:v>
                </c:pt>
                <c:pt idx="129">
                  <c:v>95.613295963998013</c:v>
                </c:pt>
                <c:pt idx="130">
                  <c:v>96.392451875544921</c:v>
                </c:pt>
                <c:pt idx="131">
                  <c:v>97.180807910130241</c:v>
                </c:pt>
                <c:pt idx="132">
                  <c:v>97.980472457267169</c:v>
                </c:pt>
                <c:pt idx="133">
                  <c:v>98.793632380012227</c:v>
                </c:pt>
                <c:pt idx="134">
                  <c:v>99.622558764219932</c:v>
                </c:pt>
                <c:pt idx="135">
                  <c:v>100.4696141160026</c:v>
                </c:pt>
                <c:pt idx="136">
                  <c:v>101.3372607277485</c:v>
                </c:pt>
                <c:pt idx="137">
                  <c:v>102.2280691913634</c:v>
                </c:pt>
                <c:pt idx="138">
                  <c:v>103.1447220816427</c:v>
                </c:pt>
                <c:pt idx="139">
                  <c:v>104.089921459154</c:v>
                </c:pt>
                <c:pt idx="140">
                  <c:v>105.0665672993989</c:v>
                </c:pt>
                <c:pt idx="141">
                  <c:v>106.0778831919971</c:v>
                </c:pt>
                <c:pt idx="142">
                  <c:v>107.12727887497159</c:v>
                </c:pt>
                <c:pt idx="143">
                  <c:v>108.218342612705</c:v>
                </c:pt>
                <c:pt idx="144">
                  <c:v>109.3548434459274</c:v>
                </c:pt>
                <c:pt idx="145">
                  <c:v>110.5407370862322</c:v>
                </c:pt>
                <c:pt idx="146">
                  <c:v>111.780174723746</c:v>
                </c:pt>
                <c:pt idx="147">
                  <c:v>113.0775147115195</c:v>
                </c:pt>
                <c:pt idx="148">
                  <c:v>114.4373370486319</c:v>
                </c:pt>
                <c:pt idx="149">
                  <c:v>115.8644602987245</c:v>
                </c:pt>
                <c:pt idx="150">
                  <c:v>117.3639602201285</c:v>
                </c:pt>
                <c:pt idx="151">
                  <c:v>118.9411890637934</c:v>
                </c:pt>
                <c:pt idx="152">
                  <c:v>120.6017943127399</c:v>
                </c:pt>
                <c:pt idx="153">
                  <c:v>122.3517356627045</c:v>
                </c:pt>
                <c:pt idx="154">
                  <c:v>124.19729930625481</c:v>
                </c:pt>
                <c:pt idx="155">
                  <c:v>126.1451090566091</c:v>
                </c:pt>
                <c:pt idx="156">
                  <c:v>128.20213445425469</c:v>
                </c:pt>
                <c:pt idx="157">
                  <c:v>130.37569662119441</c:v>
                </c:pt>
                <c:pt idx="158">
                  <c:v>132.67347313166439</c:v>
                </c:pt>
                <c:pt idx="159">
                  <c:v>135.10350343668031</c:v>
                </c:pt>
                <c:pt idx="160">
                  <c:v>137.67419633895381</c:v>
                </c:pt>
                <c:pt idx="161">
                  <c:v>140.39434065514089</c:v>
                </c:pt>
                <c:pt idx="162">
                  <c:v>143.2731195880088</c:v>
                </c:pt>
                <c:pt idx="163">
                  <c:v>146.32012858973411</c:v>
                </c:pt>
                <c:pt idx="164">
                  <c:v>149.5453957947658</c:v>
                </c:pt>
                <c:pt idx="165">
                  <c:v>152.95940359736929</c:v>
                </c:pt>
                <c:pt idx="166">
                  <c:v>156.57310975619609</c:v>
                </c:pt>
                <c:pt idx="167">
                  <c:v>160.39796655411371</c:v>
                </c:pt>
                <c:pt idx="168">
                  <c:v>164.44593696269141</c:v>
                </c:pt>
                <c:pt idx="169">
                  <c:v>168.7295073258401</c:v>
                </c:pt>
                <c:pt idx="170">
                  <c:v>173.26169663030299</c:v>
                </c:pt>
                <c:pt idx="171">
                  <c:v>178.056062843159</c:v>
                </c:pt>
                <c:pt idx="172">
                  <c:v>183.1267070015025</c:v>
                </c:pt>
                <c:pt idx="173">
                  <c:v>188.48827574528869</c:v>
                </c:pt>
                <c:pt idx="174">
                  <c:v>194.15596285700559</c:v>
                </c:pt>
                <c:pt idx="175">
                  <c:v>200.1455102039512</c:v>
                </c:pt>
                <c:pt idx="176">
                  <c:v>206.4732083527002</c:v>
                </c:pt>
                <c:pt idx="177">
                  <c:v>208.99526775239141</c:v>
                </c:pt>
                <c:pt idx="178">
                  <c:v>204.93440442718381</c:v>
                </c:pt>
                <c:pt idx="179">
                  <c:v>201.28748430791791</c:v>
                </c:pt>
                <c:pt idx="180">
                  <c:v>198.0116771848937</c:v>
                </c:pt>
                <c:pt idx="181">
                  <c:v>195.06866527195919</c:v>
                </c:pt>
                <c:pt idx="182">
                  <c:v>192.42416313811569</c:v>
                </c:pt>
                <c:pt idx="183">
                  <c:v>190.0474868618698</c:v>
                </c:pt>
                <c:pt idx="184">
                  <c:v>187.9111683688478</c:v>
                </c:pt>
                <c:pt idx="185">
                  <c:v>185.99061089887911</c:v>
                </c:pt>
                <c:pt idx="186">
                  <c:v>184.26378165195939</c:v>
                </c:pt>
                <c:pt idx="187">
                  <c:v>182.7109378553387</c:v>
                </c:pt>
                <c:pt idx="188">
                  <c:v>181.31438274539849</c:v>
                </c:pt>
                <c:pt idx="189">
                  <c:v>180.0582482415343</c:v>
                </c:pt>
                <c:pt idx="190">
                  <c:v>178.92830138339951</c:v>
                </c:pt>
                <c:pt idx="191">
                  <c:v>177.9117718932454</c:v>
                </c:pt>
                <c:pt idx="192">
                  <c:v>176.99719850160969</c:v>
                </c:pt>
                <c:pt idx="193">
                  <c:v>176.1742919319517</c:v>
                </c:pt>
                <c:pt idx="194">
                  <c:v>175.43381267505481</c:v>
                </c:pt>
                <c:pt idx="195">
                  <c:v>174.76746189655091</c:v>
                </c:pt>
                <c:pt idx="196">
                  <c:v>174.16778401125069</c:v>
                </c:pt>
                <c:pt idx="197">
                  <c:v>173.62807962714089</c:v>
                </c:pt>
                <c:pt idx="198">
                  <c:v>173.14232771203601</c:v>
                </c:pt>
              </c:numCache>
            </c:numRef>
          </c:yVal>
          <c:smooth val="0"/>
          <c:extLst>
            <c:ext xmlns:c16="http://schemas.microsoft.com/office/drawing/2014/chart" uri="{C3380CC4-5D6E-409C-BE32-E72D297353CC}">
              <c16:uniqueId val="{00000001-5537-43AD-8F00-A9673F9ABC27}"/>
            </c:ext>
          </c:extLst>
        </c:ser>
        <c:ser>
          <c:idx val="2"/>
          <c:order val="2"/>
          <c:tx>
            <c:v>flach, 50.000 Nm³/h</c:v>
          </c:tx>
          <c:spPr>
            <a:ln w="19050">
              <a:solidFill>
                <a:srgbClr val="EE7203"/>
              </a:solidFill>
              <a:prstDash val="sysDot"/>
            </a:ln>
          </c:spPr>
          <c:marker>
            <c:symbol val="none"/>
          </c:marker>
          <c:xVal>
            <c:numRef>
              <c:f>Diagrammdaten!$AF$5:$AF$411</c:f>
              <c:numCache>
                <c:formatCode>0.0</c:formatCode>
                <c:ptCount val="407"/>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82.000000000000824</c:v>
                </c:pt>
                <c:pt idx="83">
                  <c:v>83.000000000000625</c:v>
                </c:pt>
                <c:pt idx="84">
                  <c:v>84.000000000000426</c:v>
                </c:pt>
                <c:pt idx="85">
                  <c:v>85.000000000000227</c:v>
                </c:pt>
                <c:pt idx="86">
                  <c:v>86.000000000000028</c:v>
                </c:pt>
                <c:pt idx="87">
                  <c:v>86.999999999999829</c:v>
                </c:pt>
                <c:pt idx="88">
                  <c:v>87.999999999999631</c:v>
                </c:pt>
                <c:pt idx="89">
                  <c:v>88.999999999999432</c:v>
                </c:pt>
                <c:pt idx="90">
                  <c:v>89.999999999999233</c:v>
                </c:pt>
                <c:pt idx="91">
                  <c:v>90.999999999999034</c:v>
                </c:pt>
                <c:pt idx="92">
                  <c:v>91.999999999998835</c:v>
                </c:pt>
                <c:pt idx="93">
                  <c:v>92.999999999998636</c:v>
                </c:pt>
                <c:pt idx="94">
                  <c:v>93.999999999998437</c:v>
                </c:pt>
                <c:pt idx="95">
                  <c:v>94.999999999998238</c:v>
                </c:pt>
                <c:pt idx="96">
                  <c:v>95.999999999998039</c:v>
                </c:pt>
                <c:pt idx="97">
                  <c:v>96.99999999999784</c:v>
                </c:pt>
                <c:pt idx="98">
                  <c:v>97.999999999997641</c:v>
                </c:pt>
                <c:pt idx="99">
                  <c:v>98.999999999997442</c:v>
                </c:pt>
                <c:pt idx="100">
                  <c:v>99.999999999997243</c:v>
                </c:pt>
                <c:pt idx="101">
                  <c:v>100.999999999997</c:v>
                </c:pt>
                <c:pt idx="102">
                  <c:v>101.9999999999968</c:v>
                </c:pt>
                <c:pt idx="103">
                  <c:v>102.9999999999966</c:v>
                </c:pt>
                <c:pt idx="104">
                  <c:v>103.9999999999964</c:v>
                </c:pt>
                <c:pt idx="105">
                  <c:v>104.99999999999621</c:v>
                </c:pt>
                <c:pt idx="106">
                  <c:v>105.99999999999601</c:v>
                </c:pt>
                <c:pt idx="107">
                  <c:v>106.99999999999589</c:v>
                </c:pt>
                <c:pt idx="108">
                  <c:v>107.99999999999569</c:v>
                </c:pt>
                <c:pt idx="109">
                  <c:v>108.9999999999955</c:v>
                </c:pt>
                <c:pt idx="110">
                  <c:v>109.9999999999953</c:v>
                </c:pt>
                <c:pt idx="111">
                  <c:v>110.9999999999951</c:v>
                </c:pt>
                <c:pt idx="112">
                  <c:v>111.9999999999949</c:v>
                </c:pt>
                <c:pt idx="113">
                  <c:v>112.9999999999947</c:v>
                </c:pt>
                <c:pt idx="114">
                  <c:v>113.9999999999945</c:v>
                </c:pt>
                <c:pt idx="115">
                  <c:v>114.9999999999943</c:v>
                </c:pt>
                <c:pt idx="116">
                  <c:v>115.9999999999941</c:v>
                </c:pt>
                <c:pt idx="117">
                  <c:v>116.9999999999939</c:v>
                </c:pt>
                <c:pt idx="118">
                  <c:v>117.9999999999937</c:v>
                </c:pt>
                <c:pt idx="119">
                  <c:v>118.99999999999351</c:v>
                </c:pt>
                <c:pt idx="120">
                  <c:v>119.99999999999331</c:v>
                </c:pt>
                <c:pt idx="121">
                  <c:v>120.99999999999309</c:v>
                </c:pt>
                <c:pt idx="122">
                  <c:v>121.99999999999289</c:v>
                </c:pt>
                <c:pt idx="123">
                  <c:v>122.9999999999927</c:v>
                </c:pt>
                <c:pt idx="124">
                  <c:v>123.9999999999925</c:v>
                </c:pt>
                <c:pt idx="125">
                  <c:v>124.9999999999923</c:v>
                </c:pt>
                <c:pt idx="126">
                  <c:v>125.9999999999921</c:v>
                </c:pt>
                <c:pt idx="127">
                  <c:v>126.9999999999919</c:v>
                </c:pt>
                <c:pt idx="128">
                  <c:v>127.9999999999917</c:v>
                </c:pt>
                <c:pt idx="129">
                  <c:v>128.99999999999221</c:v>
                </c:pt>
                <c:pt idx="130">
                  <c:v>129.9999999999927</c:v>
                </c:pt>
                <c:pt idx="131">
                  <c:v>130.99999999999321</c:v>
                </c:pt>
                <c:pt idx="132">
                  <c:v>131.99999999999369</c:v>
                </c:pt>
                <c:pt idx="133">
                  <c:v>132.9999999999942</c:v>
                </c:pt>
                <c:pt idx="134">
                  <c:v>133.99999999999471</c:v>
                </c:pt>
                <c:pt idx="135">
                  <c:v>134.99999999999531</c:v>
                </c:pt>
                <c:pt idx="136">
                  <c:v>135.99999999999579</c:v>
                </c:pt>
                <c:pt idx="137">
                  <c:v>136.99999999999631</c:v>
                </c:pt>
                <c:pt idx="138">
                  <c:v>137.99999999999679</c:v>
                </c:pt>
                <c:pt idx="139">
                  <c:v>138.9999999999973</c:v>
                </c:pt>
                <c:pt idx="140">
                  <c:v>139.99999999999781</c:v>
                </c:pt>
                <c:pt idx="141">
                  <c:v>140.99999999999829</c:v>
                </c:pt>
                <c:pt idx="142">
                  <c:v>141.99999999999881</c:v>
                </c:pt>
                <c:pt idx="143">
                  <c:v>142.99999999999929</c:v>
                </c:pt>
                <c:pt idx="144">
                  <c:v>143.99999999999989</c:v>
                </c:pt>
                <c:pt idx="145">
                  <c:v>145.0000000000004</c:v>
                </c:pt>
                <c:pt idx="146">
                  <c:v>146.00000000000091</c:v>
                </c:pt>
                <c:pt idx="147">
                  <c:v>147.00000000000139</c:v>
                </c:pt>
                <c:pt idx="148">
                  <c:v>148.0000000000019</c:v>
                </c:pt>
                <c:pt idx="149">
                  <c:v>149.00000000000239</c:v>
                </c:pt>
                <c:pt idx="150">
                  <c:v>150.0000000000029</c:v>
                </c:pt>
                <c:pt idx="151">
                  <c:v>151.00000000000341</c:v>
                </c:pt>
                <c:pt idx="152">
                  <c:v>152.00000000000401</c:v>
                </c:pt>
                <c:pt idx="153">
                  <c:v>153.00000000000449</c:v>
                </c:pt>
                <c:pt idx="154">
                  <c:v>154.000000000005</c:v>
                </c:pt>
                <c:pt idx="155">
                  <c:v>155.00000000000551</c:v>
                </c:pt>
                <c:pt idx="156">
                  <c:v>156.000000000006</c:v>
                </c:pt>
                <c:pt idx="157">
                  <c:v>157.00000000000651</c:v>
                </c:pt>
                <c:pt idx="158">
                  <c:v>158.00000000000699</c:v>
                </c:pt>
                <c:pt idx="159">
                  <c:v>159.0000000000075</c:v>
                </c:pt>
                <c:pt idx="160">
                  <c:v>160.00000000000799</c:v>
                </c:pt>
                <c:pt idx="161">
                  <c:v>161.00000000000861</c:v>
                </c:pt>
                <c:pt idx="162">
                  <c:v>162.00000000000909</c:v>
                </c:pt>
                <c:pt idx="163">
                  <c:v>163.00000000000961</c:v>
                </c:pt>
                <c:pt idx="164">
                  <c:v>164.00000000001009</c:v>
                </c:pt>
                <c:pt idx="165">
                  <c:v>165.0000000000106</c:v>
                </c:pt>
                <c:pt idx="166">
                  <c:v>166.00000000001111</c:v>
                </c:pt>
                <c:pt idx="167">
                  <c:v>167.0000000000116</c:v>
                </c:pt>
                <c:pt idx="168">
                  <c:v>168.00000000001211</c:v>
                </c:pt>
                <c:pt idx="169">
                  <c:v>169.00000000001259</c:v>
                </c:pt>
                <c:pt idx="170">
                  <c:v>170.00000000001319</c:v>
                </c:pt>
                <c:pt idx="171">
                  <c:v>171.0000000000137</c:v>
                </c:pt>
                <c:pt idx="172">
                  <c:v>172.00000000001421</c:v>
                </c:pt>
                <c:pt idx="173">
                  <c:v>173.00000000001469</c:v>
                </c:pt>
                <c:pt idx="174">
                  <c:v>174.00000000001521</c:v>
                </c:pt>
                <c:pt idx="175">
                  <c:v>175.00000000001569</c:v>
                </c:pt>
                <c:pt idx="176">
                  <c:v>176.0000000000162</c:v>
                </c:pt>
                <c:pt idx="177">
                  <c:v>177.00000000001671</c:v>
                </c:pt>
                <c:pt idx="178">
                  <c:v>178.00000000001731</c:v>
                </c:pt>
                <c:pt idx="179">
                  <c:v>179.00000000001779</c:v>
                </c:pt>
                <c:pt idx="180">
                  <c:v>180.0000000000183</c:v>
                </c:pt>
                <c:pt idx="181">
                  <c:v>181.00000000001879</c:v>
                </c:pt>
                <c:pt idx="182">
                  <c:v>182.0000000000193</c:v>
                </c:pt>
                <c:pt idx="183">
                  <c:v>183.00000000001981</c:v>
                </c:pt>
                <c:pt idx="184">
                  <c:v>184.00000000002029</c:v>
                </c:pt>
                <c:pt idx="185">
                  <c:v>185.0000000000208</c:v>
                </c:pt>
                <c:pt idx="186">
                  <c:v>186.00000000002129</c:v>
                </c:pt>
                <c:pt idx="187">
                  <c:v>187.00000000002191</c:v>
                </c:pt>
                <c:pt idx="188">
                  <c:v>188.0000000000224</c:v>
                </c:pt>
                <c:pt idx="189">
                  <c:v>188.7800000000228</c:v>
                </c:pt>
                <c:pt idx="190">
                  <c:v>189.78000000002331</c:v>
                </c:pt>
                <c:pt idx="191">
                  <c:v>190.78000000002379</c:v>
                </c:pt>
                <c:pt idx="192">
                  <c:v>191.7800000000243</c:v>
                </c:pt>
                <c:pt idx="193">
                  <c:v>192.78000000002481</c:v>
                </c:pt>
                <c:pt idx="194">
                  <c:v>193.7800000000253</c:v>
                </c:pt>
                <c:pt idx="195">
                  <c:v>194.78000000002581</c:v>
                </c:pt>
                <c:pt idx="196">
                  <c:v>195.78000000002629</c:v>
                </c:pt>
                <c:pt idx="197">
                  <c:v>196.78000000002689</c:v>
                </c:pt>
                <c:pt idx="198">
                  <c:v>197.7800000000274</c:v>
                </c:pt>
                <c:pt idx="199">
                  <c:v>198.78000000002791</c:v>
                </c:pt>
                <c:pt idx="200">
                  <c:v>199.78000000002839</c:v>
                </c:pt>
                <c:pt idx="201">
                  <c:v>200.78000000002891</c:v>
                </c:pt>
                <c:pt idx="202">
                  <c:v>201.78000000002939</c:v>
                </c:pt>
                <c:pt idx="203">
                  <c:v>202.7800000000299</c:v>
                </c:pt>
                <c:pt idx="204">
                  <c:v>203.78000000003041</c:v>
                </c:pt>
                <c:pt idx="205">
                  <c:v>204.78000000003101</c:v>
                </c:pt>
                <c:pt idx="206">
                  <c:v>205.78000000003149</c:v>
                </c:pt>
                <c:pt idx="207">
                  <c:v>206.780000000032</c:v>
                </c:pt>
                <c:pt idx="208">
                  <c:v>207.78000000003249</c:v>
                </c:pt>
                <c:pt idx="209">
                  <c:v>208.780000000033</c:v>
                </c:pt>
                <c:pt idx="210">
                  <c:v>209.74000000003349</c:v>
                </c:pt>
                <c:pt idx="211">
                  <c:v>210.56000000003391</c:v>
                </c:pt>
                <c:pt idx="212">
                  <c:v>211.56000000003439</c:v>
                </c:pt>
                <c:pt idx="213">
                  <c:v>212.5600000000349</c:v>
                </c:pt>
                <c:pt idx="214">
                  <c:v>213.56000000003539</c:v>
                </c:pt>
                <c:pt idx="215">
                  <c:v>214.56000000003601</c:v>
                </c:pt>
                <c:pt idx="216">
                  <c:v>215.5600000000365</c:v>
                </c:pt>
                <c:pt idx="217">
                  <c:v>216.56000000003701</c:v>
                </c:pt>
                <c:pt idx="218">
                  <c:v>217.56000000003749</c:v>
                </c:pt>
                <c:pt idx="219">
                  <c:v>218.560000000038</c:v>
                </c:pt>
                <c:pt idx="220">
                  <c:v>219.56000000003851</c:v>
                </c:pt>
                <c:pt idx="221">
                  <c:v>220.560000000039</c:v>
                </c:pt>
                <c:pt idx="222">
                  <c:v>221.56000000003951</c:v>
                </c:pt>
                <c:pt idx="223">
                  <c:v>222.56000000003999</c:v>
                </c:pt>
                <c:pt idx="224">
                  <c:v>223.56000000004059</c:v>
                </c:pt>
                <c:pt idx="225">
                  <c:v>224.5600000000411</c:v>
                </c:pt>
                <c:pt idx="226">
                  <c:v>225.56000000004161</c:v>
                </c:pt>
                <c:pt idx="227">
                  <c:v>226.56000000004209</c:v>
                </c:pt>
                <c:pt idx="228">
                  <c:v>227.56000000004261</c:v>
                </c:pt>
                <c:pt idx="229">
                  <c:v>228.56000000004309</c:v>
                </c:pt>
                <c:pt idx="230">
                  <c:v>229.5600000000436</c:v>
                </c:pt>
                <c:pt idx="231">
                  <c:v>230.56000000004411</c:v>
                </c:pt>
                <c:pt idx="232">
                  <c:v>231.56000000004471</c:v>
                </c:pt>
                <c:pt idx="233">
                  <c:v>232.56000000004519</c:v>
                </c:pt>
                <c:pt idx="234">
                  <c:v>233.5600000000457</c:v>
                </c:pt>
                <c:pt idx="235">
                  <c:v>234.56000000004619</c:v>
                </c:pt>
                <c:pt idx="236">
                  <c:v>235.5600000000467</c:v>
                </c:pt>
                <c:pt idx="237">
                  <c:v>236.56000000004721</c:v>
                </c:pt>
                <c:pt idx="238">
                  <c:v>237.56000000004769</c:v>
                </c:pt>
                <c:pt idx="239">
                  <c:v>238.56000000004821</c:v>
                </c:pt>
                <c:pt idx="240">
                  <c:v>239.56000000004869</c:v>
                </c:pt>
                <c:pt idx="241">
                  <c:v>240.56000000004931</c:v>
                </c:pt>
                <c:pt idx="242">
                  <c:v>241.5600000000498</c:v>
                </c:pt>
                <c:pt idx="243">
                  <c:v>242.56000000005031</c:v>
                </c:pt>
                <c:pt idx="244">
                  <c:v>243.56000000005079</c:v>
                </c:pt>
                <c:pt idx="245">
                  <c:v>244.5600000000513</c:v>
                </c:pt>
                <c:pt idx="246">
                  <c:v>245.56000000005179</c:v>
                </c:pt>
                <c:pt idx="247">
                  <c:v>246.5600000000523</c:v>
                </c:pt>
                <c:pt idx="248">
                  <c:v>247.56000000005281</c:v>
                </c:pt>
                <c:pt idx="249">
                  <c:v>248.56000000005329</c:v>
                </c:pt>
                <c:pt idx="250">
                  <c:v>249.56000000005389</c:v>
                </c:pt>
                <c:pt idx="251">
                  <c:v>250.5600000000544</c:v>
                </c:pt>
                <c:pt idx="252">
                  <c:v>251.56000000005491</c:v>
                </c:pt>
                <c:pt idx="253">
                  <c:v>252.5600000000554</c:v>
                </c:pt>
                <c:pt idx="254">
                  <c:v>253.56000000005591</c:v>
                </c:pt>
                <c:pt idx="255">
                  <c:v>254.56000000005639</c:v>
                </c:pt>
                <c:pt idx="256">
                  <c:v>255.5600000000569</c:v>
                </c:pt>
                <c:pt idx="257">
                  <c:v>256.56000000005662</c:v>
                </c:pt>
                <c:pt idx="258">
                  <c:v>257.56000000005571</c:v>
                </c:pt>
                <c:pt idx="259">
                  <c:v>258.5600000000548</c:v>
                </c:pt>
                <c:pt idx="260">
                  <c:v>259.56000000005389</c:v>
                </c:pt>
                <c:pt idx="261">
                  <c:v>260.56000000005298</c:v>
                </c:pt>
                <c:pt idx="262">
                  <c:v>261.56000000005213</c:v>
                </c:pt>
                <c:pt idx="263">
                  <c:v>262.56000000005122</c:v>
                </c:pt>
                <c:pt idx="264">
                  <c:v>263.56000000005031</c:v>
                </c:pt>
                <c:pt idx="265">
                  <c:v>264.56000000004929</c:v>
                </c:pt>
                <c:pt idx="266">
                  <c:v>265.56000000004838</c:v>
                </c:pt>
                <c:pt idx="267">
                  <c:v>266.56000000004752</c:v>
                </c:pt>
                <c:pt idx="268">
                  <c:v>267.56000000004661</c:v>
                </c:pt>
                <c:pt idx="269">
                  <c:v>268.5600000000457</c:v>
                </c:pt>
                <c:pt idx="270">
                  <c:v>269.56000000004479</c:v>
                </c:pt>
                <c:pt idx="271">
                  <c:v>270.56000000004389</c:v>
                </c:pt>
                <c:pt idx="272">
                  <c:v>271.56000000004298</c:v>
                </c:pt>
                <c:pt idx="273">
                  <c:v>272.56000000004212</c:v>
                </c:pt>
                <c:pt idx="274">
                  <c:v>273.56000000004121</c:v>
                </c:pt>
                <c:pt idx="275">
                  <c:v>274.56000000004019</c:v>
                </c:pt>
                <c:pt idx="276">
                  <c:v>275.56000000003928</c:v>
                </c:pt>
                <c:pt idx="277">
                  <c:v>276.56000000003837</c:v>
                </c:pt>
                <c:pt idx="278">
                  <c:v>277.56000000003752</c:v>
                </c:pt>
                <c:pt idx="279">
                  <c:v>278.56000000003661</c:v>
                </c:pt>
                <c:pt idx="280">
                  <c:v>279.5600000000357</c:v>
                </c:pt>
                <c:pt idx="281">
                  <c:v>280.56000000003479</c:v>
                </c:pt>
                <c:pt idx="282">
                  <c:v>281.56000000003388</c:v>
                </c:pt>
                <c:pt idx="283">
                  <c:v>282.56000000003303</c:v>
                </c:pt>
                <c:pt idx="284">
                  <c:v>283.56000000003212</c:v>
                </c:pt>
                <c:pt idx="285">
                  <c:v>284.56000000003121</c:v>
                </c:pt>
                <c:pt idx="286">
                  <c:v>285.56000000003019</c:v>
                </c:pt>
                <c:pt idx="287">
                  <c:v>286.56000000002928</c:v>
                </c:pt>
                <c:pt idx="288">
                  <c:v>287.56000000002842</c:v>
                </c:pt>
                <c:pt idx="289">
                  <c:v>288.56000000002751</c:v>
                </c:pt>
                <c:pt idx="290">
                  <c:v>289.5600000000266</c:v>
                </c:pt>
                <c:pt idx="291">
                  <c:v>290.5600000000257</c:v>
                </c:pt>
                <c:pt idx="292">
                  <c:v>291.56000000002479</c:v>
                </c:pt>
                <c:pt idx="293">
                  <c:v>292.56000000002388</c:v>
                </c:pt>
                <c:pt idx="294">
                  <c:v>293.56000000002302</c:v>
                </c:pt>
                <c:pt idx="295">
                  <c:v>294.56000000002211</c:v>
                </c:pt>
                <c:pt idx="296">
                  <c:v>295.56000000002109</c:v>
                </c:pt>
                <c:pt idx="297">
                  <c:v>296.56000000002018</c:v>
                </c:pt>
                <c:pt idx="298">
                  <c:v>297.56000000001927</c:v>
                </c:pt>
                <c:pt idx="299">
                  <c:v>298.56000000001842</c:v>
                </c:pt>
                <c:pt idx="300">
                  <c:v>299.56000000001751</c:v>
                </c:pt>
                <c:pt idx="301">
                  <c:v>300.5600000000166</c:v>
                </c:pt>
                <c:pt idx="302">
                  <c:v>301.56000000001569</c:v>
                </c:pt>
                <c:pt idx="303">
                  <c:v>302.56000000001478</c:v>
                </c:pt>
                <c:pt idx="304">
                  <c:v>303.56000000001387</c:v>
                </c:pt>
                <c:pt idx="305">
                  <c:v>304.56000000001302</c:v>
                </c:pt>
                <c:pt idx="306">
                  <c:v>305.56000000001211</c:v>
                </c:pt>
                <c:pt idx="307">
                  <c:v>306.56000000001109</c:v>
                </c:pt>
                <c:pt idx="308">
                  <c:v>307.56000000001018</c:v>
                </c:pt>
                <c:pt idx="309">
                  <c:v>308.56000000000932</c:v>
                </c:pt>
                <c:pt idx="310">
                  <c:v>309.56000000000842</c:v>
                </c:pt>
                <c:pt idx="311">
                  <c:v>310.56000000000751</c:v>
                </c:pt>
                <c:pt idx="312">
                  <c:v>311.5600000000066</c:v>
                </c:pt>
                <c:pt idx="313">
                  <c:v>312.56000000000569</c:v>
                </c:pt>
                <c:pt idx="314">
                  <c:v>313.56000000000478</c:v>
                </c:pt>
                <c:pt idx="315">
                  <c:v>314.56000000000392</c:v>
                </c:pt>
                <c:pt idx="316">
                  <c:v>315.56000000000301</c:v>
                </c:pt>
                <c:pt idx="317">
                  <c:v>316.56000000000199</c:v>
                </c:pt>
                <c:pt idx="318">
                  <c:v>317.56000000000108</c:v>
                </c:pt>
                <c:pt idx="319">
                  <c:v>318.56000000000017</c:v>
                </c:pt>
                <c:pt idx="320">
                  <c:v>319.55999999999932</c:v>
                </c:pt>
                <c:pt idx="321">
                  <c:v>320.55999999999841</c:v>
                </c:pt>
                <c:pt idx="322">
                  <c:v>321.5599999999975</c:v>
                </c:pt>
                <c:pt idx="323">
                  <c:v>322.55999999999659</c:v>
                </c:pt>
                <c:pt idx="324">
                  <c:v>323.55999999999568</c:v>
                </c:pt>
                <c:pt idx="325">
                  <c:v>324.55999999999477</c:v>
                </c:pt>
                <c:pt idx="326">
                  <c:v>325.55999999999392</c:v>
                </c:pt>
                <c:pt idx="327">
                  <c:v>326.55999999999301</c:v>
                </c:pt>
                <c:pt idx="328">
                  <c:v>327.55999999999199</c:v>
                </c:pt>
                <c:pt idx="329">
                  <c:v>328.55999999999108</c:v>
                </c:pt>
                <c:pt idx="330">
                  <c:v>329.55999999999023</c:v>
                </c:pt>
                <c:pt idx="331">
                  <c:v>330.55999999998932</c:v>
                </c:pt>
                <c:pt idx="332">
                  <c:v>331.55999999998841</c:v>
                </c:pt>
                <c:pt idx="333">
                  <c:v>332.5599999999875</c:v>
                </c:pt>
                <c:pt idx="334">
                  <c:v>333.55999999998659</c:v>
                </c:pt>
                <c:pt idx="335">
                  <c:v>334.55999999998568</c:v>
                </c:pt>
                <c:pt idx="336">
                  <c:v>335.55999999998483</c:v>
                </c:pt>
                <c:pt idx="337">
                  <c:v>336.55999999998392</c:v>
                </c:pt>
                <c:pt idx="338">
                  <c:v>337.55999999998289</c:v>
                </c:pt>
                <c:pt idx="339">
                  <c:v>338.55999999998198</c:v>
                </c:pt>
                <c:pt idx="340">
                  <c:v>339.55999999998107</c:v>
                </c:pt>
                <c:pt idx="341">
                  <c:v>340.55999999998022</c:v>
                </c:pt>
                <c:pt idx="342">
                  <c:v>341.55999999997931</c:v>
                </c:pt>
                <c:pt idx="343">
                  <c:v>342.5599999999784</c:v>
                </c:pt>
                <c:pt idx="344">
                  <c:v>343.55999999997749</c:v>
                </c:pt>
                <c:pt idx="345">
                  <c:v>344.55999999997658</c:v>
                </c:pt>
                <c:pt idx="346">
                  <c:v>345.55999999997567</c:v>
                </c:pt>
                <c:pt idx="347">
                  <c:v>346.55999999997482</c:v>
                </c:pt>
                <c:pt idx="348">
                  <c:v>347.55999999997391</c:v>
                </c:pt>
                <c:pt idx="349">
                  <c:v>348.55999999997289</c:v>
                </c:pt>
                <c:pt idx="350">
                  <c:v>349.55999999997198</c:v>
                </c:pt>
                <c:pt idx="351">
                  <c:v>350.55999999997113</c:v>
                </c:pt>
                <c:pt idx="352">
                  <c:v>351.55999999997022</c:v>
                </c:pt>
                <c:pt idx="353">
                  <c:v>352.55999999996931</c:v>
                </c:pt>
                <c:pt idx="354">
                  <c:v>353.5599999999684</c:v>
                </c:pt>
                <c:pt idx="355">
                  <c:v>354.55999999996749</c:v>
                </c:pt>
                <c:pt idx="356">
                  <c:v>355.55999999996658</c:v>
                </c:pt>
                <c:pt idx="357">
                  <c:v>356.55999999996573</c:v>
                </c:pt>
                <c:pt idx="358">
                  <c:v>357.55999999996482</c:v>
                </c:pt>
                <c:pt idx="359">
                  <c:v>358.55999999996379</c:v>
                </c:pt>
                <c:pt idx="360">
                  <c:v>359.55999999996288</c:v>
                </c:pt>
                <c:pt idx="361">
                  <c:v>360.55999999996197</c:v>
                </c:pt>
                <c:pt idx="362">
                  <c:v>361.55999999996112</c:v>
                </c:pt>
                <c:pt idx="363">
                  <c:v>362.55999999996021</c:v>
                </c:pt>
                <c:pt idx="364">
                  <c:v>363.5599999999593</c:v>
                </c:pt>
                <c:pt idx="365">
                  <c:v>364.55999999995839</c:v>
                </c:pt>
                <c:pt idx="366">
                  <c:v>365.55999999995748</c:v>
                </c:pt>
                <c:pt idx="367">
                  <c:v>366.55999999995657</c:v>
                </c:pt>
                <c:pt idx="368">
                  <c:v>367.55999999995572</c:v>
                </c:pt>
                <c:pt idx="369">
                  <c:v>368.55999999995481</c:v>
                </c:pt>
                <c:pt idx="370">
                  <c:v>369.55999999995379</c:v>
                </c:pt>
                <c:pt idx="371">
                  <c:v>370.55999999995288</c:v>
                </c:pt>
                <c:pt idx="372">
                  <c:v>371.55999999995203</c:v>
                </c:pt>
                <c:pt idx="373">
                  <c:v>372.55999999995112</c:v>
                </c:pt>
                <c:pt idx="374">
                  <c:v>373.55999999995021</c:v>
                </c:pt>
                <c:pt idx="375">
                  <c:v>374.5599999999493</c:v>
                </c:pt>
                <c:pt idx="376">
                  <c:v>375.55999999994839</c:v>
                </c:pt>
                <c:pt idx="377">
                  <c:v>376.55999999994748</c:v>
                </c:pt>
                <c:pt idx="378">
                  <c:v>377.55999999994663</c:v>
                </c:pt>
                <c:pt idx="379">
                  <c:v>378.55999999994572</c:v>
                </c:pt>
                <c:pt idx="380">
                  <c:v>379.55999999994481</c:v>
                </c:pt>
                <c:pt idx="381">
                  <c:v>380.55999999994378</c:v>
                </c:pt>
                <c:pt idx="382">
                  <c:v>381.55999999994287</c:v>
                </c:pt>
                <c:pt idx="383">
                  <c:v>382.55999999994202</c:v>
                </c:pt>
                <c:pt idx="384">
                  <c:v>383.49999999994122</c:v>
                </c:pt>
                <c:pt idx="385">
                  <c:v>384.3399999999404</c:v>
                </c:pt>
                <c:pt idx="386">
                  <c:v>385.33999999993949</c:v>
                </c:pt>
                <c:pt idx="387">
                  <c:v>386.33999999993858</c:v>
                </c:pt>
                <c:pt idx="388">
                  <c:v>387.33999999993767</c:v>
                </c:pt>
                <c:pt idx="389">
                  <c:v>388.33999999993682</c:v>
                </c:pt>
                <c:pt idx="390">
                  <c:v>389.33999999993591</c:v>
                </c:pt>
                <c:pt idx="391">
                  <c:v>390.33999999993489</c:v>
                </c:pt>
                <c:pt idx="392">
                  <c:v>391.33999999993398</c:v>
                </c:pt>
                <c:pt idx="393">
                  <c:v>392.33999999993313</c:v>
                </c:pt>
                <c:pt idx="394">
                  <c:v>393.33999999993222</c:v>
                </c:pt>
                <c:pt idx="395">
                  <c:v>394.33999999993131</c:v>
                </c:pt>
                <c:pt idx="396">
                  <c:v>395.3399999999304</c:v>
                </c:pt>
                <c:pt idx="397">
                  <c:v>396.33999999992949</c:v>
                </c:pt>
                <c:pt idx="398">
                  <c:v>397.33999999992858</c:v>
                </c:pt>
                <c:pt idx="399">
                  <c:v>398.33999999992773</c:v>
                </c:pt>
                <c:pt idx="400">
                  <c:v>399.33999999992682</c:v>
                </c:pt>
                <c:pt idx="401">
                  <c:v>400.33999999992591</c:v>
                </c:pt>
                <c:pt idx="402">
                  <c:v>401.33999999992488</c:v>
                </c:pt>
                <c:pt idx="403">
                  <c:v>402.33999999992398</c:v>
                </c:pt>
                <c:pt idx="404">
                  <c:v>403.33999999992312</c:v>
                </c:pt>
                <c:pt idx="405">
                  <c:v>404.33999999992221</c:v>
                </c:pt>
                <c:pt idx="406">
                  <c:v>405.17999999992139</c:v>
                </c:pt>
              </c:numCache>
            </c:numRef>
          </c:xVal>
          <c:yVal>
            <c:numRef>
              <c:f>Diagrammdaten!$AG$5:$AG$411</c:f>
              <c:numCache>
                <c:formatCode>0.0</c:formatCode>
                <c:ptCount val="407"/>
                <c:pt idx="0">
                  <c:v>122.2248197679442</c:v>
                </c:pt>
                <c:pt idx="1">
                  <c:v>116.1318510015434</c:v>
                </c:pt>
                <c:pt idx="2">
                  <c:v>110.63632589344481</c:v>
                </c:pt>
                <c:pt idx="3">
                  <c:v>105.67850303215</c:v>
                </c:pt>
                <c:pt idx="4">
                  <c:v>101.2047488676407</c:v>
                </c:pt>
                <c:pt idx="5">
                  <c:v>97.166908727011204</c:v>
                </c:pt>
                <c:pt idx="6">
                  <c:v>93.521744342140394</c:v>
                </c:pt>
                <c:pt idx="7">
                  <c:v>90.230430889246293</c:v>
                </c:pt>
                <c:pt idx="8">
                  <c:v>87.258106708671974</c:v>
                </c:pt>
                <c:pt idx="9">
                  <c:v>84.573469492593631</c:v>
                </c:pt>
                <c:pt idx="10">
                  <c:v>82.148413505111961</c:v>
                </c:pt>
                <c:pt idx="11">
                  <c:v>79.957703172374949</c:v>
                </c:pt>
                <c:pt idx="12">
                  <c:v>77.978679073443132</c:v>
                </c:pt>
                <c:pt idx="13">
                  <c:v>76.190992949522524</c:v>
                </c:pt>
                <c:pt idx="14">
                  <c:v>74.576368829937451</c:v>
                </c:pt>
                <c:pt idx="15">
                  <c:v>73.118387760120953</c:v>
                </c:pt>
                <c:pt idx="16">
                  <c:v>71.802293926334073</c:v>
                </c:pt>
                <c:pt idx="17">
                  <c:v>70.614820219622118</c:v>
                </c:pt>
                <c:pt idx="18">
                  <c:v>69.544031482098845</c:v>
                </c:pt>
                <c:pt idx="19">
                  <c:v>68.579183842524017</c:v>
                </c:pt>
                <c:pt idx="20">
                  <c:v>67.710598685894098</c:v>
                </c:pt>
                <c:pt idx="21">
                  <c:v>66.929549919233779</c:v>
                </c:pt>
                <c:pt idx="22">
                  <c:v>66.228163294850461</c:v>
                </c:pt>
                <c:pt idx="23">
                  <c:v>65.599326647261933</c:v>
                </c:pt>
                <c:pt idx="24">
                  <c:v>65.036609975255459</c:v>
                </c:pt>
                <c:pt idx="25">
                  <c:v>64.534194381872979</c:v>
                </c:pt>
                <c:pt idx="26">
                  <c:v>64.08680894947797</c:v>
                </c:pt>
                <c:pt idx="27">
                  <c:v>63.689674696936457</c:v>
                </c:pt>
                <c:pt idx="28">
                  <c:v>63.338454827872411</c:v>
                </c:pt>
                <c:pt idx="29">
                  <c:v>63.029210541184703</c:v>
                </c:pt>
                <c:pt idx="30">
                  <c:v>62.758361734972461</c:v>
                </c:pt>
                <c:pt idx="31">
                  <c:v>62.522651995816567</c:v>
                </c:pt>
                <c:pt idx="32">
                  <c:v>62.319117321475929</c:v>
                </c:pt>
                <c:pt idx="33">
                  <c:v>62.145058086105763</c:v>
                </c:pt>
                <c:pt idx="34">
                  <c:v>61.998013811480867</c:v>
                </c:pt>
                <c:pt idx="35">
                  <c:v>61.875740364427607</c:v>
                </c:pt>
                <c:pt idx="36">
                  <c:v>61.776189253954129</c:v>
                </c:pt>
                <c:pt idx="37">
                  <c:v>61.697488752846873</c:v>
                </c:pt>
                <c:pt idx="38">
                  <c:v>61.637926616639817</c:v>
                </c:pt>
                <c:pt idx="39">
                  <c:v>61.595934217473832</c:v>
                </c:pt>
                <c:pt idx="40">
                  <c:v>61.570071950578424</c:v>
                </c:pt>
                <c:pt idx="41">
                  <c:v>61.55901580672797</c:v>
                </c:pt>
                <c:pt idx="42">
                  <c:v>61.561545034357103</c:v>
                </c:pt>
                <c:pt idx="43">
                  <c:v>61.576530839895717</c:v>
                </c:pt>
                <c:pt idx="44">
                  <c:v>61.602926093834739</c:v>
                </c:pt>
                <c:pt idx="45">
                  <c:v>61.639756024249607</c:v>
                </c:pt>
                <c:pt idx="46">
                  <c:v>61.686109886005823</c:v>
                </c:pt>
                <c:pt idx="47">
                  <c:v>61.741133597951482</c:v>
                </c:pt>
                <c:pt idx="48">
                  <c:v>61.804023337332637</c:v>
                </c:pt>
                <c:pt idx="49">
                  <c:v>61.874020075042942</c:v>
                </c:pt>
                <c:pt idx="50">
                  <c:v>61.950405025284127</c:v>
                </c:pt>
                <c:pt idx="51">
                  <c:v>62.03249597237695</c:v>
                </c:pt>
                <c:pt idx="52">
                  <c:v>62.119644424038363</c:v>
                </c:pt>
                <c:pt idx="53">
                  <c:v>62.211233527384401</c:v>
                </c:pt>
                <c:pt idx="54">
                  <c:v>62.306676671569548</c:v>
                </c:pt>
                <c:pt idx="55">
                  <c:v>62.405416689065753</c:v>
                </c:pt>
                <c:pt idx="56">
                  <c:v>62.506925557516873</c:v>
                </c:pt>
                <c:pt idx="57">
                  <c:v>62.610704494342777</c:v>
                </c:pt>
                <c:pt idx="58">
                  <c:v>62.716284326691017</c:v>
                </c:pt>
                <c:pt idx="59">
                  <c:v>62.823226008757153</c:v>
                </c:pt>
                <c:pt idx="60">
                  <c:v>62.931121145847818</c:v>
                </c:pt>
                <c:pt idx="61">
                  <c:v>63.039592370703083</c:v>
                </c:pt>
                <c:pt idx="62">
                  <c:v>63.148293405371462</c:v>
                </c:pt>
                <c:pt idx="63">
                  <c:v>63.256908639579002</c:v>
                </c:pt>
                <c:pt idx="64">
                  <c:v>63.365152076286662</c:v>
                </c:pt>
                <c:pt idx="65">
                  <c:v>63.47276555428148</c:v>
                </c:pt>
                <c:pt idx="66">
                  <c:v>63.579516270196571</c:v>
                </c:pt>
                <c:pt idx="67">
                  <c:v>63.685193790547856</c:v>
                </c:pt>
                <c:pt idx="68">
                  <c:v>63.789606948722891</c:v>
                </c:pt>
                <c:pt idx="69">
                  <c:v>63.892581224989733</c:v>
                </c:pt>
                <c:pt idx="70">
                  <c:v>63.993957344578362</c:v>
                </c:pt>
                <c:pt idx="71">
                  <c:v>64.093591799535375</c:v>
                </c:pt>
                <c:pt idx="72">
                  <c:v>64.191359606632588</c:v>
                </c:pt>
                <c:pt idx="73">
                  <c:v>64.287158665649457</c:v>
                </c:pt>
                <c:pt idx="74">
                  <c:v>64.380913811974736</c:v>
                </c:pt>
                <c:pt idx="75">
                  <c:v>64.472578095236457</c:v>
                </c:pt>
                <c:pt idx="76">
                  <c:v>64.562130019932653</c:v>
                </c:pt>
                <c:pt idx="77">
                  <c:v>64.649567884379294</c:v>
                </c:pt>
                <c:pt idx="78">
                  <c:v>64.734903862812516</c:v>
                </c:pt>
                <c:pt idx="79">
                  <c:v>64.818159942734951</c:v>
                </c:pt>
                <c:pt idx="80">
                  <c:v>64.89936622108408</c:v>
                </c:pt>
                <c:pt idx="81">
                  <c:v>64.978560868822029</c:v>
                </c:pt>
                <c:pt idx="82">
                  <c:v>65.055790777716808</c:v>
                </c:pt>
                <c:pt idx="83">
                  <c:v>65.131112155151186</c:v>
                </c:pt>
                <c:pt idx="84">
                  <c:v>65.204590707983414</c:v>
                </c:pt>
                <c:pt idx="85">
                  <c:v>65.276301421065767</c:v>
                </c:pt>
                <c:pt idx="86">
                  <c:v>65.346328814690878</c:v>
                </c:pt>
                <c:pt idx="87">
                  <c:v>65.414790936310126</c:v>
                </c:pt>
                <c:pt idx="88">
                  <c:v>65.481802926297661</c:v>
                </c:pt>
                <c:pt idx="89">
                  <c:v>65.547401841347082</c:v>
                </c:pt>
                <c:pt idx="90">
                  <c:v>65.611615794868555</c:v>
                </c:pt>
                <c:pt idx="91">
                  <c:v>65.67447175489103</c:v>
                </c:pt>
                <c:pt idx="92">
                  <c:v>65.735996821218635</c:v>
                </c:pt>
                <c:pt idx="93">
                  <c:v>65.79621876723931</c:v>
                </c:pt>
                <c:pt idx="94">
                  <c:v>65.855166819063129</c:v>
                </c:pt>
                <c:pt idx="95">
                  <c:v>65.912873179696675</c:v>
                </c:pt>
                <c:pt idx="96">
                  <c:v>65.969375636478304</c:v>
                </c:pt>
                <c:pt idx="97">
                  <c:v>66.024721272097679</c:v>
                </c:pt>
                <c:pt idx="98">
                  <c:v>66.078970606939251</c:v>
                </c:pt>
                <c:pt idx="99">
                  <c:v>66.132200558946096</c:v>
                </c:pt>
                <c:pt idx="100">
                  <c:v>66.184504132025452</c:v>
                </c:pt>
                <c:pt idx="101">
                  <c:v>66.235985595569687</c:v>
                </c:pt>
                <c:pt idx="102">
                  <c:v>66.28675192761709</c:v>
                </c:pt>
                <c:pt idx="103">
                  <c:v>66.336902964189676</c:v>
                </c:pt>
                <c:pt idx="104">
                  <c:v>66.386522742405006</c:v>
                </c:pt>
                <c:pt idx="105">
                  <c:v>66.435673264130187</c:v>
                </c:pt>
                <c:pt idx="106">
                  <c:v>66.4843905834731</c:v>
                </c:pt>
                <c:pt idx="107">
                  <c:v>66.532682493259486</c:v>
                </c:pt>
                <c:pt idx="108">
                  <c:v>66.580527095810794</c:v>
                </c:pt>
                <c:pt idx="109">
                  <c:v>66.627871824545423</c:v>
                </c:pt>
                <c:pt idx="110">
                  <c:v>66.674632763843093</c:v>
                </c:pt>
                <c:pt idx="111">
                  <c:v>66.720694292940877</c:v>
                </c:pt>
                <c:pt idx="112">
                  <c:v>66.765909148914659</c:v>
                </c:pt>
                <c:pt idx="113">
                  <c:v>66.810098998713727</c:v>
                </c:pt>
                <c:pt idx="114">
                  <c:v>66.853055564012735</c:v>
                </c:pt>
                <c:pt idx="115">
                  <c:v>66.8945422848943</c:v>
                </c:pt>
                <c:pt idx="116">
                  <c:v>66.934296456558769</c:v>
                </c:pt>
                <c:pt idx="117">
                  <c:v>66.972031735778529</c:v>
                </c:pt>
                <c:pt idx="118">
                  <c:v>67.007440893293094</c:v>
                </c:pt>
                <c:pt idx="119">
                  <c:v>67.040198683022183</c:v>
                </c:pt>
                <c:pt idx="120">
                  <c:v>67.06996470598375</c:v>
                </c:pt>
                <c:pt idx="121">
                  <c:v>67.09638616224683</c:v>
                </c:pt>
                <c:pt idx="122">
                  <c:v>67.119100404983115</c:v>
                </c:pt>
                <c:pt idx="123">
                  <c:v>67.137737233596454</c:v>
                </c:pt>
                <c:pt idx="124">
                  <c:v>67.151920885799626</c:v>
                </c:pt>
                <c:pt idx="125">
                  <c:v>67.161271709667389</c:v>
                </c:pt>
                <c:pt idx="126">
                  <c:v>67.165407514957366</c:v>
                </c:pt>
                <c:pt idx="127">
                  <c:v>67.163944617812021</c:v>
                </c:pt>
                <c:pt idx="128">
                  <c:v>67.156498604028442</c:v>
                </c:pt>
                <c:pt idx="129">
                  <c:v>67.142684843631315</c:v>
                </c:pt>
                <c:pt idx="130">
                  <c:v>67.122118793746466</c:v>
                </c:pt>
                <c:pt idx="131">
                  <c:v>67.094416128324184</c:v>
                </c:pt>
                <c:pt idx="132">
                  <c:v>67.059192732572257</c:v>
                </c:pt>
                <c:pt idx="133">
                  <c:v>67.016064597621067</c:v>
                </c:pt>
                <c:pt idx="134">
                  <c:v>66.964647647466251</c:v>
                </c:pt>
                <c:pt idx="135">
                  <c:v>66.904557526054063</c:v>
                </c:pt>
                <c:pt idx="136">
                  <c:v>66.835409367865822</c:v>
                </c:pt>
                <c:pt idx="137">
                  <c:v>66.75681757084493</c:v>
                </c:pt>
                <c:pt idx="138">
                  <c:v>66.6683955861415</c:v>
                </c:pt>
                <c:pt idx="139">
                  <c:v>66.569755735182824</c:v>
                </c:pt>
                <c:pt idx="140">
                  <c:v>66.46050906099066</c:v>
                </c:pt>
                <c:pt idx="141">
                  <c:v>66.340265217617244</c:v>
                </c:pt>
                <c:pt idx="142">
                  <c:v>66.208632398937752</c:v>
                </c:pt>
                <c:pt idx="143">
                  <c:v>66.065217306197226</c:v>
                </c:pt>
                <c:pt idx="144">
                  <c:v>65.909625151631332</c:v>
                </c:pt>
                <c:pt idx="145">
                  <c:v>65.74145969490425</c:v>
                </c:pt>
                <c:pt idx="146">
                  <c:v>65.560323307814343</c:v>
                </c:pt>
                <c:pt idx="147">
                  <c:v>65.365817062485462</c:v>
                </c:pt>
                <c:pt idx="148">
                  <c:v>65.157540837987568</c:v>
                </c:pt>
                <c:pt idx="149">
                  <c:v>64.935093440352915</c:v>
                </c:pt>
                <c:pt idx="150">
                  <c:v>64.698072731144507</c:v>
                </c:pt>
                <c:pt idx="151">
                  <c:v>64.446075760044209</c:v>
                </c:pt>
                <c:pt idx="152">
                  <c:v>64.178698897420247</c:v>
                </c:pt>
                <c:pt idx="153">
                  <c:v>63.895537963033831</c:v>
                </c:pt>
                <c:pt idx="154">
                  <c:v>63.596188348120812</c:v>
                </c:pt>
                <c:pt idx="155">
                  <c:v>63.280245127890268</c:v>
                </c:pt>
                <c:pt idx="156">
                  <c:v>62.947303162587239</c:v>
                </c:pt>
                <c:pt idx="157">
                  <c:v>62.596957185483191</c:v>
                </c:pt>
                <c:pt idx="158">
                  <c:v>62.228801876718677</c:v>
                </c:pt>
                <c:pt idx="159">
                  <c:v>61.842431922374807</c:v>
                </c:pt>
                <c:pt idx="160">
                  <c:v>61.437442058567271</c:v>
                </c:pt>
                <c:pt idx="161">
                  <c:v>61.013427100740337</c:v>
                </c:pt>
                <c:pt idx="162">
                  <c:v>60.569981958693077</c:v>
                </c:pt>
                <c:pt idx="163">
                  <c:v>60.106701638178379</c:v>
                </c:pt>
                <c:pt idx="164">
                  <c:v>59.623181230186539</c:v>
                </c:pt>
                <c:pt idx="165">
                  <c:v>59.119015889268198</c:v>
                </c:pt>
                <c:pt idx="166">
                  <c:v>58.593800802436952</c:v>
                </c:pt>
                <c:pt idx="167">
                  <c:v>58.047131150360691</c:v>
                </c:pt>
                <c:pt idx="168">
                  <c:v>57.478602062661913</c:v>
                </c:pt>
                <c:pt idx="169">
                  <c:v>56.887808569223658</c:v>
                </c:pt>
                <c:pt idx="170">
                  <c:v>56.274345549444057</c:v>
                </c:pt>
                <c:pt idx="171">
                  <c:v>55.637807681367612</c:v>
                </c:pt>
                <c:pt idx="172">
                  <c:v>54.977789392599988</c:v>
                </c:pt>
                <c:pt idx="173">
                  <c:v>54.293884814819293</c:v>
                </c:pt>
                <c:pt idx="174">
                  <c:v>53.585687743599138</c:v>
                </c:pt>
                <c:pt idx="175">
                  <c:v>52.85279160511152</c:v>
                </c:pt>
                <c:pt idx="176">
                  <c:v>52.094789431111707</c:v>
                </c:pt>
                <c:pt idx="177">
                  <c:v>51.311273843411428</c:v>
                </c:pt>
                <c:pt idx="178">
                  <c:v>50.50183704883711</c:v>
                </c:pt>
                <c:pt idx="179">
                  <c:v>49.666070845442391</c:v>
                </c:pt>
                <c:pt idx="180">
                  <c:v>48.803566640509068</c:v>
                </c:pt>
                <c:pt idx="181">
                  <c:v>47.913915480624667</c:v>
                </c:pt>
                <c:pt idx="182">
                  <c:v>46.996708093890838</c:v>
                </c:pt>
                <c:pt idx="183">
                  <c:v>46.051534944072507</c:v>
                </c:pt>
                <c:pt idx="184">
                  <c:v>45.077986296270993</c:v>
                </c:pt>
                <c:pt idx="185">
                  <c:v>44.075652293486137</c:v>
                </c:pt>
                <c:pt idx="186">
                  <c:v>43.044123043228318</c:v>
                </c:pt>
                <c:pt idx="187">
                  <c:v>41.98298871315577</c:v>
                </c:pt>
                <c:pt idx="188">
                  <c:v>40.891839634543082</c:v>
                </c:pt>
                <c:pt idx="189">
                  <c:v>41.290144971490058</c:v>
                </c:pt>
                <c:pt idx="190">
                  <c:v>41.575544386678473</c:v>
                </c:pt>
                <c:pt idx="191">
                  <c:v>41.683648757075133</c:v>
                </c:pt>
                <c:pt idx="192">
                  <c:v>41.724595880565609</c:v>
                </c:pt>
                <c:pt idx="193">
                  <c:v>41.74010555005502</c:v>
                </c:pt>
                <c:pt idx="194">
                  <c:v>41.745980196083373</c:v>
                </c:pt>
                <c:pt idx="195">
                  <c:v>41.748205354455301</c:v>
                </c:pt>
                <c:pt idx="196">
                  <c:v>41.749048184834827</c:v>
                </c:pt>
                <c:pt idx="197">
                  <c:v>41.749367426412952</c:v>
                </c:pt>
                <c:pt idx="198">
                  <c:v>41.749488346575298</c:v>
                </c:pt>
                <c:pt idx="199">
                  <c:v>41.749534147895552</c:v>
                </c:pt>
                <c:pt idx="200">
                  <c:v>41.749551496209463</c:v>
                </c:pt>
                <c:pt idx="201">
                  <c:v>41.74955806728633</c:v>
                </c:pt>
                <c:pt idx="202">
                  <c:v>41.749560556234428</c:v>
                </c:pt>
                <c:pt idx="203">
                  <c:v>41.749561498981294</c:v>
                </c:pt>
                <c:pt idx="204">
                  <c:v>41.749561856068539</c:v>
                </c:pt>
                <c:pt idx="205">
                  <c:v>41.749561991323631</c:v>
                </c:pt>
                <c:pt idx="206">
                  <c:v>41.749562042554679</c:v>
                </c:pt>
                <c:pt idx="207">
                  <c:v>41.749562061959573</c:v>
                </c:pt>
                <c:pt idx="208">
                  <c:v>41.749562069309661</c:v>
                </c:pt>
                <c:pt idx="209">
                  <c:v>41.749562072093681</c:v>
                </c:pt>
                <c:pt idx="210">
                  <c:v>41.749562073122661</c:v>
                </c:pt>
                <c:pt idx="211">
                  <c:v>43.132063233870738</c:v>
                </c:pt>
                <c:pt idx="212">
                  <c:v>44.4970498167743</c:v>
                </c:pt>
                <c:pt idx="213">
                  <c:v>45.708144093124538</c:v>
                </c:pt>
                <c:pt idx="214">
                  <c:v>46.84466843585961</c:v>
                </c:pt>
                <c:pt idx="215">
                  <c:v>47.935820706467553</c:v>
                </c:pt>
                <c:pt idx="216">
                  <c:v>48.992899988548579</c:v>
                </c:pt>
                <c:pt idx="217">
                  <c:v>50.020561604316583</c:v>
                </c:pt>
                <c:pt idx="218">
                  <c:v>51.020902690979241</c:v>
                </c:pt>
                <c:pt idx="219">
                  <c:v>51.994999119069043</c:v>
                </c:pt>
                <c:pt idx="220">
                  <c:v>52.943502964252403</c:v>
                </c:pt>
                <c:pt idx="221">
                  <c:v>53.866881737188628</c:v>
                </c:pt>
                <c:pt idx="222">
                  <c:v>54.765516533703227</c:v>
                </c:pt>
                <c:pt idx="223">
                  <c:v>55.639742853502199</c:v>
                </c:pt>
                <c:pt idx="224">
                  <c:v>56.489867339617923</c:v>
                </c:pt>
                <c:pt idx="225">
                  <c:v>57.316173983302271</c:v>
                </c:pt>
                <c:pt idx="226">
                  <c:v>58.118925412861792</c:v>
                </c:pt>
                <c:pt idx="227">
                  <c:v>58.898361581536292</c:v>
                </c:pt>
                <c:pt idx="228">
                  <c:v>59.65469679980319</c:v>
                </c:pt>
                <c:pt idx="229">
                  <c:v>60.38811524270394</c:v>
                </c:pt>
                <c:pt idx="230">
                  <c:v>61.098764855590161</c:v>
                </c:pt>
                <c:pt idx="231">
                  <c:v>61.786749165170022</c:v>
                </c:pt>
                <c:pt idx="232">
                  <c:v>62.452116187781243</c:v>
                </c:pt>
                <c:pt idx="233">
                  <c:v>63.094843122403937</c:v>
                </c:pt>
                <c:pt idx="234">
                  <c:v>63.714814672994351</c:v>
                </c:pt>
                <c:pt idx="235">
                  <c:v>64.311791347827395</c:v>
                </c:pt>
                <c:pt idx="236">
                  <c:v>64.885361240992538</c:v>
                </c:pt>
                <c:pt idx="237">
                  <c:v>65.434863007693849</c:v>
                </c:pt>
                <c:pt idx="238">
                  <c:v>65.959254863296039</c:v>
                </c:pt>
                <c:pt idx="239">
                  <c:v>66.456872355015776</c:v>
                </c:pt>
                <c:pt idx="240">
                  <c:v>66.924924192235324</c:v>
                </c:pt>
                <c:pt idx="241">
                  <c:v>67.358229945484908</c:v>
                </c:pt>
                <c:pt idx="242">
                  <c:v>67.744720478151962</c:v>
                </c:pt>
                <c:pt idx="243">
                  <c:v>67.800192379814305</c:v>
                </c:pt>
                <c:pt idx="244">
                  <c:v>67.729575405164042</c:v>
                </c:pt>
                <c:pt idx="245">
                  <c:v>67.727919759080947</c:v>
                </c:pt>
                <c:pt idx="246">
                  <c:v>67.832929435761855</c:v>
                </c:pt>
                <c:pt idx="247">
                  <c:v>68.003239827919828</c:v>
                </c:pt>
                <c:pt idx="248">
                  <c:v>68.215353948788334</c:v>
                </c:pt>
                <c:pt idx="249">
                  <c:v>68.454232970278824</c:v>
                </c:pt>
                <c:pt idx="250">
                  <c:v>68.709730723769198</c:v>
                </c:pt>
                <c:pt idx="251">
                  <c:v>68.974833262136684</c:v>
                </c:pt>
                <c:pt idx="252">
                  <c:v>69.244627964647307</c:v>
                </c:pt>
                <c:pt idx="253">
                  <c:v>69.515648571480412</c:v>
                </c:pt>
                <c:pt idx="254">
                  <c:v>69.785441336272143</c:v>
                </c:pt>
                <c:pt idx="255">
                  <c:v>70.052270532803874</c:v>
                </c:pt>
                <c:pt idx="256">
                  <c:v>70.314915118675927</c:v>
                </c:pt>
                <c:pt idx="257">
                  <c:v>70.572526484522214</c:v>
                </c:pt>
                <c:pt idx="258">
                  <c:v>70.824527827012147</c:v>
                </c:pt>
                <c:pt idx="259">
                  <c:v>71.070542257459152</c:v>
                </c:pt>
                <c:pt idx="260">
                  <c:v>71.310340966654735</c:v>
                </c:pt>
                <c:pt idx="261">
                  <c:v>71.543805522847592</c:v>
                </c:pt>
                <c:pt idx="262">
                  <c:v>71.770900215510139</c:v>
                </c:pt>
                <c:pt idx="263">
                  <c:v>71.991651596216059</c:v>
                </c:pt>
                <c:pt idx="264">
                  <c:v>72.206133213424124</c:v>
                </c:pt>
                <c:pt idx="265">
                  <c:v>72.414454120361626</c:v>
                </c:pt>
                <c:pt idx="266">
                  <c:v>72.616750140351954</c:v>
                </c:pt>
                <c:pt idx="267">
                  <c:v>72.813177158051488</c:v>
                </c:pt>
                <c:pt idx="268">
                  <c:v>73.003905906163098</c:v>
                </c:pt>
                <c:pt idx="269">
                  <c:v>73.189117860964458</c:v>
                </c:pt>
                <c:pt idx="270">
                  <c:v>73.369001963833654</c:v>
                </c:pt>
                <c:pt idx="271">
                  <c:v>73.543751962217485</c:v>
                </c:pt>
                <c:pt idx="272">
                  <c:v>73.713564220362599</c:v>
                </c:pt>
                <c:pt idx="273">
                  <c:v>73.878635893505702</c:v>
                </c:pt>
                <c:pt idx="274">
                  <c:v>74.039163393136192</c:v>
                </c:pt>
                <c:pt idx="275">
                  <c:v>74.195341097814861</c:v>
                </c:pt>
                <c:pt idx="276">
                  <c:v>74.347360285954437</c:v>
                </c:pt>
                <c:pt idx="277">
                  <c:v>74.495408283278294</c:v>
                </c:pt>
                <c:pt idx="278">
                  <c:v>74.639667830798658</c:v>
                </c:pt>
                <c:pt idx="279">
                  <c:v>74.780316685849428</c:v>
                </c:pt>
                <c:pt idx="280">
                  <c:v>74.917527470856143</c:v>
                </c:pt>
                <c:pt idx="281">
                  <c:v>75.051467780445932</c:v>
                </c:pt>
                <c:pt idx="282">
                  <c:v>75.182300547997272</c:v>
                </c:pt>
                <c:pt idx="283">
                  <c:v>75.310184658739104</c:v>
                </c:pt>
                <c:pt idx="284">
                  <c:v>75.435275780269421</c:v>
                </c:pt>
                <c:pt idx="285">
                  <c:v>75.557727365419524</c:v>
                </c:pt>
                <c:pt idx="286">
                  <c:v>75.677691769711572</c:v>
                </c:pt>
                <c:pt idx="287">
                  <c:v>75.795321418623999</c:v>
                </c:pt>
                <c:pt idx="288">
                  <c:v>75.910769959565471</c:v>
                </c:pt>
                <c:pt idx="289">
                  <c:v>76.02419333965959</c:v>
                </c:pt>
                <c:pt idx="290">
                  <c:v>76.135750761621651</c:v>
                </c:pt>
                <c:pt idx="291">
                  <c:v>76.245605483845821</c:v>
                </c:pt>
                <c:pt idx="292">
                  <c:v>76.35392544498329</c:v>
                </c:pt>
                <c:pt idx="293">
                  <c:v>76.460883705874537</c:v>
                </c:pt>
                <c:pt idx="294">
                  <c:v>76.566658711790922</c:v>
                </c:pt>
                <c:pt idx="295">
                  <c:v>76.671434385019722</c:v>
                </c:pt>
                <c:pt idx="296">
                  <c:v>76.775400062601449</c:v>
                </c:pt>
                <c:pt idx="297">
                  <c:v>76.878750296866684</c:v>
                </c:pt>
                <c:pt idx="298">
                  <c:v>76.98168453801037</c:v>
                </c:pt>
                <c:pt idx="299">
                  <c:v>77.084406718968424</c:v>
                </c:pt>
                <c:pt idx="300">
                  <c:v>77.187124763282</c:v>
                </c:pt>
                <c:pt idx="301">
                  <c:v>77.290050036694737</c:v>
                </c:pt>
                <c:pt idx="302">
                  <c:v>77.393396762659307</c:v>
                </c:pt>
                <c:pt idx="303">
                  <c:v>77.497381420392088</c:v>
                </c:pt>
                <c:pt idx="304">
                  <c:v>77.602222141093534</c:v>
                </c:pt>
                <c:pt idx="305">
                  <c:v>77.70813811255826</c:v>
                </c:pt>
                <c:pt idx="306">
                  <c:v>77.815348993110717</c:v>
                </c:pt>
                <c:pt idx="307">
                  <c:v>77.924074319264292</c:v>
                </c:pt>
                <c:pt idx="308">
                  <c:v>78.03453285988023</c:v>
                </c:pt>
                <c:pt idx="309">
                  <c:v>78.14694180108485</c:v>
                </c:pt>
                <c:pt idx="310">
                  <c:v>78.261515469242354</c:v>
                </c:pt>
                <c:pt idx="311">
                  <c:v>78.378462697857827</c:v>
                </c:pt>
                <c:pt idx="312">
                  <c:v>78.497978225596498</c:v>
                </c:pt>
                <c:pt idx="313">
                  <c:v>78.620138885268162</c:v>
                </c:pt>
                <c:pt idx="314">
                  <c:v>78.745001788124796</c:v>
                </c:pt>
                <c:pt idx="315">
                  <c:v>78.872759062474529</c:v>
                </c:pt>
                <c:pt idx="316">
                  <c:v>79.003628023005746</c:v>
                </c:pt>
                <c:pt idx="317">
                  <c:v>79.137842662374467</c:v>
                </c:pt>
                <c:pt idx="318">
                  <c:v>79.275652012260736</c:v>
                </c:pt>
                <c:pt idx="319">
                  <c:v>79.41731986896869</c:v>
                </c:pt>
                <c:pt idx="320">
                  <c:v>79.563124951915754</c:v>
                </c:pt>
                <c:pt idx="321">
                  <c:v>79.713361191268149</c:v>
                </c:pt>
                <c:pt idx="322">
                  <c:v>79.86833801674392</c:v>
                </c:pt>
                <c:pt idx="323">
                  <c:v>80.028380586024369</c:v>
                </c:pt>
                <c:pt idx="324">
                  <c:v>80.19382992245994</c:v>
                </c:pt>
                <c:pt idx="325">
                  <c:v>80.365042949391778</c:v>
                </c:pt>
                <c:pt idx="326">
                  <c:v>80.542392420065568</c:v>
                </c:pt>
                <c:pt idx="327">
                  <c:v>80.726266750665289</c:v>
                </c:pt>
                <c:pt idx="328">
                  <c:v>80.917069770695377</c:v>
                </c:pt>
                <c:pt idx="329">
                  <c:v>81.115220410318031</c:v>
                </c:pt>
                <c:pt idx="330">
                  <c:v>81.321152348355227</c:v>
                </c:pt>
                <c:pt idx="331">
                  <c:v>81.53531364764325</c:v>
                </c:pt>
                <c:pt idx="332">
                  <c:v>81.75816640606044</c:v>
                </c:pt>
                <c:pt idx="333">
                  <c:v>81.99018645183493</c:v>
                </c:pt>
                <c:pt idx="334">
                  <c:v>82.231863110487382</c:v>
                </c:pt>
                <c:pt idx="335">
                  <c:v>82.483699067926779</c:v>
                </c:pt>
                <c:pt idx="336">
                  <c:v>82.746210349722872</c:v>
                </c:pt>
                <c:pt idx="337">
                  <c:v>83.019926430597565</c:v>
                </c:pt>
                <c:pt idx="338">
                  <c:v>83.305390480656541</c:v>
                </c:pt>
                <c:pt idx="339">
                  <c:v>83.603159747330778</c:v>
                </c:pt>
                <c:pt idx="340">
                  <c:v>83.913806062285971</c:v>
                </c:pt>
                <c:pt idx="341">
                  <c:v>84.237916456077741</c:v>
                </c:pt>
                <c:pt idx="342">
                  <c:v>84.576093855455326</c:v>
                </c:pt>
                <c:pt idx="343">
                  <c:v>84.928957834022484</c:v>
                </c:pt>
                <c:pt idx="344">
                  <c:v>85.297145384693337</c:v>
                </c:pt>
                <c:pt idx="345">
                  <c:v>85.681311683036682</c:v>
                </c:pt>
                <c:pt idx="346">
                  <c:v>86.082130814044248</c:v>
                </c:pt>
                <c:pt idx="347">
                  <c:v>86.500296440531045</c:v>
                </c:pt>
                <c:pt idx="348">
                  <c:v>86.936522398841845</c:v>
                </c:pt>
                <c:pt idx="349">
                  <c:v>87.391543215616508</c:v>
                </c:pt>
                <c:pt idx="350">
                  <c:v>87.866114547520056</c:v>
                </c:pt>
                <c:pt idx="351">
                  <c:v>88.361013552973532</c:v>
                </c:pt>
                <c:pt idx="352">
                  <c:v>88.877039210966871</c:v>
                </c:pt>
                <c:pt idx="353">
                  <c:v>89.415012604609856</c:v>
                </c:pt>
                <c:pt idx="354">
                  <c:v>89.975777191391373</c:v>
                </c:pt>
                <c:pt idx="355">
                  <c:v>90.560199078648154</c:v>
                </c:pt>
                <c:pt idx="356">
                  <c:v>91.169167323408814</c:v>
                </c:pt>
                <c:pt idx="357">
                  <c:v>91.803594271060106</c:v>
                </c:pt>
                <c:pt idx="358">
                  <c:v>92.464415943386498</c:v>
                </c:pt>
                <c:pt idx="359">
                  <c:v>93.152592481728121</c:v>
                </c:pt>
                <c:pt idx="360">
                  <c:v>93.869108646164861</c:v>
                </c:pt>
                <c:pt idx="361">
                  <c:v>94.614974367357192</c:v>
                </c:pt>
                <c:pt idx="362">
                  <c:v>95.391225343968785</c:v>
                </c:pt>
                <c:pt idx="363">
                  <c:v>96.19892367605641</c:v>
                </c:pt>
                <c:pt idx="364">
                  <c:v>97.039158523299378</c:v>
                </c:pt>
                <c:pt idx="365">
                  <c:v>97.913046776637259</c:v>
                </c:pt>
                <c:pt idx="366">
                  <c:v>98.821733732689083</c:v>
                </c:pt>
                <c:pt idx="367">
                  <c:v>99.766393762004839</c:v>
                </c:pt>
                <c:pt idx="368">
                  <c:v>100.7482309645854</c:v>
                </c:pt>
                <c:pt idx="369">
                  <c:v>101.7684798088747</c:v>
                </c:pt>
                <c:pt idx="370">
                  <c:v>102.8284057531974</c:v>
                </c:pt>
                <c:pt idx="371">
                  <c:v>103.9293058512411</c:v>
                </c:pt>
                <c:pt idx="372">
                  <c:v>105.0725093451544</c:v>
                </c:pt>
                <c:pt idx="373">
                  <c:v>106.2593782511979</c:v>
                </c:pt>
                <c:pt idx="374">
                  <c:v>107.49130794329059</c:v>
                </c:pt>
                <c:pt idx="375">
                  <c:v>108.76972773929791</c:v>
                </c:pt>
                <c:pt idx="376">
                  <c:v>110.0961014935252</c:v>
                </c:pt>
                <c:pt idx="377">
                  <c:v>111.47192819674039</c:v>
                </c:pt>
                <c:pt idx="378">
                  <c:v>112.8987425822821</c:v>
                </c:pt>
                <c:pt idx="379">
                  <c:v>114.3781157337046</c:v>
                </c:pt>
                <c:pt idx="380">
                  <c:v>115.9116556862849</c:v>
                </c:pt>
                <c:pt idx="381">
                  <c:v>117.501008011647</c:v>
                </c:pt>
                <c:pt idx="382">
                  <c:v>119.1478563722887</c:v>
                </c:pt>
                <c:pt idx="383">
                  <c:v>120.8539230308902</c:v>
                </c:pt>
                <c:pt idx="384">
                  <c:v>122.5131942504963</c:v>
                </c:pt>
                <c:pt idx="385">
                  <c:v>120.4902174889631</c:v>
                </c:pt>
                <c:pt idx="386">
                  <c:v>118.3085109673283</c:v>
                </c:pt>
                <c:pt idx="387">
                  <c:v>116.34873995699419</c:v>
                </c:pt>
                <c:pt idx="388">
                  <c:v>114.58782373366471</c:v>
                </c:pt>
                <c:pt idx="389">
                  <c:v>113.0051535691174</c:v>
                </c:pt>
                <c:pt idx="390">
                  <c:v>111.58231892516569</c:v>
                </c:pt>
                <c:pt idx="391">
                  <c:v>110.30286508436519</c:v>
                </c:pt>
                <c:pt idx="392">
                  <c:v>109.1520783786777</c:v>
                </c:pt>
                <c:pt idx="393">
                  <c:v>108.11679574245331</c:v>
                </c:pt>
                <c:pt idx="394">
                  <c:v>107.1852357574567</c:v>
                </c:pt>
                <c:pt idx="395">
                  <c:v>106.34684871303109</c:v>
                </c:pt>
                <c:pt idx="396">
                  <c:v>105.5921835000576</c:v>
                </c:pt>
                <c:pt idx="397">
                  <c:v>104.91276940991</c:v>
                </c:pt>
                <c:pt idx="398">
                  <c:v>104.3010111298107</c:v>
                </c:pt>
                <c:pt idx="399">
                  <c:v>103.750095420449</c:v>
                </c:pt>
                <c:pt idx="400">
                  <c:v>103.2539081346398</c:v>
                </c:pt>
                <c:pt idx="401">
                  <c:v>102.8069603900131</c:v>
                </c:pt>
                <c:pt idx="402">
                  <c:v>102.4043228461625</c:v>
                </c:pt>
                <c:pt idx="403">
                  <c:v>102.0415671590949</c:v>
                </c:pt>
                <c:pt idx="404">
                  <c:v>101.7147137944612</c:v>
                </c:pt>
                <c:pt idx="405">
                  <c:v>101.42018547741181</c:v>
                </c:pt>
                <c:pt idx="406">
                  <c:v>101.195399595952</c:v>
                </c:pt>
              </c:numCache>
            </c:numRef>
          </c:yVal>
          <c:smooth val="0"/>
          <c:extLst>
            <c:ext xmlns:c16="http://schemas.microsoft.com/office/drawing/2014/chart" uri="{C3380CC4-5D6E-409C-BE32-E72D297353CC}">
              <c16:uniqueId val="{00000002-5537-43AD-8F00-A9673F9ABC27}"/>
            </c:ext>
          </c:extLst>
        </c:ser>
        <c:ser>
          <c:idx val="3"/>
          <c:order val="3"/>
          <c:tx>
            <c:v>flach, 100.000 Nm³/h</c:v>
          </c:tx>
          <c:spPr>
            <a:ln w="25400">
              <a:solidFill>
                <a:srgbClr val="EE7203"/>
              </a:solidFill>
              <a:prstDash val="solid"/>
            </a:ln>
          </c:spPr>
          <c:marker>
            <c:symbol val="none"/>
          </c:marker>
          <c:xVal>
            <c:numRef>
              <c:f>Diagrammdaten!$AK$5:$AK$224</c:f>
              <c:numCache>
                <c:formatCode>0.0</c:formatCode>
                <c:ptCount val="220"/>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82.000000000000824</c:v>
                </c:pt>
                <c:pt idx="83">
                  <c:v>83.000000000000625</c:v>
                </c:pt>
                <c:pt idx="84">
                  <c:v>84.000000000000426</c:v>
                </c:pt>
                <c:pt idx="85">
                  <c:v>85.000000000000227</c:v>
                </c:pt>
                <c:pt idx="86">
                  <c:v>86.000000000000028</c:v>
                </c:pt>
                <c:pt idx="87">
                  <c:v>86.999999999999829</c:v>
                </c:pt>
                <c:pt idx="88">
                  <c:v>87.999999999999631</c:v>
                </c:pt>
                <c:pt idx="89">
                  <c:v>88.999999999999432</c:v>
                </c:pt>
                <c:pt idx="90">
                  <c:v>89.999999999999233</c:v>
                </c:pt>
                <c:pt idx="91">
                  <c:v>90.999999999999034</c:v>
                </c:pt>
                <c:pt idx="92">
                  <c:v>91.999999999998835</c:v>
                </c:pt>
                <c:pt idx="93">
                  <c:v>92.999999999998636</c:v>
                </c:pt>
                <c:pt idx="94">
                  <c:v>93.819999999998473</c:v>
                </c:pt>
                <c:pt idx="95">
                  <c:v>94.779999999998282</c:v>
                </c:pt>
                <c:pt idx="96">
                  <c:v>95.779999999998083</c:v>
                </c:pt>
                <c:pt idx="97">
                  <c:v>96.779999999997884</c:v>
                </c:pt>
                <c:pt idx="98">
                  <c:v>97.779999999997685</c:v>
                </c:pt>
                <c:pt idx="99">
                  <c:v>98.779999999997486</c:v>
                </c:pt>
                <c:pt idx="100">
                  <c:v>99.779999999997287</c:v>
                </c:pt>
                <c:pt idx="101">
                  <c:v>100.7799999999971</c:v>
                </c:pt>
                <c:pt idx="102">
                  <c:v>101.7799999999969</c:v>
                </c:pt>
                <c:pt idx="103">
                  <c:v>102.7799999999967</c:v>
                </c:pt>
                <c:pt idx="104">
                  <c:v>103.77999999999651</c:v>
                </c:pt>
                <c:pt idx="105">
                  <c:v>104.77999999999631</c:v>
                </c:pt>
                <c:pt idx="106">
                  <c:v>105.77999999999609</c:v>
                </c:pt>
                <c:pt idx="107">
                  <c:v>106.77999999999589</c:v>
                </c:pt>
                <c:pt idx="108">
                  <c:v>107.7799999999957</c:v>
                </c:pt>
                <c:pt idx="109">
                  <c:v>108.7799999999955</c:v>
                </c:pt>
                <c:pt idx="110">
                  <c:v>109.7799999999953</c:v>
                </c:pt>
                <c:pt idx="111">
                  <c:v>110.7799999999951</c:v>
                </c:pt>
                <c:pt idx="112">
                  <c:v>111.7799999999949</c:v>
                </c:pt>
                <c:pt idx="113">
                  <c:v>112.7799999999947</c:v>
                </c:pt>
                <c:pt idx="114">
                  <c:v>113.7799999999945</c:v>
                </c:pt>
                <c:pt idx="115">
                  <c:v>114.7799999999943</c:v>
                </c:pt>
                <c:pt idx="116">
                  <c:v>115.5599999999941</c:v>
                </c:pt>
                <c:pt idx="117">
                  <c:v>116.55999999999391</c:v>
                </c:pt>
                <c:pt idx="118">
                  <c:v>117.55999999999371</c:v>
                </c:pt>
                <c:pt idx="119">
                  <c:v>118.55999999999359</c:v>
                </c:pt>
                <c:pt idx="120">
                  <c:v>119.55999999999339</c:v>
                </c:pt>
                <c:pt idx="121">
                  <c:v>120.5599999999932</c:v>
                </c:pt>
                <c:pt idx="122">
                  <c:v>121.559999999993</c:v>
                </c:pt>
                <c:pt idx="123">
                  <c:v>122.5599999999928</c:v>
                </c:pt>
                <c:pt idx="124">
                  <c:v>123.5599999999926</c:v>
                </c:pt>
                <c:pt idx="125">
                  <c:v>124.5599999999924</c:v>
                </c:pt>
                <c:pt idx="126">
                  <c:v>125.5599999999922</c:v>
                </c:pt>
                <c:pt idx="127">
                  <c:v>126.559999999992</c:v>
                </c:pt>
                <c:pt idx="128">
                  <c:v>127.5599999999918</c:v>
                </c:pt>
                <c:pt idx="129">
                  <c:v>128.55999999999199</c:v>
                </c:pt>
                <c:pt idx="130">
                  <c:v>129.5599999999925</c:v>
                </c:pt>
                <c:pt idx="131">
                  <c:v>130.55999999999301</c:v>
                </c:pt>
                <c:pt idx="132">
                  <c:v>131.55999999999349</c:v>
                </c:pt>
                <c:pt idx="133">
                  <c:v>132.55999999999401</c:v>
                </c:pt>
                <c:pt idx="134">
                  <c:v>133.55999999999449</c:v>
                </c:pt>
                <c:pt idx="135">
                  <c:v>134.559999999995</c:v>
                </c:pt>
                <c:pt idx="136">
                  <c:v>135.55999999999551</c:v>
                </c:pt>
                <c:pt idx="137">
                  <c:v>136.55999999999611</c:v>
                </c:pt>
                <c:pt idx="138">
                  <c:v>137.55999999999659</c:v>
                </c:pt>
                <c:pt idx="139">
                  <c:v>138.5599999999971</c:v>
                </c:pt>
                <c:pt idx="140">
                  <c:v>139.55999999999759</c:v>
                </c:pt>
                <c:pt idx="141">
                  <c:v>140.5599999999981</c:v>
                </c:pt>
                <c:pt idx="142">
                  <c:v>141.55999999999861</c:v>
                </c:pt>
                <c:pt idx="143">
                  <c:v>142.55999999999909</c:v>
                </c:pt>
                <c:pt idx="144">
                  <c:v>143.5599999999996</c:v>
                </c:pt>
                <c:pt idx="145">
                  <c:v>144.56000000000009</c:v>
                </c:pt>
                <c:pt idx="146">
                  <c:v>145.56000000000071</c:v>
                </c:pt>
                <c:pt idx="147">
                  <c:v>146.5600000000012</c:v>
                </c:pt>
                <c:pt idx="148">
                  <c:v>147.56000000000171</c:v>
                </c:pt>
                <c:pt idx="149">
                  <c:v>148.56000000000219</c:v>
                </c:pt>
                <c:pt idx="150">
                  <c:v>149.5600000000027</c:v>
                </c:pt>
                <c:pt idx="151">
                  <c:v>150.56000000000321</c:v>
                </c:pt>
                <c:pt idx="152">
                  <c:v>151.5600000000037</c:v>
                </c:pt>
                <c:pt idx="153">
                  <c:v>152.56000000000421</c:v>
                </c:pt>
                <c:pt idx="154">
                  <c:v>153.56000000000469</c:v>
                </c:pt>
                <c:pt idx="155">
                  <c:v>154.56000000000529</c:v>
                </c:pt>
                <c:pt idx="156">
                  <c:v>155.5600000000058</c:v>
                </c:pt>
                <c:pt idx="157">
                  <c:v>156.56000000000631</c:v>
                </c:pt>
                <c:pt idx="158">
                  <c:v>157.5600000000068</c:v>
                </c:pt>
                <c:pt idx="159">
                  <c:v>158.56000000000731</c:v>
                </c:pt>
                <c:pt idx="160">
                  <c:v>159.56000000000779</c:v>
                </c:pt>
                <c:pt idx="161">
                  <c:v>160.5600000000083</c:v>
                </c:pt>
                <c:pt idx="162">
                  <c:v>161.56000000000881</c:v>
                </c:pt>
                <c:pt idx="163">
                  <c:v>162.56000000000941</c:v>
                </c:pt>
                <c:pt idx="164">
                  <c:v>163.56000000000989</c:v>
                </c:pt>
                <c:pt idx="165">
                  <c:v>164.5600000000104</c:v>
                </c:pt>
                <c:pt idx="166">
                  <c:v>165.56000000001089</c:v>
                </c:pt>
                <c:pt idx="167">
                  <c:v>166.5600000000114</c:v>
                </c:pt>
                <c:pt idx="168">
                  <c:v>167.56000000001191</c:v>
                </c:pt>
                <c:pt idx="169">
                  <c:v>168.56000000001239</c:v>
                </c:pt>
                <c:pt idx="170">
                  <c:v>169.56000000001291</c:v>
                </c:pt>
                <c:pt idx="171">
                  <c:v>170.56000000001339</c:v>
                </c:pt>
                <c:pt idx="172">
                  <c:v>171.56000000001401</c:v>
                </c:pt>
                <c:pt idx="173">
                  <c:v>172.5600000000145</c:v>
                </c:pt>
                <c:pt idx="174">
                  <c:v>173.56000000001501</c:v>
                </c:pt>
                <c:pt idx="175">
                  <c:v>174.56000000001549</c:v>
                </c:pt>
                <c:pt idx="176">
                  <c:v>175.560000000016</c:v>
                </c:pt>
                <c:pt idx="177">
                  <c:v>176.56000000001649</c:v>
                </c:pt>
                <c:pt idx="178">
                  <c:v>177.560000000017</c:v>
                </c:pt>
                <c:pt idx="179">
                  <c:v>178.56000000001751</c:v>
                </c:pt>
                <c:pt idx="180">
                  <c:v>179.56000000001811</c:v>
                </c:pt>
                <c:pt idx="181">
                  <c:v>180.56000000001859</c:v>
                </c:pt>
                <c:pt idx="182">
                  <c:v>181.5600000000191</c:v>
                </c:pt>
                <c:pt idx="183">
                  <c:v>182.56000000001961</c:v>
                </c:pt>
                <c:pt idx="184">
                  <c:v>183.5600000000201</c:v>
                </c:pt>
                <c:pt idx="185">
                  <c:v>184.56000000002061</c:v>
                </c:pt>
                <c:pt idx="186">
                  <c:v>185.56000000002109</c:v>
                </c:pt>
                <c:pt idx="187">
                  <c:v>186.5600000000216</c:v>
                </c:pt>
                <c:pt idx="188">
                  <c:v>187.56000000002209</c:v>
                </c:pt>
                <c:pt idx="189">
                  <c:v>188.56000000002271</c:v>
                </c:pt>
                <c:pt idx="190">
                  <c:v>189.56000000002319</c:v>
                </c:pt>
                <c:pt idx="191">
                  <c:v>190.56000000002371</c:v>
                </c:pt>
                <c:pt idx="192">
                  <c:v>191.56000000002419</c:v>
                </c:pt>
                <c:pt idx="193">
                  <c:v>192.5600000000247</c:v>
                </c:pt>
                <c:pt idx="194">
                  <c:v>193.56000000002521</c:v>
                </c:pt>
                <c:pt idx="195">
                  <c:v>194.5600000000257</c:v>
                </c:pt>
                <c:pt idx="196">
                  <c:v>195.56000000002621</c:v>
                </c:pt>
                <c:pt idx="197">
                  <c:v>196.56000000002669</c:v>
                </c:pt>
                <c:pt idx="198">
                  <c:v>197.36000000002721</c:v>
                </c:pt>
                <c:pt idx="199">
                  <c:v>198.34000000002769</c:v>
                </c:pt>
                <c:pt idx="200">
                  <c:v>199.3400000000282</c:v>
                </c:pt>
                <c:pt idx="201">
                  <c:v>200.34000000002871</c:v>
                </c:pt>
                <c:pt idx="202">
                  <c:v>201.34000000002919</c:v>
                </c:pt>
                <c:pt idx="203">
                  <c:v>202.3400000000297</c:v>
                </c:pt>
                <c:pt idx="204">
                  <c:v>203.34000000003019</c:v>
                </c:pt>
                <c:pt idx="205">
                  <c:v>204.3400000000307</c:v>
                </c:pt>
                <c:pt idx="206">
                  <c:v>205.34000000003121</c:v>
                </c:pt>
                <c:pt idx="207">
                  <c:v>206.34000000003181</c:v>
                </c:pt>
                <c:pt idx="208">
                  <c:v>207.34000000003229</c:v>
                </c:pt>
                <c:pt idx="209">
                  <c:v>208.3400000000328</c:v>
                </c:pt>
                <c:pt idx="210">
                  <c:v>209.34000000003331</c:v>
                </c:pt>
                <c:pt idx="211">
                  <c:v>210.3400000000338</c:v>
                </c:pt>
                <c:pt idx="212">
                  <c:v>211.34000000003431</c:v>
                </c:pt>
                <c:pt idx="213">
                  <c:v>212.34000000003479</c:v>
                </c:pt>
                <c:pt idx="214">
                  <c:v>213.3400000000353</c:v>
                </c:pt>
                <c:pt idx="215">
                  <c:v>214.34000000003579</c:v>
                </c:pt>
                <c:pt idx="216">
                  <c:v>215.34000000003641</c:v>
                </c:pt>
                <c:pt idx="217">
                  <c:v>216.34000000003689</c:v>
                </c:pt>
                <c:pt idx="218">
                  <c:v>217.34000000003741</c:v>
                </c:pt>
                <c:pt idx="219">
                  <c:v>218.34000000003789</c:v>
                </c:pt>
              </c:numCache>
            </c:numRef>
          </c:xVal>
          <c:yVal>
            <c:numRef>
              <c:f>Diagrammdaten!$AL$5:$AL$224</c:f>
              <c:numCache>
                <c:formatCode>0.0</c:formatCode>
                <c:ptCount val="220"/>
                <c:pt idx="0">
                  <c:v>122.2248197679442</c:v>
                </c:pt>
                <c:pt idx="1">
                  <c:v>112.2739852378311</c:v>
                </c:pt>
                <c:pt idx="2">
                  <c:v>102.3280019057548</c:v>
                </c:pt>
                <c:pt idx="3">
                  <c:v>93.063750032532965</c:v>
                </c:pt>
                <c:pt idx="4">
                  <c:v>85.102492816236776</c:v>
                </c:pt>
                <c:pt idx="5">
                  <c:v>78.295248179212422</c:v>
                </c:pt>
                <c:pt idx="6">
                  <c:v>72.507079951717472</c:v>
                </c:pt>
                <c:pt idx="7">
                  <c:v>67.615527150861638</c:v>
                </c:pt>
                <c:pt idx="8">
                  <c:v>63.509828307097457</c:v>
                </c:pt>
                <c:pt idx="9">
                  <c:v>60.090840974390531</c:v>
                </c:pt>
                <c:pt idx="10">
                  <c:v>57.271416230120053</c:v>
                </c:pt>
                <c:pt idx="11">
                  <c:v>54.976881833898602</c:v>
                </c:pt>
                <c:pt idx="12">
                  <c:v>53.145195096483938</c:v>
                </c:pt>
                <c:pt idx="13">
                  <c:v>52.31799493350875</c:v>
                </c:pt>
                <c:pt idx="14">
                  <c:v>52.697516879507447</c:v>
                </c:pt>
                <c:pt idx="15">
                  <c:v>53.064598128923492</c:v>
                </c:pt>
                <c:pt idx="16">
                  <c:v>53.419511425037797</c:v>
                </c:pt>
                <c:pt idx="17">
                  <c:v>53.762524002144858</c:v>
                </c:pt>
                <c:pt idx="18">
                  <c:v>54.093896998418877</c:v>
                </c:pt>
                <c:pt idx="19">
                  <c:v>54.413884932232428</c:v>
                </c:pt>
                <c:pt idx="20">
                  <c:v>54.722735236497812</c:v>
                </c:pt>
                <c:pt idx="21">
                  <c:v>55.020687844384227</c:v>
                </c:pt>
                <c:pt idx="22">
                  <c:v>55.307974819328912</c:v>
                </c:pt>
                <c:pt idx="23">
                  <c:v>55.584820022444468</c:v>
                </c:pt>
                <c:pt idx="24">
                  <c:v>55.85143881106864</c:v>
                </c:pt>
                <c:pt idx="25">
                  <c:v>56.108037763114957</c:v>
                </c:pt>
                <c:pt idx="26">
                  <c:v>56.354814422935618</c:v>
                </c:pt>
                <c:pt idx="27">
                  <c:v>56.59195706543359</c:v>
                </c:pt>
                <c:pt idx="28">
                  <c:v>56.81964447611746</c:v>
                </c:pt>
                <c:pt idx="29">
                  <c:v>57.038045745532337</c:v>
                </c:pt>
                <c:pt idx="30">
                  <c:v>57.247320077097363</c:v>
                </c:pt>
                <c:pt idx="31">
                  <c:v>57.447616607716469</c:v>
                </c:pt>
                <c:pt idx="32">
                  <c:v>57.639074240694342</c:v>
                </c:pt>
                <c:pt idx="33">
                  <c:v>57.821821490459008</c:v>
                </c:pt>
                <c:pt idx="34">
                  <c:v>57.995976338422487</c:v>
                </c:pt>
                <c:pt idx="35">
                  <c:v>58.161646099016188</c:v>
                </c:pt>
                <c:pt idx="36">
                  <c:v>58.318927294556403</c:v>
                </c:pt>
                <c:pt idx="37">
                  <c:v>58.467905537166963</c:v>
                </c:pt>
                <c:pt idx="38">
                  <c:v>58.608655415511791</c:v>
                </c:pt>
                <c:pt idx="39">
                  <c:v>58.741240383621928</c:v>
                </c:pt>
                <c:pt idx="40">
                  <c:v>58.865712648626641</c:v>
                </c:pt>
                <c:pt idx="41">
                  <c:v>58.982113053752457</c:v>
                </c:pt>
                <c:pt idx="42">
                  <c:v>59.090470952526523</c:v>
                </c:pt>
                <c:pt idx="43">
                  <c:v>59.190804069738981</c:v>
                </c:pt>
                <c:pt idx="44">
                  <c:v>59.283118344350683</c:v>
                </c:pt>
                <c:pt idx="45">
                  <c:v>59.367407749215367</c:v>
                </c:pt>
                <c:pt idx="46">
                  <c:v>59.443654082175527</c:v>
                </c:pt>
                <c:pt idx="47">
                  <c:v>59.511826722811762</c:v>
                </c:pt>
                <c:pt idx="48">
                  <c:v>59.571882348834073</c:v>
                </c:pt>
                <c:pt idx="49">
                  <c:v>59.623764605811687</c:v>
                </c:pt>
                <c:pt idx="50">
                  <c:v>59.667403723614939</c:v>
                </c:pt>
                <c:pt idx="51">
                  <c:v>59.70271607255426</c:v>
                </c:pt>
                <c:pt idx="52">
                  <c:v>59.729603651765309</c:v>
                </c:pt>
                <c:pt idx="53">
                  <c:v>59.747953501834857</c:v>
                </c:pt>
                <c:pt idx="54">
                  <c:v>59.757637032984498</c:v>
                </c:pt>
                <c:pt idx="55">
                  <c:v>59.758509259331838</c:v>
                </c:pt>
                <c:pt idx="56">
                  <c:v>59.750407928737737</c:v>
                </c:pt>
                <c:pt idx="57">
                  <c:v>59.733152536566102</c:v>
                </c:pt>
                <c:pt idx="58">
                  <c:v>59.706543210259461</c:v>
                </c:pt>
                <c:pt idx="59">
                  <c:v>59.67035944994975</c:v>
                </c:pt>
                <c:pt idx="60">
                  <c:v>59.62435870836471</c:v>
                </c:pt>
                <c:pt idx="61">
                  <c:v>59.568274790987061</c:v>
                </c:pt>
                <c:pt idx="62">
                  <c:v>59.501816054767829</c:v>
                </c:pt>
                <c:pt idx="63">
                  <c:v>59.424663380613261</c:v>
                </c:pt>
                <c:pt idx="64">
                  <c:v>59.336467891293928</c:v>
                </c:pt>
                <c:pt idx="65">
                  <c:v>59.236848382289423</c:v>
                </c:pt>
                <c:pt idx="66">
                  <c:v>59.125388428261829</c:v>
                </c:pt>
                <c:pt idx="67">
                  <c:v>59.001633122201532</c:v>
                </c:pt>
                <c:pt idx="68">
                  <c:v>58.865085397648613</c:v>
                </c:pt>
                <c:pt idx="69">
                  <c:v>58.71520187648207</c:v>
                </c:pt>
                <c:pt idx="70">
                  <c:v>58.551388175331347</c:v>
                </c:pt>
                <c:pt idx="71">
                  <c:v>58.372993592262148</c:v>
                </c:pt>
                <c:pt idx="72">
                  <c:v>58.179305081557636</c:v>
                </c:pt>
                <c:pt idx="73">
                  <c:v>57.969540407474071</c:v>
                </c:pt>
                <c:pt idx="74">
                  <c:v>57.742840347002343</c:v>
                </c:pt>
                <c:pt idx="75">
                  <c:v>57.498259785802873</c:v>
                </c:pt>
                <c:pt idx="76">
                  <c:v>57.234757519237696</c:v>
                </c:pt>
                <c:pt idx="77">
                  <c:v>56.951184529938423</c:v>
                </c:pt>
                <c:pt idx="78">
                  <c:v>57.150598310007773</c:v>
                </c:pt>
                <c:pt idx="79">
                  <c:v>57.372973553988203</c:v>
                </c:pt>
                <c:pt idx="80">
                  <c:v>57.331992594803417</c:v>
                </c:pt>
                <c:pt idx="81">
                  <c:v>57.061641878948322</c:v>
                </c:pt>
                <c:pt idx="82">
                  <c:v>56.592895215294263</c:v>
                </c:pt>
                <c:pt idx="83">
                  <c:v>55.951543005706398</c:v>
                </c:pt>
                <c:pt idx="84">
                  <c:v>55.15773589543948</c:v>
                </c:pt>
                <c:pt idx="85">
                  <c:v>54.226335512996208</c:v>
                </c:pt>
                <c:pt idx="86">
                  <c:v>53.167627976555927</c:v>
                </c:pt>
                <c:pt idx="87">
                  <c:v>51.988157073835403</c:v>
                </c:pt>
                <c:pt idx="88">
                  <c:v>50.691541103211257</c:v>
                </c:pt>
                <c:pt idx="89">
                  <c:v>49.279201668916777</c:v>
                </c:pt>
                <c:pt idx="90">
                  <c:v>47.750972982142883</c:v>
                </c:pt>
                <c:pt idx="91">
                  <c:v>46.105585277358003</c:v>
                </c:pt>
                <c:pt idx="92">
                  <c:v>44.341030860605343</c:v>
                </c:pt>
                <c:pt idx="93">
                  <c:v>42.454829253077399</c:v>
                </c:pt>
                <c:pt idx="94">
                  <c:v>40.815434198243487</c:v>
                </c:pt>
                <c:pt idx="95">
                  <c:v>41.975044394814937</c:v>
                </c:pt>
                <c:pt idx="96">
                  <c:v>42.460875253690283</c:v>
                </c:pt>
                <c:pt idx="97">
                  <c:v>42.651975608629982</c:v>
                </c:pt>
                <c:pt idx="98">
                  <c:v>42.727129679952697</c:v>
                </c:pt>
                <c:pt idx="99">
                  <c:v>42.756683837546738</c:v>
                </c:pt>
                <c:pt idx="100">
                  <c:v>42.768305711095067</c:v>
                </c:pt>
                <c:pt idx="101">
                  <c:v>42.772875862190567</c:v>
                </c:pt>
                <c:pt idx="102">
                  <c:v>42.774673009860983</c:v>
                </c:pt>
                <c:pt idx="103">
                  <c:v>42.775379712153011</c:v>
                </c:pt>
                <c:pt idx="104">
                  <c:v>42.775657612475868</c:v>
                </c:pt>
                <c:pt idx="105">
                  <c:v>42.775766892688218</c:v>
                </c:pt>
                <c:pt idx="106">
                  <c:v>42.77580986552077</c:v>
                </c:pt>
                <c:pt idx="107">
                  <c:v>42.775826763953283</c:v>
                </c:pt>
                <c:pt idx="108">
                  <c:v>42.775833409012527</c:v>
                </c:pt>
                <c:pt idx="109">
                  <c:v>42.775836022084029</c:v>
                </c:pt>
                <c:pt idx="110">
                  <c:v>42.77583704963574</c:v>
                </c:pt>
                <c:pt idx="111">
                  <c:v>42.775837453705478</c:v>
                </c:pt>
                <c:pt idx="112">
                  <c:v>42.775837612599823</c:v>
                </c:pt>
                <c:pt idx="113">
                  <c:v>42.775837675082663</c:v>
                </c:pt>
                <c:pt idx="114">
                  <c:v>42.775837699653167</c:v>
                </c:pt>
                <c:pt idx="115">
                  <c:v>42.775837709315162</c:v>
                </c:pt>
                <c:pt idx="116">
                  <c:v>43.002917501336192</c:v>
                </c:pt>
                <c:pt idx="117">
                  <c:v>46.186936047488082</c:v>
                </c:pt>
                <c:pt idx="118">
                  <c:v>48.740811412805371</c:v>
                </c:pt>
                <c:pt idx="119">
                  <c:v>50.999966054497058</c:v>
                </c:pt>
                <c:pt idx="120">
                  <c:v>53.081957241868693</c:v>
                </c:pt>
                <c:pt idx="121">
                  <c:v>55.031681418147159</c:v>
                </c:pt>
                <c:pt idx="122">
                  <c:v>56.867812043130151</c:v>
                </c:pt>
                <c:pt idx="123">
                  <c:v>58.598736350723819</c:v>
                </c:pt>
                <c:pt idx="124">
                  <c:v>60.228301894737719</c:v>
                </c:pt>
                <c:pt idx="125">
                  <c:v>61.757873010196278</c:v>
                </c:pt>
                <c:pt idx="126">
                  <c:v>63.186865724826838</c:v>
                </c:pt>
                <c:pt idx="127">
                  <c:v>64.512400706391531</c:v>
                </c:pt>
                <c:pt idx="128">
                  <c:v>65.72790812480433</c:v>
                </c:pt>
                <c:pt idx="129">
                  <c:v>66.81917907076847</c:v>
                </c:pt>
                <c:pt idx="130">
                  <c:v>67.749143734239624</c:v>
                </c:pt>
                <c:pt idx="131">
                  <c:v>67.935724356954566</c:v>
                </c:pt>
                <c:pt idx="132">
                  <c:v>67.813114601680894</c:v>
                </c:pt>
                <c:pt idx="133">
                  <c:v>67.882694806668027</c:v>
                </c:pt>
                <c:pt idx="134">
                  <c:v>68.133527927736864</c:v>
                </c:pt>
                <c:pt idx="135">
                  <c:v>68.488400394724607</c:v>
                </c:pt>
                <c:pt idx="136">
                  <c:v>68.904557488399917</c:v>
                </c:pt>
                <c:pt idx="137">
                  <c:v>69.355196129791892</c:v>
                </c:pt>
                <c:pt idx="138">
                  <c:v>69.822917242701706</c:v>
                </c:pt>
                <c:pt idx="139">
                  <c:v>70.296313641296365</c:v>
                </c:pt>
                <c:pt idx="140">
                  <c:v>70.767931473123909</c:v>
                </c:pt>
                <c:pt idx="141">
                  <c:v>71.232982465959751</c:v>
                </c:pt>
                <c:pt idx="142">
                  <c:v>71.688504621756138</c:v>
                </c:pt>
                <c:pt idx="143">
                  <c:v>72.132802519639498</c:v>
                </c:pt>
                <c:pt idx="144">
                  <c:v>72.565066370212023</c:v>
                </c:pt>
                <c:pt idx="145">
                  <c:v>72.985107132690317</c:v>
                </c:pt>
                <c:pt idx="146">
                  <c:v>73.393167738897716</c:v>
                </c:pt>
                <c:pt idx="147">
                  <c:v>73.789784768757684</c:v>
                </c:pt>
                <c:pt idx="148">
                  <c:v>74.175684593458158</c:v>
                </c:pt>
                <c:pt idx="149">
                  <c:v>74.551705124820103</c:v>
                </c:pt>
                <c:pt idx="150">
                  <c:v>74.918739729213797</c:v>
                </c:pt>
                <c:pt idx="151">
                  <c:v>75.277703373007142</c:v>
                </c:pt>
                <c:pt idx="152">
                  <c:v>75.629521823623378</c:v>
                </c:pt>
                <c:pt idx="153">
                  <c:v>75.975142320539788</c:v>
                </c:pt>
                <c:pt idx="154">
                  <c:v>76.315559786306835</c:v>
                </c:pt>
                <c:pt idx="155">
                  <c:v>76.651849188769717</c:v>
                </c:pt>
                <c:pt idx="156">
                  <c:v>76.985194502937432</c:v>
                </c:pt>
                <c:pt idx="157">
                  <c:v>77.31690780990057</c:v>
                </c:pt>
                <c:pt idx="158">
                  <c:v>77.648436260436966</c:v>
                </c:pt>
                <c:pt idx="159">
                  <c:v>77.98135784803813</c:v>
                </c:pt>
                <c:pt idx="160">
                  <c:v>78.317368571042536</c:v>
                </c:pt>
                <c:pt idx="161">
                  <c:v>78.658264094923283</c:v>
                </c:pt>
                <c:pt idx="162">
                  <c:v>79.005919039499645</c:v>
                </c:pt>
                <c:pt idx="163">
                  <c:v>79.362266705716621</c:v>
                </c:pt>
                <c:pt idx="164">
                  <c:v>79.729281204596063</c:v>
                </c:pt>
                <c:pt idx="165">
                  <c:v>80.108961695826267</c:v>
                </c:pt>
                <c:pt idx="166">
                  <c:v>80.503309955478443</c:v>
                </c:pt>
                <c:pt idx="167">
                  <c:v>80.914107474281778</c:v>
                </c:pt>
                <c:pt idx="168">
                  <c:v>81.342605101239272</c:v>
                </c:pt>
                <c:pt idx="169">
                  <c:v>81.790897714369365</c:v>
                </c:pt>
                <c:pt idx="170">
                  <c:v>82.261491805080624</c:v>
                </c:pt>
                <c:pt idx="171">
                  <c:v>82.757179846081797</c:v>
                </c:pt>
                <c:pt idx="172">
                  <c:v>83.281036208620719</c:v>
                </c:pt>
                <c:pt idx="173">
                  <c:v>83.836415357333053</c:v>
                </c:pt>
                <c:pt idx="174">
                  <c:v>84.426945597811482</c:v>
                </c:pt>
                <c:pt idx="175">
                  <c:v>85.056518131115254</c:v>
                </c:pt>
                <c:pt idx="176">
                  <c:v>85.72927331942256</c:v>
                </c:pt>
                <c:pt idx="177">
                  <c:v>86.449587028595261</c:v>
                </c:pt>
                <c:pt idx="178">
                  <c:v>87.222060148539654</c:v>
                </c:pt>
                <c:pt idx="179">
                  <c:v>88.051513996765337</c:v>
                </c:pt>
                <c:pt idx="180">
                  <c:v>88.942993360419408</c:v>
                </c:pt>
                <c:pt idx="181">
                  <c:v>89.901777580293356</c:v>
                </c:pt>
                <c:pt idx="182">
                  <c:v>90.933398588887243</c:v>
                </c:pt>
                <c:pt idx="183">
                  <c:v>92.043663559903464</c:v>
                </c:pt>
                <c:pt idx="184">
                  <c:v>93.238679184657471</c:v>
                </c:pt>
                <c:pt idx="185">
                  <c:v>94.524874808092278</c:v>
                </c:pt>
                <c:pt idx="186">
                  <c:v>95.909022677388691</c:v>
                </c:pt>
                <c:pt idx="187">
                  <c:v>97.398255019666323</c:v>
                </c:pt>
                <c:pt idx="188">
                  <c:v>99.000079029044628</c:v>
                </c:pt>
                <c:pt idx="189">
                  <c:v>100.7223916436522</c:v>
                </c:pt>
                <c:pt idx="190">
                  <c:v>102.57349600768531</c:v>
                </c:pt>
                <c:pt idx="191">
                  <c:v>104.5621208410106</c:v>
                </c:pt>
                <c:pt idx="192">
                  <c:v>106.6974429009031</c:v>
                </c:pt>
                <c:pt idx="193">
                  <c:v>108.9891117139245</c:v>
                </c:pt>
                <c:pt idx="194">
                  <c:v>111.4472751009682</c:v>
                </c:pt>
                <c:pt idx="195">
                  <c:v>114.08260386321891</c:v>
                </c:pt>
                <c:pt idx="196">
                  <c:v>116.9063142968588</c:v>
                </c:pt>
                <c:pt idx="197">
                  <c:v>119.9301877673167</c:v>
                </c:pt>
                <c:pt idx="198">
                  <c:v>122.5016918845557</c:v>
                </c:pt>
                <c:pt idx="199">
                  <c:v>119.1114381207999</c:v>
                </c:pt>
                <c:pt idx="200">
                  <c:v>116.01922753919671</c:v>
                </c:pt>
                <c:pt idx="201">
                  <c:v>113.25732642964719</c:v>
                </c:pt>
                <c:pt idx="202">
                  <c:v>110.7894519330428</c:v>
                </c:pt>
                <c:pt idx="203">
                  <c:v>108.58341594063261</c:v>
                </c:pt>
                <c:pt idx="204">
                  <c:v>106.6106490549426</c:v>
                </c:pt>
                <c:pt idx="205">
                  <c:v>104.8457855866459</c:v>
                </c:pt>
                <c:pt idx="206">
                  <c:v>103.266298530528</c:v>
                </c:pt>
                <c:pt idx="207">
                  <c:v>101.8521767353344</c:v>
                </c:pt>
                <c:pt idx="208">
                  <c:v>100.5856386098406</c:v>
                </c:pt>
                <c:pt idx="209">
                  <c:v>99.450878026493484</c:v>
                </c:pt>
                <c:pt idx="210">
                  <c:v>98.43383888511724</c:v>
                </c:pt>
                <c:pt idx="211">
                  <c:v>97.522015296036869</c:v>
                </c:pt>
                <c:pt idx="212">
                  <c:v>96.704274674154064</c:v>
                </c:pt>
                <c:pt idx="213">
                  <c:v>95.970701286201674</c:v>
                </c:pt>
                <c:pt idx="214">
                  <c:v>95.312458007192348</c:v>
                </c:pt>
                <c:pt idx="215">
                  <c:v>94.721664239969101</c:v>
                </c:pt>
                <c:pt idx="216">
                  <c:v>94.191288141664842</c:v>
                </c:pt>
                <c:pt idx="217">
                  <c:v>93.715051483835808</c:v>
                </c:pt>
                <c:pt idx="218">
                  <c:v>93.287345647839828</c:v>
                </c:pt>
                <c:pt idx="219">
                  <c:v>92.903157421396244</c:v>
                </c:pt>
              </c:numCache>
            </c:numRef>
          </c:yVal>
          <c:smooth val="0"/>
          <c:extLst>
            <c:ext xmlns:c16="http://schemas.microsoft.com/office/drawing/2014/chart" uri="{C3380CC4-5D6E-409C-BE32-E72D297353CC}">
              <c16:uniqueId val="{00000003-5537-43AD-8F00-A9673F9ABC27}"/>
            </c:ext>
          </c:extLst>
        </c:ser>
        <c:dLbls>
          <c:showLegendKey val="0"/>
          <c:showVal val="0"/>
          <c:showCatName val="0"/>
          <c:showSerName val="0"/>
          <c:showPercent val="0"/>
          <c:showBubbleSize val="0"/>
        </c:dLbls>
        <c:axId val="10"/>
        <c:axId val="20"/>
      </c:scatterChart>
      <c:valAx>
        <c:axId val="10"/>
        <c:scaling>
          <c:orientation val="minMax"/>
          <c:max val="400"/>
          <c:min val="0"/>
        </c:scaling>
        <c:delete val="0"/>
        <c:axPos val="b"/>
        <c:majorGridlines>
          <c:spPr>
            <a:ln>
              <a:solidFill>
                <a:srgbClr val="E0E0E0"/>
              </a:solidFill>
              <a:prstDash val="solid"/>
            </a:ln>
          </c:spPr>
        </c:majorGridlines>
        <c:title>
          <c:tx>
            <c:rich>
              <a:bodyPr/>
              <a:lstStyle/>
              <a:p>
                <a:pPr>
                  <a:defRPr/>
                </a:pPr>
                <a:r>
                  <a:rPr lang="de-DE"/>
                  <a:t>Zeit [d]</a:t>
                </a:r>
              </a:p>
            </c:rich>
          </c:tx>
          <c:overlay val="0"/>
        </c:title>
        <c:numFmt formatCode="0" sourceLinked="0"/>
        <c:majorTickMark val="none"/>
        <c:minorTickMark val="none"/>
        <c:tickLblPos val="nextTo"/>
        <c:crossAx val="20"/>
        <c:crosses val="min"/>
        <c:crossBetween val="midCat"/>
      </c:valAx>
      <c:valAx>
        <c:axId val="20"/>
        <c:scaling>
          <c:orientation val="minMax"/>
          <c:max val="230"/>
          <c:min val="0"/>
        </c:scaling>
        <c:delete val="0"/>
        <c:axPos val="l"/>
        <c:majorGridlines>
          <c:spPr>
            <a:ln>
              <a:solidFill>
                <a:srgbClr val="E0E0E0"/>
              </a:solidFill>
              <a:prstDash val="solid"/>
            </a:ln>
          </c:spPr>
        </c:majorGridlines>
        <c:title>
          <c:tx>
            <c:rich>
              <a:bodyPr/>
              <a:lstStyle/>
              <a:p>
                <a:pPr>
                  <a:defRPr/>
                </a:pPr>
                <a:r>
                  <a:rPr lang="de-DE"/>
                  <a:t>Druck [bar]</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Temperatur des Kaverneninhalts</a:t>
            </a:r>
          </a:p>
        </c:rich>
      </c:tx>
      <c:overlay val="0"/>
    </c:title>
    <c:autoTitleDeleted val="0"/>
    <c:plotArea>
      <c:layout/>
      <c:scatterChart>
        <c:scatterStyle val="lineMarker"/>
        <c:varyColors val="1"/>
        <c:ser>
          <c:idx val="0"/>
          <c:order val="0"/>
          <c:tx>
            <c:v>tief, 50.000 Nm³/h</c:v>
          </c:tx>
          <c:spPr>
            <a:ln w="19050">
              <a:solidFill>
                <a:srgbClr val="00304F"/>
              </a:solidFill>
              <a:prstDash val="sysDot"/>
            </a:ln>
          </c:spPr>
          <c:marker>
            <c:symbol val="none"/>
          </c:marker>
          <c:xVal>
            <c:numRef>
              <c:f>Diagrammdaten!$V$5:$V$372</c:f>
              <c:numCache>
                <c:formatCode>0.0</c:formatCode>
                <c:ptCount val="368"/>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82.000000000000824</c:v>
                </c:pt>
                <c:pt idx="83">
                  <c:v>83.000000000000625</c:v>
                </c:pt>
                <c:pt idx="84">
                  <c:v>84.000000000000426</c:v>
                </c:pt>
                <c:pt idx="85">
                  <c:v>85.000000000000227</c:v>
                </c:pt>
                <c:pt idx="86">
                  <c:v>86.000000000000028</c:v>
                </c:pt>
                <c:pt idx="87">
                  <c:v>86.999999999999829</c:v>
                </c:pt>
                <c:pt idx="88">
                  <c:v>87.999999999999631</c:v>
                </c:pt>
                <c:pt idx="89">
                  <c:v>88.999999999999432</c:v>
                </c:pt>
                <c:pt idx="90">
                  <c:v>89.999999999999233</c:v>
                </c:pt>
                <c:pt idx="91">
                  <c:v>90.999999999999034</c:v>
                </c:pt>
                <c:pt idx="92">
                  <c:v>91.999999999998835</c:v>
                </c:pt>
                <c:pt idx="93">
                  <c:v>92.999999999998636</c:v>
                </c:pt>
                <c:pt idx="94">
                  <c:v>93.999999999998437</c:v>
                </c:pt>
                <c:pt idx="95">
                  <c:v>94.999999999998238</c:v>
                </c:pt>
                <c:pt idx="96">
                  <c:v>95.999999999998039</c:v>
                </c:pt>
                <c:pt idx="97">
                  <c:v>96.99999999999784</c:v>
                </c:pt>
                <c:pt idx="98">
                  <c:v>97.999999999997641</c:v>
                </c:pt>
                <c:pt idx="99">
                  <c:v>98.999999999997442</c:v>
                </c:pt>
                <c:pt idx="100">
                  <c:v>99.999999999997243</c:v>
                </c:pt>
                <c:pt idx="101">
                  <c:v>100.999999999997</c:v>
                </c:pt>
                <c:pt idx="102">
                  <c:v>101.9999999999968</c:v>
                </c:pt>
                <c:pt idx="103">
                  <c:v>102.9999999999966</c:v>
                </c:pt>
                <c:pt idx="104">
                  <c:v>103.9999999999964</c:v>
                </c:pt>
                <c:pt idx="105">
                  <c:v>104.99999999999621</c:v>
                </c:pt>
                <c:pt idx="106">
                  <c:v>105.99999999999601</c:v>
                </c:pt>
                <c:pt idx="107">
                  <c:v>106.99999999999589</c:v>
                </c:pt>
                <c:pt idx="108">
                  <c:v>107.99999999999569</c:v>
                </c:pt>
                <c:pt idx="109">
                  <c:v>108.9999999999955</c:v>
                </c:pt>
                <c:pt idx="110">
                  <c:v>109.9999999999953</c:v>
                </c:pt>
                <c:pt idx="111">
                  <c:v>110.9999999999951</c:v>
                </c:pt>
                <c:pt idx="112">
                  <c:v>111.9999999999949</c:v>
                </c:pt>
                <c:pt idx="113">
                  <c:v>112.9999999999947</c:v>
                </c:pt>
                <c:pt idx="114">
                  <c:v>113.9999999999945</c:v>
                </c:pt>
                <c:pt idx="115">
                  <c:v>114.9999999999943</c:v>
                </c:pt>
                <c:pt idx="116">
                  <c:v>115.9999999999941</c:v>
                </c:pt>
                <c:pt idx="117">
                  <c:v>116.9999999999939</c:v>
                </c:pt>
                <c:pt idx="118">
                  <c:v>117.9999999999937</c:v>
                </c:pt>
                <c:pt idx="119">
                  <c:v>118.99999999999351</c:v>
                </c:pt>
                <c:pt idx="120">
                  <c:v>119.99999999999331</c:v>
                </c:pt>
                <c:pt idx="121">
                  <c:v>120.99999999999309</c:v>
                </c:pt>
                <c:pt idx="122">
                  <c:v>121.99999999999289</c:v>
                </c:pt>
                <c:pt idx="123">
                  <c:v>122.9999999999927</c:v>
                </c:pt>
                <c:pt idx="124">
                  <c:v>123.9999999999925</c:v>
                </c:pt>
                <c:pt idx="125">
                  <c:v>124.9999999999923</c:v>
                </c:pt>
                <c:pt idx="126">
                  <c:v>125.9999999999921</c:v>
                </c:pt>
                <c:pt idx="127">
                  <c:v>126.9999999999919</c:v>
                </c:pt>
                <c:pt idx="128">
                  <c:v>127.9999999999917</c:v>
                </c:pt>
                <c:pt idx="129">
                  <c:v>128.99999999999221</c:v>
                </c:pt>
                <c:pt idx="130">
                  <c:v>129.9999999999927</c:v>
                </c:pt>
                <c:pt idx="131">
                  <c:v>130.99999999999321</c:v>
                </c:pt>
                <c:pt idx="132">
                  <c:v>131.99999999999369</c:v>
                </c:pt>
                <c:pt idx="133">
                  <c:v>132.9999999999942</c:v>
                </c:pt>
                <c:pt idx="134">
                  <c:v>133.99999999999471</c:v>
                </c:pt>
                <c:pt idx="135">
                  <c:v>134.99999999999531</c:v>
                </c:pt>
                <c:pt idx="136">
                  <c:v>135.99999999999579</c:v>
                </c:pt>
                <c:pt idx="137">
                  <c:v>136.99999999999631</c:v>
                </c:pt>
                <c:pt idx="138">
                  <c:v>137.99999999999679</c:v>
                </c:pt>
                <c:pt idx="139">
                  <c:v>138.9999999999973</c:v>
                </c:pt>
                <c:pt idx="140">
                  <c:v>139.99999999999781</c:v>
                </c:pt>
                <c:pt idx="141">
                  <c:v>140.99999999999829</c:v>
                </c:pt>
                <c:pt idx="142">
                  <c:v>141.99999999999881</c:v>
                </c:pt>
                <c:pt idx="143">
                  <c:v>142.99999999999929</c:v>
                </c:pt>
                <c:pt idx="144">
                  <c:v>143.99999999999989</c:v>
                </c:pt>
                <c:pt idx="145">
                  <c:v>145.0000000000004</c:v>
                </c:pt>
                <c:pt idx="146">
                  <c:v>146.00000000000091</c:v>
                </c:pt>
                <c:pt idx="147">
                  <c:v>147.00000000000139</c:v>
                </c:pt>
                <c:pt idx="148">
                  <c:v>148.0000000000019</c:v>
                </c:pt>
                <c:pt idx="149">
                  <c:v>149.00000000000239</c:v>
                </c:pt>
                <c:pt idx="150">
                  <c:v>150.0000000000029</c:v>
                </c:pt>
                <c:pt idx="151">
                  <c:v>151.00000000000341</c:v>
                </c:pt>
                <c:pt idx="152">
                  <c:v>152.00000000000401</c:v>
                </c:pt>
                <c:pt idx="153">
                  <c:v>153.00000000000449</c:v>
                </c:pt>
                <c:pt idx="154">
                  <c:v>154.000000000005</c:v>
                </c:pt>
                <c:pt idx="155">
                  <c:v>155.00000000000551</c:v>
                </c:pt>
                <c:pt idx="156">
                  <c:v>156.000000000006</c:v>
                </c:pt>
                <c:pt idx="157">
                  <c:v>157.00000000000651</c:v>
                </c:pt>
                <c:pt idx="158">
                  <c:v>158.00000000000699</c:v>
                </c:pt>
                <c:pt idx="159">
                  <c:v>159.0000000000075</c:v>
                </c:pt>
                <c:pt idx="160">
                  <c:v>160.00000000000799</c:v>
                </c:pt>
                <c:pt idx="161">
                  <c:v>161.00000000000861</c:v>
                </c:pt>
                <c:pt idx="162">
                  <c:v>162.00000000000909</c:v>
                </c:pt>
                <c:pt idx="163">
                  <c:v>163.00000000000961</c:v>
                </c:pt>
                <c:pt idx="164">
                  <c:v>164.00000000001009</c:v>
                </c:pt>
                <c:pt idx="165">
                  <c:v>165.0000000000106</c:v>
                </c:pt>
                <c:pt idx="166">
                  <c:v>165.90000000001109</c:v>
                </c:pt>
                <c:pt idx="167">
                  <c:v>166.78000000001151</c:v>
                </c:pt>
                <c:pt idx="168">
                  <c:v>167.780000000012</c:v>
                </c:pt>
                <c:pt idx="169">
                  <c:v>168.78000000001251</c:v>
                </c:pt>
                <c:pt idx="170">
                  <c:v>169.78000000001299</c:v>
                </c:pt>
                <c:pt idx="171">
                  <c:v>170.78000000001359</c:v>
                </c:pt>
                <c:pt idx="172">
                  <c:v>171.7800000000141</c:v>
                </c:pt>
                <c:pt idx="173">
                  <c:v>172.78000000001461</c:v>
                </c:pt>
                <c:pt idx="174">
                  <c:v>173.78000000001509</c:v>
                </c:pt>
                <c:pt idx="175">
                  <c:v>174.7800000000156</c:v>
                </c:pt>
                <c:pt idx="176">
                  <c:v>175.78000000001609</c:v>
                </c:pt>
                <c:pt idx="177">
                  <c:v>176.7800000000166</c:v>
                </c:pt>
                <c:pt idx="178">
                  <c:v>177.78000000001711</c:v>
                </c:pt>
                <c:pt idx="179">
                  <c:v>178.78000000001771</c:v>
                </c:pt>
                <c:pt idx="180">
                  <c:v>179.78000000001819</c:v>
                </c:pt>
                <c:pt idx="181">
                  <c:v>180.7800000000187</c:v>
                </c:pt>
                <c:pt idx="182">
                  <c:v>181.78000000001919</c:v>
                </c:pt>
                <c:pt idx="183">
                  <c:v>182.7800000000197</c:v>
                </c:pt>
                <c:pt idx="184">
                  <c:v>183.78000000002021</c:v>
                </c:pt>
                <c:pt idx="185">
                  <c:v>184.78000000002069</c:v>
                </c:pt>
                <c:pt idx="186">
                  <c:v>185.7800000000212</c:v>
                </c:pt>
                <c:pt idx="187">
                  <c:v>186.78000000002169</c:v>
                </c:pt>
                <c:pt idx="188">
                  <c:v>187.58000000002221</c:v>
                </c:pt>
                <c:pt idx="189">
                  <c:v>188.56000000002271</c:v>
                </c:pt>
                <c:pt idx="190">
                  <c:v>189.56000000002319</c:v>
                </c:pt>
                <c:pt idx="191">
                  <c:v>190.56000000002371</c:v>
                </c:pt>
                <c:pt idx="192">
                  <c:v>191.56000000002419</c:v>
                </c:pt>
                <c:pt idx="193">
                  <c:v>192.5600000000247</c:v>
                </c:pt>
                <c:pt idx="194">
                  <c:v>193.56000000002521</c:v>
                </c:pt>
                <c:pt idx="195">
                  <c:v>194.5600000000257</c:v>
                </c:pt>
                <c:pt idx="196">
                  <c:v>195.56000000002621</c:v>
                </c:pt>
                <c:pt idx="197">
                  <c:v>196.56000000002669</c:v>
                </c:pt>
                <c:pt idx="198">
                  <c:v>197.56000000002729</c:v>
                </c:pt>
                <c:pt idx="199">
                  <c:v>198.5600000000278</c:v>
                </c:pt>
                <c:pt idx="200">
                  <c:v>199.56000000002831</c:v>
                </c:pt>
                <c:pt idx="201">
                  <c:v>200.56000000002879</c:v>
                </c:pt>
                <c:pt idx="202">
                  <c:v>201.56000000002931</c:v>
                </c:pt>
                <c:pt idx="203">
                  <c:v>202.56000000002979</c:v>
                </c:pt>
                <c:pt idx="204">
                  <c:v>203.5600000000303</c:v>
                </c:pt>
                <c:pt idx="205">
                  <c:v>204.56000000003081</c:v>
                </c:pt>
                <c:pt idx="206">
                  <c:v>205.56000000003141</c:v>
                </c:pt>
                <c:pt idx="207">
                  <c:v>206.56000000003189</c:v>
                </c:pt>
                <c:pt idx="208">
                  <c:v>207.5600000000324</c:v>
                </c:pt>
                <c:pt idx="209">
                  <c:v>208.56000000003289</c:v>
                </c:pt>
                <c:pt idx="210">
                  <c:v>209.5600000000334</c:v>
                </c:pt>
                <c:pt idx="211">
                  <c:v>210.56000000003391</c:v>
                </c:pt>
                <c:pt idx="212">
                  <c:v>211.56000000003439</c:v>
                </c:pt>
                <c:pt idx="213">
                  <c:v>212.5600000000349</c:v>
                </c:pt>
                <c:pt idx="214">
                  <c:v>213.56000000003539</c:v>
                </c:pt>
                <c:pt idx="215">
                  <c:v>214.56000000003601</c:v>
                </c:pt>
                <c:pt idx="216">
                  <c:v>215.5600000000365</c:v>
                </c:pt>
                <c:pt idx="217">
                  <c:v>216.56000000003701</c:v>
                </c:pt>
                <c:pt idx="218">
                  <c:v>217.56000000003749</c:v>
                </c:pt>
                <c:pt idx="219">
                  <c:v>218.560000000038</c:v>
                </c:pt>
                <c:pt idx="220">
                  <c:v>219.56000000003851</c:v>
                </c:pt>
                <c:pt idx="221">
                  <c:v>220.560000000039</c:v>
                </c:pt>
                <c:pt idx="222">
                  <c:v>221.56000000003951</c:v>
                </c:pt>
                <c:pt idx="223">
                  <c:v>222.56000000003999</c:v>
                </c:pt>
                <c:pt idx="224">
                  <c:v>223.56000000004059</c:v>
                </c:pt>
                <c:pt idx="225">
                  <c:v>224.5600000000411</c:v>
                </c:pt>
                <c:pt idx="226">
                  <c:v>225.56000000004161</c:v>
                </c:pt>
                <c:pt idx="227">
                  <c:v>226.56000000004209</c:v>
                </c:pt>
                <c:pt idx="228">
                  <c:v>227.56000000004261</c:v>
                </c:pt>
                <c:pt idx="229">
                  <c:v>228.56000000004309</c:v>
                </c:pt>
                <c:pt idx="230">
                  <c:v>229.5600000000436</c:v>
                </c:pt>
                <c:pt idx="231">
                  <c:v>230.56000000004411</c:v>
                </c:pt>
                <c:pt idx="232">
                  <c:v>231.56000000004471</c:v>
                </c:pt>
                <c:pt idx="233">
                  <c:v>232.56000000004519</c:v>
                </c:pt>
                <c:pt idx="234">
                  <c:v>233.5600000000457</c:v>
                </c:pt>
                <c:pt idx="235">
                  <c:v>234.56000000004619</c:v>
                </c:pt>
                <c:pt idx="236">
                  <c:v>235.5600000000467</c:v>
                </c:pt>
                <c:pt idx="237">
                  <c:v>236.56000000004721</c:v>
                </c:pt>
                <c:pt idx="238">
                  <c:v>237.56000000004769</c:v>
                </c:pt>
                <c:pt idx="239">
                  <c:v>238.56000000004821</c:v>
                </c:pt>
                <c:pt idx="240">
                  <c:v>239.56000000004869</c:v>
                </c:pt>
                <c:pt idx="241">
                  <c:v>240.56000000004931</c:v>
                </c:pt>
                <c:pt idx="242">
                  <c:v>241.5600000000498</c:v>
                </c:pt>
                <c:pt idx="243">
                  <c:v>242.56000000005031</c:v>
                </c:pt>
                <c:pt idx="244">
                  <c:v>243.56000000005079</c:v>
                </c:pt>
                <c:pt idx="245">
                  <c:v>244.5600000000513</c:v>
                </c:pt>
                <c:pt idx="246">
                  <c:v>245.56000000005179</c:v>
                </c:pt>
                <c:pt idx="247">
                  <c:v>246.5600000000523</c:v>
                </c:pt>
                <c:pt idx="248">
                  <c:v>247.56000000005281</c:v>
                </c:pt>
                <c:pt idx="249">
                  <c:v>248.56000000005329</c:v>
                </c:pt>
                <c:pt idx="250">
                  <c:v>249.56000000005389</c:v>
                </c:pt>
                <c:pt idx="251">
                  <c:v>250.5600000000544</c:v>
                </c:pt>
                <c:pt idx="252">
                  <c:v>251.56000000005491</c:v>
                </c:pt>
                <c:pt idx="253">
                  <c:v>252.5600000000554</c:v>
                </c:pt>
                <c:pt idx="254">
                  <c:v>253.56000000005591</c:v>
                </c:pt>
                <c:pt idx="255">
                  <c:v>254.56000000005639</c:v>
                </c:pt>
                <c:pt idx="256">
                  <c:v>255.5600000000569</c:v>
                </c:pt>
                <c:pt idx="257">
                  <c:v>256.56000000005662</c:v>
                </c:pt>
                <c:pt idx="258">
                  <c:v>257.56000000005571</c:v>
                </c:pt>
                <c:pt idx="259">
                  <c:v>258.5600000000548</c:v>
                </c:pt>
                <c:pt idx="260">
                  <c:v>259.56000000005389</c:v>
                </c:pt>
                <c:pt idx="261">
                  <c:v>260.56000000005298</c:v>
                </c:pt>
                <c:pt idx="262">
                  <c:v>261.56000000005213</c:v>
                </c:pt>
                <c:pt idx="263">
                  <c:v>262.56000000005122</c:v>
                </c:pt>
                <c:pt idx="264">
                  <c:v>263.56000000005031</c:v>
                </c:pt>
                <c:pt idx="265">
                  <c:v>264.56000000004929</c:v>
                </c:pt>
                <c:pt idx="266">
                  <c:v>265.56000000004838</c:v>
                </c:pt>
                <c:pt idx="267">
                  <c:v>266.56000000004752</c:v>
                </c:pt>
                <c:pt idx="268">
                  <c:v>267.56000000004661</c:v>
                </c:pt>
                <c:pt idx="269">
                  <c:v>268.5600000000457</c:v>
                </c:pt>
                <c:pt idx="270">
                  <c:v>269.56000000004479</c:v>
                </c:pt>
                <c:pt idx="271">
                  <c:v>270.56000000004389</c:v>
                </c:pt>
                <c:pt idx="272">
                  <c:v>271.56000000004298</c:v>
                </c:pt>
                <c:pt idx="273">
                  <c:v>272.56000000004212</c:v>
                </c:pt>
                <c:pt idx="274">
                  <c:v>273.56000000004121</c:v>
                </c:pt>
                <c:pt idx="275">
                  <c:v>274.56000000004019</c:v>
                </c:pt>
                <c:pt idx="276">
                  <c:v>275.56000000003928</c:v>
                </c:pt>
                <c:pt idx="277">
                  <c:v>276.56000000003837</c:v>
                </c:pt>
                <c:pt idx="278">
                  <c:v>277.56000000003752</c:v>
                </c:pt>
                <c:pt idx="279">
                  <c:v>278.56000000003661</c:v>
                </c:pt>
                <c:pt idx="280">
                  <c:v>279.5600000000357</c:v>
                </c:pt>
                <c:pt idx="281">
                  <c:v>280.56000000003479</c:v>
                </c:pt>
                <c:pt idx="282">
                  <c:v>281.56000000003388</c:v>
                </c:pt>
                <c:pt idx="283">
                  <c:v>282.56000000003303</c:v>
                </c:pt>
                <c:pt idx="284">
                  <c:v>283.56000000003212</c:v>
                </c:pt>
                <c:pt idx="285">
                  <c:v>284.56000000003121</c:v>
                </c:pt>
                <c:pt idx="286">
                  <c:v>285.56000000003019</c:v>
                </c:pt>
                <c:pt idx="287">
                  <c:v>286.56000000002928</c:v>
                </c:pt>
                <c:pt idx="288">
                  <c:v>287.56000000002842</c:v>
                </c:pt>
                <c:pt idx="289">
                  <c:v>288.56000000002751</c:v>
                </c:pt>
                <c:pt idx="290">
                  <c:v>289.5600000000266</c:v>
                </c:pt>
                <c:pt idx="291">
                  <c:v>290.5600000000257</c:v>
                </c:pt>
                <c:pt idx="292">
                  <c:v>291.56000000002479</c:v>
                </c:pt>
                <c:pt idx="293">
                  <c:v>292.56000000002388</c:v>
                </c:pt>
                <c:pt idx="294">
                  <c:v>293.56000000002302</c:v>
                </c:pt>
                <c:pt idx="295">
                  <c:v>294.56000000002211</c:v>
                </c:pt>
                <c:pt idx="296">
                  <c:v>295.56000000002109</c:v>
                </c:pt>
                <c:pt idx="297">
                  <c:v>296.56000000002018</c:v>
                </c:pt>
                <c:pt idx="298">
                  <c:v>297.56000000001927</c:v>
                </c:pt>
                <c:pt idx="299">
                  <c:v>298.56000000001842</c:v>
                </c:pt>
                <c:pt idx="300">
                  <c:v>299.56000000001751</c:v>
                </c:pt>
                <c:pt idx="301">
                  <c:v>300.5600000000166</c:v>
                </c:pt>
                <c:pt idx="302">
                  <c:v>301.56000000001569</c:v>
                </c:pt>
                <c:pt idx="303">
                  <c:v>302.56000000001478</c:v>
                </c:pt>
                <c:pt idx="304">
                  <c:v>303.56000000001387</c:v>
                </c:pt>
                <c:pt idx="305">
                  <c:v>304.56000000001302</c:v>
                </c:pt>
                <c:pt idx="306">
                  <c:v>305.56000000001211</c:v>
                </c:pt>
                <c:pt idx="307">
                  <c:v>306.56000000001109</c:v>
                </c:pt>
                <c:pt idx="308">
                  <c:v>307.56000000001018</c:v>
                </c:pt>
                <c:pt idx="309">
                  <c:v>308.56000000000932</c:v>
                </c:pt>
                <c:pt idx="310">
                  <c:v>309.56000000000842</c:v>
                </c:pt>
                <c:pt idx="311">
                  <c:v>310.56000000000751</c:v>
                </c:pt>
                <c:pt idx="312">
                  <c:v>311.5600000000066</c:v>
                </c:pt>
                <c:pt idx="313">
                  <c:v>312.56000000000569</c:v>
                </c:pt>
                <c:pt idx="314">
                  <c:v>313.56000000000478</c:v>
                </c:pt>
                <c:pt idx="315">
                  <c:v>314.56000000000392</c:v>
                </c:pt>
                <c:pt idx="316">
                  <c:v>315.56000000000301</c:v>
                </c:pt>
                <c:pt idx="317">
                  <c:v>316.56000000000199</c:v>
                </c:pt>
                <c:pt idx="318">
                  <c:v>317.56000000000108</c:v>
                </c:pt>
                <c:pt idx="319">
                  <c:v>318.56000000000017</c:v>
                </c:pt>
                <c:pt idx="320">
                  <c:v>319.55999999999932</c:v>
                </c:pt>
                <c:pt idx="321">
                  <c:v>320.55999999999841</c:v>
                </c:pt>
                <c:pt idx="322">
                  <c:v>321.5599999999975</c:v>
                </c:pt>
                <c:pt idx="323">
                  <c:v>322.55999999999659</c:v>
                </c:pt>
                <c:pt idx="324">
                  <c:v>323.55999999999568</c:v>
                </c:pt>
                <c:pt idx="325">
                  <c:v>324.55999999999477</c:v>
                </c:pt>
                <c:pt idx="326">
                  <c:v>325.55999999999392</c:v>
                </c:pt>
                <c:pt idx="327">
                  <c:v>326.55999999999301</c:v>
                </c:pt>
                <c:pt idx="328">
                  <c:v>327.55999999999199</c:v>
                </c:pt>
                <c:pt idx="329">
                  <c:v>328.55999999999108</c:v>
                </c:pt>
                <c:pt idx="330">
                  <c:v>329.55999999999023</c:v>
                </c:pt>
                <c:pt idx="331">
                  <c:v>330.55999999998932</c:v>
                </c:pt>
                <c:pt idx="332">
                  <c:v>331.55999999998841</c:v>
                </c:pt>
                <c:pt idx="333">
                  <c:v>332.5599999999875</c:v>
                </c:pt>
                <c:pt idx="334">
                  <c:v>333.55999999998659</c:v>
                </c:pt>
                <c:pt idx="335">
                  <c:v>334.55999999998568</c:v>
                </c:pt>
                <c:pt idx="336">
                  <c:v>335.55999999998483</c:v>
                </c:pt>
                <c:pt idx="337">
                  <c:v>336.55999999998392</c:v>
                </c:pt>
                <c:pt idx="338">
                  <c:v>337.55999999998289</c:v>
                </c:pt>
                <c:pt idx="339">
                  <c:v>338.55999999998198</c:v>
                </c:pt>
                <c:pt idx="340">
                  <c:v>339.55999999998107</c:v>
                </c:pt>
                <c:pt idx="341">
                  <c:v>340.55999999998022</c:v>
                </c:pt>
                <c:pt idx="342">
                  <c:v>341.55999999997931</c:v>
                </c:pt>
                <c:pt idx="343">
                  <c:v>342.5599999999784</c:v>
                </c:pt>
                <c:pt idx="344">
                  <c:v>343.55999999997749</c:v>
                </c:pt>
                <c:pt idx="345">
                  <c:v>344.55999999997658</c:v>
                </c:pt>
                <c:pt idx="346">
                  <c:v>345.33999999997587</c:v>
                </c:pt>
                <c:pt idx="347">
                  <c:v>346.33999999997502</c:v>
                </c:pt>
                <c:pt idx="348">
                  <c:v>347.33999999997411</c:v>
                </c:pt>
                <c:pt idx="349">
                  <c:v>348.33999999997309</c:v>
                </c:pt>
                <c:pt idx="350">
                  <c:v>349.33999999997218</c:v>
                </c:pt>
                <c:pt idx="351">
                  <c:v>350.33999999997133</c:v>
                </c:pt>
                <c:pt idx="352">
                  <c:v>351.33999999997042</c:v>
                </c:pt>
                <c:pt idx="353">
                  <c:v>352.33999999996951</c:v>
                </c:pt>
                <c:pt idx="354">
                  <c:v>353.3399999999686</c:v>
                </c:pt>
                <c:pt idx="355">
                  <c:v>354.33999999996769</c:v>
                </c:pt>
                <c:pt idx="356">
                  <c:v>355.33999999996678</c:v>
                </c:pt>
                <c:pt idx="357">
                  <c:v>356.33999999996593</c:v>
                </c:pt>
                <c:pt idx="358">
                  <c:v>357.33999999996502</c:v>
                </c:pt>
                <c:pt idx="359">
                  <c:v>358.33999999996399</c:v>
                </c:pt>
                <c:pt idx="360">
                  <c:v>359.33999999996308</c:v>
                </c:pt>
                <c:pt idx="361">
                  <c:v>360.33999999996217</c:v>
                </c:pt>
                <c:pt idx="362">
                  <c:v>361.33999999996132</c:v>
                </c:pt>
                <c:pt idx="363">
                  <c:v>362.33999999996041</c:v>
                </c:pt>
                <c:pt idx="364">
                  <c:v>363.3399999999595</c:v>
                </c:pt>
                <c:pt idx="365">
                  <c:v>364.33999999995859</c:v>
                </c:pt>
                <c:pt idx="366">
                  <c:v>365.33999999995768</c:v>
                </c:pt>
                <c:pt idx="367">
                  <c:v>366.27999999995677</c:v>
                </c:pt>
              </c:numCache>
            </c:numRef>
          </c:xVal>
          <c:yVal>
            <c:numRef>
              <c:f>Diagrammdaten!$X$5:$X$372</c:f>
              <c:numCache>
                <c:formatCode>0.0</c:formatCode>
                <c:ptCount val="368"/>
                <c:pt idx="0">
                  <c:v>52.149999999996787</c:v>
                </c:pt>
                <c:pt idx="1">
                  <c:v>51.181811143599127</c:v>
                </c:pt>
                <c:pt idx="2">
                  <c:v>50.313104338809012</c:v>
                </c:pt>
                <c:pt idx="3">
                  <c:v>49.534635867162713</c:v>
                </c:pt>
                <c:pt idx="4">
                  <c:v>48.837974802923668</c:v>
                </c:pt>
                <c:pt idx="5">
                  <c:v>48.215438054578271</c:v>
                </c:pt>
                <c:pt idx="6">
                  <c:v>47.660029300946348</c:v>
                </c:pt>
                <c:pt idx="7">
                  <c:v>47.165381836628057</c:v>
                </c:pt>
                <c:pt idx="8">
                  <c:v>46.725705312133641</c:v>
                </c:pt>
                <c:pt idx="9">
                  <c:v>46.335736307301772</c:v>
                </c:pt>
                <c:pt idx="10">
                  <c:v>45.990692628540607</c:v>
                </c:pt>
                <c:pt idx="11">
                  <c:v>45.686231179561837</c:v>
                </c:pt>
                <c:pt idx="12">
                  <c:v>45.418409224987563</c:v>
                </c:pt>
                <c:pt idx="13">
                  <c:v>45.183648846776862</c:v>
                </c:pt>
                <c:pt idx="14">
                  <c:v>44.9787043835031</c:v>
                </c:pt>
                <c:pt idx="15">
                  <c:v>44.800632640256367</c:v>
                </c:pt>
                <c:pt idx="16">
                  <c:v>44.646765660345302</c:v>
                </c:pt>
                <c:pt idx="17">
                  <c:v>44.514685857350742</c:v>
                </c:pt>
                <c:pt idx="18">
                  <c:v>44.402203316028483</c:v>
                </c:pt>
                <c:pt idx="19">
                  <c:v>44.30733508198972</c:v>
                </c:pt>
                <c:pt idx="20">
                  <c:v>44.228286272261983</c:v>
                </c:pt>
                <c:pt idx="21">
                  <c:v>44.163432851131859</c:v>
                </c:pt>
                <c:pt idx="22">
                  <c:v>44.111305927802498</c:v>
                </c:pt>
                <c:pt idx="23">
                  <c:v>44.070577444023463</c:v>
                </c:pt>
                <c:pt idx="24">
                  <c:v>44.040047130908313</c:v>
                </c:pt>
                <c:pt idx="25">
                  <c:v>44.018630624487173</c:v>
                </c:pt>
                <c:pt idx="26">
                  <c:v>44.005348639152487</c:v>
                </c:pt>
                <c:pt idx="27">
                  <c:v>43.999317107014583</c:v>
                </c:pt>
                <c:pt idx="28">
                  <c:v>43.999738199320923</c:v>
                </c:pt>
                <c:pt idx="29">
                  <c:v>44.005892153503112</c:v>
                </c:pt>
                <c:pt idx="30">
                  <c:v>44.017129836187451</c:v>
                </c:pt>
                <c:pt idx="31">
                  <c:v>44.032865978622112</c:v>
                </c:pt>
                <c:pt idx="32">
                  <c:v>44.052573026539903</c:v>
                </c:pt>
                <c:pt idx="33">
                  <c:v>44.075775551508457</c:v>
                </c:pt>
                <c:pt idx="34">
                  <c:v>44.102045175376929</c:v>
                </c:pt>
                <c:pt idx="35">
                  <c:v>44.130995963602288</c:v>
                </c:pt>
                <c:pt idx="36">
                  <c:v>44.162280247005242</c:v>
                </c:pt>
                <c:pt idx="37">
                  <c:v>44.195584835010663</c:v>
                </c:pt>
                <c:pt idx="38">
                  <c:v>44.230627586630931</c:v>
                </c:pt>
                <c:pt idx="39">
                  <c:v>44.267154308454167</c:v>
                </c:pt>
                <c:pt idx="40">
                  <c:v>44.304935951675823</c:v>
                </c:pt>
                <c:pt idx="41">
                  <c:v>44.343766082838897</c:v>
                </c:pt>
                <c:pt idx="42">
                  <c:v>44.383458605377307</c:v>
                </c:pt>
                <c:pt idx="43">
                  <c:v>44.423845711303393</c:v>
                </c:pt>
                <c:pt idx="44">
                  <c:v>44.464776044443909</c:v>
                </c:pt>
                <c:pt idx="45">
                  <c:v>44.50611305842375</c:v>
                </c:pt>
                <c:pt idx="46">
                  <c:v>44.54773355414784</c:v>
                </c:pt>
                <c:pt idx="47">
                  <c:v>44.589526382743372</c:v>
                </c:pt>
                <c:pt idx="48">
                  <c:v>44.631391300794178</c:v>
                </c:pt>
                <c:pt idx="49">
                  <c:v>44.673237965191497</c:v>
                </c:pt>
                <c:pt idx="50">
                  <c:v>44.714985055048373</c:v>
                </c:pt>
                <c:pt idx="51">
                  <c:v>44.75655950791122</c:v>
                </c:pt>
                <c:pt idx="52">
                  <c:v>44.797895857041453</c:v>
                </c:pt>
                <c:pt idx="53">
                  <c:v>44.83893565595173</c:v>
                </c:pt>
                <c:pt idx="54">
                  <c:v>44.879626975814233</c:v>
                </c:pt>
                <c:pt idx="55">
                  <c:v>44.919923961032957</c:v>
                </c:pt>
                <c:pt idx="56">
                  <c:v>44.959786428319262</c:v>
                </c:pt>
                <c:pt idx="57">
                  <c:v>44.999179495244498</c:v>
                </c:pt>
                <c:pt idx="58">
                  <c:v>45.038073225493463</c:v>
                </c:pt>
                <c:pt idx="59">
                  <c:v>45.076442280127942</c:v>
                </c:pt>
                <c:pt idx="60">
                  <c:v>45.114265566216893</c:v>
                </c:pt>
                <c:pt idx="61">
                  <c:v>45.151525878100529</c:v>
                </c:pt>
                <c:pt idx="62">
                  <c:v>45.188209528486027</c:v>
                </c:pt>
                <c:pt idx="63">
                  <c:v>45.224305970577291</c:v>
                </c:pt>
                <c:pt idx="64">
                  <c:v>45.259807414672252</c:v>
                </c:pt>
                <c:pt idx="65">
                  <c:v>45.294708444945122</c:v>
                </c:pt>
                <c:pt idx="66">
                  <c:v>45.329005643595913</c:v>
                </c:pt>
                <c:pt idx="67">
                  <c:v>45.362697230263727</c:v>
                </c:pt>
                <c:pt idx="68">
                  <c:v>45.395782724632852</c:v>
                </c:pt>
                <c:pt idx="69">
                  <c:v>45.428262639548279</c:v>
                </c:pt>
                <c:pt idx="70">
                  <c:v>45.460138210878881</c:v>
                </c:pt>
                <c:pt idx="71">
                  <c:v>45.491411168933837</c:v>
                </c:pt>
                <c:pt idx="72">
                  <c:v>45.522083554631017</c:v>
                </c:pt>
                <c:pt idx="73">
                  <c:v>45.552157581939703</c:v>
                </c:pt>
                <c:pt idx="74">
                  <c:v>45.581635546494972</c:v>
                </c:pt>
                <c:pt idx="75">
                  <c:v>45.610519778781573</c:v>
                </c:pt>
                <c:pt idx="76">
                  <c:v>45.638812638954732</c:v>
                </c:pt>
                <c:pt idx="77">
                  <c:v>45.666516549262042</c:v>
                </c:pt>
                <c:pt idx="78">
                  <c:v>45.693634059144422</c:v>
                </c:pt>
                <c:pt idx="79">
                  <c:v>45.720167937437679</c:v>
                </c:pt>
                <c:pt idx="80">
                  <c:v>45.746121285703168</c:v>
                </c:pt>
                <c:pt idx="81">
                  <c:v>45.771497666514897</c:v>
                </c:pt>
                <c:pt idx="82">
                  <c:v>45.796301240595263</c:v>
                </c:pt>
                <c:pt idx="83">
                  <c:v>45.820536906950508</c:v>
                </c:pt>
                <c:pt idx="84">
                  <c:v>45.844210440658799</c:v>
                </c:pt>
                <c:pt idx="85">
                  <c:v>45.867328623698313</c:v>
                </c:pt>
                <c:pt idx="86">
                  <c:v>45.889899365241547</c:v>
                </c:pt>
                <c:pt idx="87">
                  <c:v>45.911931809301677</c:v>
                </c:pt>
                <c:pt idx="88">
                  <c:v>45.933436429850808</c:v>
                </c:pt>
                <c:pt idx="89">
                  <c:v>45.954425117522248</c:v>
                </c:pt>
                <c:pt idx="90">
                  <c:v>45.974911270902282</c:v>
                </c:pt>
                <c:pt idx="91">
                  <c:v>45.994909933511003</c:v>
                </c:pt>
                <c:pt idx="92">
                  <c:v>46.014438295874641</c:v>
                </c:pt>
                <c:pt idx="93">
                  <c:v>46.033518846264201</c:v>
                </c:pt>
                <c:pt idx="94">
                  <c:v>46.0521782295192</c:v>
                </c:pt>
                <c:pt idx="95">
                  <c:v>46.070443108290483</c:v>
                </c:pt>
                <c:pt idx="96">
                  <c:v>46.088339393148999</c:v>
                </c:pt>
                <c:pt idx="97">
                  <c:v>46.105891972823258</c:v>
                </c:pt>
                <c:pt idx="98">
                  <c:v>46.123124573655332</c:v>
                </c:pt>
                <c:pt idx="99">
                  <c:v>46.140059687457779</c:v>
                </c:pt>
                <c:pt idx="100">
                  <c:v>46.156718544874479</c:v>
                </c:pt>
                <c:pt idx="101">
                  <c:v>46.173121123592352</c:v>
                </c:pt>
                <c:pt idx="102">
                  <c:v>46.189286185626258</c:v>
                </c:pt>
                <c:pt idx="103">
                  <c:v>46.205231339986199</c:v>
                </c:pt>
                <c:pt idx="104">
                  <c:v>46.220973127837567</c:v>
                </c:pt>
                <c:pt idx="105">
                  <c:v>46.236527127442677</c:v>
                </c:pt>
                <c:pt idx="106">
                  <c:v>46.251908076050263</c:v>
                </c:pt>
                <c:pt idx="107">
                  <c:v>46.267130005586068</c:v>
                </c:pt>
                <c:pt idx="108">
                  <c:v>46.282206388667873</c:v>
                </c:pt>
                <c:pt idx="109">
                  <c:v>46.297150291131288</c:v>
                </c:pt>
                <c:pt idx="110">
                  <c:v>46.311974526973813</c:v>
                </c:pt>
                <c:pt idx="111">
                  <c:v>46.326691811425633</c:v>
                </c:pt>
                <c:pt idx="112">
                  <c:v>46.341314907788437</c:v>
                </c:pt>
                <c:pt idx="113">
                  <c:v>46.355856763714087</c:v>
                </c:pt>
                <c:pt idx="114">
                  <c:v>46.370330632765963</c:v>
                </c:pt>
                <c:pt idx="115">
                  <c:v>46.384750177437702</c:v>
                </c:pt>
                <c:pt idx="116">
                  <c:v>46.399129550235443</c:v>
                </c:pt>
                <c:pt idx="117">
                  <c:v>46.413483450045483</c:v>
                </c:pt>
                <c:pt idx="118">
                  <c:v>46.427827151722511</c:v>
                </c:pt>
                <c:pt idx="119">
                  <c:v>46.442176507691777</c:v>
                </c:pt>
                <c:pt idx="120">
                  <c:v>46.456547921315291</c:v>
                </c:pt>
                <c:pt idx="121">
                  <c:v>46.470958292791067</c:v>
                </c:pt>
                <c:pt idx="122">
                  <c:v>46.485424939433869</c:v>
                </c:pt>
                <c:pt idx="123">
                  <c:v>46.499965493226682</c:v>
                </c:pt>
                <c:pt idx="124">
                  <c:v>46.514597779529709</c:v>
                </c:pt>
                <c:pt idx="125">
                  <c:v>46.529339681510578</c:v>
                </c:pt>
                <c:pt idx="126">
                  <c:v>46.54420899597983</c:v>
                </c:pt>
                <c:pt idx="127">
                  <c:v>46.55922328567317</c:v>
                </c:pt>
                <c:pt idx="128">
                  <c:v>46.574399734232323</c:v>
                </c:pt>
                <c:pt idx="129">
                  <c:v>46.589755008915738</c:v>
                </c:pt>
                <c:pt idx="130">
                  <c:v>46.605305135871838</c:v>
                </c:pt>
                <c:pt idx="131">
                  <c:v>46.621065391799682</c:v>
                </c:pt>
                <c:pt idx="132">
                  <c:v>46.637050214738679</c:v>
                </c:pt>
                <c:pt idx="133">
                  <c:v>46.653273135524607</c:v>
                </c:pt>
                <c:pt idx="134">
                  <c:v>46.669746730270496</c:v>
                </c:pt>
                <c:pt idx="135">
                  <c:v>46.686482593091277</c:v>
                </c:pt>
                <c:pt idx="136">
                  <c:v>46.703491327400798</c:v>
                </c:pt>
                <c:pt idx="137">
                  <c:v>46.720782553359641</c:v>
                </c:pt>
                <c:pt idx="138">
                  <c:v>46.738364928608753</c:v>
                </c:pt>
                <c:pt idx="139">
                  <c:v>46.756246179332443</c:v>
                </c:pt>
                <c:pt idx="140">
                  <c:v>46.774433138281267</c:v>
                </c:pt>
                <c:pt idx="141">
                  <c:v>46.79293178748361</c:v>
                </c:pt>
                <c:pt idx="142">
                  <c:v>46.811747302622962</c:v>
                </c:pt>
                <c:pt idx="143">
                  <c:v>46.83088409738906</c:v>
                </c:pt>
                <c:pt idx="144">
                  <c:v>46.850345866155919</c:v>
                </c:pt>
                <c:pt idx="145">
                  <c:v>46.870135623951228</c:v>
                </c:pt>
                <c:pt idx="146">
                  <c:v>46.890255743128023</c:v>
                </c:pt>
                <c:pt idx="147">
                  <c:v>46.910707986536977</c:v>
                </c:pt>
                <c:pt idx="148">
                  <c:v>46.931493537341851</c:v>
                </c:pt>
                <c:pt idx="149">
                  <c:v>46.952613025867088</c:v>
                </c:pt>
                <c:pt idx="150">
                  <c:v>46.974066554042338</c:v>
                </c:pt>
                <c:pt idx="151">
                  <c:v>46.995853718128053</c:v>
                </c:pt>
                <c:pt idx="152">
                  <c:v>47.017973630432493</c:v>
                </c:pt>
                <c:pt idx="153">
                  <c:v>47.040424940733708</c:v>
                </c:pt>
                <c:pt idx="154">
                  <c:v>47.063205858063952</c:v>
                </c:pt>
                <c:pt idx="155">
                  <c:v>47.08631417341519</c:v>
                </c:pt>
                <c:pt idx="156">
                  <c:v>47.109747283827353</c:v>
                </c:pt>
                <c:pt idx="157">
                  <c:v>47.133502218186607</c:v>
                </c:pt>
                <c:pt idx="158">
                  <c:v>47.1575756649288</c:v>
                </c:pt>
                <c:pt idx="159">
                  <c:v>47.181964001709957</c:v>
                </c:pt>
                <c:pt idx="160">
                  <c:v>47.206663326976411</c:v>
                </c:pt>
                <c:pt idx="161">
                  <c:v>47.231669493254117</c:v>
                </c:pt>
                <c:pt idx="162">
                  <c:v>47.256978141862987</c:v>
                </c:pt>
                <c:pt idx="163">
                  <c:v>47.282584738679759</c:v>
                </c:pt>
                <c:pt idx="164">
                  <c:v>47.308484610497658</c:v>
                </c:pt>
                <c:pt idx="165">
                  <c:v>47.334672981492083</c:v>
                </c:pt>
                <c:pt idx="166">
                  <c:v>47.358485180727598</c:v>
                </c:pt>
                <c:pt idx="167">
                  <c:v>48.827921560827797</c:v>
                </c:pt>
                <c:pt idx="168">
                  <c:v>49.962258625139498</c:v>
                </c:pt>
                <c:pt idx="169">
                  <c:v>50.710770838402993</c:v>
                </c:pt>
                <c:pt idx="170">
                  <c:v>51.203817337866099</c:v>
                </c:pt>
                <c:pt idx="171">
                  <c:v>51.528224448641588</c:v>
                </c:pt>
                <c:pt idx="172">
                  <c:v>51.741519495406578</c:v>
                </c:pt>
                <c:pt idx="173">
                  <c:v>51.881694110604371</c:v>
                </c:pt>
                <c:pt idx="174">
                  <c:v>51.973787147424218</c:v>
                </c:pt>
                <c:pt idx="175">
                  <c:v>52.03427924557991</c:v>
                </c:pt>
                <c:pt idx="176">
                  <c:v>52.074008879218582</c:v>
                </c:pt>
                <c:pt idx="177">
                  <c:v>52.100100066659991</c:v>
                </c:pt>
                <c:pt idx="178">
                  <c:v>52.117233686405712</c:v>
                </c:pt>
                <c:pt idx="179">
                  <c:v>52.12848462257449</c:v>
                </c:pt>
                <c:pt idx="180">
                  <c:v>52.135872469167168</c:v>
                </c:pt>
                <c:pt idx="181">
                  <c:v>52.140723569964223</c:v>
                </c:pt>
                <c:pt idx="182">
                  <c:v>52.143908928182213</c:v>
                </c:pt>
                <c:pt idx="183">
                  <c:v>52.146000502685688</c:v>
                </c:pt>
                <c:pt idx="184">
                  <c:v>52.147373869286469</c:v>
                </c:pt>
                <c:pt idx="185">
                  <c:v>52.14827564464747</c:v>
                </c:pt>
                <c:pt idx="186">
                  <c:v>52.148867764226793</c:v>
                </c:pt>
                <c:pt idx="187">
                  <c:v>52.149256558568773</c:v>
                </c:pt>
                <c:pt idx="188">
                  <c:v>52.149468999944702</c:v>
                </c:pt>
                <c:pt idx="189">
                  <c:v>51.090392812945652</c:v>
                </c:pt>
                <c:pt idx="190">
                  <c:v>50.426712819969111</c:v>
                </c:pt>
                <c:pt idx="191">
                  <c:v>50.02158554985408</c:v>
                </c:pt>
                <c:pt idx="192">
                  <c:v>49.777131130989119</c:v>
                </c:pt>
                <c:pt idx="193">
                  <c:v>49.634131805122649</c:v>
                </c:pt>
                <c:pt idx="194">
                  <c:v>49.55621364784929</c:v>
                </c:pt>
                <c:pt idx="195">
                  <c:v>49.5207029890488</c:v>
                </c:pt>
                <c:pt idx="196">
                  <c:v>49.513263143220513</c:v>
                </c:pt>
                <c:pt idx="197">
                  <c:v>49.524701672249648</c:v>
                </c:pt>
                <c:pt idx="198">
                  <c:v>49.549042556387228</c:v>
                </c:pt>
                <c:pt idx="199">
                  <c:v>49.58234642075621</c:v>
                </c:pt>
                <c:pt idx="200">
                  <c:v>49.621979374797093</c:v>
                </c:pt>
                <c:pt idx="201">
                  <c:v>49.666154429979663</c:v>
                </c:pt>
                <c:pt idx="202">
                  <c:v>49.713640577799538</c:v>
                </c:pt>
                <c:pt idx="203">
                  <c:v>49.763576189361167</c:v>
                </c:pt>
                <c:pt idx="204">
                  <c:v>49.815348039208168</c:v>
                </c:pt>
                <c:pt idx="205">
                  <c:v>49.868512043998919</c:v>
                </c:pt>
                <c:pt idx="206">
                  <c:v>49.922740786219492</c:v>
                </c:pt>
                <c:pt idx="207">
                  <c:v>49.977788405780593</c:v>
                </c:pt>
                <c:pt idx="208">
                  <c:v>50.033466861902411</c:v>
                </c:pt>
                <c:pt idx="209">
                  <c:v>50.089629709847031</c:v>
                </c:pt>
                <c:pt idx="210">
                  <c:v>50.146160891643149</c:v>
                </c:pt>
                <c:pt idx="211">
                  <c:v>50.202966904256407</c:v>
                </c:pt>
                <c:pt idx="212">
                  <c:v>50.259971264996473</c:v>
                </c:pt>
                <c:pt idx="213">
                  <c:v>50.317110555033537</c:v>
                </c:pt>
                <c:pt idx="214">
                  <c:v>50.374331558220092</c:v>
                </c:pt>
                <c:pt idx="215">
                  <c:v>50.431589168257347</c:v>
                </c:pt>
                <c:pt idx="216">
                  <c:v>50.488844840839079</c:v>
                </c:pt>
                <c:pt idx="217">
                  <c:v>50.546065436726742</c:v>
                </c:pt>
                <c:pt idx="218">
                  <c:v>50.603222348439658</c:v>
                </c:pt>
                <c:pt idx="219">
                  <c:v>50.660290834939588</c:v>
                </c:pt>
                <c:pt idx="220">
                  <c:v>50.717249510295012</c:v>
                </c:pt>
                <c:pt idx="221">
                  <c:v>50.774079947171458</c:v>
                </c:pt>
                <c:pt idx="222">
                  <c:v>50.830766366239459</c:v>
                </c:pt>
                <c:pt idx="223">
                  <c:v>50.887295389766223</c:v>
                </c:pt>
                <c:pt idx="224">
                  <c:v>50.943655842724411</c:v>
                </c:pt>
                <c:pt idx="225">
                  <c:v>50.999838588421987</c:v>
                </c:pt>
                <c:pt idx="226">
                  <c:v>51.055836388395107</c:v>
                </c:pt>
                <c:pt idx="227">
                  <c:v>51.111643778451203</c:v>
                </c:pt>
                <c:pt idx="228">
                  <c:v>51.167256954471213</c:v>
                </c:pt>
                <c:pt idx="229">
                  <c:v>51.222673663066018</c:v>
                </c:pt>
                <c:pt idx="230">
                  <c:v>51.277893093468087</c:v>
                </c:pt>
                <c:pt idx="231">
                  <c:v>51.332915768195107</c:v>
                </c:pt>
                <c:pt idx="232">
                  <c:v>51.387743431029548</c:v>
                </c:pt>
                <c:pt idx="233">
                  <c:v>51.442378931777633</c:v>
                </c:pt>
                <c:pt idx="234">
                  <c:v>51.496826108012669</c:v>
                </c:pt>
                <c:pt idx="235">
                  <c:v>51.551089664655713</c:v>
                </c:pt>
                <c:pt idx="236">
                  <c:v>51.605175052687741</c:v>
                </c:pt>
                <c:pt idx="237">
                  <c:v>51.659088348705382</c:v>
                </c:pt>
                <c:pt idx="238">
                  <c:v>51.712836137183501</c:v>
                </c:pt>
                <c:pt idx="239">
                  <c:v>51.766425397427042</c:v>
                </c:pt>
                <c:pt idx="240">
                  <c:v>51.819863397183667</c:v>
                </c:pt>
                <c:pt idx="241">
                  <c:v>51.873157594769957</c:v>
                </c:pt>
                <c:pt idx="242">
                  <c:v>51.926315551383823</c:v>
                </c:pt>
                <c:pt idx="243">
                  <c:v>51.979344855026973</c:v>
                </c:pt>
                <c:pt idx="244">
                  <c:v>52.032253057168418</c:v>
                </c:pt>
                <c:pt idx="245">
                  <c:v>52.085047622946597</c:v>
                </c:pt>
                <c:pt idx="246">
                  <c:v>52.137735895361629</c:v>
                </c:pt>
                <c:pt idx="247">
                  <c:v>52.190325073551662</c:v>
                </c:pt>
                <c:pt idx="248">
                  <c:v>52.242822204897038</c:v>
                </c:pt>
                <c:pt idx="249">
                  <c:v>52.295234190353654</c:v>
                </c:pt>
                <c:pt idx="250">
                  <c:v>52.347567802126044</c:v>
                </c:pt>
                <c:pt idx="251">
                  <c:v>52.399829712514588</c:v>
                </c:pt>
                <c:pt idx="252">
                  <c:v>52.452026532563202</c:v>
                </c:pt>
                <c:pt idx="253">
                  <c:v>52.504164858995523</c:v>
                </c:pt>
                <c:pt idx="254">
                  <c:v>52.556251327860203</c:v>
                </c:pt>
                <c:pt idx="255">
                  <c:v>52.608292673353283</c:v>
                </c:pt>
                <c:pt idx="256">
                  <c:v>52.660295790452892</c:v>
                </c:pt>
                <c:pt idx="257">
                  <c:v>52.712267800384097</c:v>
                </c:pt>
                <c:pt idx="258">
                  <c:v>52.764216118608942</c:v>
                </c:pt>
                <c:pt idx="259">
                  <c:v>52.816148526352087</c:v>
                </c:pt>
                <c:pt idx="260">
                  <c:v>52.86807324937638</c:v>
                </c:pt>
                <c:pt idx="261">
                  <c:v>52.919999054352388</c:v>
                </c:pt>
                <c:pt idx="262">
                  <c:v>52.971935395315313</c:v>
                </c:pt>
                <c:pt idx="263">
                  <c:v>53.023892887848433</c:v>
                </c:pt>
                <c:pt idx="264">
                  <c:v>53.075885724811542</c:v>
                </c:pt>
                <c:pt idx="265">
                  <c:v>53.127930726732977</c:v>
                </c:pt>
                <c:pt idx="266">
                  <c:v>53.180044775400923</c:v>
                </c:pt>
                <c:pt idx="267">
                  <c:v>53.23224440764784</c:v>
                </c:pt>
                <c:pt idx="268">
                  <c:v>53.284545678346383</c:v>
                </c:pt>
                <c:pt idx="269">
                  <c:v>53.336964084507493</c:v>
                </c:pt>
                <c:pt idx="270">
                  <c:v>53.389514514333648</c:v>
                </c:pt>
                <c:pt idx="271">
                  <c:v>53.442211208723727</c:v>
                </c:pt>
                <c:pt idx="272">
                  <c:v>53.495067730536562</c:v>
                </c:pt>
                <c:pt idx="273">
                  <c:v>53.548096940116118</c:v>
                </c:pt>
                <c:pt idx="274">
                  <c:v>53.601310976988088</c:v>
                </c:pt>
                <c:pt idx="275">
                  <c:v>53.65472124825294</c:v>
                </c:pt>
                <c:pt idx="276">
                  <c:v>53.708338424384181</c:v>
                </c:pt>
                <c:pt idx="277">
                  <c:v>53.762172443187069</c:v>
                </c:pt>
                <c:pt idx="278">
                  <c:v>53.816232522227551</c:v>
                </c:pt>
                <c:pt idx="279">
                  <c:v>53.870527180365741</c:v>
                </c:pt>
                <c:pt idx="280">
                  <c:v>53.925064268025316</c:v>
                </c:pt>
                <c:pt idx="281">
                  <c:v>53.979851006113172</c:v>
                </c:pt>
                <c:pt idx="282">
                  <c:v>54.034894032897682</c:v>
                </c:pt>
                <c:pt idx="283">
                  <c:v>54.090199457952053</c:v>
                </c:pt>
                <c:pt idx="284">
                  <c:v>54.145772922009428</c:v>
                </c:pt>
                <c:pt idx="285">
                  <c:v>54.201619661325942</c:v>
                </c:pt>
                <c:pt idx="286">
                  <c:v>54.257744574981871</c:v>
                </c:pt>
                <c:pt idx="287">
                  <c:v>54.314152293410018</c:v>
                </c:pt>
                <c:pt idx="288">
                  <c:v>54.37084724635406</c:v>
                </c:pt>
                <c:pt idx="289">
                  <c:v>54.427833728448491</c:v>
                </c:pt>
                <c:pt idx="290">
                  <c:v>54.485115960627347</c:v>
                </c:pt>
                <c:pt idx="291">
                  <c:v>54.542698145684369</c:v>
                </c:pt>
                <c:pt idx="292">
                  <c:v>54.600584516440342</c:v>
                </c:pt>
                <c:pt idx="293">
                  <c:v>54.65877937520213</c:v>
                </c:pt>
                <c:pt idx="294">
                  <c:v>54.717287123443548</c:v>
                </c:pt>
                <c:pt idx="295">
                  <c:v>54.776112280961911</c:v>
                </c:pt>
                <c:pt idx="296">
                  <c:v>54.835259494097613</c:v>
                </c:pt>
                <c:pt idx="297">
                  <c:v>54.894733532984667</c:v>
                </c:pt>
                <c:pt idx="298">
                  <c:v>54.954539278175787</c:v>
                </c:pt>
                <c:pt idx="299">
                  <c:v>55.014681697360402</c:v>
                </c:pt>
                <c:pt idx="300">
                  <c:v>55.075165813253761</c:v>
                </c:pt>
                <c:pt idx="301">
                  <c:v>55.135996664027523</c:v>
                </c:pt>
                <c:pt idx="302">
                  <c:v>55.197179257920418</c:v>
                </c:pt>
                <c:pt idx="303">
                  <c:v>55.258718523824307</c:v>
                </c:pt>
                <c:pt idx="304">
                  <c:v>55.320619259747332</c:v>
                </c:pt>
                <c:pt idx="305">
                  <c:v>55.382886081054153</c:v>
                </c:pt>
                <c:pt idx="306">
                  <c:v>55.445523370305857</c:v>
                </c:pt>
                <c:pt idx="307">
                  <c:v>55.508535230373468</c:v>
                </c:pt>
                <c:pt idx="308">
                  <c:v>55.571925442267293</c:v>
                </c:pt>
                <c:pt idx="309">
                  <c:v>55.63569742887961</c:v>
                </c:pt>
                <c:pt idx="310">
                  <c:v>55.699854225531567</c:v>
                </c:pt>
                <c:pt idx="311">
                  <c:v>55.764398457922653</c:v>
                </c:pt>
                <c:pt idx="312">
                  <c:v>55.829332327784982</c:v>
                </c:pt>
                <c:pt idx="313">
                  <c:v>55.894657606271721</c:v>
                </c:pt>
                <c:pt idx="314">
                  <c:v>55.960375634870559</c:v>
                </c:pt>
                <c:pt idx="315">
                  <c:v>56.026487333418338</c:v>
                </c:pt>
                <c:pt idx="316">
                  <c:v>56.09299321463061</c:v>
                </c:pt>
                <c:pt idx="317">
                  <c:v>56.159893404423769</c:v>
                </c:pt>
                <c:pt idx="318">
                  <c:v>56.22718766720692</c:v>
                </c:pt>
                <c:pt idx="319">
                  <c:v>56.294875435254539</c:v>
                </c:pt>
                <c:pt idx="320">
                  <c:v>56.362955841222401</c:v>
                </c:pt>
                <c:pt idx="321">
                  <c:v>56.431427752855143</c:v>
                </c:pt>
                <c:pt idx="322">
                  <c:v>56.500289808926482</c:v>
                </c:pt>
                <c:pt idx="323">
                  <c:v>56.569540455472918</c:v>
                </c:pt>
                <c:pt idx="324">
                  <c:v>56.639177981426769</c:v>
                </c:pt>
                <c:pt idx="325">
                  <c:v>56.709200552793618</c:v>
                </c:pt>
                <c:pt idx="326">
                  <c:v>56.779606244607521</c:v>
                </c:pt>
                <c:pt idx="327">
                  <c:v>56.850393069983397</c:v>
                </c:pt>
                <c:pt idx="328">
                  <c:v>56.921559005693439</c:v>
                </c:pt>
                <c:pt idx="329">
                  <c:v>56.993102013829287</c:v>
                </c:pt>
                <c:pt idx="330">
                  <c:v>57.065020059240851</c:v>
                </c:pt>
                <c:pt idx="331">
                  <c:v>57.137311122597112</c:v>
                </c:pt>
                <c:pt idx="332">
                  <c:v>57.209973209070199</c:v>
                </c:pt>
                <c:pt idx="333">
                  <c:v>57.28300435278959</c:v>
                </c:pt>
                <c:pt idx="334">
                  <c:v>57.356402617363301</c:v>
                </c:pt>
                <c:pt idx="335">
                  <c:v>57.43016609289549</c:v>
                </c:pt>
                <c:pt idx="336">
                  <c:v>57.504292890051367</c:v>
                </c:pt>
                <c:pt idx="337">
                  <c:v>57.578781131797307</c:v>
                </c:pt>
                <c:pt idx="338">
                  <c:v>57.65362894352802</c:v>
                </c:pt>
                <c:pt idx="339">
                  <c:v>57.728834442329003</c:v>
                </c:pt>
                <c:pt idx="340">
                  <c:v>57.804395726122657</c:v>
                </c:pt>
                <c:pt idx="341">
                  <c:v>57.88031086343824</c:v>
                </c:pt>
                <c:pt idx="342">
                  <c:v>57.956577884493413</c:v>
                </c:pt>
                <c:pt idx="343">
                  <c:v>58.033194774213477</c:v>
                </c:pt>
                <c:pt idx="344">
                  <c:v>58.110159467714311</c:v>
                </c:pt>
                <c:pt idx="345">
                  <c:v>58.187469848673857</c:v>
                </c:pt>
                <c:pt idx="346">
                  <c:v>57.74604840856324</c:v>
                </c:pt>
                <c:pt idx="347">
                  <c:v>57.197102558749862</c:v>
                </c:pt>
                <c:pt idx="348">
                  <c:v>56.702237595160682</c:v>
                </c:pt>
                <c:pt idx="349">
                  <c:v>56.256086533720797</c:v>
                </c:pt>
                <c:pt idx="350">
                  <c:v>55.853821184974208</c:v>
                </c:pt>
                <c:pt idx="351">
                  <c:v>55.491097204951188</c:v>
                </c:pt>
                <c:pt idx="352">
                  <c:v>55.16400483438531</c:v>
                </c:pt>
                <c:pt idx="353">
                  <c:v>54.869024740788632</c:v>
                </c:pt>
                <c:pt idx="354">
                  <c:v>54.602988432914231</c:v>
                </c:pt>
                <c:pt idx="355">
                  <c:v>54.363042769052527</c:v>
                </c:pt>
                <c:pt idx="356">
                  <c:v>54.146618128939167</c:v>
                </c:pt>
                <c:pt idx="357">
                  <c:v>53.951399863484198</c:v>
                </c:pt>
                <c:pt idx="358">
                  <c:v>53.775302677035818</c:v>
                </c:pt>
                <c:pt idx="359">
                  <c:v>53.616447633557641</c:v>
                </c:pt>
                <c:pt idx="360">
                  <c:v>53.473141511097417</c:v>
                </c:pt>
                <c:pt idx="361">
                  <c:v>53.343858258510863</c:v>
                </c:pt>
                <c:pt idx="362">
                  <c:v>53.227222334883443</c:v>
                </c:pt>
                <c:pt idx="363">
                  <c:v>53.12199373567239</c:v>
                </c:pt>
                <c:pt idx="364">
                  <c:v>53.027054530646069</c:v>
                </c:pt>
                <c:pt idx="365">
                  <c:v>52.941396757409848</c:v>
                </c:pt>
                <c:pt idx="366">
                  <c:v>52.864111530980267</c:v>
                </c:pt>
                <c:pt idx="367">
                  <c:v>52.798364033491907</c:v>
                </c:pt>
              </c:numCache>
            </c:numRef>
          </c:yVal>
          <c:smooth val="0"/>
          <c:extLst>
            <c:ext xmlns:c16="http://schemas.microsoft.com/office/drawing/2014/chart" uri="{C3380CC4-5D6E-409C-BE32-E72D297353CC}">
              <c16:uniqueId val="{00000000-F153-42EF-B8D2-A16133222B8C}"/>
            </c:ext>
          </c:extLst>
        </c:ser>
        <c:ser>
          <c:idx val="1"/>
          <c:order val="1"/>
          <c:tx>
            <c:v>tief, 100.000 Nm³/h</c:v>
          </c:tx>
          <c:spPr>
            <a:ln w="25400">
              <a:solidFill>
                <a:srgbClr val="00304F"/>
              </a:solidFill>
              <a:prstDash val="solid"/>
            </a:ln>
          </c:spPr>
          <c:marker>
            <c:symbol val="none"/>
          </c:marker>
          <c:xVal>
            <c:numRef>
              <c:f>Diagrammdaten!$AA$5:$AA$203</c:f>
              <c:numCache>
                <c:formatCode>0.0</c:formatCode>
                <c:ptCount val="199"/>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81.780000000000868</c:v>
                </c:pt>
                <c:pt idx="83">
                  <c:v>82.780000000000669</c:v>
                </c:pt>
                <c:pt idx="84">
                  <c:v>83.78000000000047</c:v>
                </c:pt>
                <c:pt idx="85">
                  <c:v>84.780000000000271</c:v>
                </c:pt>
                <c:pt idx="86">
                  <c:v>85.780000000000072</c:v>
                </c:pt>
                <c:pt idx="87">
                  <c:v>86.779999999999873</c:v>
                </c:pt>
                <c:pt idx="88">
                  <c:v>87.779999999999674</c:v>
                </c:pt>
                <c:pt idx="89">
                  <c:v>88.779999999999475</c:v>
                </c:pt>
                <c:pt idx="90">
                  <c:v>89.779999999999276</c:v>
                </c:pt>
                <c:pt idx="91">
                  <c:v>90.779999999999077</c:v>
                </c:pt>
                <c:pt idx="92">
                  <c:v>91.779999999998878</c:v>
                </c:pt>
                <c:pt idx="93">
                  <c:v>92.77999999999868</c:v>
                </c:pt>
                <c:pt idx="94">
                  <c:v>93.779999999998481</c:v>
                </c:pt>
                <c:pt idx="95">
                  <c:v>94.779999999998282</c:v>
                </c:pt>
                <c:pt idx="96">
                  <c:v>95.779999999998083</c:v>
                </c:pt>
                <c:pt idx="97">
                  <c:v>96.779999999997884</c:v>
                </c:pt>
                <c:pt idx="98">
                  <c:v>97.779999999997685</c:v>
                </c:pt>
                <c:pt idx="99">
                  <c:v>98.779999999997486</c:v>
                </c:pt>
                <c:pt idx="100">
                  <c:v>99.779999999997287</c:v>
                </c:pt>
                <c:pt idx="101">
                  <c:v>100.7799999999971</c:v>
                </c:pt>
                <c:pt idx="102">
                  <c:v>101.7799999999969</c:v>
                </c:pt>
                <c:pt idx="103">
                  <c:v>102.7799999999967</c:v>
                </c:pt>
                <c:pt idx="104">
                  <c:v>103.7599999999965</c:v>
                </c:pt>
                <c:pt idx="105">
                  <c:v>104.7599999999963</c:v>
                </c:pt>
                <c:pt idx="106">
                  <c:v>105.7599999999961</c:v>
                </c:pt>
                <c:pt idx="107">
                  <c:v>106.7599999999959</c:v>
                </c:pt>
                <c:pt idx="108">
                  <c:v>107.7599999999957</c:v>
                </c:pt>
                <c:pt idx="109">
                  <c:v>108.7599999999955</c:v>
                </c:pt>
                <c:pt idx="110">
                  <c:v>109.7599999999953</c:v>
                </c:pt>
                <c:pt idx="111">
                  <c:v>110.7599999999951</c:v>
                </c:pt>
                <c:pt idx="112">
                  <c:v>111.7599999999949</c:v>
                </c:pt>
                <c:pt idx="113">
                  <c:v>112.7599999999947</c:v>
                </c:pt>
                <c:pt idx="114">
                  <c:v>113.75999999999451</c:v>
                </c:pt>
                <c:pt idx="115">
                  <c:v>114.75999999999431</c:v>
                </c:pt>
                <c:pt idx="116">
                  <c:v>115.75999999999409</c:v>
                </c:pt>
                <c:pt idx="117">
                  <c:v>116.75999999999389</c:v>
                </c:pt>
                <c:pt idx="118">
                  <c:v>117.7599999999937</c:v>
                </c:pt>
                <c:pt idx="119">
                  <c:v>118.7599999999935</c:v>
                </c:pt>
                <c:pt idx="120">
                  <c:v>119.7599999999933</c:v>
                </c:pt>
                <c:pt idx="121">
                  <c:v>120.7599999999931</c:v>
                </c:pt>
                <c:pt idx="122">
                  <c:v>121.7599999999929</c:v>
                </c:pt>
                <c:pt idx="123">
                  <c:v>122.7599999999927</c:v>
                </c:pt>
                <c:pt idx="124">
                  <c:v>123.7599999999925</c:v>
                </c:pt>
                <c:pt idx="125">
                  <c:v>124.7599999999923</c:v>
                </c:pt>
                <c:pt idx="126">
                  <c:v>125.7599999999921</c:v>
                </c:pt>
                <c:pt idx="127">
                  <c:v>126.7599999999919</c:v>
                </c:pt>
                <c:pt idx="128">
                  <c:v>127.75999999999171</c:v>
                </c:pt>
                <c:pt idx="129">
                  <c:v>128.75999999999209</c:v>
                </c:pt>
                <c:pt idx="130">
                  <c:v>129.7599999999926</c:v>
                </c:pt>
                <c:pt idx="131">
                  <c:v>130.75999999999311</c:v>
                </c:pt>
                <c:pt idx="132">
                  <c:v>131.7599999999936</c:v>
                </c:pt>
                <c:pt idx="133">
                  <c:v>132.75999999999411</c:v>
                </c:pt>
                <c:pt idx="134">
                  <c:v>133.75999999999459</c:v>
                </c:pt>
                <c:pt idx="135">
                  <c:v>134.7599999999951</c:v>
                </c:pt>
                <c:pt idx="136">
                  <c:v>135.75999999999561</c:v>
                </c:pt>
                <c:pt idx="137">
                  <c:v>136.75999999999621</c:v>
                </c:pt>
                <c:pt idx="138">
                  <c:v>137.75999999999669</c:v>
                </c:pt>
                <c:pt idx="139">
                  <c:v>138.75999999999721</c:v>
                </c:pt>
                <c:pt idx="140">
                  <c:v>139.75999999999769</c:v>
                </c:pt>
                <c:pt idx="141">
                  <c:v>140.7599999999982</c:v>
                </c:pt>
                <c:pt idx="142">
                  <c:v>141.75999999999871</c:v>
                </c:pt>
                <c:pt idx="143">
                  <c:v>142.7599999999992</c:v>
                </c:pt>
                <c:pt idx="144">
                  <c:v>143.75999999999971</c:v>
                </c:pt>
                <c:pt idx="145">
                  <c:v>144.76000000000019</c:v>
                </c:pt>
                <c:pt idx="146">
                  <c:v>145.76000000000079</c:v>
                </c:pt>
                <c:pt idx="147">
                  <c:v>146.7600000000013</c:v>
                </c:pt>
                <c:pt idx="148">
                  <c:v>147.76000000000181</c:v>
                </c:pt>
                <c:pt idx="149">
                  <c:v>148.76000000000229</c:v>
                </c:pt>
                <c:pt idx="150">
                  <c:v>149.7600000000028</c:v>
                </c:pt>
                <c:pt idx="151">
                  <c:v>150.76000000000329</c:v>
                </c:pt>
                <c:pt idx="152">
                  <c:v>151.7600000000038</c:v>
                </c:pt>
                <c:pt idx="153">
                  <c:v>152.76000000000431</c:v>
                </c:pt>
                <c:pt idx="154">
                  <c:v>153.76000000000491</c:v>
                </c:pt>
                <c:pt idx="155">
                  <c:v>154.76000000000539</c:v>
                </c:pt>
                <c:pt idx="156">
                  <c:v>155.7600000000059</c:v>
                </c:pt>
                <c:pt idx="157">
                  <c:v>156.76000000000639</c:v>
                </c:pt>
                <c:pt idx="158">
                  <c:v>157.7600000000069</c:v>
                </c:pt>
                <c:pt idx="159">
                  <c:v>158.76000000000741</c:v>
                </c:pt>
                <c:pt idx="160">
                  <c:v>159.76000000000789</c:v>
                </c:pt>
                <c:pt idx="161">
                  <c:v>160.7600000000084</c:v>
                </c:pt>
                <c:pt idx="162">
                  <c:v>161.76000000000889</c:v>
                </c:pt>
                <c:pt idx="163">
                  <c:v>162.76000000000951</c:v>
                </c:pt>
                <c:pt idx="164">
                  <c:v>163.76000000001</c:v>
                </c:pt>
                <c:pt idx="165">
                  <c:v>164.76000000001051</c:v>
                </c:pt>
                <c:pt idx="166">
                  <c:v>165.76000000001099</c:v>
                </c:pt>
                <c:pt idx="167">
                  <c:v>166.7600000000115</c:v>
                </c:pt>
                <c:pt idx="168">
                  <c:v>167.76000000001201</c:v>
                </c:pt>
                <c:pt idx="169">
                  <c:v>168.7600000000125</c:v>
                </c:pt>
                <c:pt idx="170">
                  <c:v>169.76000000001301</c:v>
                </c:pt>
                <c:pt idx="171">
                  <c:v>170.76000000001349</c:v>
                </c:pt>
                <c:pt idx="172">
                  <c:v>171.76000000001409</c:v>
                </c:pt>
                <c:pt idx="173">
                  <c:v>172.7600000000146</c:v>
                </c:pt>
                <c:pt idx="174">
                  <c:v>173.76000000001511</c:v>
                </c:pt>
                <c:pt idx="175">
                  <c:v>174.76000000001559</c:v>
                </c:pt>
                <c:pt idx="176">
                  <c:v>175.76000000001611</c:v>
                </c:pt>
                <c:pt idx="177">
                  <c:v>176.54000000001651</c:v>
                </c:pt>
                <c:pt idx="178">
                  <c:v>177.54000000001699</c:v>
                </c:pt>
                <c:pt idx="179">
                  <c:v>178.5400000000175</c:v>
                </c:pt>
                <c:pt idx="180">
                  <c:v>179.54000000001801</c:v>
                </c:pt>
                <c:pt idx="181">
                  <c:v>180.54000000001861</c:v>
                </c:pt>
                <c:pt idx="182">
                  <c:v>181.54000000001909</c:v>
                </c:pt>
                <c:pt idx="183">
                  <c:v>182.5400000000196</c:v>
                </c:pt>
                <c:pt idx="184">
                  <c:v>183.54000000002009</c:v>
                </c:pt>
                <c:pt idx="185">
                  <c:v>184.5400000000206</c:v>
                </c:pt>
                <c:pt idx="186">
                  <c:v>185.54000000002111</c:v>
                </c:pt>
                <c:pt idx="187">
                  <c:v>186.54000000002159</c:v>
                </c:pt>
                <c:pt idx="188">
                  <c:v>187.5400000000221</c:v>
                </c:pt>
                <c:pt idx="189">
                  <c:v>188.54000000002259</c:v>
                </c:pt>
                <c:pt idx="190">
                  <c:v>189.54000000002321</c:v>
                </c:pt>
                <c:pt idx="191">
                  <c:v>190.5400000000237</c:v>
                </c:pt>
                <c:pt idx="192">
                  <c:v>191.54000000002421</c:v>
                </c:pt>
                <c:pt idx="193">
                  <c:v>192.54000000002469</c:v>
                </c:pt>
                <c:pt idx="194">
                  <c:v>193.5400000000252</c:v>
                </c:pt>
                <c:pt idx="195">
                  <c:v>194.54000000002571</c:v>
                </c:pt>
                <c:pt idx="196">
                  <c:v>195.5400000000262</c:v>
                </c:pt>
                <c:pt idx="197">
                  <c:v>196.54000000002671</c:v>
                </c:pt>
                <c:pt idx="198">
                  <c:v>197.54000000002719</c:v>
                </c:pt>
              </c:numCache>
            </c:numRef>
          </c:xVal>
          <c:yVal>
            <c:numRef>
              <c:f>Diagrammdaten!$AC$5:$AC$203</c:f>
              <c:numCache>
                <c:formatCode>0.0</c:formatCode>
                <c:ptCount val="199"/>
                <c:pt idx="0">
                  <c:v>52.149999999996787</c:v>
                </c:pt>
                <c:pt idx="1">
                  <c:v>50.987328261152918</c:v>
                </c:pt>
                <c:pt idx="2">
                  <c:v>49.858076349087128</c:v>
                </c:pt>
                <c:pt idx="3">
                  <c:v>48.748761793906567</c:v>
                </c:pt>
                <c:pt idx="4">
                  <c:v>47.643539321629191</c:v>
                </c:pt>
                <c:pt idx="5">
                  <c:v>46.522466036293217</c:v>
                </c:pt>
                <c:pt idx="6">
                  <c:v>45.358294330509693</c:v>
                </c:pt>
                <c:pt idx="7">
                  <c:v>44.217242962355272</c:v>
                </c:pt>
                <c:pt idx="8">
                  <c:v>43.216347549939137</c:v>
                </c:pt>
                <c:pt idx="9">
                  <c:v>42.342569365975407</c:v>
                </c:pt>
                <c:pt idx="10">
                  <c:v>41.583294186259543</c:v>
                </c:pt>
                <c:pt idx="11">
                  <c:v>40.927041228557982</c:v>
                </c:pt>
                <c:pt idx="12">
                  <c:v>40.363371350636612</c:v>
                </c:pt>
                <c:pt idx="13">
                  <c:v>39.882795374099601</c:v>
                </c:pt>
                <c:pt idx="14">
                  <c:v>39.476686020092423</c:v>
                </c:pt>
                <c:pt idx="15">
                  <c:v>39.137195795587559</c:v>
                </c:pt>
                <c:pt idx="16">
                  <c:v>38.85718222496638</c:v>
                </c:pt>
                <c:pt idx="17">
                  <c:v>38.630141067080437</c:v>
                </c:pt>
                <c:pt idx="18">
                  <c:v>38.450147554704643</c:v>
                </c:pt>
                <c:pt idx="19">
                  <c:v>38.311805212263103</c:v>
                </c:pt>
                <c:pt idx="20">
                  <c:v>38.210201436761338</c:v>
                </c:pt>
                <c:pt idx="21">
                  <c:v>38.140868765935522</c:v>
                </c:pt>
                <c:pt idx="22">
                  <c:v>38.099750611412787</c:v>
                </c:pt>
                <c:pt idx="23">
                  <c:v>38.083170207935268</c:v>
                </c:pt>
                <c:pt idx="24">
                  <c:v>38.087801627362303</c:v>
                </c:pt>
                <c:pt idx="25">
                  <c:v>38.110641936124132</c:v>
                </c:pt>
                <c:pt idx="26">
                  <c:v>38.148983948436182</c:v>
                </c:pt>
                <c:pt idx="27">
                  <c:v>38.200389547845703</c:v>
                </c:pt>
                <c:pt idx="28">
                  <c:v>38.262664183218249</c:v>
                </c:pt>
                <c:pt idx="29">
                  <c:v>38.333833766516022</c:v>
                </c:pt>
                <c:pt idx="30">
                  <c:v>38.412125559629089</c:v>
                </c:pt>
                <c:pt idx="31">
                  <c:v>38.495954382137711</c:v>
                </c:pt>
                <c:pt idx="32">
                  <c:v>38.583914339995999</c:v>
                </c:pt>
                <c:pt idx="33">
                  <c:v>38.674774428301824</c:v>
                </c:pt>
                <c:pt idx="34">
                  <c:v>38.767474617242392</c:v>
                </c:pt>
                <c:pt idx="35">
                  <c:v>38.861118552100038</c:v>
                </c:pt>
                <c:pt idx="36">
                  <c:v>38.954960394160203</c:v>
                </c:pt>
                <c:pt idx="37">
                  <c:v>39.048385954196021</c:v>
                </c:pt>
                <c:pt idx="38">
                  <c:v>39.140890628244222</c:v>
                </c:pt>
                <c:pt idx="39">
                  <c:v>39.232057591948553</c:v>
                </c:pt>
                <c:pt idx="40">
                  <c:v>39.321539183692323</c:v>
                </c:pt>
                <c:pt idx="41">
                  <c:v>39.409043117606977</c:v>
                </c:pt>
                <c:pt idx="42">
                  <c:v>39.49432386193223</c:v>
                </c:pt>
                <c:pt idx="43">
                  <c:v>39.57717857847274</c:v>
                </c:pt>
                <c:pt idx="44">
                  <c:v>39.657446500550982</c:v>
                </c:pt>
                <c:pt idx="45">
                  <c:v>39.735010449980962</c:v>
                </c:pt>
                <c:pt idx="46">
                  <c:v>39.809799284298776</c:v>
                </c:pt>
                <c:pt idx="47">
                  <c:v>39.881790478167602</c:v>
                </c:pt>
                <c:pt idx="48">
                  <c:v>39.95101576147681</c:v>
                </c:pt>
                <c:pt idx="49">
                  <c:v>40.017580104044043</c:v>
                </c:pt>
                <c:pt idx="50">
                  <c:v>40.081640055387197</c:v>
                </c:pt>
                <c:pt idx="51">
                  <c:v>40.143378106227999</c:v>
                </c:pt>
                <c:pt idx="52">
                  <c:v>40.202992574674113</c:v>
                </c:pt>
                <c:pt idx="53">
                  <c:v>40.260690524533629</c:v>
                </c:pt>
                <c:pt idx="54">
                  <c:v>40.316683202482352</c:v>
                </c:pt>
                <c:pt idx="55">
                  <c:v>40.371184021929928</c:v>
                </c:pt>
                <c:pt idx="56">
                  <c:v>40.424408949661817</c:v>
                </c:pt>
                <c:pt idx="57">
                  <c:v>40.476578875262128</c:v>
                </c:pt>
                <c:pt idx="58">
                  <c:v>40.527923262518023</c:v>
                </c:pt>
                <c:pt idx="59">
                  <c:v>40.578684149922033</c:v>
                </c:pt>
                <c:pt idx="60">
                  <c:v>40.629119438211887</c:v>
                </c:pt>
                <c:pt idx="61">
                  <c:v>40.679504444240592</c:v>
                </c:pt>
                <c:pt idx="62">
                  <c:v>40.730130977131182</c:v>
                </c:pt>
                <c:pt idx="63">
                  <c:v>40.781303714604057</c:v>
                </c:pt>
                <c:pt idx="64">
                  <c:v>40.833334318511447</c:v>
                </c:pt>
                <c:pt idx="65">
                  <c:v>40.886534303460849</c:v>
                </c:pt>
                <c:pt idx="66">
                  <c:v>40.941207920437819</c:v>
                </c:pt>
                <c:pt idx="67">
                  <c:v>40.997646133326839</c:v>
                </c:pt>
                <c:pt idx="68">
                  <c:v>41.056122263138832</c:v>
                </c:pt>
                <c:pt idx="69">
                  <c:v>41.11688929969381</c:v>
                </c:pt>
                <c:pt idx="70">
                  <c:v>41.18017846333629</c:v>
                </c:pt>
                <c:pt idx="71">
                  <c:v>41.24619843844556</c:v>
                </c:pt>
                <c:pt idx="72">
                  <c:v>41.315134762540993</c:v>
                </c:pt>
                <c:pt idx="73">
                  <c:v>41.387149040248971</c:v>
                </c:pt>
                <c:pt idx="74">
                  <c:v>41.462377862695007</c:v>
                </c:pt>
                <c:pt idx="75">
                  <c:v>41.540931488138881</c:v>
                </c:pt>
                <c:pt idx="76">
                  <c:v>41.622892454771197</c:v>
                </c:pt>
                <c:pt idx="77">
                  <c:v>41.708314352492273</c:v>
                </c:pt>
                <c:pt idx="78">
                  <c:v>41.797220989196767</c:v>
                </c:pt>
                <c:pt idx="79">
                  <c:v>41.889606162254609</c:v>
                </c:pt>
                <c:pt idx="80">
                  <c:v>41.985434198761538</c:v>
                </c:pt>
                <c:pt idx="81">
                  <c:v>42.084641366772871</c:v>
                </c:pt>
                <c:pt idx="82">
                  <c:v>42.506821549735321</c:v>
                </c:pt>
                <c:pt idx="83">
                  <c:v>45.43621601570959</c:v>
                </c:pt>
                <c:pt idx="84">
                  <c:v>47.492453942829172</c:v>
                </c:pt>
                <c:pt idx="85">
                  <c:v>48.926274142516263</c:v>
                </c:pt>
                <c:pt idx="86">
                  <c:v>49.922010073533158</c:v>
                </c:pt>
                <c:pt idx="87">
                  <c:v>50.611707430427373</c:v>
                </c:pt>
                <c:pt idx="88">
                  <c:v>51.088607949237257</c:v>
                </c:pt>
                <c:pt idx="89">
                  <c:v>51.417990120121658</c:v>
                </c:pt>
                <c:pt idx="90">
                  <c:v>51.645310040046752</c:v>
                </c:pt>
                <c:pt idx="91">
                  <c:v>51.802110609308777</c:v>
                </c:pt>
                <c:pt idx="92">
                  <c:v>51.91022980548297</c:v>
                </c:pt>
                <c:pt idx="93">
                  <c:v>51.984763383208701</c:v>
                </c:pt>
                <c:pt idx="94">
                  <c:v>52.036135616242859</c:v>
                </c:pt>
                <c:pt idx="95">
                  <c:v>52.071539834430723</c:v>
                </c:pt>
                <c:pt idx="96">
                  <c:v>52.095937443301978</c:v>
                </c:pt>
                <c:pt idx="97">
                  <c:v>52.112749309318588</c:v>
                </c:pt>
                <c:pt idx="98">
                  <c:v>52.124333570294198</c:v>
                </c:pt>
                <c:pt idx="99">
                  <c:v>52.132315530586538</c:v>
                </c:pt>
                <c:pt idx="100">
                  <c:v>52.137815282407757</c:v>
                </c:pt>
                <c:pt idx="101">
                  <c:v>52.141604689970343</c:v>
                </c:pt>
                <c:pt idx="102">
                  <c:v>52.144215623943978</c:v>
                </c:pt>
                <c:pt idx="103">
                  <c:v>52.146014569187507</c:v>
                </c:pt>
                <c:pt idx="104">
                  <c:v>51.340472349476727</c:v>
                </c:pt>
                <c:pt idx="105">
                  <c:v>49.929892355498957</c:v>
                </c:pt>
                <c:pt idx="106">
                  <c:v>49.102656279504231</c:v>
                </c:pt>
                <c:pt idx="107">
                  <c:v>48.634566109856557</c:v>
                </c:pt>
                <c:pt idx="108">
                  <c:v>48.392616399100923</c:v>
                </c:pt>
                <c:pt idx="109">
                  <c:v>48.295996423985457</c:v>
                </c:pt>
                <c:pt idx="110">
                  <c:v>48.294486615179267</c:v>
                </c:pt>
                <c:pt idx="111">
                  <c:v>48.356213085741558</c:v>
                </c:pt>
                <c:pt idx="112">
                  <c:v>48.460544701706787</c:v>
                </c:pt>
                <c:pt idx="113">
                  <c:v>48.593880945850799</c:v>
                </c:pt>
                <c:pt idx="114">
                  <c:v>48.7471018091112</c:v>
                </c:pt>
                <c:pt idx="115">
                  <c:v>48.913994049312286</c:v>
                </c:pt>
                <c:pt idx="116">
                  <c:v>49.090262755939989</c:v>
                </c:pt>
                <c:pt idx="117">
                  <c:v>49.272900477654787</c:v>
                </c:pt>
                <c:pt idx="118">
                  <c:v>49.459778610578212</c:v>
                </c:pt>
                <c:pt idx="119">
                  <c:v>49.649379092521137</c:v>
                </c:pt>
                <c:pt idx="120">
                  <c:v>49.84061580660341</c:v>
                </c:pt>
                <c:pt idx="121">
                  <c:v>50.032713884498548</c:v>
                </c:pt>
                <c:pt idx="122">
                  <c:v>50.225126602935688</c:v>
                </c:pt>
                <c:pt idx="123">
                  <c:v>50.417476792526372</c:v>
                </c:pt>
                <c:pt idx="124">
                  <c:v>50.609514335767017</c:v>
                </c:pt>
                <c:pt idx="125">
                  <c:v>50.801084391586407</c:v>
                </c:pt>
                <c:pt idx="126">
                  <c:v>50.992103001311989</c:v>
                </c:pt>
                <c:pt idx="127">
                  <c:v>51.182538042553858</c:v>
                </c:pt>
                <c:pt idx="128">
                  <c:v>51.372394317932049</c:v>
                </c:pt>
                <c:pt idx="129">
                  <c:v>51.561702050819797</c:v>
                </c:pt>
                <c:pt idx="130">
                  <c:v>51.750508319180653</c:v>
                </c:pt>
                <c:pt idx="131">
                  <c:v>51.93887107171895</c:v>
                </c:pt>
                <c:pt idx="132">
                  <c:v>52.126855395608693</c:v>
                </c:pt>
                <c:pt idx="133">
                  <c:v>52.314531684830968</c:v>
                </c:pt>
                <c:pt idx="134">
                  <c:v>52.501975325935348</c:v>
                </c:pt>
                <c:pt idx="135">
                  <c:v>52.689267501140421</c:v>
                </c:pt>
                <c:pt idx="136">
                  <c:v>52.876496734445936</c:v>
                </c:pt>
                <c:pt idx="137">
                  <c:v>53.063760925026138</c:v>
                </c:pt>
                <c:pt idx="138">
                  <c:v>53.251170074852332</c:v>
                </c:pt>
                <c:pt idx="139">
                  <c:v>53.438857568763183</c:v>
                </c:pt>
                <c:pt idx="140">
                  <c:v>53.626999792219408</c:v>
                </c:pt>
                <c:pt idx="141">
                  <c:v>53.81578554280577</c:v>
                </c:pt>
                <c:pt idx="142">
                  <c:v>54.005400297632377</c:v>
                </c:pt>
                <c:pt idx="143">
                  <c:v>54.196021868895507</c:v>
                </c:pt>
                <c:pt idx="144">
                  <c:v>54.38781758125333</c:v>
                </c:pt>
                <c:pt idx="145">
                  <c:v>54.58094237335672</c:v>
                </c:pt>
                <c:pt idx="146">
                  <c:v>54.775537740003301</c:v>
                </c:pt>
                <c:pt idx="147">
                  <c:v>54.971731504060017</c:v>
                </c:pt>
                <c:pt idx="148">
                  <c:v>55.169638378622153</c:v>
                </c:pt>
                <c:pt idx="149">
                  <c:v>55.369361219861958</c:v>
                </c:pt>
                <c:pt idx="150">
                  <c:v>55.570992807740879</c:v>
                </c:pt>
                <c:pt idx="151">
                  <c:v>55.774617941354961</c:v>
                </c:pt>
                <c:pt idx="152">
                  <c:v>55.980315607620007</c:v>
                </c:pt>
                <c:pt idx="153">
                  <c:v>56.188160981159967</c:v>
                </c:pt>
                <c:pt idx="154">
                  <c:v>56.398227040326958</c:v>
                </c:pt>
                <c:pt idx="155">
                  <c:v>56.610585636388628</c:v>
                </c:pt>
                <c:pt idx="156">
                  <c:v>56.825307924107051</c:v>
                </c:pt>
                <c:pt idx="157">
                  <c:v>57.042464143404118</c:v>
                </c:pt>
                <c:pt idx="158">
                  <c:v>57.26212282254096</c:v>
                </c:pt>
                <c:pt idx="159">
                  <c:v>57.484349541332563</c:v>
                </c:pt>
                <c:pt idx="160">
                  <c:v>57.70920543798195</c:v>
                </c:pt>
                <c:pt idx="161">
                  <c:v>57.936745658984023</c:v>
                </c:pt>
                <c:pt idx="162">
                  <c:v>58.167017938344543</c:v>
                </c:pt>
                <c:pt idx="163">
                  <c:v>58.400061456239882</c:v>
                </c:pt>
                <c:pt idx="164">
                  <c:v>58.635906078179573</c:v>
                </c:pt>
                <c:pt idx="165">
                  <c:v>58.87457202394512</c:v>
                </c:pt>
                <c:pt idx="166">
                  <c:v>59.116069968537772</c:v>
                </c:pt>
                <c:pt idx="167">
                  <c:v>59.360401538875983</c:v>
                </c:pt>
                <c:pt idx="168">
                  <c:v>59.60756014074002</c:v>
                </c:pt>
                <c:pt idx="169">
                  <c:v>59.857532030111088</c:v>
                </c:pt>
                <c:pt idx="170">
                  <c:v>60.110297531403717</c:v>
                </c:pt>
                <c:pt idx="171">
                  <c:v>60.36583230279814</c:v>
                </c:pt>
                <c:pt idx="172">
                  <c:v>60.624108556683723</c:v>
                </c:pt>
                <c:pt idx="173">
                  <c:v>60.885096161005833</c:v>
                </c:pt>
                <c:pt idx="174">
                  <c:v>61.148763573200647</c:v>
                </c:pt>
                <c:pt idx="175">
                  <c:v>61.41507858868431</c:v>
                </c:pt>
                <c:pt idx="176">
                  <c:v>61.684008915650217</c:v>
                </c:pt>
                <c:pt idx="177">
                  <c:v>61.587041362443642</c:v>
                </c:pt>
                <c:pt idx="178">
                  <c:v>60.638042270434767</c:v>
                </c:pt>
                <c:pt idx="179">
                  <c:v>59.785205443759423</c:v>
                </c:pt>
                <c:pt idx="180">
                  <c:v>59.018668637682246</c:v>
                </c:pt>
                <c:pt idx="181">
                  <c:v>58.329597716545209</c:v>
                </c:pt>
                <c:pt idx="182">
                  <c:v>57.710077914679459</c:v>
                </c:pt>
                <c:pt idx="183">
                  <c:v>57.153016468130552</c:v>
                </c:pt>
                <c:pt idx="184">
                  <c:v>56.652055559607113</c:v>
                </c:pt>
                <c:pt idx="185">
                  <c:v>56.20149456743934</c:v>
                </c:pt>
                <c:pt idx="186">
                  <c:v>55.796220671382457</c:v>
                </c:pt>
                <c:pt idx="187">
                  <c:v>55.431646939075279</c:v>
                </c:pt>
                <c:pt idx="188">
                  <c:v>55.103657092043591</c:v>
                </c:pt>
                <c:pt idx="189">
                  <c:v>54.80855622558613</c:v>
                </c:pt>
                <c:pt idx="190">
                  <c:v>54.54302682979494</c:v>
                </c:pt>
                <c:pt idx="191">
                  <c:v>54.304089527630822</c:v>
                </c:pt>
                <c:pt idx="192">
                  <c:v>54.089068009355167</c:v>
                </c:pt>
                <c:pt idx="193">
                  <c:v>53.895557700314733</c:v>
                </c:pt>
                <c:pt idx="194">
                  <c:v>53.721397751041991</c:v>
                </c:pt>
                <c:pt idx="195">
                  <c:v>53.564645985124123</c:v>
                </c:pt>
                <c:pt idx="196">
                  <c:v>53.423556481657783</c:v>
                </c:pt>
                <c:pt idx="197">
                  <c:v>53.296559505765337</c:v>
                </c:pt>
                <c:pt idx="198">
                  <c:v>53.182243533105243</c:v>
                </c:pt>
              </c:numCache>
            </c:numRef>
          </c:yVal>
          <c:smooth val="0"/>
          <c:extLst>
            <c:ext xmlns:c16="http://schemas.microsoft.com/office/drawing/2014/chart" uri="{C3380CC4-5D6E-409C-BE32-E72D297353CC}">
              <c16:uniqueId val="{00000001-F153-42EF-B8D2-A16133222B8C}"/>
            </c:ext>
          </c:extLst>
        </c:ser>
        <c:ser>
          <c:idx val="2"/>
          <c:order val="2"/>
          <c:tx>
            <c:v>flach, 50.000 Nm³/h</c:v>
          </c:tx>
          <c:spPr>
            <a:ln w="19050">
              <a:solidFill>
                <a:srgbClr val="EE7203"/>
              </a:solidFill>
              <a:prstDash val="sysDot"/>
            </a:ln>
          </c:spPr>
          <c:marker>
            <c:symbol val="none"/>
          </c:marker>
          <c:xVal>
            <c:numRef>
              <c:f>Diagrammdaten!$AF$5:$AF$411</c:f>
              <c:numCache>
                <c:formatCode>0.0</c:formatCode>
                <c:ptCount val="407"/>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82.000000000000824</c:v>
                </c:pt>
                <c:pt idx="83">
                  <c:v>83.000000000000625</c:v>
                </c:pt>
                <c:pt idx="84">
                  <c:v>84.000000000000426</c:v>
                </c:pt>
                <c:pt idx="85">
                  <c:v>85.000000000000227</c:v>
                </c:pt>
                <c:pt idx="86">
                  <c:v>86.000000000000028</c:v>
                </c:pt>
                <c:pt idx="87">
                  <c:v>86.999999999999829</c:v>
                </c:pt>
                <c:pt idx="88">
                  <c:v>87.999999999999631</c:v>
                </c:pt>
                <c:pt idx="89">
                  <c:v>88.999999999999432</c:v>
                </c:pt>
                <c:pt idx="90">
                  <c:v>89.999999999999233</c:v>
                </c:pt>
                <c:pt idx="91">
                  <c:v>90.999999999999034</c:v>
                </c:pt>
                <c:pt idx="92">
                  <c:v>91.999999999998835</c:v>
                </c:pt>
                <c:pt idx="93">
                  <c:v>92.999999999998636</c:v>
                </c:pt>
                <c:pt idx="94">
                  <c:v>93.999999999998437</c:v>
                </c:pt>
                <c:pt idx="95">
                  <c:v>94.999999999998238</c:v>
                </c:pt>
                <c:pt idx="96">
                  <c:v>95.999999999998039</c:v>
                </c:pt>
                <c:pt idx="97">
                  <c:v>96.99999999999784</c:v>
                </c:pt>
                <c:pt idx="98">
                  <c:v>97.999999999997641</c:v>
                </c:pt>
                <c:pt idx="99">
                  <c:v>98.999999999997442</c:v>
                </c:pt>
                <c:pt idx="100">
                  <c:v>99.999999999997243</c:v>
                </c:pt>
                <c:pt idx="101">
                  <c:v>100.999999999997</c:v>
                </c:pt>
                <c:pt idx="102">
                  <c:v>101.9999999999968</c:v>
                </c:pt>
                <c:pt idx="103">
                  <c:v>102.9999999999966</c:v>
                </c:pt>
                <c:pt idx="104">
                  <c:v>103.9999999999964</c:v>
                </c:pt>
                <c:pt idx="105">
                  <c:v>104.99999999999621</c:v>
                </c:pt>
                <c:pt idx="106">
                  <c:v>105.99999999999601</c:v>
                </c:pt>
                <c:pt idx="107">
                  <c:v>106.99999999999589</c:v>
                </c:pt>
                <c:pt idx="108">
                  <c:v>107.99999999999569</c:v>
                </c:pt>
                <c:pt idx="109">
                  <c:v>108.9999999999955</c:v>
                </c:pt>
                <c:pt idx="110">
                  <c:v>109.9999999999953</c:v>
                </c:pt>
                <c:pt idx="111">
                  <c:v>110.9999999999951</c:v>
                </c:pt>
                <c:pt idx="112">
                  <c:v>111.9999999999949</c:v>
                </c:pt>
                <c:pt idx="113">
                  <c:v>112.9999999999947</c:v>
                </c:pt>
                <c:pt idx="114">
                  <c:v>113.9999999999945</c:v>
                </c:pt>
                <c:pt idx="115">
                  <c:v>114.9999999999943</c:v>
                </c:pt>
                <c:pt idx="116">
                  <c:v>115.9999999999941</c:v>
                </c:pt>
                <c:pt idx="117">
                  <c:v>116.9999999999939</c:v>
                </c:pt>
                <c:pt idx="118">
                  <c:v>117.9999999999937</c:v>
                </c:pt>
                <c:pt idx="119">
                  <c:v>118.99999999999351</c:v>
                </c:pt>
                <c:pt idx="120">
                  <c:v>119.99999999999331</c:v>
                </c:pt>
                <c:pt idx="121">
                  <c:v>120.99999999999309</c:v>
                </c:pt>
                <c:pt idx="122">
                  <c:v>121.99999999999289</c:v>
                </c:pt>
                <c:pt idx="123">
                  <c:v>122.9999999999927</c:v>
                </c:pt>
                <c:pt idx="124">
                  <c:v>123.9999999999925</c:v>
                </c:pt>
                <c:pt idx="125">
                  <c:v>124.9999999999923</c:v>
                </c:pt>
                <c:pt idx="126">
                  <c:v>125.9999999999921</c:v>
                </c:pt>
                <c:pt idx="127">
                  <c:v>126.9999999999919</c:v>
                </c:pt>
                <c:pt idx="128">
                  <c:v>127.9999999999917</c:v>
                </c:pt>
                <c:pt idx="129">
                  <c:v>128.99999999999221</c:v>
                </c:pt>
                <c:pt idx="130">
                  <c:v>129.9999999999927</c:v>
                </c:pt>
                <c:pt idx="131">
                  <c:v>130.99999999999321</c:v>
                </c:pt>
                <c:pt idx="132">
                  <c:v>131.99999999999369</c:v>
                </c:pt>
                <c:pt idx="133">
                  <c:v>132.9999999999942</c:v>
                </c:pt>
                <c:pt idx="134">
                  <c:v>133.99999999999471</c:v>
                </c:pt>
                <c:pt idx="135">
                  <c:v>134.99999999999531</c:v>
                </c:pt>
                <c:pt idx="136">
                  <c:v>135.99999999999579</c:v>
                </c:pt>
                <c:pt idx="137">
                  <c:v>136.99999999999631</c:v>
                </c:pt>
                <c:pt idx="138">
                  <c:v>137.99999999999679</c:v>
                </c:pt>
                <c:pt idx="139">
                  <c:v>138.9999999999973</c:v>
                </c:pt>
                <c:pt idx="140">
                  <c:v>139.99999999999781</c:v>
                </c:pt>
                <c:pt idx="141">
                  <c:v>140.99999999999829</c:v>
                </c:pt>
                <c:pt idx="142">
                  <c:v>141.99999999999881</c:v>
                </c:pt>
                <c:pt idx="143">
                  <c:v>142.99999999999929</c:v>
                </c:pt>
                <c:pt idx="144">
                  <c:v>143.99999999999989</c:v>
                </c:pt>
                <c:pt idx="145">
                  <c:v>145.0000000000004</c:v>
                </c:pt>
                <c:pt idx="146">
                  <c:v>146.00000000000091</c:v>
                </c:pt>
                <c:pt idx="147">
                  <c:v>147.00000000000139</c:v>
                </c:pt>
                <c:pt idx="148">
                  <c:v>148.0000000000019</c:v>
                </c:pt>
                <c:pt idx="149">
                  <c:v>149.00000000000239</c:v>
                </c:pt>
                <c:pt idx="150">
                  <c:v>150.0000000000029</c:v>
                </c:pt>
                <c:pt idx="151">
                  <c:v>151.00000000000341</c:v>
                </c:pt>
                <c:pt idx="152">
                  <c:v>152.00000000000401</c:v>
                </c:pt>
                <c:pt idx="153">
                  <c:v>153.00000000000449</c:v>
                </c:pt>
                <c:pt idx="154">
                  <c:v>154.000000000005</c:v>
                </c:pt>
                <c:pt idx="155">
                  <c:v>155.00000000000551</c:v>
                </c:pt>
                <c:pt idx="156">
                  <c:v>156.000000000006</c:v>
                </c:pt>
                <c:pt idx="157">
                  <c:v>157.00000000000651</c:v>
                </c:pt>
                <c:pt idx="158">
                  <c:v>158.00000000000699</c:v>
                </c:pt>
                <c:pt idx="159">
                  <c:v>159.0000000000075</c:v>
                </c:pt>
                <c:pt idx="160">
                  <c:v>160.00000000000799</c:v>
                </c:pt>
                <c:pt idx="161">
                  <c:v>161.00000000000861</c:v>
                </c:pt>
                <c:pt idx="162">
                  <c:v>162.00000000000909</c:v>
                </c:pt>
                <c:pt idx="163">
                  <c:v>163.00000000000961</c:v>
                </c:pt>
                <c:pt idx="164">
                  <c:v>164.00000000001009</c:v>
                </c:pt>
                <c:pt idx="165">
                  <c:v>165.0000000000106</c:v>
                </c:pt>
                <c:pt idx="166">
                  <c:v>166.00000000001111</c:v>
                </c:pt>
                <c:pt idx="167">
                  <c:v>167.0000000000116</c:v>
                </c:pt>
                <c:pt idx="168">
                  <c:v>168.00000000001211</c:v>
                </c:pt>
                <c:pt idx="169">
                  <c:v>169.00000000001259</c:v>
                </c:pt>
                <c:pt idx="170">
                  <c:v>170.00000000001319</c:v>
                </c:pt>
                <c:pt idx="171">
                  <c:v>171.0000000000137</c:v>
                </c:pt>
                <c:pt idx="172">
                  <c:v>172.00000000001421</c:v>
                </c:pt>
                <c:pt idx="173">
                  <c:v>173.00000000001469</c:v>
                </c:pt>
                <c:pt idx="174">
                  <c:v>174.00000000001521</c:v>
                </c:pt>
                <c:pt idx="175">
                  <c:v>175.00000000001569</c:v>
                </c:pt>
                <c:pt idx="176">
                  <c:v>176.0000000000162</c:v>
                </c:pt>
                <c:pt idx="177">
                  <c:v>177.00000000001671</c:v>
                </c:pt>
                <c:pt idx="178">
                  <c:v>178.00000000001731</c:v>
                </c:pt>
                <c:pt idx="179">
                  <c:v>179.00000000001779</c:v>
                </c:pt>
                <c:pt idx="180">
                  <c:v>180.0000000000183</c:v>
                </c:pt>
                <c:pt idx="181">
                  <c:v>181.00000000001879</c:v>
                </c:pt>
                <c:pt idx="182">
                  <c:v>182.0000000000193</c:v>
                </c:pt>
                <c:pt idx="183">
                  <c:v>183.00000000001981</c:v>
                </c:pt>
                <c:pt idx="184">
                  <c:v>184.00000000002029</c:v>
                </c:pt>
                <c:pt idx="185">
                  <c:v>185.0000000000208</c:v>
                </c:pt>
                <c:pt idx="186">
                  <c:v>186.00000000002129</c:v>
                </c:pt>
                <c:pt idx="187">
                  <c:v>187.00000000002191</c:v>
                </c:pt>
                <c:pt idx="188">
                  <c:v>188.0000000000224</c:v>
                </c:pt>
                <c:pt idx="189">
                  <c:v>188.7800000000228</c:v>
                </c:pt>
                <c:pt idx="190">
                  <c:v>189.78000000002331</c:v>
                </c:pt>
                <c:pt idx="191">
                  <c:v>190.78000000002379</c:v>
                </c:pt>
                <c:pt idx="192">
                  <c:v>191.7800000000243</c:v>
                </c:pt>
                <c:pt idx="193">
                  <c:v>192.78000000002481</c:v>
                </c:pt>
                <c:pt idx="194">
                  <c:v>193.7800000000253</c:v>
                </c:pt>
                <c:pt idx="195">
                  <c:v>194.78000000002581</c:v>
                </c:pt>
                <c:pt idx="196">
                  <c:v>195.78000000002629</c:v>
                </c:pt>
                <c:pt idx="197">
                  <c:v>196.78000000002689</c:v>
                </c:pt>
                <c:pt idx="198">
                  <c:v>197.7800000000274</c:v>
                </c:pt>
                <c:pt idx="199">
                  <c:v>198.78000000002791</c:v>
                </c:pt>
                <c:pt idx="200">
                  <c:v>199.78000000002839</c:v>
                </c:pt>
                <c:pt idx="201">
                  <c:v>200.78000000002891</c:v>
                </c:pt>
                <c:pt idx="202">
                  <c:v>201.78000000002939</c:v>
                </c:pt>
                <c:pt idx="203">
                  <c:v>202.7800000000299</c:v>
                </c:pt>
                <c:pt idx="204">
                  <c:v>203.78000000003041</c:v>
                </c:pt>
                <c:pt idx="205">
                  <c:v>204.78000000003101</c:v>
                </c:pt>
                <c:pt idx="206">
                  <c:v>205.78000000003149</c:v>
                </c:pt>
                <c:pt idx="207">
                  <c:v>206.780000000032</c:v>
                </c:pt>
                <c:pt idx="208">
                  <c:v>207.78000000003249</c:v>
                </c:pt>
                <c:pt idx="209">
                  <c:v>208.780000000033</c:v>
                </c:pt>
                <c:pt idx="210">
                  <c:v>209.74000000003349</c:v>
                </c:pt>
                <c:pt idx="211">
                  <c:v>210.56000000003391</c:v>
                </c:pt>
                <c:pt idx="212">
                  <c:v>211.56000000003439</c:v>
                </c:pt>
                <c:pt idx="213">
                  <c:v>212.5600000000349</c:v>
                </c:pt>
                <c:pt idx="214">
                  <c:v>213.56000000003539</c:v>
                </c:pt>
                <c:pt idx="215">
                  <c:v>214.56000000003601</c:v>
                </c:pt>
                <c:pt idx="216">
                  <c:v>215.5600000000365</c:v>
                </c:pt>
                <c:pt idx="217">
                  <c:v>216.56000000003701</c:v>
                </c:pt>
                <c:pt idx="218">
                  <c:v>217.56000000003749</c:v>
                </c:pt>
                <c:pt idx="219">
                  <c:v>218.560000000038</c:v>
                </c:pt>
                <c:pt idx="220">
                  <c:v>219.56000000003851</c:v>
                </c:pt>
                <c:pt idx="221">
                  <c:v>220.560000000039</c:v>
                </c:pt>
                <c:pt idx="222">
                  <c:v>221.56000000003951</c:v>
                </c:pt>
                <c:pt idx="223">
                  <c:v>222.56000000003999</c:v>
                </c:pt>
                <c:pt idx="224">
                  <c:v>223.56000000004059</c:v>
                </c:pt>
                <c:pt idx="225">
                  <c:v>224.5600000000411</c:v>
                </c:pt>
                <c:pt idx="226">
                  <c:v>225.56000000004161</c:v>
                </c:pt>
                <c:pt idx="227">
                  <c:v>226.56000000004209</c:v>
                </c:pt>
                <c:pt idx="228">
                  <c:v>227.56000000004261</c:v>
                </c:pt>
                <c:pt idx="229">
                  <c:v>228.56000000004309</c:v>
                </c:pt>
                <c:pt idx="230">
                  <c:v>229.5600000000436</c:v>
                </c:pt>
                <c:pt idx="231">
                  <c:v>230.56000000004411</c:v>
                </c:pt>
                <c:pt idx="232">
                  <c:v>231.56000000004471</c:v>
                </c:pt>
                <c:pt idx="233">
                  <c:v>232.56000000004519</c:v>
                </c:pt>
                <c:pt idx="234">
                  <c:v>233.5600000000457</c:v>
                </c:pt>
                <c:pt idx="235">
                  <c:v>234.56000000004619</c:v>
                </c:pt>
                <c:pt idx="236">
                  <c:v>235.5600000000467</c:v>
                </c:pt>
                <c:pt idx="237">
                  <c:v>236.56000000004721</c:v>
                </c:pt>
                <c:pt idx="238">
                  <c:v>237.56000000004769</c:v>
                </c:pt>
                <c:pt idx="239">
                  <c:v>238.56000000004821</c:v>
                </c:pt>
                <c:pt idx="240">
                  <c:v>239.56000000004869</c:v>
                </c:pt>
                <c:pt idx="241">
                  <c:v>240.56000000004931</c:v>
                </c:pt>
                <c:pt idx="242">
                  <c:v>241.5600000000498</c:v>
                </c:pt>
                <c:pt idx="243">
                  <c:v>242.56000000005031</c:v>
                </c:pt>
                <c:pt idx="244">
                  <c:v>243.56000000005079</c:v>
                </c:pt>
                <c:pt idx="245">
                  <c:v>244.5600000000513</c:v>
                </c:pt>
                <c:pt idx="246">
                  <c:v>245.56000000005179</c:v>
                </c:pt>
                <c:pt idx="247">
                  <c:v>246.5600000000523</c:v>
                </c:pt>
                <c:pt idx="248">
                  <c:v>247.56000000005281</c:v>
                </c:pt>
                <c:pt idx="249">
                  <c:v>248.56000000005329</c:v>
                </c:pt>
                <c:pt idx="250">
                  <c:v>249.56000000005389</c:v>
                </c:pt>
                <c:pt idx="251">
                  <c:v>250.5600000000544</c:v>
                </c:pt>
                <c:pt idx="252">
                  <c:v>251.56000000005491</c:v>
                </c:pt>
                <c:pt idx="253">
                  <c:v>252.5600000000554</c:v>
                </c:pt>
                <c:pt idx="254">
                  <c:v>253.56000000005591</c:v>
                </c:pt>
                <c:pt idx="255">
                  <c:v>254.56000000005639</c:v>
                </c:pt>
                <c:pt idx="256">
                  <c:v>255.5600000000569</c:v>
                </c:pt>
                <c:pt idx="257">
                  <c:v>256.56000000005662</c:v>
                </c:pt>
                <c:pt idx="258">
                  <c:v>257.56000000005571</c:v>
                </c:pt>
                <c:pt idx="259">
                  <c:v>258.5600000000548</c:v>
                </c:pt>
                <c:pt idx="260">
                  <c:v>259.56000000005389</c:v>
                </c:pt>
                <c:pt idx="261">
                  <c:v>260.56000000005298</c:v>
                </c:pt>
                <c:pt idx="262">
                  <c:v>261.56000000005213</c:v>
                </c:pt>
                <c:pt idx="263">
                  <c:v>262.56000000005122</c:v>
                </c:pt>
                <c:pt idx="264">
                  <c:v>263.56000000005031</c:v>
                </c:pt>
                <c:pt idx="265">
                  <c:v>264.56000000004929</c:v>
                </c:pt>
                <c:pt idx="266">
                  <c:v>265.56000000004838</c:v>
                </c:pt>
                <c:pt idx="267">
                  <c:v>266.56000000004752</c:v>
                </c:pt>
                <c:pt idx="268">
                  <c:v>267.56000000004661</c:v>
                </c:pt>
                <c:pt idx="269">
                  <c:v>268.5600000000457</c:v>
                </c:pt>
                <c:pt idx="270">
                  <c:v>269.56000000004479</c:v>
                </c:pt>
                <c:pt idx="271">
                  <c:v>270.56000000004389</c:v>
                </c:pt>
                <c:pt idx="272">
                  <c:v>271.56000000004298</c:v>
                </c:pt>
                <c:pt idx="273">
                  <c:v>272.56000000004212</c:v>
                </c:pt>
                <c:pt idx="274">
                  <c:v>273.56000000004121</c:v>
                </c:pt>
                <c:pt idx="275">
                  <c:v>274.56000000004019</c:v>
                </c:pt>
                <c:pt idx="276">
                  <c:v>275.56000000003928</c:v>
                </c:pt>
                <c:pt idx="277">
                  <c:v>276.56000000003837</c:v>
                </c:pt>
                <c:pt idx="278">
                  <c:v>277.56000000003752</c:v>
                </c:pt>
                <c:pt idx="279">
                  <c:v>278.56000000003661</c:v>
                </c:pt>
                <c:pt idx="280">
                  <c:v>279.5600000000357</c:v>
                </c:pt>
                <c:pt idx="281">
                  <c:v>280.56000000003479</c:v>
                </c:pt>
                <c:pt idx="282">
                  <c:v>281.56000000003388</c:v>
                </c:pt>
                <c:pt idx="283">
                  <c:v>282.56000000003303</c:v>
                </c:pt>
                <c:pt idx="284">
                  <c:v>283.56000000003212</c:v>
                </c:pt>
                <c:pt idx="285">
                  <c:v>284.56000000003121</c:v>
                </c:pt>
                <c:pt idx="286">
                  <c:v>285.56000000003019</c:v>
                </c:pt>
                <c:pt idx="287">
                  <c:v>286.56000000002928</c:v>
                </c:pt>
                <c:pt idx="288">
                  <c:v>287.56000000002842</c:v>
                </c:pt>
                <c:pt idx="289">
                  <c:v>288.56000000002751</c:v>
                </c:pt>
                <c:pt idx="290">
                  <c:v>289.5600000000266</c:v>
                </c:pt>
                <c:pt idx="291">
                  <c:v>290.5600000000257</c:v>
                </c:pt>
                <c:pt idx="292">
                  <c:v>291.56000000002479</c:v>
                </c:pt>
                <c:pt idx="293">
                  <c:v>292.56000000002388</c:v>
                </c:pt>
                <c:pt idx="294">
                  <c:v>293.56000000002302</c:v>
                </c:pt>
                <c:pt idx="295">
                  <c:v>294.56000000002211</c:v>
                </c:pt>
                <c:pt idx="296">
                  <c:v>295.56000000002109</c:v>
                </c:pt>
                <c:pt idx="297">
                  <c:v>296.56000000002018</c:v>
                </c:pt>
                <c:pt idx="298">
                  <c:v>297.56000000001927</c:v>
                </c:pt>
                <c:pt idx="299">
                  <c:v>298.56000000001842</c:v>
                </c:pt>
                <c:pt idx="300">
                  <c:v>299.56000000001751</c:v>
                </c:pt>
                <c:pt idx="301">
                  <c:v>300.5600000000166</c:v>
                </c:pt>
                <c:pt idx="302">
                  <c:v>301.56000000001569</c:v>
                </c:pt>
                <c:pt idx="303">
                  <c:v>302.56000000001478</c:v>
                </c:pt>
                <c:pt idx="304">
                  <c:v>303.56000000001387</c:v>
                </c:pt>
                <c:pt idx="305">
                  <c:v>304.56000000001302</c:v>
                </c:pt>
                <c:pt idx="306">
                  <c:v>305.56000000001211</c:v>
                </c:pt>
                <c:pt idx="307">
                  <c:v>306.56000000001109</c:v>
                </c:pt>
                <c:pt idx="308">
                  <c:v>307.56000000001018</c:v>
                </c:pt>
                <c:pt idx="309">
                  <c:v>308.56000000000932</c:v>
                </c:pt>
                <c:pt idx="310">
                  <c:v>309.56000000000842</c:v>
                </c:pt>
                <c:pt idx="311">
                  <c:v>310.56000000000751</c:v>
                </c:pt>
                <c:pt idx="312">
                  <c:v>311.5600000000066</c:v>
                </c:pt>
                <c:pt idx="313">
                  <c:v>312.56000000000569</c:v>
                </c:pt>
                <c:pt idx="314">
                  <c:v>313.56000000000478</c:v>
                </c:pt>
                <c:pt idx="315">
                  <c:v>314.56000000000392</c:v>
                </c:pt>
                <c:pt idx="316">
                  <c:v>315.56000000000301</c:v>
                </c:pt>
                <c:pt idx="317">
                  <c:v>316.56000000000199</c:v>
                </c:pt>
                <c:pt idx="318">
                  <c:v>317.56000000000108</c:v>
                </c:pt>
                <c:pt idx="319">
                  <c:v>318.56000000000017</c:v>
                </c:pt>
                <c:pt idx="320">
                  <c:v>319.55999999999932</c:v>
                </c:pt>
                <c:pt idx="321">
                  <c:v>320.55999999999841</c:v>
                </c:pt>
                <c:pt idx="322">
                  <c:v>321.5599999999975</c:v>
                </c:pt>
                <c:pt idx="323">
                  <c:v>322.55999999999659</c:v>
                </c:pt>
                <c:pt idx="324">
                  <c:v>323.55999999999568</c:v>
                </c:pt>
                <c:pt idx="325">
                  <c:v>324.55999999999477</c:v>
                </c:pt>
                <c:pt idx="326">
                  <c:v>325.55999999999392</c:v>
                </c:pt>
                <c:pt idx="327">
                  <c:v>326.55999999999301</c:v>
                </c:pt>
                <c:pt idx="328">
                  <c:v>327.55999999999199</c:v>
                </c:pt>
                <c:pt idx="329">
                  <c:v>328.55999999999108</c:v>
                </c:pt>
                <c:pt idx="330">
                  <c:v>329.55999999999023</c:v>
                </c:pt>
                <c:pt idx="331">
                  <c:v>330.55999999998932</c:v>
                </c:pt>
                <c:pt idx="332">
                  <c:v>331.55999999998841</c:v>
                </c:pt>
                <c:pt idx="333">
                  <c:v>332.5599999999875</c:v>
                </c:pt>
                <c:pt idx="334">
                  <c:v>333.55999999998659</c:v>
                </c:pt>
                <c:pt idx="335">
                  <c:v>334.55999999998568</c:v>
                </c:pt>
                <c:pt idx="336">
                  <c:v>335.55999999998483</c:v>
                </c:pt>
                <c:pt idx="337">
                  <c:v>336.55999999998392</c:v>
                </c:pt>
                <c:pt idx="338">
                  <c:v>337.55999999998289</c:v>
                </c:pt>
                <c:pt idx="339">
                  <c:v>338.55999999998198</c:v>
                </c:pt>
                <c:pt idx="340">
                  <c:v>339.55999999998107</c:v>
                </c:pt>
                <c:pt idx="341">
                  <c:v>340.55999999998022</c:v>
                </c:pt>
                <c:pt idx="342">
                  <c:v>341.55999999997931</c:v>
                </c:pt>
                <c:pt idx="343">
                  <c:v>342.5599999999784</c:v>
                </c:pt>
                <c:pt idx="344">
                  <c:v>343.55999999997749</c:v>
                </c:pt>
                <c:pt idx="345">
                  <c:v>344.55999999997658</c:v>
                </c:pt>
                <c:pt idx="346">
                  <c:v>345.55999999997567</c:v>
                </c:pt>
                <c:pt idx="347">
                  <c:v>346.55999999997482</c:v>
                </c:pt>
                <c:pt idx="348">
                  <c:v>347.55999999997391</c:v>
                </c:pt>
                <c:pt idx="349">
                  <c:v>348.55999999997289</c:v>
                </c:pt>
                <c:pt idx="350">
                  <c:v>349.55999999997198</c:v>
                </c:pt>
                <c:pt idx="351">
                  <c:v>350.55999999997113</c:v>
                </c:pt>
                <c:pt idx="352">
                  <c:v>351.55999999997022</c:v>
                </c:pt>
                <c:pt idx="353">
                  <c:v>352.55999999996931</c:v>
                </c:pt>
                <c:pt idx="354">
                  <c:v>353.5599999999684</c:v>
                </c:pt>
                <c:pt idx="355">
                  <c:v>354.55999999996749</c:v>
                </c:pt>
                <c:pt idx="356">
                  <c:v>355.55999999996658</c:v>
                </c:pt>
                <c:pt idx="357">
                  <c:v>356.55999999996573</c:v>
                </c:pt>
                <c:pt idx="358">
                  <c:v>357.55999999996482</c:v>
                </c:pt>
                <c:pt idx="359">
                  <c:v>358.55999999996379</c:v>
                </c:pt>
                <c:pt idx="360">
                  <c:v>359.55999999996288</c:v>
                </c:pt>
                <c:pt idx="361">
                  <c:v>360.55999999996197</c:v>
                </c:pt>
                <c:pt idx="362">
                  <c:v>361.55999999996112</c:v>
                </c:pt>
                <c:pt idx="363">
                  <c:v>362.55999999996021</c:v>
                </c:pt>
                <c:pt idx="364">
                  <c:v>363.5599999999593</c:v>
                </c:pt>
                <c:pt idx="365">
                  <c:v>364.55999999995839</c:v>
                </c:pt>
                <c:pt idx="366">
                  <c:v>365.55999999995748</c:v>
                </c:pt>
                <c:pt idx="367">
                  <c:v>366.55999999995657</c:v>
                </c:pt>
                <c:pt idx="368">
                  <c:v>367.55999999995572</c:v>
                </c:pt>
                <c:pt idx="369">
                  <c:v>368.55999999995481</c:v>
                </c:pt>
                <c:pt idx="370">
                  <c:v>369.55999999995379</c:v>
                </c:pt>
                <c:pt idx="371">
                  <c:v>370.55999999995288</c:v>
                </c:pt>
                <c:pt idx="372">
                  <c:v>371.55999999995203</c:v>
                </c:pt>
                <c:pt idx="373">
                  <c:v>372.55999999995112</c:v>
                </c:pt>
                <c:pt idx="374">
                  <c:v>373.55999999995021</c:v>
                </c:pt>
                <c:pt idx="375">
                  <c:v>374.5599999999493</c:v>
                </c:pt>
                <c:pt idx="376">
                  <c:v>375.55999999994839</c:v>
                </c:pt>
                <c:pt idx="377">
                  <c:v>376.55999999994748</c:v>
                </c:pt>
                <c:pt idx="378">
                  <c:v>377.55999999994663</c:v>
                </c:pt>
                <c:pt idx="379">
                  <c:v>378.55999999994572</c:v>
                </c:pt>
                <c:pt idx="380">
                  <c:v>379.55999999994481</c:v>
                </c:pt>
                <c:pt idx="381">
                  <c:v>380.55999999994378</c:v>
                </c:pt>
                <c:pt idx="382">
                  <c:v>381.55999999994287</c:v>
                </c:pt>
                <c:pt idx="383">
                  <c:v>382.55999999994202</c:v>
                </c:pt>
                <c:pt idx="384">
                  <c:v>383.49999999994122</c:v>
                </c:pt>
                <c:pt idx="385">
                  <c:v>384.3399999999404</c:v>
                </c:pt>
                <c:pt idx="386">
                  <c:v>385.33999999993949</c:v>
                </c:pt>
                <c:pt idx="387">
                  <c:v>386.33999999993858</c:v>
                </c:pt>
                <c:pt idx="388">
                  <c:v>387.33999999993767</c:v>
                </c:pt>
                <c:pt idx="389">
                  <c:v>388.33999999993682</c:v>
                </c:pt>
                <c:pt idx="390">
                  <c:v>389.33999999993591</c:v>
                </c:pt>
                <c:pt idx="391">
                  <c:v>390.33999999993489</c:v>
                </c:pt>
                <c:pt idx="392">
                  <c:v>391.33999999993398</c:v>
                </c:pt>
                <c:pt idx="393">
                  <c:v>392.33999999993313</c:v>
                </c:pt>
                <c:pt idx="394">
                  <c:v>393.33999999993222</c:v>
                </c:pt>
                <c:pt idx="395">
                  <c:v>394.33999999993131</c:v>
                </c:pt>
                <c:pt idx="396">
                  <c:v>395.3399999999304</c:v>
                </c:pt>
                <c:pt idx="397">
                  <c:v>396.33999999992949</c:v>
                </c:pt>
                <c:pt idx="398">
                  <c:v>397.33999999992858</c:v>
                </c:pt>
                <c:pt idx="399">
                  <c:v>398.33999999992773</c:v>
                </c:pt>
                <c:pt idx="400">
                  <c:v>399.33999999992682</c:v>
                </c:pt>
                <c:pt idx="401">
                  <c:v>400.33999999992591</c:v>
                </c:pt>
                <c:pt idx="402">
                  <c:v>401.33999999992488</c:v>
                </c:pt>
                <c:pt idx="403">
                  <c:v>402.33999999992398</c:v>
                </c:pt>
                <c:pt idx="404">
                  <c:v>403.33999999992312</c:v>
                </c:pt>
                <c:pt idx="405">
                  <c:v>404.33999999992221</c:v>
                </c:pt>
                <c:pt idx="406">
                  <c:v>405.17999999992139</c:v>
                </c:pt>
              </c:numCache>
            </c:numRef>
          </c:xVal>
          <c:yVal>
            <c:numRef>
              <c:f>Diagrammdaten!$AH$5:$AH$411</c:f>
              <c:numCache>
                <c:formatCode>0.0</c:formatCode>
                <c:ptCount val="407"/>
                <c:pt idx="0">
                  <c:v>37.149999993934053</c:v>
                </c:pt>
                <c:pt idx="1">
                  <c:v>36.278447555624552</c:v>
                </c:pt>
                <c:pt idx="2">
                  <c:v>35.498713596211473</c:v>
                </c:pt>
                <c:pt idx="3">
                  <c:v>34.80205116110568</c:v>
                </c:pt>
                <c:pt idx="4">
                  <c:v>34.180521423625457</c:v>
                </c:pt>
                <c:pt idx="5">
                  <c:v>33.626918395361429</c:v>
                </c:pt>
                <c:pt idx="6">
                  <c:v>33.134701328307237</c:v>
                </c:pt>
                <c:pt idx="7">
                  <c:v>32.697933940213723</c:v>
                </c:pt>
                <c:pt idx="8">
                  <c:v>32.311229624425323</c:v>
                </c:pt>
                <c:pt idx="9">
                  <c:v>31.969701894241439</c:v>
                </c:pt>
                <c:pt idx="10">
                  <c:v>31.668919419551909</c:v>
                </c:pt>
                <c:pt idx="11">
                  <c:v>31.40486511835979</c:v>
                </c:pt>
                <c:pt idx="12">
                  <c:v>31.173898857803749</c:v>
                </c:pt>
                <c:pt idx="13">
                  <c:v>30.97272339531099</c:v>
                </c:pt>
                <c:pt idx="14">
                  <c:v>30.79835325100208</c:v>
                </c:pt>
                <c:pt idx="15">
                  <c:v>30.648086249498871</c:v>
                </c:pt>
                <c:pt idx="16">
                  <c:v>30.51947750541683</c:v>
                </c:pt>
                <c:pt idx="17">
                  <c:v>30.410315654448649</c:v>
                </c:pt>
                <c:pt idx="18">
                  <c:v>30.318601153285559</c:v>
                </c:pt>
                <c:pt idx="19">
                  <c:v>30.242526488109721</c:v>
                </c:pt>
                <c:pt idx="20">
                  <c:v>30.18045814476466</c:v>
                </c:pt>
                <c:pt idx="21">
                  <c:v>30.13092020477313</c:v>
                </c:pt>
                <c:pt idx="22">
                  <c:v>30.092579439795031</c:v>
                </c:pt>
                <c:pt idx="23">
                  <c:v>30.064231786495551</c:v>
                </c:pt>
                <c:pt idx="24">
                  <c:v>30.04479008913609</c:v>
                </c:pt>
                <c:pt idx="25">
                  <c:v>30.033273005577598</c:v>
                </c:pt>
                <c:pt idx="26">
                  <c:v>30.028794976769291</c:v>
                </c:pt>
                <c:pt idx="27">
                  <c:v>30.030557166479529</c:v>
                </c:pt>
                <c:pt idx="28">
                  <c:v>30.037839282831271</c:v>
                </c:pt>
                <c:pt idx="29">
                  <c:v>30.04999219840079</c:v>
                </c:pt>
                <c:pt idx="30">
                  <c:v>30.066431290327049</c:v>
                </c:pt>
                <c:pt idx="31">
                  <c:v>30.08663042698026</c:v>
                </c:pt>
                <c:pt idx="32">
                  <c:v>30.110116531478919</c:v>
                </c:pt>
                <c:pt idx="33">
                  <c:v>30.136464657909301</c:v>
                </c:pt>
                <c:pt idx="34">
                  <c:v>30.165293519811261</c:v>
                </c:pt>
                <c:pt idx="35">
                  <c:v>30.19626141551959</c:v>
                </c:pt>
                <c:pt idx="36">
                  <c:v>30.22906249954838</c:v>
                </c:pt>
                <c:pt idx="37">
                  <c:v>30.263423354116981</c:v>
                </c:pt>
                <c:pt idx="38">
                  <c:v>30.299099819976728</c:v>
                </c:pt>
                <c:pt idx="39">
                  <c:v>30.335874051002751</c:v>
                </c:pt>
                <c:pt idx="40">
                  <c:v>30.373551762447448</c:v>
                </c:pt>
                <c:pt idx="41">
                  <c:v>30.411959648403691</c:v>
                </c:pt>
                <c:pt idx="42">
                  <c:v>30.450942949699311</c:v>
                </c:pt>
                <c:pt idx="43">
                  <c:v>30.490363159131618</c:v>
                </c:pt>
                <c:pt idx="44">
                  <c:v>30.530095856377098</c:v>
                </c:pt>
                <c:pt idx="45">
                  <c:v>30.57002867042382</c:v>
                </c:pt>
                <c:pt idx="46">
                  <c:v>30.610059371555739</c:v>
                </c:pt>
                <c:pt idx="47">
                  <c:v>30.650094099601802</c:v>
                </c:pt>
                <c:pt idx="48">
                  <c:v>30.690045738075529</c:v>
                </c:pt>
                <c:pt idx="49">
                  <c:v>30.729832446443879</c:v>
                </c:pt>
                <c:pt idx="50">
                  <c:v>30.769376363893912</c:v>
                </c:pt>
                <c:pt idx="51">
                  <c:v>30.808602498634741</c:v>
                </c:pt>
                <c:pt idx="52">
                  <c:v>30.847437815858481</c:v>
                </c:pt>
                <c:pt idx="53">
                  <c:v>30.885810535814471</c:v>
                </c:pt>
                <c:pt idx="54">
                  <c:v>30.923649650821741</c:v>
                </c:pt>
                <c:pt idx="55">
                  <c:v>30.960884666100242</c:v>
                </c:pt>
                <c:pt idx="56">
                  <c:v>30.997445564323581</c:v>
                </c:pt>
                <c:pt idx="57">
                  <c:v>31.033262986987669</c:v>
                </c:pt>
                <c:pt idx="58">
                  <c:v>31.06826861666968</c:v>
                </c:pt>
                <c:pt idx="59">
                  <c:v>31.1023957322775</c:v>
                </c:pt>
                <c:pt idx="60">
                  <c:v>31.135579893601861</c:v>
                </c:pt>
                <c:pt idx="61">
                  <c:v>31.167759692000232</c:v>
                </c:pt>
                <c:pt idx="62">
                  <c:v>31.198877482076849</c:v>
                </c:pt>
                <c:pt idx="63">
                  <c:v>31.228879989297472</c:v>
                </c:pt>
                <c:pt idx="64">
                  <c:v>31.25771867830667</c:v>
                </c:pt>
                <c:pt idx="65">
                  <c:v>31.285349778777</c:v>
                </c:pt>
                <c:pt idx="66">
                  <c:v>31.31173391291998</c:v>
                </c:pt>
                <c:pt idx="67">
                  <c:v>31.336835360397799</c:v>
                </c:pt>
                <c:pt idx="68">
                  <c:v>31.360621129521292</c:v>
                </c:pt>
                <c:pt idx="69">
                  <c:v>31.383060162495891</c:v>
                </c:pt>
                <c:pt idx="70">
                  <c:v>31.404123149972069</c:v>
                </c:pt>
                <c:pt idx="71">
                  <c:v>31.423783496388069</c:v>
                </c:pt>
                <c:pt idx="72">
                  <c:v>31.442019810593369</c:v>
                </c:pt>
                <c:pt idx="73">
                  <c:v>31.458819705240501</c:v>
                </c:pt>
                <c:pt idx="74">
                  <c:v>31.47418372302673</c:v>
                </c:pt>
                <c:pt idx="75">
                  <c:v>31.488127523092938</c:v>
                </c:pt>
                <c:pt idx="76">
                  <c:v>31.500680967289671</c:v>
                </c:pt>
                <c:pt idx="77">
                  <c:v>31.511884394046429</c:v>
                </c:pt>
                <c:pt idx="78">
                  <c:v>31.521783804088841</c:v>
                </c:pt>
                <c:pt idx="79">
                  <c:v>31.53042677650296</c:v>
                </c:pt>
                <c:pt idx="80">
                  <c:v>31.537859995680609</c:v>
                </c:pt>
                <c:pt idx="81">
                  <c:v>31.544128312801831</c:v>
                </c:pt>
                <c:pt idx="82">
                  <c:v>31.549274826258511</c:v>
                </c:pt>
                <c:pt idx="83">
                  <c:v>31.55334145420602</c:v>
                </c:pt>
                <c:pt idx="84">
                  <c:v>31.556369614247838</c:v>
                </c:pt>
                <c:pt idx="85">
                  <c:v>31.55840073530203</c:v>
                </c:pt>
                <c:pt idx="86">
                  <c:v>31.559476268921571</c:v>
                </c:pt>
                <c:pt idx="87">
                  <c:v>31.559634500695889</c:v>
                </c:pt>
                <c:pt idx="88">
                  <c:v>31.55889867021239</c:v>
                </c:pt>
                <c:pt idx="89">
                  <c:v>31.55728751433162</c:v>
                </c:pt>
                <c:pt idx="90">
                  <c:v>31.554824373936299</c:v>
                </c:pt>
                <c:pt idx="91">
                  <c:v>31.551538342809408</c:v>
                </c:pt>
                <c:pt idx="92">
                  <c:v>31.54746457164072</c:v>
                </c:pt>
                <c:pt idx="93">
                  <c:v>31.54264437391225</c:v>
                </c:pt>
                <c:pt idx="94">
                  <c:v>31.537125401838921</c:v>
                </c:pt>
                <c:pt idx="95">
                  <c:v>31.53096211980198</c:v>
                </c:pt>
                <c:pt idx="96">
                  <c:v>31.524216793526421</c:v>
                </c:pt>
                <c:pt idx="97">
                  <c:v>31.516961110294972</c:v>
                </c:pt>
                <c:pt idx="98">
                  <c:v>31.509278228970629</c:v>
                </c:pt>
                <c:pt idx="99">
                  <c:v>31.501264548060821</c:v>
                </c:pt>
                <c:pt idx="100">
                  <c:v>31.49303011152784</c:v>
                </c:pt>
                <c:pt idx="101">
                  <c:v>31.48469684514572</c:v>
                </c:pt>
                <c:pt idx="102">
                  <c:v>31.476394776987039</c:v>
                </c:pt>
                <c:pt idx="103">
                  <c:v>31.46825733771249</c:v>
                </c:pt>
                <c:pt idx="104">
                  <c:v>31.460417009607571</c:v>
                </c:pt>
                <c:pt idx="105">
                  <c:v>31.453002033234611</c:v>
                </c:pt>
                <c:pt idx="106">
                  <c:v>31.446134195847261</c:v>
                </c:pt>
                <c:pt idx="107">
                  <c:v>31.439927358699489</c:v>
                </c:pt>
                <c:pt idx="108">
                  <c:v>31.434486352856371</c:v>
                </c:pt>
                <c:pt idx="109">
                  <c:v>31.429906010707551</c:v>
                </c:pt>
                <c:pt idx="110">
                  <c:v>31.426270255515419</c:v>
                </c:pt>
                <c:pt idx="111">
                  <c:v>31.423651279729938</c:v>
                </c:pt>
                <c:pt idx="112">
                  <c:v>31.422108892526069</c:v>
                </c:pt>
                <c:pt idx="113">
                  <c:v>31.42169012253078</c:v>
                </c:pt>
                <c:pt idx="114">
                  <c:v>31.42242913904084</c:v>
                </c:pt>
                <c:pt idx="115">
                  <c:v>31.424347520707219</c:v>
                </c:pt>
                <c:pt idx="116">
                  <c:v>31.427454865596761</c:v>
                </c:pt>
                <c:pt idx="117">
                  <c:v>31.431749706900749</c:v>
                </c:pt>
                <c:pt idx="118">
                  <c:v>31.437220677419081</c:v>
                </c:pt>
                <c:pt idx="119">
                  <c:v>31.443847853540319</c:v>
                </c:pt>
                <c:pt idx="120">
                  <c:v>31.451604205095411</c:v>
                </c:pt>
                <c:pt idx="121">
                  <c:v>31.460457079540451</c:v>
                </c:pt>
                <c:pt idx="122">
                  <c:v>31.47036965596698</c:v>
                </c:pt>
                <c:pt idx="123">
                  <c:v>31.481302314697249</c:v>
                </c:pt>
                <c:pt idx="124">
                  <c:v>31.493213880277722</c:v>
                </c:pt>
                <c:pt idx="125">
                  <c:v>31.506062708319291</c:v>
                </c:pt>
                <c:pt idx="126">
                  <c:v>31.519807598791829</c:v>
                </c:pt>
                <c:pt idx="127">
                  <c:v>31.53440852938326</c:v>
                </c:pt>
                <c:pt idx="128">
                  <c:v>31.54982721186013</c:v>
                </c:pt>
                <c:pt idx="129">
                  <c:v>31.566027481802791</c:v>
                </c:pt>
                <c:pt idx="130">
                  <c:v>31.582975537554201</c:v>
                </c:pt>
                <c:pt idx="131">
                  <c:v>31.600640047833171</c:v>
                </c:pt>
                <c:pt idx="132">
                  <c:v>31.61899214940053</c:v>
                </c:pt>
                <c:pt idx="133">
                  <c:v>31.638005356693778</c:v>
                </c:pt>
                <c:pt idx="134">
                  <c:v>31.65765540475655</c:v>
                </c:pt>
                <c:pt idx="135">
                  <c:v>31.677920045340731</c:v>
                </c:pt>
                <c:pt idx="136">
                  <c:v>31.69877881403016</c:v>
                </c:pt>
                <c:pt idx="137">
                  <c:v>31.720212783853071</c:v>
                </c:pt>
                <c:pt idx="138">
                  <c:v>31.74220431827985</c:v>
                </c:pt>
                <c:pt idx="139">
                  <c:v>31.764736833947211</c:v>
                </c:pt>
                <c:pt idx="140">
                  <c:v>31.787794580958291</c:v>
                </c:pt>
                <c:pt idx="141">
                  <c:v>31.81136244634456</c:v>
                </c:pt>
                <c:pt idx="142">
                  <c:v>31.835425784147841</c:v>
                </c:pt>
                <c:pt idx="143">
                  <c:v>31.859970274071092</c:v>
                </c:pt>
                <c:pt idx="144">
                  <c:v>31.8849818086432</c:v>
                </c:pt>
                <c:pt idx="145">
                  <c:v>31.91044640831819</c:v>
                </c:pt>
                <c:pt idx="146">
                  <c:v>31.936350162476511</c:v>
                </c:pt>
                <c:pt idx="147">
                  <c:v>31.962679193921421</c:v>
                </c:pt>
                <c:pt idx="148">
                  <c:v>31.98941964395658</c:v>
                </c:pt>
                <c:pt idx="149">
                  <c:v>32.016557674928549</c:v>
                </c:pt>
                <c:pt idx="150">
                  <c:v>32.044079487059321</c:v>
                </c:pt>
                <c:pt idx="151">
                  <c:v>32.071971346466633</c:v>
                </c:pt>
                <c:pt idx="152">
                  <c:v>32.100219621557699</c:v>
                </c:pt>
                <c:pt idx="153">
                  <c:v>32.128810824870811</c:v>
                </c:pt>
                <c:pt idx="154">
                  <c:v>32.157731658497653</c:v>
                </c:pt>
                <c:pt idx="155">
                  <c:v>32.186969060586023</c:v>
                </c:pt>
                <c:pt idx="156">
                  <c:v>32.21651025152596</c:v>
                </c:pt>
                <c:pt idx="157">
                  <c:v>32.246342778357644</c:v>
                </c:pt>
                <c:pt idx="158">
                  <c:v>32.276454556328531</c:v>
                </c:pt>
                <c:pt idx="159">
                  <c:v>32.306833906792583</c:v>
                </c:pt>
                <c:pt idx="160">
                  <c:v>32.337469590866988</c:v>
                </c:pt>
                <c:pt idx="161">
                  <c:v>32.368350838448812</c:v>
                </c:pt>
                <c:pt idx="162">
                  <c:v>32.399467372368058</c:v>
                </c:pt>
                <c:pt idx="163">
                  <c:v>32.430809427571148</c:v>
                </c:pt>
                <c:pt idx="164">
                  <c:v>32.462367765326348</c:v>
                </c:pt>
                <c:pt idx="165">
                  <c:v>32.494133682534709</c:v>
                </c:pt>
                <c:pt idx="166">
                  <c:v>32.526099016266471</c:v>
                </c:pt>
                <c:pt idx="167">
                  <c:v>32.558256143708832</c:v>
                </c:pt>
                <c:pt idx="168">
                  <c:v>32.590597977730908</c:v>
                </c:pt>
                <c:pt idx="169">
                  <c:v>32.623117958300213</c:v>
                </c:pt>
                <c:pt idx="170">
                  <c:v>32.655810040012803</c:v>
                </c:pt>
                <c:pt idx="171">
                  <c:v>32.688668676002351</c:v>
                </c:pt>
                <c:pt idx="172">
                  <c:v>32.721688798534792</c:v>
                </c:pt>
                <c:pt idx="173">
                  <c:v>32.75486579658002</c:v>
                </c:pt>
                <c:pt idx="174">
                  <c:v>32.788195490688281</c:v>
                </c:pt>
                <c:pt idx="175">
                  <c:v>32.821674105497998</c:v>
                </c:pt>
                <c:pt idx="176">
                  <c:v>32.855298240217451</c:v>
                </c:pt>
                <c:pt idx="177">
                  <c:v>32.889064837423753</c:v>
                </c:pt>
                <c:pt idx="178">
                  <c:v>32.922971150528781</c:v>
                </c:pt>
                <c:pt idx="179">
                  <c:v>32.957014710259052</c:v>
                </c:pt>
                <c:pt idx="180">
                  <c:v>32.991193290497449</c:v>
                </c:pt>
                <c:pt idx="181">
                  <c:v>33.0255048738087</c:v>
                </c:pt>
                <c:pt idx="182">
                  <c:v>33.059947616980651</c:v>
                </c:pt>
                <c:pt idx="183">
                  <c:v>33.094519816875788</c:v>
                </c:pt>
                <c:pt idx="184">
                  <c:v>33.129219876874231</c:v>
                </c:pt>
                <c:pt idx="185">
                  <c:v>33.164046274164207</c:v>
                </c:pt>
                <c:pt idx="186">
                  <c:v>33.198997528106531</c:v>
                </c:pt>
                <c:pt idx="187">
                  <c:v>33.234072169874587</c:v>
                </c:pt>
                <c:pt idx="188">
                  <c:v>33.269268713532313</c:v>
                </c:pt>
                <c:pt idx="189">
                  <c:v>35.218630207221047</c:v>
                </c:pt>
                <c:pt idx="190">
                  <c:v>36.41769989452655</c:v>
                </c:pt>
                <c:pt idx="191">
                  <c:v>36.872519222064973</c:v>
                </c:pt>
                <c:pt idx="192">
                  <c:v>37.044882756900449</c:v>
                </c:pt>
                <c:pt idx="193">
                  <c:v>37.110182263966813</c:v>
                </c:pt>
                <c:pt idx="194">
                  <c:v>37.134917801125312</c:v>
                </c:pt>
                <c:pt idx="195">
                  <c:v>37.144287222890632</c:v>
                </c:pt>
                <c:pt idx="196">
                  <c:v>37.147836146665213</c:v>
                </c:pt>
                <c:pt idx="197">
                  <c:v>37.149180389381463</c:v>
                </c:pt>
                <c:pt idx="198">
                  <c:v>37.149689553309713</c:v>
                </c:pt>
                <c:pt idx="199">
                  <c:v>37.149882411086082</c:v>
                </c:pt>
                <c:pt idx="200">
                  <c:v>37.149955460464703</c:v>
                </c:pt>
                <c:pt idx="201">
                  <c:v>37.149983129615862</c:v>
                </c:pt>
                <c:pt idx="202">
                  <c:v>37.149993609950343</c:v>
                </c:pt>
                <c:pt idx="203">
                  <c:v>37.149997579620283</c:v>
                </c:pt>
                <c:pt idx="204">
                  <c:v>37.149999083224941</c:v>
                </c:pt>
                <c:pt idx="205">
                  <c:v>37.149999652750182</c:v>
                </c:pt>
                <c:pt idx="206">
                  <c:v>37.149999868471241</c:v>
                </c:pt>
                <c:pt idx="207">
                  <c:v>37.149999950180302</c:v>
                </c:pt>
                <c:pt idx="208">
                  <c:v>37.149999981129717</c:v>
                </c:pt>
                <c:pt idx="209">
                  <c:v>37.149999992852493</c:v>
                </c:pt>
                <c:pt idx="210">
                  <c:v>37.149999997185319</c:v>
                </c:pt>
                <c:pt idx="211">
                  <c:v>38.941750306147242</c:v>
                </c:pt>
                <c:pt idx="212">
                  <c:v>39.810130138886343</c:v>
                </c:pt>
                <c:pt idx="213">
                  <c:v>40.136492899706411</c:v>
                </c:pt>
                <c:pt idx="214">
                  <c:v>40.267931049131157</c:v>
                </c:pt>
                <c:pt idx="215">
                  <c:v>40.326128924681093</c:v>
                </c:pt>
                <c:pt idx="216">
                  <c:v>40.355388196327169</c:v>
                </c:pt>
                <c:pt idx="217">
                  <c:v>40.372406210136937</c:v>
                </c:pt>
                <c:pt idx="218">
                  <c:v>40.383666627734499</c:v>
                </c:pt>
                <c:pt idx="219">
                  <c:v>40.391739896280058</c:v>
                </c:pt>
                <c:pt idx="220">
                  <c:v>40.397645159987803</c:v>
                </c:pt>
                <c:pt idx="221">
                  <c:v>40.401764249344858</c:v>
                </c:pt>
                <c:pt idx="222">
                  <c:v>40.404205683144262</c:v>
                </c:pt>
                <c:pt idx="223">
                  <c:v>40.404953140285841</c:v>
                </c:pt>
                <c:pt idx="224">
                  <c:v>40.403926839465157</c:v>
                </c:pt>
                <c:pt idx="225">
                  <c:v>40.401008555458077</c:v>
                </c:pt>
                <c:pt idx="226">
                  <c:v>40.396050801101467</c:v>
                </c:pt>
                <c:pt idx="227">
                  <c:v>40.388878589992942</c:v>
                </c:pt>
                <c:pt idx="228">
                  <c:v>40.379287327654481</c:v>
                </c:pt>
                <c:pt idx="229">
                  <c:v>40.367037874071457</c:v>
                </c:pt>
                <c:pt idx="230">
                  <c:v>40.351849181354567</c:v>
                </c:pt>
                <c:pt idx="231">
                  <c:v>40.333387995415308</c:v>
                </c:pt>
                <c:pt idx="232">
                  <c:v>40.311254614312929</c:v>
                </c:pt>
                <c:pt idx="233">
                  <c:v>40.284962957834857</c:v>
                </c:pt>
                <c:pt idx="234">
                  <c:v>40.253912011795251</c:v>
                </c:pt>
                <c:pt idx="235">
                  <c:v>40.217343614264223</c:v>
                </c:pt>
                <c:pt idx="236">
                  <c:v>40.174277558913843</c:v>
                </c:pt>
                <c:pt idx="237">
                  <c:v>40.123406808691023</c:v>
                </c:pt>
                <c:pt idx="238">
                  <c:v>40.06291730109109</c:v>
                </c:pt>
                <c:pt idx="239">
                  <c:v>39.990150897058697</c:v>
                </c:pt>
                <c:pt idx="240">
                  <c:v>39.900895188136872</c:v>
                </c:pt>
                <c:pt idx="241">
                  <c:v>39.787581194251402</c:v>
                </c:pt>
                <c:pt idx="242">
                  <c:v>39.632754592661797</c:v>
                </c:pt>
                <c:pt idx="243">
                  <c:v>39.011751886196457</c:v>
                </c:pt>
                <c:pt idx="244">
                  <c:v>38.257314042063058</c:v>
                </c:pt>
                <c:pt idx="245">
                  <c:v>37.657766097037779</c:v>
                </c:pt>
                <c:pt idx="246">
                  <c:v>37.254989777211158</c:v>
                </c:pt>
                <c:pt idx="247">
                  <c:v>36.979075186232187</c:v>
                </c:pt>
                <c:pt idx="248">
                  <c:v>36.790061724884652</c:v>
                </c:pt>
                <c:pt idx="249">
                  <c:v>36.66240982823831</c:v>
                </c:pt>
                <c:pt idx="250">
                  <c:v>36.578933745497302</c:v>
                </c:pt>
                <c:pt idx="251">
                  <c:v>36.527749355477681</c:v>
                </c:pt>
                <c:pt idx="252">
                  <c:v>36.50048552835824</c:v>
                </c:pt>
                <c:pt idx="253">
                  <c:v>36.491157509266152</c:v>
                </c:pt>
                <c:pt idx="254">
                  <c:v>36.495429956588573</c:v>
                </c:pt>
                <c:pt idx="255">
                  <c:v>36.510123586520308</c:v>
                </c:pt>
                <c:pt idx="256">
                  <c:v>36.532879314327147</c:v>
                </c:pt>
                <c:pt idx="257">
                  <c:v>36.561926531978997</c:v>
                </c:pt>
                <c:pt idx="258">
                  <c:v>36.595921367775759</c:v>
                </c:pt>
                <c:pt idx="259">
                  <c:v>36.633832597458188</c:v>
                </c:pt>
                <c:pt idx="260">
                  <c:v>36.674860370871102</c:v>
                </c:pt>
                <c:pt idx="261">
                  <c:v>36.718377768180062</c:v>
                </c:pt>
                <c:pt idx="262">
                  <c:v>36.763888388573491</c:v>
                </c:pt>
                <c:pt idx="263">
                  <c:v>36.81099529825218</c:v>
                </c:pt>
                <c:pt idx="264">
                  <c:v>36.859378095167983</c:v>
                </c:pt>
                <c:pt idx="265">
                  <c:v>36.908775820924973</c:v>
                </c:pt>
                <c:pt idx="266">
                  <c:v>36.958974118331469</c:v>
                </c:pt>
                <c:pt idx="267">
                  <c:v>37.009795495606568</c:v>
                </c:pt>
                <c:pt idx="268">
                  <c:v>37.061091881200582</c:v>
                </c:pt>
                <c:pt idx="269">
                  <c:v>37.112738880570078</c:v>
                </c:pt>
                <c:pt idx="270">
                  <c:v>37.164631307573927</c:v>
                </c:pt>
                <c:pt idx="271">
                  <c:v>37.216679678735773</c:v>
                </c:pt>
                <c:pt idx="272">
                  <c:v>37.268807442014122</c:v>
                </c:pt>
                <c:pt idx="273">
                  <c:v>37.320948772422298</c:v>
                </c:pt>
                <c:pt idx="274">
                  <c:v>37.373046811354698</c:v>
                </c:pt>
                <c:pt idx="275">
                  <c:v>37.425052259078541</c:v>
                </c:pt>
                <c:pt idx="276">
                  <c:v>37.476922253997259</c:v>
                </c:pt>
                <c:pt idx="277">
                  <c:v>37.52861948883276</c:v>
                </c:pt>
                <c:pt idx="278">
                  <c:v>37.580111526227817</c:v>
                </c:pt>
                <c:pt idx="279">
                  <c:v>37.631370282930277</c:v>
                </c:pt>
                <c:pt idx="280">
                  <c:v>37.682371655631812</c:v>
                </c:pt>
                <c:pt idx="281">
                  <c:v>37.733095262333507</c:v>
                </c:pt>
                <c:pt idx="282">
                  <c:v>37.78352427232312</c:v>
                </c:pt>
                <c:pt idx="283">
                  <c:v>37.833645296444331</c:v>
                </c:pt>
                <c:pt idx="284">
                  <c:v>37.883448308726543</c:v>
                </c:pt>
                <c:pt idx="285">
                  <c:v>37.93292657149351</c:v>
                </c:pt>
                <c:pt idx="286">
                  <c:v>37.982076539528457</c:v>
                </c:pt>
                <c:pt idx="287">
                  <c:v>38.030897724761992</c:v>
                </c:pt>
                <c:pt idx="288">
                  <c:v>38.079392510602467</c:v>
                </c:pt>
                <c:pt idx="289">
                  <c:v>38.127565913368187</c:v>
                </c:pt>
                <c:pt idx="290">
                  <c:v>38.175425296051742</c:v>
                </c:pt>
                <c:pt idx="291">
                  <c:v>38.222980045729287</c:v>
                </c:pt>
                <c:pt idx="292">
                  <c:v>38.270241229705327</c:v>
                </c:pt>
                <c:pt idx="293">
                  <c:v>38.317221246802553</c:v>
                </c:pt>
                <c:pt idx="294">
                  <c:v>38.363933489497242</c:v>
                </c:pt>
                <c:pt idx="295">
                  <c:v>38.410392030300393</c:v>
                </c:pt>
                <c:pt idx="296">
                  <c:v>38.456611342799533</c:v>
                </c:pt>
                <c:pt idx="297">
                  <c:v>38.502606064531847</c:v>
                </c:pt>
                <c:pt idx="298">
                  <c:v>38.548390805783527</c:v>
                </c:pt>
                <c:pt idx="299">
                  <c:v>38.593980005866342</c:v>
                </c:pt>
                <c:pt idx="300">
                  <c:v>38.639387836285323</c:v>
                </c:pt>
                <c:pt idx="301">
                  <c:v>38.684628148603281</c:v>
                </c:pt>
                <c:pt idx="302">
                  <c:v>38.729714463602193</c:v>
                </c:pt>
                <c:pt idx="303">
                  <c:v>38.774659997467317</c:v>
                </c:pt>
                <c:pt idx="304">
                  <c:v>38.819477720118748</c:v>
                </c:pt>
                <c:pt idx="305">
                  <c:v>38.864180440461503</c:v>
                </c:pt>
                <c:pt idx="306">
                  <c:v>38.908780913250148</c:v>
                </c:pt>
                <c:pt idx="307">
                  <c:v>38.953291962508622</c:v>
                </c:pt>
                <c:pt idx="308">
                  <c:v>38.997726617231649</c:v>
                </c:pt>
                <c:pt idx="309">
                  <c:v>39.042098256799648</c:v>
                </c:pt>
                <c:pt idx="310">
                  <c:v>39.086420767426489</c:v>
                </c:pt>
                <c:pt idx="311">
                  <c:v>39.130708721223527</c:v>
                </c:pt>
                <c:pt idx="312">
                  <c:v>39.174977629961973</c:v>
                </c:pt>
                <c:pt idx="313">
                  <c:v>39.219245021914332</c:v>
                </c:pt>
                <c:pt idx="314">
                  <c:v>39.263532716300119</c:v>
                </c:pt>
                <c:pt idx="315">
                  <c:v>39.307864462279497</c:v>
                </c:pt>
                <c:pt idx="316">
                  <c:v>39.352264561727218</c:v>
                </c:pt>
                <c:pt idx="317">
                  <c:v>39.396757537283179</c:v>
                </c:pt>
                <c:pt idx="318">
                  <c:v>39.441367897691983</c:v>
                </c:pt>
                <c:pt idx="319">
                  <c:v>39.486119934928752</c:v>
                </c:pt>
                <c:pt idx="320">
                  <c:v>39.53103753856476</c:v>
                </c:pt>
                <c:pt idx="321">
                  <c:v>39.576144024918619</c:v>
                </c:pt>
                <c:pt idx="322">
                  <c:v>39.621461982750127</c:v>
                </c:pt>
                <c:pt idx="323">
                  <c:v>39.667013138769683</c:v>
                </c:pt>
                <c:pt idx="324">
                  <c:v>39.71281824660349</c:v>
                </c:pt>
                <c:pt idx="325">
                  <c:v>39.758897002560623</c:v>
                </c:pt>
                <c:pt idx="326">
                  <c:v>39.805267990883749</c:v>
                </c:pt>
                <c:pt idx="327">
                  <c:v>39.851948660184632</c:v>
                </c:pt>
                <c:pt idx="328">
                  <c:v>39.898955331592958</c:v>
                </c:pt>
                <c:pt idx="329">
                  <c:v>39.946303237810639</c:v>
                </c:pt>
                <c:pt idx="330">
                  <c:v>39.994006590803913</c:v>
                </c:pt>
                <c:pt idx="331">
                  <c:v>40.042078674346207</c:v>
                </c:pt>
                <c:pt idx="332">
                  <c:v>40.090531956094878</c:v>
                </c:pt>
                <c:pt idx="333">
                  <c:v>40.139378212429961</c:v>
                </c:pt>
                <c:pt idx="334">
                  <c:v>40.188628658012817</c:v>
                </c:pt>
                <c:pt idx="335">
                  <c:v>40.238294071069618</c:v>
                </c:pt>
                <c:pt idx="336">
                  <c:v>40.288384904909996</c:v>
                </c:pt>
                <c:pt idx="337">
                  <c:v>40.338911376345443</c:v>
                </c:pt>
                <c:pt idx="338">
                  <c:v>40.389883522467301</c:v>
                </c:pt>
                <c:pt idx="339">
                  <c:v>40.441311219232723</c:v>
                </c:pt>
                <c:pt idx="340">
                  <c:v>40.493204157245827</c:v>
                </c:pt>
                <c:pt idx="341">
                  <c:v>40.545571773938953</c:v>
                </c:pt>
                <c:pt idx="342">
                  <c:v>40.598423144359458</c:v>
                </c:pt>
                <c:pt idx="343">
                  <c:v>40.651766836544141</c:v>
                </c:pt>
                <c:pt idx="344">
                  <c:v>40.705610740558541</c:v>
                </c:pt>
                <c:pt idx="345">
                  <c:v>40.759961882650089</c:v>
                </c:pt>
                <c:pt idx="346">
                  <c:v>40.814826237276293</c:v>
                </c:pt>
                <c:pt idx="347">
                  <c:v>40.870208549861388</c:v>
                </c:pt>
                <c:pt idx="348">
                  <c:v>40.926112182066731</c:v>
                </c:pt>
                <c:pt idx="349">
                  <c:v>40.982538989277259</c:v>
                </c:pt>
                <c:pt idx="350">
                  <c:v>41.03948923727944</c:v>
                </c:pt>
                <c:pt idx="351">
                  <c:v>41.096961562011302</c:v>
                </c:pt>
                <c:pt idx="352">
                  <c:v>41.154952973379011</c:v>
                </c:pt>
                <c:pt idx="353">
                  <c:v>41.213458900962223</c:v>
                </c:pt>
                <c:pt idx="354">
                  <c:v>41.272473278248697</c:v>
                </c:pt>
                <c:pt idx="355">
                  <c:v>41.3319886592991</c:v>
                </c:pt>
                <c:pt idx="356">
                  <c:v>41.391996361869083</c:v>
                </c:pt>
                <c:pt idx="357">
                  <c:v>41.452486630237438</c:v>
                </c:pt>
                <c:pt idx="358">
                  <c:v>41.513448811353037</c:v>
                </c:pt>
                <c:pt idx="359">
                  <c:v>41.574871538445002</c:v>
                </c:pt>
                <c:pt idx="360">
                  <c:v>41.636742917028982</c:v>
                </c:pt>
                <c:pt idx="361">
                  <c:v>41.699050709128763</c:v>
                </c:pt>
                <c:pt idx="362">
                  <c:v>41.761782512413284</c:v>
                </c:pt>
                <c:pt idx="363">
                  <c:v>41.824925931789039</c:v>
                </c:pt>
                <c:pt idx="364">
                  <c:v>41.888468741677912</c:v>
                </c:pt>
                <c:pt idx="365">
                  <c:v>41.952399037783657</c:v>
                </c:pt>
                <c:pt idx="366">
                  <c:v>42.016705377567348</c:v>
                </c:pt>
                <c:pt idx="367">
                  <c:v>42.081376908908112</c:v>
                </c:pt>
                <c:pt idx="368">
                  <c:v>42.14640348658213</c:v>
                </c:pt>
                <c:pt idx="369">
                  <c:v>42.211775776224272</c:v>
                </c:pt>
                <c:pt idx="370">
                  <c:v>42.277485345411151</c:v>
                </c:pt>
                <c:pt idx="371">
                  <c:v>42.34352474142338</c:v>
                </c:pt>
                <c:pt idx="372">
                  <c:v>42.409887555160253</c:v>
                </c:pt>
                <c:pt idx="373">
                  <c:v>42.476568470597734</c:v>
                </c:pt>
                <c:pt idx="374">
                  <c:v>42.543563299149582</c:v>
                </c:pt>
                <c:pt idx="375">
                  <c:v>42.610868998290243</c:v>
                </c:pt>
                <c:pt idx="376">
                  <c:v>42.678483673876137</c:v>
                </c:pt>
                <c:pt idx="377">
                  <c:v>42.746406565749737</c:v>
                </c:pt>
                <c:pt idx="378">
                  <c:v>42.8146380164128</c:v>
                </c:pt>
                <c:pt idx="379">
                  <c:v>42.883179422823559</c:v>
                </c:pt>
                <c:pt idx="380">
                  <c:v>42.952033171709843</c:v>
                </c:pt>
                <c:pt idx="381">
                  <c:v>43.021202559124447</c:v>
                </c:pt>
                <c:pt idx="382">
                  <c:v>43.090691695364463</c:v>
                </c:pt>
                <c:pt idx="383">
                  <c:v>43.160505396745457</c:v>
                </c:pt>
                <c:pt idx="384">
                  <c:v>43.226431035778937</c:v>
                </c:pt>
                <c:pt idx="385">
                  <c:v>42.712596924590457</c:v>
                </c:pt>
                <c:pt idx="386">
                  <c:v>42.157911284974887</c:v>
                </c:pt>
                <c:pt idx="387">
                  <c:v>41.659161664050153</c:v>
                </c:pt>
                <c:pt idx="388">
                  <c:v>41.210609703975081</c:v>
                </c:pt>
                <c:pt idx="389">
                  <c:v>40.807119590969933</c:v>
                </c:pt>
                <c:pt idx="390">
                  <c:v>40.444093087679512</c:v>
                </c:pt>
                <c:pt idx="391">
                  <c:v>40.117411752130117</c:v>
                </c:pt>
                <c:pt idx="392">
                  <c:v>39.823385516719668</c:v>
                </c:pt>
                <c:pt idx="393">
                  <c:v>39.558706911222998</c:v>
                </c:pt>
                <c:pt idx="394">
                  <c:v>39.320410301644927</c:v>
                </c:pt>
                <c:pt idx="395">
                  <c:v>39.105835589194498</c:v>
                </c:pt>
                <c:pt idx="396">
                  <c:v>38.912595875417821</c:v>
                </c:pt>
                <c:pt idx="397">
                  <c:v>38.738548653504147</c:v>
                </c:pt>
                <c:pt idx="398">
                  <c:v>38.581770133701347</c:v>
                </c:pt>
                <c:pt idx="399">
                  <c:v>38.44053235369006</c:v>
                </c:pt>
                <c:pt idx="400">
                  <c:v>38.313282763303221</c:v>
                </c:pt>
                <c:pt idx="401">
                  <c:v>38.198626007603991</c:v>
                </c:pt>
                <c:pt idx="402">
                  <c:v>38.095307663362057</c:v>
                </c:pt>
                <c:pt idx="403">
                  <c:v>38.002199711718617</c:v>
                </c:pt>
                <c:pt idx="404">
                  <c:v>37.918287554565438</c:v>
                </c:pt>
                <c:pt idx="405">
                  <c:v>37.842658404148949</c:v>
                </c:pt>
                <c:pt idx="406">
                  <c:v>37.78492766555371</c:v>
                </c:pt>
              </c:numCache>
            </c:numRef>
          </c:yVal>
          <c:smooth val="0"/>
          <c:extLst>
            <c:ext xmlns:c16="http://schemas.microsoft.com/office/drawing/2014/chart" uri="{C3380CC4-5D6E-409C-BE32-E72D297353CC}">
              <c16:uniqueId val="{00000002-F153-42EF-B8D2-A16133222B8C}"/>
            </c:ext>
          </c:extLst>
        </c:ser>
        <c:ser>
          <c:idx val="3"/>
          <c:order val="3"/>
          <c:tx>
            <c:v>flach, 100.000 Nm³/h</c:v>
          </c:tx>
          <c:spPr>
            <a:ln w="25400">
              <a:solidFill>
                <a:srgbClr val="EE7203"/>
              </a:solidFill>
              <a:prstDash val="solid"/>
            </a:ln>
          </c:spPr>
          <c:marker>
            <c:symbol val="none"/>
          </c:marker>
          <c:xVal>
            <c:numRef>
              <c:f>Diagrammdaten!$AK$5:$AK$224</c:f>
              <c:numCache>
                <c:formatCode>0.0</c:formatCode>
                <c:ptCount val="220"/>
                <c:pt idx="0">
                  <c:v>0</c:v>
                </c:pt>
                <c:pt idx="1">
                  <c:v>1</c:v>
                </c:pt>
                <c:pt idx="2">
                  <c:v>2.0000000000000009</c:v>
                </c:pt>
                <c:pt idx="3">
                  <c:v>3.0000000000000022</c:v>
                </c:pt>
                <c:pt idx="4">
                  <c:v>4.0000000000000027</c:v>
                </c:pt>
                <c:pt idx="5">
                  <c:v>4.9999999999999813</c:v>
                </c:pt>
                <c:pt idx="6">
                  <c:v>5.99999999999996</c:v>
                </c:pt>
                <c:pt idx="7">
                  <c:v>6.9999999999999387</c:v>
                </c:pt>
                <c:pt idx="8">
                  <c:v>7.9999999999999174</c:v>
                </c:pt>
                <c:pt idx="9">
                  <c:v>8.999999999999897</c:v>
                </c:pt>
                <c:pt idx="10">
                  <c:v>9.9999999999998757</c:v>
                </c:pt>
                <c:pt idx="11">
                  <c:v>10.999999999999851</c:v>
                </c:pt>
                <c:pt idx="12">
                  <c:v>11.999999999999829</c:v>
                </c:pt>
                <c:pt idx="13">
                  <c:v>12.99999999999981</c:v>
                </c:pt>
                <c:pt idx="14">
                  <c:v>13.99999999999979</c:v>
                </c:pt>
                <c:pt idx="15">
                  <c:v>14.999999999999771</c:v>
                </c:pt>
                <c:pt idx="16">
                  <c:v>15.99999999999975</c:v>
                </c:pt>
                <c:pt idx="17">
                  <c:v>16.99999999999973</c:v>
                </c:pt>
                <c:pt idx="18">
                  <c:v>17.999999999999709</c:v>
                </c:pt>
                <c:pt idx="19">
                  <c:v>18.99999999999968</c:v>
                </c:pt>
                <c:pt idx="20">
                  <c:v>19.999999999999659</c:v>
                </c:pt>
                <c:pt idx="21">
                  <c:v>20.999999999999641</c:v>
                </c:pt>
                <c:pt idx="22">
                  <c:v>21.99999999999962</c:v>
                </c:pt>
                <c:pt idx="23">
                  <c:v>22.999999999999599</c:v>
                </c:pt>
                <c:pt idx="24">
                  <c:v>23.999999999999581</c:v>
                </c:pt>
                <c:pt idx="25">
                  <c:v>24.999999999999559</c:v>
                </c:pt>
                <c:pt idx="26">
                  <c:v>25.999999999999531</c:v>
                </c:pt>
                <c:pt idx="27">
                  <c:v>26.99999999999951</c:v>
                </c:pt>
                <c:pt idx="28">
                  <c:v>27.999999999999488</c:v>
                </c:pt>
                <c:pt idx="29">
                  <c:v>28.999999999999471</c:v>
                </c:pt>
                <c:pt idx="30">
                  <c:v>29.999999999999449</c:v>
                </c:pt>
                <c:pt idx="31">
                  <c:v>30.999999999999432</c:v>
                </c:pt>
                <c:pt idx="32">
                  <c:v>31.99999999999941</c:v>
                </c:pt>
                <c:pt idx="33">
                  <c:v>32.999999999999559</c:v>
                </c:pt>
                <c:pt idx="34">
                  <c:v>33.999999999999723</c:v>
                </c:pt>
                <c:pt idx="35">
                  <c:v>34.999999999999872</c:v>
                </c:pt>
                <c:pt idx="36">
                  <c:v>36.000000000000028</c:v>
                </c:pt>
                <c:pt idx="37">
                  <c:v>37.000000000000178</c:v>
                </c:pt>
                <c:pt idx="38">
                  <c:v>38.000000000000341</c:v>
                </c:pt>
                <c:pt idx="39">
                  <c:v>39.000000000000497</c:v>
                </c:pt>
                <c:pt idx="40">
                  <c:v>40.000000000000647</c:v>
                </c:pt>
                <c:pt idx="41">
                  <c:v>41.00000000000081</c:v>
                </c:pt>
                <c:pt idx="42">
                  <c:v>42.000000000000973</c:v>
                </c:pt>
                <c:pt idx="43">
                  <c:v>43.000000000001123</c:v>
                </c:pt>
                <c:pt idx="44">
                  <c:v>44.000000000001279</c:v>
                </c:pt>
                <c:pt idx="45">
                  <c:v>45.000000000001442</c:v>
                </c:pt>
                <c:pt idx="46">
                  <c:v>46.000000000001592</c:v>
                </c:pt>
                <c:pt idx="47">
                  <c:v>47.000000000001748</c:v>
                </c:pt>
                <c:pt idx="48">
                  <c:v>48.000000000001897</c:v>
                </c:pt>
                <c:pt idx="49">
                  <c:v>49.000000000002061</c:v>
                </c:pt>
                <c:pt idx="50">
                  <c:v>50.000000000002217</c:v>
                </c:pt>
                <c:pt idx="51">
                  <c:v>51.000000000002373</c:v>
                </c:pt>
                <c:pt idx="52">
                  <c:v>52.00000000000253</c:v>
                </c:pt>
                <c:pt idx="53">
                  <c:v>53.000000000002693</c:v>
                </c:pt>
                <c:pt idx="54">
                  <c:v>54.000000000002842</c:v>
                </c:pt>
                <c:pt idx="55">
                  <c:v>55.000000000002998</c:v>
                </c:pt>
                <c:pt idx="56">
                  <c:v>56.000000000003148</c:v>
                </c:pt>
                <c:pt idx="57">
                  <c:v>57.000000000003311</c:v>
                </c:pt>
                <c:pt idx="58">
                  <c:v>58.000000000003467</c:v>
                </c:pt>
                <c:pt idx="59">
                  <c:v>59.000000000003617</c:v>
                </c:pt>
                <c:pt idx="60">
                  <c:v>60.00000000000378</c:v>
                </c:pt>
                <c:pt idx="61">
                  <c:v>61.000000000003944</c:v>
                </c:pt>
                <c:pt idx="62">
                  <c:v>62.000000000004093</c:v>
                </c:pt>
                <c:pt idx="63">
                  <c:v>63.000000000004249</c:v>
                </c:pt>
                <c:pt idx="64">
                  <c:v>64.000000000004405</c:v>
                </c:pt>
                <c:pt idx="65">
                  <c:v>65.000000000004206</c:v>
                </c:pt>
                <c:pt idx="66">
                  <c:v>66.000000000004007</c:v>
                </c:pt>
                <c:pt idx="67">
                  <c:v>67.000000000003809</c:v>
                </c:pt>
                <c:pt idx="68">
                  <c:v>68.00000000000361</c:v>
                </c:pt>
                <c:pt idx="69">
                  <c:v>69.000000000003411</c:v>
                </c:pt>
                <c:pt idx="70">
                  <c:v>70.000000000003212</c:v>
                </c:pt>
                <c:pt idx="71">
                  <c:v>71.000000000003013</c:v>
                </c:pt>
                <c:pt idx="72">
                  <c:v>72.000000000002814</c:v>
                </c:pt>
                <c:pt idx="73">
                  <c:v>73.000000000002615</c:v>
                </c:pt>
                <c:pt idx="74">
                  <c:v>74.000000000002416</c:v>
                </c:pt>
                <c:pt idx="75">
                  <c:v>75.000000000002217</c:v>
                </c:pt>
                <c:pt idx="76">
                  <c:v>76.000000000002018</c:v>
                </c:pt>
                <c:pt idx="77">
                  <c:v>77.000000000001819</c:v>
                </c:pt>
                <c:pt idx="78">
                  <c:v>78.00000000000162</c:v>
                </c:pt>
                <c:pt idx="79">
                  <c:v>79.000000000001421</c:v>
                </c:pt>
                <c:pt idx="80">
                  <c:v>80.000000000001222</c:v>
                </c:pt>
                <c:pt idx="81">
                  <c:v>81.000000000001023</c:v>
                </c:pt>
                <c:pt idx="82">
                  <c:v>82.000000000000824</c:v>
                </c:pt>
                <c:pt idx="83">
                  <c:v>83.000000000000625</c:v>
                </c:pt>
                <c:pt idx="84">
                  <c:v>84.000000000000426</c:v>
                </c:pt>
                <c:pt idx="85">
                  <c:v>85.000000000000227</c:v>
                </c:pt>
                <c:pt idx="86">
                  <c:v>86.000000000000028</c:v>
                </c:pt>
                <c:pt idx="87">
                  <c:v>86.999999999999829</c:v>
                </c:pt>
                <c:pt idx="88">
                  <c:v>87.999999999999631</c:v>
                </c:pt>
                <c:pt idx="89">
                  <c:v>88.999999999999432</c:v>
                </c:pt>
                <c:pt idx="90">
                  <c:v>89.999999999999233</c:v>
                </c:pt>
                <c:pt idx="91">
                  <c:v>90.999999999999034</c:v>
                </c:pt>
                <c:pt idx="92">
                  <c:v>91.999999999998835</c:v>
                </c:pt>
                <c:pt idx="93">
                  <c:v>92.999999999998636</c:v>
                </c:pt>
                <c:pt idx="94">
                  <c:v>93.819999999998473</c:v>
                </c:pt>
                <c:pt idx="95">
                  <c:v>94.779999999998282</c:v>
                </c:pt>
                <c:pt idx="96">
                  <c:v>95.779999999998083</c:v>
                </c:pt>
                <c:pt idx="97">
                  <c:v>96.779999999997884</c:v>
                </c:pt>
                <c:pt idx="98">
                  <c:v>97.779999999997685</c:v>
                </c:pt>
                <c:pt idx="99">
                  <c:v>98.779999999997486</c:v>
                </c:pt>
                <c:pt idx="100">
                  <c:v>99.779999999997287</c:v>
                </c:pt>
                <c:pt idx="101">
                  <c:v>100.7799999999971</c:v>
                </c:pt>
                <c:pt idx="102">
                  <c:v>101.7799999999969</c:v>
                </c:pt>
                <c:pt idx="103">
                  <c:v>102.7799999999967</c:v>
                </c:pt>
                <c:pt idx="104">
                  <c:v>103.77999999999651</c:v>
                </c:pt>
                <c:pt idx="105">
                  <c:v>104.77999999999631</c:v>
                </c:pt>
                <c:pt idx="106">
                  <c:v>105.77999999999609</c:v>
                </c:pt>
                <c:pt idx="107">
                  <c:v>106.77999999999589</c:v>
                </c:pt>
                <c:pt idx="108">
                  <c:v>107.7799999999957</c:v>
                </c:pt>
                <c:pt idx="109">
                  <c:v>108.7799999999955</c:v>
                </c:pt>
                <c:pt idx="110">
                  <c:v>109.7799999999953</c:v>
                </c:pt>
                <c:pt idx="111">
                  <c:v>110.7799999999951</c:v>
                </c:pt>
                <c:pt idx="112">
                  <c:v>111.7799999999949</c:v>
                </c:pt>
                <c:pt idx="113">
                  <c:v>112.7799999999947</c:v>
                </c:pt>
                <c:pt idx="114">
                  <c:v>113.7799999999945</c:v>
                </c:pt>
                <c:pt idx="115">
                  <c:v>114.7799999999943</c:v>
                </c:pt>
                <c:pt idx="116">
                  <c:v>115.5599999999941</c:v>
                </c:pt>
                <c:pt idx="117">
                  <c:v>116.55999999999391</c:v>
                </c:pt>
                <c:pt idx="118">
                  <c:v>117.55999999999371</c:v>
                </c:pt>
                <c:pt idx="119">
                  <c:v>118.55999999999359</c:v>
                </c:pt>
                <c:pt idx="120">
                  <c:v>119.55999999999339</c:v>
                </c:pt>
                <c:pt idx="121">
                  <c:v>120.5599999999932</c:v>
                </c:pt>
                <c:pt idx="122">
                  <c:v>121.559999999993</c:v>
                </c:pt>
                <c:pt idx="123">
                  <c:v>122.5599999999928</c:v>
                </c:pt>
                <c:pt idx="124">
                  <c:v>123.5599999999926</c:v>
                </c:pt>
                <c:pt idx="125">
                  <c:v>124.5599999999924</c:v>
                </c:pt>
                <c:pt idx="126">
                  <c:v>125.5599999999922</c:v>
                </c:pt>
                <c:pt idx="127">
                  <c:v>126.559999999992</c:v>
                </c:pt>
                <c:pt idx="128">
                  <c:v>127.5599999999918</c:v>
                </c:pt>
                <c:pt idx="129">
                  <c:v>128.55999999999199</c:v>
                </c:pt>
                <c:pt idx="130">
                  <c:v>129.5599999999925</c:v>
                </c:pt>
                <c:pt idx="131">
                  <c:v>130.55999999999301</c:v>
                </c:pt>
                <c:pt idx="132">
                  <c:v>131.55999999999349</c:v>
                </c:pt>
                <c:pt idx="133">
                  <c:v>132.55999999999401</c:v>
                </c:pt>
                <c:pt idx="134">
                  <c:v>133.55999999999449</c:v>
                </c:pt>
                <c:pt idx="135">
                  <c:v>134.559999999995</c:v>
                </c:pt>
                <c:pt idx="136">
                  <c:v>135.55999999999551</c:v>
                </c:pt>
                <c:pt idx="137">
                  <c:v>136.55999999999611</c:v>
                </c:pt>
                <c:pt idx="138">
                  <c:v>137.55999999999659</c:v>
                </c:pt>
                <c:pt idx="139">
                  <c:v>138.5599999999971</c:v>
                </c:pt>
                <c:pt idx="140">
                  <c:v>139.55999999999759</c:v>
                </c:pt>
                <c:pt idx="141">
                  <c:v>140.5599999999981</c:v>
                </c:pt>
                <c:pt idx="142">
                  <c:v>141.55999999999861</c:v>
                </c:pt>
                <c:pt idx="143">
                  <c:v>142.55999999999909</c:v>
                </c:pt>
                <c:pt idx="144">
                  <c:v>143.5599999999996</c:v>
                </c:pt>
                <c:pt idx="145">
                  <c:v>144.56000000000009</c:v>
                </c:pt>
                <c:pt idx="146">
                  <c:v>145.56000000000071</c:v>
                </c:pt>
                <c:pt idx="147">
                  <c:v>146.5600000000012</c:v>
                </c:pt>
                <c:pt idx="148">
                  <c:v>147.56000000000171</c:v>
                </c:pt>
                <c:pt idx="149">
                  <c:v>148.56000000000219</c:v>
                </c:pt>
                <c:pt idx="150">
                  <c:v>149.5600000000027</c:v>
                </c:pt>
                <c:pt idx="151">
                  <c:v>150.56000000000321</c:v>
                </c:pt>
                <c:pt idx="152">
                  <c:v>151.5600000000037</c:v>
                </c:pt>
                <c:pt idx="153">
                  <c:v>152.56000000000421</c:v>
                </c:pt>
                <c:pt idx="154">
                  <c:v>153.56000000000469</c:v>
                </c:pt>
                <c:pt idx="155">
                  <c:v>154.56000000000529</c:v>
                </c:pt>
                <c:pt idx="156">
                  <c:v>155.5600000000058</c:v>
                </c:pt>
                <c:pt idx="157">
                  <c:v>156.56000000000631</c:v>
                </c:pt>
                <c:pt idx="158">
                  <c:v>157.5600000000068</c:v>
                </c:pt>
                <c:pt idx="159">
                  <c:v>158.56000000000731</c:v>
                </c:pt>
                <c:pt idx="160">
                  <c:v>159.56000000000779</c:v>
                </c:pt>
                <c:pt idx="161">
                  <c:v>160.5600000000083</c:v>
                </c:pt>
                <c:pt idx="162">
                  <c:v>161.56000000000881</c:v>
                </c:pt>
                <c:pt idx="163">
                  <c:v>162.56000000000941</c:v>
                </c:pt>
                <c:pt idx="164">
                  <c:v>163.56000000000989</c:v>
                </c:pt>
                <c:pt idx="165">
                  <c:v>164.5600000000104</c:v>
                </c:pt>
                <c:pt idx="166">
                  <c:v>165.56000000001089</c:v>
                </c:pt>
                <c:pt idx="167">
                  <c:v>166.5600000000114</c:v>
                </c:pt>
                <c:pt idx="168">
                  <c:v>167.56000000001191</c:v>
                </c:pt>
                <c:pt idx="169">
                  <c:v>168.56000000001239</c:v>
                </c:pt>
                <c:pt idx="170">
                  <c:v>169.56000000001291</c:v>
                </c:pt>
                <c:pt idx="171">
                  <c:v>170.56000000001339</c:v>
                </c:pt>
                <c:pt idx="172">
                  <c:v>171.56000000001401</c:v>
                </c:pt>
                <c:pt idx="173">
                  <c:v>172.5600000000145</c:v>
                </c:pt>
                <c:pt idx="174">
                  <c:v>173.56000000001501</c:v>
                </c:pt>
                <c:pt idx="175">
                  <c:v>174.56000000001549</c:v>
                </c:pt>
                <c:pt idx="176">
                  <c:v>175.560000000016</c:v>
                </c:pt>
                <c:pt idx="177">
                  <c:v>176.56000000001649</c:v>
                </c:pt>
                <c:pt idx="178">
                  <c:v>177.560000000017</c:v>
                </c:pt>
                <c:pt idx="179">
                  <c:v>178.56000000001751</c:v>
                </c:pt>
                <c:pt idx="180">
                  <c:v>179.56000000001811</c:v>
                </c:pt>
                <c:pt idx="181">
                  <c:v>180.56000000001859</c:v>
                </c:pt>
                <c:pt idx="182">
                  <c:v>181.5600000000191</c:v>
                </c:pt>
                <c:pt idx="183">
                  <c:v>182.56000000001961</c:v>
                </c:pt>
                <c:pt idx="184">
                  <c:v>183.5600000000201</c:v>
                </c:pt>
                <c:pt idx="185">
                  <c:v>184.56000000002061</c:v>
                </c:pt>
                <c:pt idx="186">
                  <c:v>185.56000000002109</c:v>
                </c:pt>
                <c:pt idx="187">
                  <c:v>186.5600000000216</c:v>
                </c:pt>
                <c:pt idx="188">
                  <c:v>187.56000000002209</c:v>
                </c:pt>
                <c:pt idx="189">
                  <c:v>188.56000000002271</c:v>
                </c:pt>
                <c:pt idx="190">
                  <c:v>189.56000000002319</c:v>
                </c:pt>
                <c:pt idx="191">
                  <c:v>190.56000000002371</c:v>
                </c:pt>
                <c:pt idx="192">
                  <c:v>191.56000000002419</c:v>
                </c:pt>
                <c:pt idx="193">
                  <c:v>192.5600000000247</c:v>
                </c:pt>
                <c:pt idx="194">
                  <c:v>193.56000000002521</c:v>
                </c:pt>
                <c:pt idx="195">
                  <c:v>194.5600000000257</c:v>
                </c:pt>
                <c:pt idx="196">
                  <c:v>195.56000000002621</c:v>
                </c:pt>
                <c:pt idx="197">
                  <c:v>196.56000000002669</c:v>
                </c:pt>
                <c:pt idx="198">
                  <c:v>197.36000000002721</c:v>
                </c:pt>
                <c:pt idx="199">
                  <c:v>198.34000000002769</c:v>
                </c:pt>
                <c:pt idx="200">
                  <c:v>199.3400000000282</c:v>
                </c:pt>
                <c:pt idx="201">
                  <c:v>200.34000000002871</c:v>
                </c:pt>
                <c:pt idx="202">
                  <c:v>201.34000000002919</c:v>
                </c:pt>
                <c:pt idx="203">
                  <c:v>202.3400000000297</c:v>
                </c:pt>
                <c:pt idx="204">
                  <c:v>203.34000000003019</c:v>
                </c:pt>
                <c:pt idx="205">
                  <c:v>204.3400000000307</c:v>
                </c:pt>
                <c:pt idx="206">
                  <c:v>205.34000000003121</c:v>
                </c:pt>
                <c:pt idx="207">
                  <c:v>206.34000000003181</c:v>
                </c:pt>
                <c:pt idx="208">
                  <c:v>207.34000000003229</c:v>
                </c:pt>
                <c:pt idx="209">
                  <c:v>208.3400000000328</c:v>
                </c:pt>
                <c:pt idx="210">
                  <c:v>209.34000000003331</c:v>
                </c:pt>
                <c:pt idx="211">
                  <c:v>210.3400000000338</c:v>
                </c:pt>
                <c:pt idx="212">
                  <c:v>211.34000000003431</c:v>
                </c:pt>
                <c:pt idx="213">
                  <c:v>212.34000000003479</c:v>
                </c:pt>
                <c:pt idx="214">
                  <c:v>213.3400000000353</c:v>
                </c:pt>
                <c:pt idx="215">
                  <c:v>214.34000000003579</c:v>
                </c:pt>
                <c:pt idx="216">
                  <c:v>215.34000000003641</c:v>
                </c:pt>
                <c:pt idx="217">
                  <c:v>216.34000000003689</c:v>
                </c:pt>
                <c:pt idx="218">
                  <c:v>217.34000000003741</c:v>
                </c:pt>
                <c:pt idx="219">
                  <c:v>218.34000000003789</c:v>
                </c:pt>
              </c:numCache>
            </c:numRef>
          </c:xVal>
          <c:yVal>
            <c:numRef>
              <c:f>Diagrammdaten!$AM$5:$AM$224</c:f>
              <c:numCache>
                <c:formatCode>0.0</c:formatCode>
                <c:ptCount val="220"/>
                <c:pt idx="0">
                  <c:v>37.149999993934053</c:v>
                </c:pt>
                <c:pt idx="1">
                  <c:v>35.713931373710238</c:v>
                </c:pt>
                <c:pt idx="2">
                  <c:v>34.253565660326053</c:v>
                </c:pt>
                <c:pt idx="3">
                  <c:v>32.863064074220688</c:v>
                </c:pt>
                <c:pt idx="4">
                  <c:v>31.643997500237329</c:v>
                </c:pt>
                <c:pt idx="5">
                  <c:v>30.580259610619461</c:v>
                </c:pt>
                <c:pt idx="6">
                  <c:v>29.656810185367021</c:v>
                </c:pt>
                <c:pt idx="7">
                  <c:v>28.859559797865241</c:v>
                </c:pt>
                <c:pt idx="8">
                  <c:v>28.175377905030981</c:v>
                </c:pt>
                <c:pt idx="9">
                  <c:v>27.59222079269767</c:v>
                </c:pt>
                <c:pt idx="10">
                  <c:v>27.099352639847499</c:v>
                </c:pt>
                <c:pt idx="11">
                  <c:v>26.687609026471591</c:v>
                </c:pt>
                <c:pt idx="12">
                  <c:v>26.349622823716569</c:v>
                </c:pt>
                <c:pt idx="13">
                  <c:v>26.223391026965089</c:v>
                </c:pt>
                <c:pt idx="14">
                  <c:v>26.376659336649599</c:v>
                </c:pt>
                <c:pt idx="15">
                  <c:v>26.521296098599979</c:v>
                </c:pt>
                <c:pt idx="16">
                  <c:v>26.65755268301427</c:v>
                </c:pt>
                <c:pt idx="17">
                  <c:v>26.785670596347419</c:v>
                </c:pt>
                <c:pt idx="18">
                  <c:v>26.90588150517647</c:v>
                </c:pt>
                <c:pt idx="19">
                  <c:v>27.018407279635142</c:v>
                </c:pt>
                <c:pt idx="20">
                  <c:v>27.123460052973599</c:v>
                </c:pt>
                <c:pt idx="21">
                  <c:v>27.22124229318786</c:v>
                </c:pt>
                <c:pt idx="22">
                  <c:v>27.31194688253623</c:v>
                </c:pt>
                <c:pt idx="23">
                  <c:v>27.395757201015162</c:v>
                </c:pt>
                <c:pt idx="24">
                  <c:v>27.472847210377491</c:v>
                </c:pt>
                <c:pt idx="25">
                  <c:v>27.543381535928571</c:v>
                </c:pt>
                <c:pt idx="26">
                  <c:v>27.607515544047999</c:v>
                </c:pt>
                <c:pt idx="27">
                  <c:v>27.665395414045459</c:v>
                </c:pt>
                <c:pt idx="28">
                  <c:v>27.717158203557911</c:v>
                </c:pt>
                <c:pt idx="29">
                  <c:v>27.762931907138519</c:v>
                </c:pt>
                <c:pt idx="30">
                  <c:v>27.802835508024881</c:v>
                </c:pt>
                <c:pt idx="31">
                  <c:v>27.836979023240531</c:v>
                </c:pt>
                <c:pt idx="32">
                  <c:v>27.865463542238611</c:v>
                </c:pt>
                <c:pt idx="33">
                  <c:v>27.888381259220861</c:v>
                </c:pt>
                <c:pt idx="34">
                  <c:v>27.905815499107231</c:v>
                </c:pt>
                <c:pt idx="35">
                  <c:v>27.91784073688973</c:v>
                </c:pt>
                <c:pt idx="36">
                  <c:v>27.92452260981025</c:v>
                </c:pt>
                <c:pt idx="37">
                  <c:v>27.92591792147795</c:v>
                </c:pt>
                <c:pt idx="38">
                  <c:v>27.922074636686428</c:v>
                </c:pt>
                <c:pt idx="39">
                  <c:v>27.91303186533742</c:v>
                </c:pt>
                <c:pt idx="40">
                  <c:v>27.898819833514612</c:v>
                </c:pt>
                <c:pt idx="41">
                  <c:v>27.879459839401932</c:v>
                </c:pt>
                <c:pt idx="42">
                  <c:v>27.854964191394231</c:v>
                </c:pt>
                <c:pt idx="43">
                  <c:v>27.825336125422151</c:v>
                </c:pt>
                <c:pt idx="44">
                  <c:v>27.790569698184409</c:v>
                </c:pt>
                <c:pt idx="45">
                  <c:v>27.750649652671431</c:v>
                </c:pt>
                <c:pt idx="46">
                  <c:v>27.705551252044931</c:v>
                </c:pt>
                <c:pt idx="47">
                  <c:v>27.655240077620359</c:v>
                </c:pt>
                <c:pt idx="48">
                  <c:v>27.599671786357529</c:v>
                </c:pt>
                <c:pt idx="49">
                  <c:v>27.53879182289603</c:v>
                </c:pt>
                <c:pt idx="50">
                  <c:v>27.47253508076307</c:v>
                </c:pt>
                <c:pt idx="51">
                  <c:v>27.400825506900109</c:v>
                </c:pt>
                <c:pt idx="52">
                  <c:v>27.323575643107009</c:v>
                </c:pt>
                <c:pt idx="53">
                  <c:v>27.240686097343431</c:v>
                </c:pt>
                <c:pt idx="54">
                  <c:v>27.15204493704374</c:v>
                </c:pt>
                <c:pt idx="55">
                  <c:v>27.057526995679378</c:v>
                </c:pt>
                <c:pt idx="56">
                  <c:v>26.95699308268803</c:v>
                </c:pt>
                <c:pt idx="57">
                  <c:v>26.85028908557803</c:v>
                </c:pt>
                <c:pt idx="58">
                  <c:v>26.737244951458251</c:v>
                </c:pt>
                <c:pt idx="59">
                  <c:v>26.61767353340645</c:v>
                </c:pt>
                <c:pt idx="60">
                  <c:v>26.491369284930101</c:v>
                </c:pt>
                <c:pt idx="61">
                  <c:v>26.358106783232021</c:v>
                </c:pt>
                <c:pt idx="62">
                  <c:v>26.2176390590156</c:v>
                </c:pt>
                <c:pt idx="63">
                  <c:v>26.06969570706508</c:v>
                </c:pt>
                <c:pt idx="64">
                  <c:v>25.913980747719901</c:v>
                </c:pt>
                <c:pt idx="65">
                  <c:v>25.750170204507189</c:v>
                </c:pt>
                <c:pt idx="66">
                  <c:v>25.577909357444241</c:v>
                </c:pt>
                <c:pt idx="67">
                  <c:v>25.396809624675541</c:v>
                </c:pt>
                <c:pt idx="68">
                  <c:v>25.206445016914529</c:v>
                </c:pt>
                <c:pt idx="69">
                  <c:v>25.00634809928539</c:v>
                </c:pt>
                <c:pt idx="70">
                  <c:v>24.796005383200569</c:v>
                </c:pt>
                <c:pt idx="71">
                  <c:v>24.574852056313091</c:v>
                </c:pt>
                <c:pt idx="72">
                  <c:v>24.342265940667058</c:v>
                </c:pt>
                <c:pt idx="73">
                  <c:v>24.09756054703098</c:v>
                </c:pt>
                <c:pt idx="74">
                  <c:v>23.839977065866659</c:v>
                </c:pt>
                <c:pt idx="75">
                  <c:v>23.56867510092906</c:v>
                </c:pt>
                <c:pt idx="76">
                  <c:v>23.282721908090078</c:v>
                </c:pt>
                <c:pt idx="77">
                  <c:v>22.981079846934339</c:v>
                </c:pt>
                <c:pt idx="78">
                  <c:v>23.63723372750724</c:v>
                </c:pt>
                <c:pt idx="79">
                  <c:v>24.647912506339939</c:v>
                </c:pt>
                <c:pt idx="80">
                  <c:v>25.474581681678789</c:v>
                </c:pt>
                <c:pt idx="81">
                  <c:v>26.140302502089181</c:v>
                </c:pt>
                <c:pt idx="82">
                  <c:v>26.672564350288159</c:v>
                </c:pt>
                <c:pt idx="83">
                  <c:v>27.098476769157632</c:v>
                </c:pt>
                <c:pt idx="84">
                  <c:v>27.44245934397247</c:v>
                </c:pt>
                <c:pt idx="85">
                  <c:v>27.725259538653919</c:v>
                </c:pt>
                <c:pt idx="86">
                  <c:v>27.96373280927099</c:v>
                </c:pt>
                <c:pt idx="87">
                  <c:v>28.171058103533031</c:v>
                </c:pt>
                <c:pt idx="88">
                  <c:v>28.35718220530725</c:v>
                </c:pt>
                <c:pt idx="89">
                  <c:v>28.529359341540161</c:v>
                </c:pt>
                <c:pt idx="90">
                  <c:v>28.692700868157939</c:v>
                </c:pt>
                <c:pt idx="91">
                  <c:v>28.850683275658639</c:v>
                </c:pt>
                <c:pt idx="92">
                  <c:v>29.005586315533211</c:v>
                </c:pt>
                <c:pt idx="93">
                  <c:v>29.158849733982091</c:v>
                </c:pt>
                <c:pt idx="94">
                  <c:v>29.283928745613309</c:v>
                </c:pt>
                <c:pt idx="95">
                  <c:v>33.923066643164702</c:v>
                </c:pt>
                <c:pt idx="96">
                  <c:v>35.878624198359432</c:v>
                </c:pt>
                <c:pt idx="97">
                  <c:v>36.649686834400093</c:v>
                </c:pt>
                <c:pt idx="98">
                  <c:v>36.953203792992099</c:v>
                </c:pt>
                <c:pt idx="99">
                  <c:v>37.072604268870293</c:v>
                </c:pt>
                <c:pt idx="100">
                  <c:v>37.119563955144429</c:v>
                </c:pt>
                <c:pt idx="101">
                  <c:v>37.138031271241687</c:v>
                </c:pt>
                <c:pt idx="102">
                  <c:v>37.145293442626098</c:v>
                </c:pt>
                <c:pt idx="103">
                  <c:v>37.148149210914198</c:v>
                </c:pt>
                <c:pt idx="104">
                  <c:v>37.149272203755061</c:v>
                </c:pt>
                <c:pt idx="105">
                  <c:v>37.149713804751343</c:v>
                </c:pt>
                <c:pt idx="106">
                  <c:v>37.149887457923967</c:v>
                </c:pt>
                <c:pt idx="107">
                  <c:v>37.149955744486647</c:v>
                </c:pt>
                <c:pt idx="108">
                  <c:v>37.149982597172027</c:v>
                </c:pt>
                <c:pt idx="109">
                  <c:v>37.149993156594753</c:v>
                </c:pt>
                <c:pt idx="110">
                  <c:v>37.149997308931518</c:v>
                </c:pt>
                <c:pt idx="111">
                  <c:v>37.149998941777369</c:v>
                </c:pt>
                <c:pt idx="112">
                  <c:v>37.149999583869537</c:v>
                </c:pt>
                <c:pt idx="113">
                  <c:v>37.149999836362667</c:v>
                </c:pt>
                <c:pt idx="114">
                  <c:v>37.149999935652147</c:v>
                </c:pt>
                <c:pt idx="115">
                  <c:v>37.1499999746963</c:v>
                </c:pt>
                <c:pt idx="116">
                  <c:v>37.516733233454943</c:v>
                </c:pt>
                <c:pt idx="117">
                  <c:v>41.108324765965733</c:v>
                </c:pt>
                <c:pt idx="118">
                  <c:v>42.372081036402278</c:v>
                </c:pt>
                <c:pt idx="119">
                  <c:v>42.850907023555749</c:v>
                </c:pt>
                <c:pt idx="120">
                  <c:v>43.040839156285699</c:v>
                </c:pt>
                <c:pt idx="121">
                  <c:v>43.112545189744758</c:v>
                </c:pt>
                <c:pt idx="122">
                  <c:v>43.127839089556574</c:v>
                </c:pt>
                <c:pt idx="123">
                  <c:v>43.109421272527413</c:v>
                </c:pt>
                <c:pt idx="124">
                  <c:v>43.064752026987378</c:v>
                </c:pt>
                <c:pt idx="125">
                  <c:v>42.994534988557753</c:v>
                </c:pt>
                <c:pt idx="126">
                  <c:v>42.895567354695231</c:v>
                </c:pt>
                <c:pt idx="127">
                  <c:v>42.76108878826409</c:v>
                </c:pt>
                <c:pt idx="128">
                  <c:v>42.579161012340933</c:v>
                </c:pt>
                <c:pt idx="129">
                  <c:v>42.327138270543912</c:v>
                </c:pt>
                <c:pt idx="130">
                  <c:v>41.949163332295882</c:v>
                </c:pt>
                <c:pt idx="131">
                  <c:v>40.54281220948252</c:v>
                </c:pt>
                <c:pt idx="132">
                  <c:v>38.899976500861669</c:v>
                </c:pt>
                <c:pt idx="133">
                  <c:v>37.767514794102063</c:v>
                </c:pt>
                <c:pt idx="134">
                  <c:v>37.061251426865617</c:v>
                </c:pt>
                <c:pt idx="135">
                  <c:v>36.624069979966627</c:v>
                </c:pt>
                <c:pt idx="136">
                  <c:v>36.366991321079183</c:v>
                </c:pt>
                <c:pt idx="137">
                  <c:v>36.233793709191623</c:v>
                </c:pt>
                <c:pt idx="138">
                  <c:v>36.187413698973387</c:v>
                </c:pt>
                <c:pt idx="139">
                  <c:v>36.202760615438137</c:v>
                </c:pt>
                <c:pt idx="140">
                  <c:v>36.26248788974317</c:v>
                </c:pt>
                <c:pt idx="141">
                  <c:v>36.354383029732958</c:v>
                </c:pt>
                <c:pt idx="142">
                  <c:v>36.469708196001761</c:v>
                </c:pt>
                <c:pt idx="143">
                  <c:v>36.602120791532677</c:v>
                </c:pt>
                <c:pt idx="144">
                  <c:v>36.74695735571089</c:v>
                </c:pt>
                <c:pt idx="145">
                  <c:v>36.900749781022341</c:v>
                </c:pt>
                <c:pt idx="146">
                  <c:v>37.060892788365663</c:v>
                </c:pt>
                <c:pt idx="147">
                  <c:v>37.225411656617503</c:v>
                </c:pt>
                <c:pt idx="148">
                  <c:v>37.392797856774393</c:v>
                </c:pt>
                <c:pt idx="149">
                  <c:v>37.561892090372112</c:v>
                </c:pt>
                <c:pt idx="150">
                  <c:v>37.731801715623703</c:v>
                </c:pt>
                <c:pt idx="151">
                  <c:v>37.901843881023183</c:v>
                </c:pt>
                <c:pt idx="152">
                  <c:v>38.071507600044917</c:v>
                </c:pt>
                <c:pt idx="153">
                  <c:v>38.240428382704472</c:v>
                </c:pt>
                <c:pt idx="154">
                  <c:v>38.408369210804437</c:v>
                </c:pt>
                <c:pt idx="155">
                  <c:v>38.575202823757763</c:v>
                </c:pt>
                <c:pt idx="156">
                  <c:v>38.740892667062269</c:v>
                </c:pt>
                <c:pt idx="157">
                  <c:v>38.905472461832566</c:v>
                </c:pt>
                <c:pt idx="158">
                  <c:v>39.069026004759728</c:v>
                </c:pt>
                <c:pt idx="159">
                  <c:v>39.231669138524687</c:v>
                </c:pt>
                <c:pt idx="160">
                  <c:v>39.393535297438227</c:v>
                </c:pt>
                <c:pt idx="161">
                  <c:v>39.554765265210733</c:v>
                </c:pt>
                <c:pt idx="162">
                  <c:v>39.715501145464657</c:v>
                </c:pt>
                <c:pt idx="163">
                  <c:v>39.875884120820103</c:v>
                </c:pt>
                <c:pt idx="164">
                  <c:v>40.036055329480689</c:v>
                </c:pt>
                <c:pt idx="165">
                  <c:v>40.196159107543913</c:v>
                </c:pt>
                <c:pt idx="166">
                  <c:v>40.356348064964038</c:v>
                </c:pt>
                <c:pt idx="167">
                  <c:v>40.516792592163142</c:v>
                </c:pt>
                <c:pt idx="168">
                  <c:v>40.677715201474939</c:v>
                </c:pt>
                <c:pt idx="169">
                  <c:v>40.839384783614783</c:v>
                </c:pt>
                <c:pt idx="170">
                  <c:v>41.002083577224198</c:v>
                </c:pt>
                <c:pt idx="171">
                  <c:v>41.166095678796069</c:v>
                </c:pt>
                <c:pt idx="172">
                  <c:v>41.331697932352263</c:v>
                </c:pt>
                <c:pt idx="173">
                  <c:v>41.499151881697742</c:v>
                </c:pt>
                <c:pt idx="174">
                  <c:v>41.668697219643207</c:v>
                </c:pt>
                <c:pt idx="175">
                  <c:v>41.84054722618572</c:v>
                </c:pt>
                <c:pt idx="176">
                  <c:v>42.014886503888818</c:v>
                </c:pt>
                <c:pt idx="177">
                  <c:v>42.191871029402307</c:v>
                </c:pt>
                <c:pt idx="178">
                  <c:v>42.371630209051148</c:v>
                </c:pt>
                <c:pt idx="179">
                  <c:v>42.55427031418526</c:v>
                </c:pt>
                <c:pt idx="180">
                  <c:v>42.73987844861864</c:v>
                </c:pt>
                <c:pt idx="181">
                  <c:v>42.928526140642589</c:v>
                </c:pt>
                <c:pt idx="182">
                  <c:v>43.120271806611584</c:v>
                </c:pt>
                <c:pt idx="183">
                  <c:v>43.315161698542738</c:v>
                </c:pt>
                <c:pt idx="184">
                  <c:v>43.513229430582783</c:v>
                </c:pt>
                <c:pt idx="185">
                  <c:v>43.714494625219402</c:v>
                </c:pt>
                <c:pt idx="186">
                  <c:v>43.918961471747707</c:v>
                </c:pt>
                <c:pt idx="187">
                  <c:v>44.126617972112967</c:v>
                </c:pt>
                <c:pt idx="188">
                  <c:v>44.337436398127579</c:v>
                </c:pt>
                <c:pt idx="189">
                  <c:v>44.551375124962142</c:v>
                </c:pt>
                <c:pt idx="190">
                  <c:v>44.76838167275406</c:v>
                </c:pt>
                <c:pt idx="191">
                  <c:v>44.988396572873803</c:v>
                </c:pt>
                <c:pt idx="192">
                  <c:v>45.211357599997477</c:v>
                </c:pt>
                <c:pt idx="193">
                  <c:v>45.437203946159173</c:v>
                </c:pt>
                <c:pt idx="194">
                  <c:v>45.665880006890688</c:v>
                </c:pt>
                <c:pt idx="195">
                  <c:v>45.897338554618841</c:v>
                </c:pt>
                <c:pt idx="196">
                  <c:v>46.131543160666467</c:v>
                </c:pt>
                <c:pt idx="197">
                  <c:v>46.368469784312943</c:v>
                </c:pt>
                <c:pt idx="198">
                  <c:v>46.55996314151173</c:v>
                </c:pt>
                <c:pt idx="199">
                  <c:v>45.602910522094248</c:v>
                </c:pt>
                <c:pt idx="200">
                  <c:v>44.728537059869673</c:v>
                </c:pt>
                <c:pt idx="201">
                  <c:v>43.946320487495882</c:v>
                </c:pt>
                <c:pt idx="202">
                  <c:v>43.246325981876168</c:v>
                </c:pt>
                <c:pt idx="203">
                  <c:v>42.619711545376333</c:v>
                </c:pt>
                <c:pt idx="204">
                  <c:v>42.05860598211973</c:v>
                </c:pt>
                <c:pt idx="205">
                  <c:v>41.556001345688742</c:v>
                </c:pt>
                <c:pt idx="206">
                  <c:v>41.105657490034162</c:v>
                </c:pt>
                <c:pt idx="207">
                  <c:v>40.702017059655759</c:v>
                </c:pt>
                <c:pt idx="208">
                  <c:v>40.340129687785009</c:v>
                </c:pt>
                <c:pt idx="209">
                  <c:v>40.01558442572582</c:v>
                </c:pt>
                <c:pt idx="210">
                  <c:v>39.724449574746977</c:v>
                </c:pt>
                <c:pt idx="211">
                  <c:v>39.463219182804153</c:v>
                </c:pt>
                <c:pt idx="212">
                  <c:v>39.22876553156118</c:v>
                </c:pt>
                <c:pt idx="213">
                  <c:v>39.018296990972033</c:v>
                </c:pt>
                <c:pt idx="214">
                  <c:v>38.829320666832587</c:v>
                </c:pt>
                <c:pt idx="215">
                  <c:v>38.659609314141157</c:v>
                </c:pt>
                <c:pt idx="216">
                  <c:v>38.507172036297327</c:v>
                </c:pt>
                <c:pt idx="217">
                  <c:v>38.370228336480523</c:v>
                </c:pt>
                <c:pt idx="218">
                  <c:v>38.247185132179879</c:v>
                </c:pt>
                <c:pt idx="219">
                  <c:v>38.136616385943398</c:v>
                </c:pt>
              </c:numCache>
            </c:numRef>
          </c:yVal>
          <c:smooth val="0"/>
          <c:extLst>
            <c:ext xmlns:c16="http://schemas.microsoft.com/office/drawing/2014/chart" uri="{C3380CC4-5D6E-409C-BE32-E72D297353CC}">
              <c16:uniqueId val="{00000003-F153-42EF-B8D2-A16133222B8C}"/>
            </c:ext>
          </c:extLst>
        </c:ser>
        <c:dLbls>
          <c:showLegendKey val="0"/>
          <c:showVal val="0"/>
          <c:showCatName val="0"/>
          <c:showSerName val="0"/>
          <c:showPercent val="0"/>
          <c:showBubbleSize val="0"/>
        </c:dLbls>
        <c:axId val="10"/>
        <c:axId val="20"/>
      </c:scatterChart>
      <c:valAx>
        <c:axId val="10"/>
        <c:scaling>
          <c:orientation val="minMax"/>
          <c:max val="400"/>
          <c:min val="0"/>
        </c:scaling>
        <c:delete val="0"/>
        <c:axPos val="b"/>
        <c:majorGridlines>
          <c:spPr>
            <a:ln>
              <a:solidFill>
                <a:srgbClr val="E0E0E0"/>
              </a:solidFill>
              <a:prstDash val="solid"/>
            </a:ln>
          </c:spPr>
        </c:majorGridlines>
        <c:title>
          <c:tx>
            <c:rich>
              <a:bodyPr/>
              <a:lstStyle/>
              <a:p>
                <a:pPr>
                  <a:defRPr/>
                </a:pPr>
                <a:r>
                  <a:rPr lang="de-DE"/>
                  <a:t>Zeit [d]</a:t>
                </a:r>
              </a:p>
            </c:rich>
          </c:tx>
          <c:overlay val="0"/>
        </c:title>
        <c:numFmt formatCode="0" sourceLinked="0"/>
        <c:majorTickMark val="none"/>
        <c:minorTickMark val="none"/>
        <c:tickLblPos val="nextTo"/>
        <c:crossAx val="20"/>
        <c:crosses val="min"/>
        <c:crossBetween val="midCat"/>
      </c:valAx>
      <c:valAx>
        <c:axId val="20"/>
        <c:scaling>
          <c:orientation val="minMax"/>
          <c:max val="70"/>
          <c:min val="0"/>
        </c:scaling>
        <c:delete val="0"/>
        <c:axPos val="l"/>
        <c:majorGridlines>
          <c:spPr>
            <a:ln>
              <a:solidFill>
                <a:srgbClr val="E0E0E0"/>
              </a:solidFill>
              <a:prstDash val="solid"/>
            </a:ln>
          </c:spPr>
        </c:majorGridlines>
        <c:title>
          <c:tx>
            <c:rich>
              <a:bodyPr/>
              <a:lstStyle/>
              <a:p>
                <a:pPr>
                  <a:defRPr/>
                </a:pPr>
                <a:r>
                  <a:rPr lang="de-DE"/>
                  <a:t>Temperatur [°C]</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Kopfzustände beim Ausspeichern (adiabat)</a:t>
            </a:r>
          </a:p>
        </c:rich>
      </c:tx>
      <c:overlay val="0"/>
    </c:title>
    <c:autoTitleDeleted val="0"/>
    <c:plotArea>
      <c:layout/>
      <c:scatterChart>
        <c:scatterStyle val="lineMarker"/>
        <c:varyColors val="1"/>
        <c:ser>
          <c:idx val="0"/>
          <c:order val="0"/>
          <c:tx>
            <c:v>Sättigungslinie CO₂</c:v>
          </c:tx>
          <c:spPr>
            <a:ln w="25400">
              <a:solidFill>
                <a:srgbClr val="1F4E79"/>
              </a:solidFill>
              <a:prstDash val="solid"/>
            </a:ln>
          </c:spPr>
          <c:marker>
            <c:symbol val="none"/>
          </c:marker>
          <c:xVal>
            <c:numRef>
              <c:f>Diagrammdaten!$AP$5:$AP$64</c:f>
              <c:numCache>
                <c:formatCode>0.0</c:formatCode>
                <c:ptCount val="60"/>
                <c:pt idx="0">
                  <c:v>-56.057999999999957</c:v>
                </c:pt>
                <c:pt idx="1">
                  <c:v>-54.582979660966402</c:v>
                </c:pt>
                <c:pt idx="2">
                  <c:v>-53.10795932193281</c:v>
                </c:pt>
                <c:pt idx="3">
                  <c:v>-51.632938982899248</c:v>
                </c:pt>
                <c:pt idx="4">
                  <c:v>-50.157918643865678</c:v>
                </c:pt>
                <c:pt idx="5">
                  <c:v>-48.682898304832122</c:v>
                </c:pt>
                <c:pt idx="6">
                  <c:v>-47.207877965798531</c:v>
                </c:pt>
                <c:pt idx="7">
                  <c:v>-45.732857626764968</c:v>
                </c:pt>
                <c:pt idx="8">
                  <c:v>-44.257837287731412</c:v>
                </c:pt>
                <c:pt idx="9">
                  <c:v>-42.782816948697807</c:v>
                </c:pt>
                <c:pt idx="10">
                  <c:v>-41.307796609664251</c:v>
                </c:pt>
                <c:pt idx="11">
                  <c:v>-39.832776270630688</c:v>
                </c:pt>
                <c:pt idx="12">
                  <c:v>-38.357755931597133</c:v>
                </c:pt>
                <c:pt idx="13">
                  <c:v>-36.882735592563527</c:v>
                </c:pt>
                <c:pt idx="14">
                  <c:v>-35.407715253529972</c:v>
                </c:pt>
                <c:pt idx="15">
                  <c:v>-33.932694914496409</c:v>
                </c:pt>
                <c:pt idx="16">
                  <c:v>-32.457674575462818</c:v>
                </c:pt>
                <c:pt idx="17">
                  <c:v>-30.982654236429251</c:v>
                </c:pt>
                <c:pt idx="18">
                  <c:v>-29.507633897395689</c:v>
                </c:pt>
                <c:pt idx="19">
                  <c:v>-28.032613558362129</c:v>
                </c:pt>
                <c:pt idx="20">
                  <c:v>-26.557593219328538</c:v>
                </c:pt>
                <c:pt idx="21">
                  <c:v>-25.082572880294979</c:v>
                </c:pt>
                <c:pt idx="22">
                  <c:v>-23.607552541261409</c:v>
                </c:pt>
                <c:pt idx="23">
                  <c:v>-22.132532202227821</c:v>
                </c:pt>
                <c:pt idx="24">
                  <c:v>-20.657511863194259</c:v>
                </c:pt>
                <c:pt idx="25">
                  <c:v>-19.182491524160699</c:v>
                </c:pt>
                <c:pt idx="26">
                  <c:v>-17.70747118512713</c:v>
                </c:pt>
                <c:pt idx="27">
                  <c:v>-16.23245084609357</c:v>
                </c:pt>
                <c:pt idx="28">
                  <c:v>-14.757430507060009</c:v>
                </c:pt>
                <c:pt idx="29">
                  <c:v>-13.28241016802639</c:v>
                </c:pt>
                <c:pt idx="30">
                  <c:v>-11.807389828992831</c:v>
                </c:pt>
                <c:pt idx="31">
                  <c:v>-10.332369489959261</c:v>
                </c:pt>
                <c:pt idx="32">
                  <c:v>-8.8573491509256996</c:v>
                </c:pt>
                <c:pt idx="33">
                  <c:v>-7.3823288118921369</c:v>
                </c:pt>
                <c:pt idx="34">
                  <c:v>-5.9073084728585741</c:v>
                </c:pt>
                <c:pt idx="35">
                  <c:v>-4.4322881338249536</c:v>
                </c:pt>
                <c:pt idx="36">
                  <c:v>-2.9572677947913921</c:v>
                </c:pt>
                <c:pt idx="37">
                  <c:v>-1.4822474557578289</c:v>
                </c:pt>
                <c:pt idx="38">
                  <c:v>-7.2271167242661249E-3</c:v>
                </c:pt>
                <c:pt idx="39">
                  <c:v>1.4677932223092971</c:v>
                </c:pt>
                <c:pt idx="40">
                  <c:v>2.942813561342859</c:v>
                </c:pt>
                <c:pt idx="41">
                  <c:v>4.4178339003764222</c:v>
                </c:pt>
                <c:pt idx="42">
                  <c:v>5.8928542394100418</c:v>
                </c:pt>
                <c:pt idx="43">
                  <c:v>7.3678745784436046</c:v>
                </c:pt>
                <c:pt idx="44">
                  <c:v>8.8428949174771674</c:v>
                </c:pt>
                <c:pt idx="45">
                  <c:v>10.31791525651073</c:v>
                </c:pt>
                <c:pt idx="46">
                  <c:v>11.792935595544289</c:v>
                </c:pt>
                <c:pt idx="47">
                  <c:v>13.267955934577859</c:v>
                </c:pt>
                <c:pt idx="48">
                  <c:v>14.742976273611481</c:v>
                </c:pt>
                <c:pt idx="49">
                  <c:v>16.217996612645042</c:v>
                </c:pt>
                <c:pt idx="50">
                  <c:v>17.693016951678601</c:v>
                </c:pt>
                <c:pt idx="51">
                  <c:v>19.16803729071216</c:v>
                </c:pt>
                <c:pt idx="52">
                  <c:v>20.64305762974573</c:v>
                </c:pt>
                <c:pt idx="53">
                  <c:v>22.118077968779289</c:v>
                </c:pt>
                <c:pt idx="54">
                  <c:v>23.593098307812848</c:v>
                </c:pt>
                <c:pt idx="55">
                  <c:v>25.068118646846411</c:v>
                </c:pt>
                <c:pt idx="56">
                  <c:v>26.543138985879981</c:v>
                </c:pt>
                <c:pt idx="57">
                  <c:v>28.018159324913601</c:v>
                </c:pt>
                <c:pt idx="58">
                  <c:v>29.49317966394716</c:v>
                </c:pt>
                <c:pt idx="59">
                  <c:v>30.968200002980719</c:v>
                </c:pt>
              </c:numCache>
            </c:numRef>
          </c:xVal>
          <c:yVal>
            <c:numRef>
              <c:f>Diagrammdaten!$AQ$5:$AQ$64</c:f>
              <c:numCache>
                <c:formatCode>0.0</c:formatCode>
                <c:ptCount val="60"/>
                <c:pt idx="0">
                  <c:v>5.2931924475829923</c:v>
                </c:pt>
                <c:pt idx="1">
                  <c:v>5.6391428391937728</c:v>
                </c:pt>
                <c:pt idx="2">
                  <c:v>6.001880151556148</c:v>
                </c:pt>
                <c:pt idx="3">
                  <c:v>6.3819110230045268</c:v>
                </c:pt>
                <c:pt idx="4">
                  <c:v>6.7797465249330076</c:v>
                </c:pt>
                <c:pt idx="5">
                  <c:v>7.1959020706120409</c:v>
                </c:pt>
                <c:pt idx="6">
                  <c:v>7.63089733810944</c:v>
                </c:pt>
                <c:pt idx="7">
                  <c:v>8.0852562080806614</c:v>
                </c:pt>
                <c:pt idx="8">
                  <c:v>8.5595067171678068</c:v>
                </c:pt>
                <c:pt idx="9">
                  <c:v>9.0541810276531898</c:v>
                </c:pt>
                <c:pt idx="10">
                  <c:v>9.5698154138429921</c:v>
                </c:pt>
                <c:pt idx="11">
                  <c:v>10.10695026542591</c:v>
                </c:pt>
                <c:pt idx="12">
                  <c:v>10.666130107813601</c:v>
                </c:pt>
                <c:pt idx="13">
                  <c:v>11.247903639315529</c:v>
                </c:pt>
                <c:pt idx="14">
                  <c:v>11.85282378503199</c:v>
                </c:pt>
                <c:pt idx="15">
                  <c:v>12.481447767665721</c:v>
                </c:pt>
                <c:pt idx="16">
                  <c:v>13.13433719609497</c:v>
                </c:pt>
                <c:pt idx="17">
                  <c:v>13.812058173499061</c:v>
                </c:pt>
                <c:pt idx="18">
                  <c:v>14.515181427965301</c:v>
                </c:pt>
                <c:pt idx="19">
                  <c:v>15.24428246966696</c:v>
                </c:pt>
                <c:pt idx="20">
                  <c:v>15.99994177968208</c:v>
                </c:pt>
                <c:pt idx="21">
                  <c:v>16.782745036157259</c:v>
                </c:pt>
                <c:pt idx="22">
                  <c:v>17.593283383703199</c:v>
                </c:pt>
                <c:pt idx="23">
                  <c:v>18.43215375163598</c:v>
                </c:pt>
                <c:pt idx="24">
                  <c:v>19.299959226045981</c:v>
                </c:pt>
                <c:pt idx="25">
                  <c:v>20.197309479847029</c:v>
                </c:pt>
                <c:pt idx="26">
                  <c:v>21.124821264147489</c:v>
                </c:pt>
                <c:pt idx="27">
                  <c:v>22.083118963704379</c:v>
                </c:pt>
                <c:pt idx="28">
                  <c:v>23.072835219064579</c:v>
                </c:pt>
                <c:pt idx="29">
                  <c:v>24.094611618423031</c:v>
                </c:pt>
                <c:pt idx="30">
                  <c:v>25.149099463354091</c:v>
                </c:pt>
                <c:pt idx="31">
                  <c:v>26.23696061451194</c:v>
                </c:pt>
                <c:pt idx="32">
                  <c:v>27.358868426238381</c:v>
                </c:pt>
                <c:pt idx="33">
                  <c:v>28.51550878288246</c:v>
                </c:pt>
                <c:pt idx="34">
                  <c:v>29.707581254647611</c:v>
                </c:pt>
                <c:pt idx="35">
                  <c:v>30.93580039704856</c:v>
                </c:pt>
                <c:pt idx="36">
                  <c:v>32.200897225620871</c:v>
                </c:pt>
                <c:pt idx="37">
                  <c:v>33.503620906247932</c:v>
                </c:pt>
                <c:pt idx="38">
                  <c:v>34.844740710894271</c:v>
                </c:pt>
                <c:pt idx="39">
                  <c:v>36.225048297822688</c:v>
                </c:pt>
                <c:pt idx="40">
                  <c:v>37.645360383205073</c:v>
                </c:pt>
                <c:pt idx="41">
                  <c:v>39.106521876016707</c:v>
                </c:pt>
                <c:pt idx="42">
                  <c:v>40.609409549502907</c:v>
                </c:pt>
                <c:pt idx="43">
                  <c:v>42.154936322025598</c:v>
                </c:pt>
                <c:pt idx="44">
                  <c:v>43.744056224762687</c:v>
                </c:pt>
                <c:pt idx="45">
                  <c:v>45.377770159903697</c:v>
                </c:pt>
                <c:pt idx="46">
                  <c:v>47.057132631174902</c:v>
                </c:pt>
                <c:pt idx="47">
                  <c:v>48.783259806914238</c:v>
                </c:pt>
                <c:pt idx="48">
                  <c:v>50.557339618942457</c:v>
                </c:pt>
                <c:pt idx="49">
                  <c:v>52.380645174902703</c:v>
                </c:pt>
                <c:pt idx="50">
                  <c:v>54.254553598074622</c:v>
                </c:pt>
                <c:pt idx="51">
                  <c:v>56.180573426027053</c:v>
                </c:pt>
                <c:pt idx="52">
                  <c:v>58.160384612188977</c:v>
                </c:pt>
                <c:pt idx="53">
                  <c:v>60.195895540103493</c:v>
                </c:pt>
                <c:pt idx="54">
                  <c:v>62.289321488399899</c:v>
                </c:pt>
                <c:pt idx="55">
                  <c:v>64.443293014998943</c:v>
                </c:pt>
                <c:pt idx="56">
                  <c:v>66.661030740102589</c:v>
                </c:pt>
                <c:pt idx="57">
                  <c:v>68.946742963343624</c:v>
                </c:pt>
                <c:pt idx="58">
                  <c:v>71.306824379118936</c:v>
                </c:pt>
                <c:pt idx="59">
                  <c:v>73.755933748653803</c:v>
                </c:pt>
              </c:numCache>
            </c:numRef>
          </c:yVal>
          <c:smooth val="0"/>
          <c:extLst>
            <c:ext xmlns:c16="http://schemas.microsoft.com/office/drawing/2014/chart" uri="{C3380CC4-5D6E-409C-BE32-E72D297353CC}">
              <c16:uniqueId val="{00000000-0B20-4AA0-9EC1-8D5F2A474F0D}"/>
            </c:ext>
          </c:extLst>
        </c:ser>
        <c:ser>
          <c:idx val="1"/>
          <c:order val="1"/>
          <c:tx>
            <c:v>tief, 50.000 Nm³/h, adiabat</c:v>
          </c:tx>
          <c:spPr>
            <a:ln>
              <a:noFill/>
              <a:prstDash val="solid"/>
            </a:ln>
          </c:spPr>
          <c:marker>
            <c:symbol val="circle"/>
            <c:size val="4"/>
            <c:spPr>
              <a:solidFill>
                <a:srgbClr val="FFFFFF"/>
              </a:solidFill>
              <a:ln>
                <a:solidFill>
                  <a:srgbClr val="00304F"/>
                </a:solidFill>
                <a:prstDash val="solid"/>
              </a:ln>
            </c:spPr>
          </c:marker>
          <c:xVal>
            <c:numRef>
              <c:f>'04 Bohrlochkopf'!$G$17:$G$30</c:f>
              <c:numCache>
                <c:formatCode>0.0</c:formatCode>
                <c:ptCount val="14"/>
                <c:pt idx="0">
                  <c:v>38.697134096394848</c:v>
                </c:pt>
                <c:pt idx="1">
                  <c:v>23.753950878901829</c:v>
                </c:pt>
                <c:pt idx="2">
                  <c:v>15.219682181333379</c:v>
                </c:pt>
                <c:pt idx="3">
                  <c:v>14.36700748435527</c:v>
                </c:pt>
                <c:pt idx="4">
                  <c:v>16.178658339530671</c:v>
                </c:pt>
                <c:pt idx="5">
                  <c:v>17.985657257520021</c:v>
                </c:pt>
                <c:pt idx="6">
                  <c:v>18.871507187011328</c:v>
                </c:pt>
                <c:pt idx="7">
                  <c:v>19.233663531007949</c:v>
                </c:pt>
                <c:pt idx="8">
                  <c:v>19.340985196277192</c:v>
                </c:pt>
                <c:pt idx="9">
                  <c:v>19.27012532299932</c:v>
                </c:pt>
                <c:pt idx="10">
                  <c:v>18.964874688080101</c:v>
                </c:pt>
                <c:pt idx="11">
                  <c:v>18.411604577531421</c:v>
                </c:pt>
                <c:pt idx="12">
                  <c:v>19.703196733937322</c:v>
                </c:pt>
                <c:pt idx="13">
                  <c:v>21.313865571743349</c:v>
                </c:pt>
              </c:numCache>
            </c:numRef>
          </c:xVal>
          <c:yVal>
            <c:numRef>
              <c:f>'04 Bohrlochkopf'!$F$17:$F$30</c:f>
              <c:numCache>
                <c:formatCode>0.0</c:formatCode>
                <c:ptCount val="14"/>
                <c:pt idx="0">
                  <c:v>119.92542099025751</c:v>
                </c:pt>
                <c:pt idx="1">
                  <c:v>62.521221157265231</c:v>
                </c:pt>
                <c:pt idx="2">
                  <c:v>51.141158575661628</c:v>
                </c:pt>
                <c:pt idx="3">
                  <c:v>50.100521077659799</c:v>
                </c:pt>
                <c:pt idx="4">
                  <c:v>52.331367849303618</c:v>
                </c:pt>
                <c:pt idx="5">
                  <c:v>54.632476661760158</c:v>
                </c:pt>
                <c:pt idx="6">
                  <c:v>55.789113747139638</c:v>
                </c:pt>
                <c:pt idx="7">
                  <c:v>56.267502102667088</c:v>
                </c:pt>
                <c:pt idx="8">
                  <c:v>56.409890420963762</c:v>
                </c:pt>
                <c:pt idx="9">
                  <c:v>56.315845537233798</c:v>
                </c:pt>
                <c:pt idx="10">
                  <c:v>55.912137883992763</c:v>
                </c:pt>
                <c:pt idx="11">
                  <c:v>54.976628696079537</c:v>
                </c:pt>
                <c:pt idx="12">
                  <c:v>53.013650275760547</c:v>
                </c:pt>
                <c:pt idx="13">
                  <c:v>49.270620473464241</c:v>
                </c:pt>
              </c:numCache>
            </c:numRef>
          </c:yVal>
          <c:smooth val="0"/>
          <c:extLst>
            <c:ext xmlns:c16="http://schemas.microsoft.com/office/drawing/2014/chart" uri="{C3380CC4-5D6E-409C-BE32-E72D297353CC}">
              <c16:uniqueId val="{00000001-0B20-4AA0-9EC1-8D5F2A474F0D}"/>
            </c:ext>
          </c:extLst>
        </c:ser>
        <c:ser>
          <c:idx val="2"/>
          <c:order val="2"/>
          <c:tx>
            <c:v>tief, 100.000 Nm³/h, adiabat</c:v>
          </c:tx>
          <c:spPr>
            <a:ln>
              <a:noFill/>
              <a:prstDash val="solid"/>
            </a:ln>
          </c:spPr>
          <c:marker>
            <c:symbol val="circle"/>
            <c:size val="6"/>
            <c:spPr>
              <a:solidFill>
                <a:srgbClr val="00304F"/>
              </a:solidFill>
              <a:ln>
                <a:solidFill>
                  <a:srgbClr val="00304F"/>
                </a:solidFill>
                <a:prstDash val="solid"/>
              </a:ln>
            </c:spPr>
          </c:marker>
          <c:xVal>
            <c:numRef>
              <c:f>'04 Bohrlochkopf'!$G$32:$G$45</c:f>
              <c:numCache>
                <c:formatCode>0.0</c:formatCode>
                <c:ptCount val="14"/>
                <c:pt idx="0">
                  <c:v>38.674396423065559</c:v>
                </c:pt>
                <c:pt idx="1">
                  <c:v>25.334607894389141</c:v>
                </c:pt>
                <c:pt idx="2">
                  <c:v>8.0945406489933021</c:v>
                </c:pt>
                <c:pt idx="3">
                  <c:v>5.7834188827944217</c:v>
                </c:pt>
                <c:pt idx="4">
                  <c:v>10.270685101760479</c:v>
                </c:pt>
                <c:pt idx="5">
                  <c:v>10.69218298459532</c:v>
                </c:pt>
                <c:pt idx="6">
                  <c:v>10.94654862450056</c:v>
                </c:pt>
                <c:pt idx="7">
                  <c:v>11.234118270515919</c:v>
                </c:pt>
                <c:pt idx="8">
                  <c:v>11.458111727316981</c:v>
                </c:pt>
                <c:pt idx="9">
                  <c:v>11.55015133413502</c:v>
                </c:pt>
                <c:pt idx="10">
                  <c:v>11.443057959832689</c:v>
                </c:pt>
                <c:pt idx="11">
                  <c:v>10.96355168435497</c:v>
                </c:pt>
                <c:pt idx="12">
                  <c:v>9.7784742458446772</c:v>
                </c:pt>
                <c:pt idx="13">
                  <c:v>6.9960845573604047</c:v>
                </c:pt>
              </c:numCache>
            </c:numRef>
          </c:xVal>
          <c:yVal>
            <c:numRef>
              <c:f>'04 Bohrlochkopf'!$F$32:$F$45</c:f>
              <c:numCache>
                <c:formatCode>0.0</c:formatCode>
                <c:ptCount val="14"/>
                <c:pt idx="0">
                  <c:v>119.7631876150266</c:v>
                </c:pt>
                <c:pt idx="1">
                  <c:v>64.839142167053623</c:v>
                </c:pt>
                <c:pt idx="2">
                  <c:v>42.932304305840852</c:v>
                </c:pt>
                <c:pt idx="3">
                  <c:v>40.496453708637439</c:v>
                </c:pt>
                <c:pt idx="4">
                  <c:v>45.324756978043098</c:v>
                </c:pt>
                <c:pt idx="5">
                  <c:v>45.799522205095087</c:v>
                </c:pt>
                <c:pt idx="6">
                  <c:v>46.087846251038847</c:v>
                </c:pt>
                <c:pt idx="7">
                  <c:v>46.415458873743432</c:v>
                </c:pt>
                <c:pt idx="8">
                  <c:v>46.671862133595504</c:v>
                </c:pt>
                <c:pt idx="9">
                  <c:v>46.777529639989439</c:v>
                </c:pt>
                <c:pt idx="10">
                  <c:v>46.65459665620083</c:v>
                </c:pt>
                <c:pt idx="11">
                  <c:v>46.107168090852007</c:v>
                </c:pt>
                <c:pt idx="12">
                  <c:v>44.775054509513723</c:v>
                </c:pt>
                <c:pt idx="13">
                  <c:v>41.761303724446563</c:v>
                </c:pt>
              </c:numCache>
            </c:numRef>
          </c:yVal>
          <c:smooth val="0"/>
          <c:extLst>
            <c:ext xmlns:c16="http://schemas.microsoft.com/office/drawing/2014/chart" uri="{C3380CC4-5D6E-409C-BE32-E72D297353CC}">
              <c16:uniqueId val="{00000002-0B20-4AA0-9EC1-8D5F2A474F0D}"/>
            </c:ext>
          </c:extLst>
        </c:ser>
        <c:ser>
          <c:idx val="3"/>
          <c:order val="3"/>
          <c:tx>
            <c:v>flach, 50.000 Nm³/h, adiabat</c:v>
          </c:tx>
          <c:spPr>
            <a:ln>
              <a:noFill/>
              <a:prstDash val="solid"/>
            </a:ln>
          </c:spPr>
          <c:marker>
            <c:symbol val="square"/>
            <c:size val="4"/>
            <c:spPr>
              <a:solidFill>
                <a:srgbClr val="FFFFFF"/>
              </a:solidFill>
              <a:ln>
                <a:solidFill>
                  <a:srgbClr val="EE7203"/>
                </a:solidFill>
                <a:prstDash val="solid"/>
              </a:ln>
            </c:spPr>
          </c:marker>
          <c:xVal>
            <c:numRef>
              <c:f>'04 Bohrlochkopf'!$G$47:$G$60</c:f>
              <c:numCache>
                <c:formatCode>0.0</c:formatCode>
                <c:ptCount val="14"/>
                <c:pt idx="0">
                  <c:v>27.298562542792808</c:v>
                </c:pt>
                <c:pt idx="1">
                  <c:v>9.6149459020144832</c:v>
                </c:pt>
                <c:pt idx="2">
                  <c:v>14.132873983684821</c:v>
                </c:pt>
                <c:pt idx="3">
                  <c:v>14.172446676615211</c:v>
                </c:pt>
                <c:pt idx="4">
                  <c:v>14.65734302855628</c:v>
                </c:pt>
                <c:pt idx="5">
                  <c:v>14.94684058508545</c:v>
                </c:pt>
                <c:pt idx="6">
                  <c:v>15.54157933501574</c:v>
                </c:pt>
                <c:pt idx="7">
                  <c:v>15.922572821511659</c:v>
                </c:pt>
                <c:pt idx="8">
                  <c:v>16.205393141686329</c:v>
                </c:pt>
                <c:pt idx="9">
                  <c:v>16.327736753615451</c:v>
                </c:pt>
                <c:pt idx="10">
                  <c:v>15.80746839581087</c:v>
                </c:pt>
                <c:pt idx="11">
                  <c:v>16.225108369349929</c:v>
                </c:pt>
                <c:pt idx="12">
                  <c:v>17.640920517548981</c:v>
                </c:pt>
                <c:pt idx="13">
                  <c:v>18.897495650398639</c:v>
                </c:pt>
              </c:numCache>
            </c:numRef>
          </c:xVal>
          <c:yVal>
            <c:numRef>
              <c:f>'04 Bohrlochkopf'!$F$47:$F$60</c:f>
              <c:numCache>
                <c:formatCode>0.0</c:formatCode>
                <c:ptCount val="14"/>
                <c:pt idx="0">
                  <c:v>71.682439019822837</c:v>
                </c:pt>
                <c:pt idx="1">
                  <c:v>44.593542688573102</c:v>
                </c:pt>
                <c:pt idx="2">
                  <c:v>49.817644749180452</c:v>
                </c:pt>
                <c:pt idx="3">
                  <c:v>48.948898579662469</c:v>
                </c:pt>
                <c:pt idx="4">
                  <c:v>49.776328519614829</c:v>
                </c:pt>
                <c:pt idx="5">
                  <c:v>50.806379311481969</c:v>
                </c:pt>
                <c:pt idx="6">
                  <c:v>51.538314541463542</c:v>
                </c:pt>
                <c:pt idx="7">
                  <c:v>52.011458501985381</c:v>
                </c:pt>
                <c:pt idx="8">
                  <c:v>52.36485344449757</c:v>
                </c:pt>
                <c:pt idx="9">
                  <c:v>52.518302123232729</c:v>
                </c:pt>
                <c:pt idx="10">
                  <c:v>51.868161168537043</c:v>
                </c:pt>
                <c:pt idx="11">
                  <c:v>49.423744410219882</c:v>
                </c:pt>
                <c:pt idx="12">
                  <c:v>43.648806692566623</c:v>
                </c:pt>
                <c:pt idx="13">
                  <c:v>32.555655843152543</c:v>
                </c:pt>
              </c:numCache>
            </c:numRef>
          </c:yVal>
          <c:smooth val="0"/>
          <c:extLst>
            <c:ext xmlns:c16="http://schemas.microsoft.com/office/drawing/2014/chart" uri="{C3380CC4-5D6E-409C-BE32-E72D297353CC}">
              <c16:uniqueId val="{00000003-0B20-4AA0-9EC1-8D5F2A474F0D}"/>
            </c:ext>
          </c:extLst>
        </c:ser>
        <c:ser>
          <c:idx val="4"/>
          <c:order val="4"/>
          <c:tx>
            <c:v>flach, 100.000 Nm³/h, adiabat</c:v>
          </c:tx>
          <c:spPr>
            <a:ln>
              <a:noFill/>
              <a:prstDash val="solid"/>
            </a:ln>
          </c:spPr>
          <c:marker>
            <c:symbol val="square"/>
            <c:size val="6"/>
            <c:spPr>
              <a:solidFill>
                <a:srgbClr val="EE7203"/>
              </a:solidFill>
              <a:ln>
                <a:solidFill>
                  <a:srgbClr val="EE7203"/>
                </a:solidFill>
                <a:prstDash val="solid"/>
              </a:ln>
            </c:spPr>
          </c:marker>
          <c:xVal>
            <c:numRef>
              <c:f>'04 Bohrlochkopf'!$G$62:$G$75</c:f>
              <c:numCache>
                <c:formatCode>0.0</c:formatCode>
                <c:ptCount val="14"/>
                <c:pt idx="0">
                  <c:v>27.209099712997951</c:v>
                </c:pt>
                <c:pt idx="1">
                  <c:v>13.013331913470781</c:v>
                </c:pt>
                <c:pt idx="2">
                  <c:v>2.0761744440481489</c:v>
                </c:pt>
                <c:pt idx="3">
                  <c:v>4.1847622938277027</c:v>
                </c:pt>
                <c:pt idx="4">
                  <c:v>5.6928757941528261</c:v>
                </c:pt>
                <c:pt idx="5">
                  <c:v>6.745006406333232</c:v>
                </c:pt>
                <c:pt idx="6">
                  <c:v>7.4269648184737207</c:v>
                </c:pt>
                <c:pt idx="7">
                  <c:v>7.7802750504455389</c:v>
                </c:pt>
                <c:pt idx="8">
                  <c:v>7.8067925288838182</c:v>
                </c:pt>
                <c:pt idx="9">
                  <c:v>7.4629606725085296</c:v>
                </c:pt>
                <c:pt idx="10">
                  <c:v>6.636244562637728</c:v>
                </c:pt>
                <c:pt idx="11">
                  <c:v>6.4305197839991592</c:v>
                </c:pt>
                <c:pt idx="12">
                  <c:v>5.8243006316321271</c:v>
                </c:pt>
                <c:pt idx="13">
                  <c:v>3.354751058202623</c:v>
                </c:pt>
              </c:numCache>
            </c:numRef>
          </c:xVal>
          <c:yVal>
            <c:numRef>
              <c:f>'04 Bohrlochkopf'!$F$62:$F$75</c:f>
              <c:numCache>
                <c:formatCode>0.0</c:formatCode>
                <c:ptCount val="14"/>
                <c:pt idx="0">
                  <c:v>71.269261481315581</c:v>
                </c:pt>
                <c:pt idx="1">
                  <c:v>48.481898442631589</c:v>
                </c:pt>
                <c:pt idx="2">
                  <c:v>36.805969972101281</c:v>
                </c:pt>
                <c:pt idx="3">
                  <c:v>38.872887337610301</c:v>
                </c:pt>
                <c:pt idx="4">
                  <c:v>40.403175033540741</c:v>
                </c:pt>
                <c:pt idx="5">
                  <c:v>41.497033555691822</c:v>
                </c:pt>
                <c:pt idx="6">
                  <c:v>42.217752747665983</c:v>
                </c:pt>
                <c:pt idx="7">
                  <c:v>42.594805530435401</c:v>
                </c:pt>
                <c:pt idx="8">
                  <c:v>42.623206353997247</c:v>
                </c:pt>
                <c:pt idx="9">
                  <c:v>42.256052786125373</c:v>
                </c:pt>
                <c:pt idx="10">
                  <c:v>41.382945859392571</c:v>
                </c:pt>
                <c:pt idx="11">
                  <c:v>41.167787821224607</c:v>
                </c:pt>
                <c:pt idx="12">
                  <c:v>37.054677689987308</c:v>
                </c:pt>
                <c:pt idx="13">
                  <c:v>23.660742433570778</c:v>
                </c:pt>
              </c:numCache>
            </c:numRef>
          </c:yVal>
          <c:smooth val="0"/>
          <c:extLst>
            <c:ext xmlns:c16="http://schemas.microsoft.com/office/drawing/2014/chart" uri="{C3380CC4-5D6E-409C-BE32-E72D297353CC}">
              <c16:uniqueId val="{00000004-0B20-4AA0-9EC1-8D5F2A474F0D}"/>
            </c:ext>
          </c:extLst>
        </c:ser>
        <c:ser>
          <c:idx val="5"/>
          <c:order val="5"/>
          <c:tx>
            <c:v>Übergabe dicht 91 bar</c:v>
          </c:tx>
          <c:spPr>
            <a:ln w="12700">
              <a:solidFill>
                <a:srgbClr val="007335"/>
              </a:solidFill>
              <a:prstDash val="dash"/>
            </a:ln>
          </c:spPr>
          <c:marker>
            <c:symbol val="none"/>
          </c:marker>
          <c:xVal>
            <c:numRef>
              <c:f>Diagrammdaten!$BR$5:$BR$6</c:f>
              <c:numCache>
                <c:formatCode>General</c:formatCode>
                <c:ptCount val="2"/>
                <c:pt idx="0">
                  <c:v>-20</c:v>
                </c:pt>
                <c:pt idx="1">
                  <c:v>55</c:v>
                </c:pt>
              </c:numCache>
            </c:numRef>
          </c:xVal>
          <c:yVal>
            <c:numRef>
              <c:f>Diagrammdaten!$BS$5:$BS$6</c:f>
              <c:numCache>
                <c:formatCode>General</c:formatCode>
                <c:ptCount val="2"/>
                <c:pt idx="0">
                  <c:v>91</c:v>
                </c:pt>
                <c:pt idx="1">
                  <c:v>91</c:v>
                </c:pt>
              </c:numCache>
            </c:numRef>
          </c:yVal>
          <c:smooth val="0"/>
          <c:extLst>
            <c:ext xmlns:c16="http://schemas.microsoft.com/office/drawing/2014/chart" uri="{C3380CC4-5D6E-409C-BE32-E72D297353CC}">
              <c16:uniqueId val="{00000005-0B20-4AA0-9EC1-8D5F2A474F0D}"/>
            </c:ext>
          </c:extLst>
        </c:ser>
        <c:ser>
          <c:idx val="6"/>
          <c:order val="6"/>
          <c:tx>
            <c:v>Übergabe gasförmig 30 bar</c:v>
          </c:tx>
          <c:spPr>
            <a:ln w="12700">
              <a:solidFill>
                <a:srgbClr val="007335"/>
              </a:solidFill>
              <a:prstDash val="sysDot"/>
            </a:ln>
          </c:spPr>
          <c:marker>
            <c:symbol val="none"/>
          </c:marker>
          <c:xVal>
            <c:numRef>
              <c:f>Diagrammdaten!$BR$5:$BR$6</c:f>
              <c:numCache>
                <c:formatCode>General</c:formatCode>
                <c:ptCount val="2"/>
                <c:pt idx="0">
                  <c:v>-20</c:v>
                </c:pt>
                <c:pt idx="1">
                  <c:v>55</c:v>
                </c:pt>
              </c:numCache>
            </c:numRef>
          </c:xVal>
          <c:yVal>
            <c:numRef>
              <c:f>Diagrammdaten!$BT$5:$BT$6</c:f>
              <c:numCache>
                <c:formatCode>General</c:formatCode>
                <c:ptCount val="2"/>
                <c:pt idx="0">
                  <c:v>30</c:v>
                </c:pt>
                <c:pt idx="1">
                  <c:v>30</c:v>
                </c:pt>
              </c:numCache>
            </c:numRef>
          </c:yVal>
          <c:smooth val="0"/>
          <c:extLst>
            <c:ext xmlns:c16="http://schemas.microsoft.com/office/drawing/2014/chart" uri="{C3380CC4-5D6E-409C-BE32-E72D297353CC}">
              <c16:uniqueId val="{00000006-0B20-4AA0-9EC1-8D5F2A474F0D}"/>
            </c:ext>
          </c:extLst>
        </c:ser>
        <c:dLbls>
          <c:showLegendKey val="0"/>
          <c:showVal val="0"/>
          <c:showCatName val="0"/>
          <c:showSerName val="0"/>
          <c:showPercent val="0"/>
          <c:showBubbleSize val="0"/>
        </c:dLbls>
        <c:axId val="10"/>
        <c:axId val="20"/>
      </c:scatterChart>
      <c:valAx>
        <c:axId val="10"/>
        <c:scaling>
          <c:orientation val="minMax"/>
          <c:max val="55"/>
          <c:min val="-20"/>
        </c:scaling>
        <c:delete val="0"/>
        <c:axPos val="b"/>
        <c:majorGridlines>
          <c:spPr>
            <a:ln>
              <a:solidFill>
                <a:srgbClr val="E0E0E0"/>
              </a:solidFill>
              <a:prstDash val="solid"/>
            </a:ln>
          </c:spPr>
        </c:majorGridlines>
        <c:title>
          <c:tx>
            <c:rich>
              <a:bodyPr/>
              <a:lstStyle/>
              <a:p>
                <a:pPr>
                  <a:defRPr/>
                </a:pPr>
                <a:r>
                  <a:rPr lang="de-DE"/>
                  <a:t>Temperatur am Kopf [°C]</a:t>
                </a:r>
              </a:p>
            </c:rich>
          </c:tx>
          <c:overlay val="0"/>
        </c:title>
        <c:numFmt formatCode="0" sourceLinked="0"/>
        <c:majorTickMark val="none"/>
        <c:minorTickMark val="none"/>
        <c:tickLblPos val="nextTo"/>
        <c:crossAx val="20"/>
        <c:crosses val="min"/>
        <c:crossBetween val="midCat"/>
      </c:valAx>
      <c:valAx>
        <c:axId val="20"/>
        <c:scaling>
          <c:orientation val="minMax"/>
          <c:max val="130"/>
          <c:min val="0"/>
        </c:scaling>
        <c:delete val="0"/>
        <c:axPos val="l"/>
        <c:majorGridlines>
          <c:spPr>
            <a:ln>
              <a:solidFill>
                <a:srgbClr val="E0E0E0"/>
              </a:solidFill>
              <a:prstDash val="solid"/>
            </a:ln>
          </c:spPr>
        </c:majorGridlines>
        <c:title>
          <c:tx>
            <c:rich>
              <a:bodyPr/>
              <a:lstStyle/>
              <a:p>
                <a:pPr>
                  <a:defRPr/>
                </a:pPr>
                <a:r>
                  <a:rPr lang="de-DE"/>
                  <a:t>Kopfdruck [bar]</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Ausspeichern mit 100.000 Nm³/h: Kavernenzustand gegen die Phasengrenzen</a:t>
            </a:r>
          </a:p>
        </c:rich>
      </c:tx>
      <c:overlay val="0"/>
    </c:title>
    <c:autoTitleDeleted val="0"/>
    <c:plotArea>
      <c:layout/>
      <c:scatterChart>
        <c:scatterStyle val="lineMarker"/>
        <c:varyColors val="1"/>
        <c:ser>
          <c:idx val="0"/>
          <c:order val="0"/>
          <c:tx>
            <c:v>Sättigungslinie reines CO₂</c:v>
          </c:tx>
          <c:spPr>
            <a:ln w="19050">
              <a:solidFill>
                <a:srgbClr val="00304F"/>
              </a:solidFill>
              <a:prstDash val="solid"/>
            </a:ln>
          </c:spPr>
          <c:marker>
            <c:symbol val="none"/>
          </c:marker>
          <c:xVal>
            <c:numRef>
              <c:f>Diagrammdaten!$AP$5:$AP$64</c:f>
              <c:numCache>
                <c:formatCode>0.0</c:formatCode>
                <c:ptCount val="60"/>
                <c:pt idx="0">
                  <c:v>-56.057999999999957</c:v>
                </c:pt>
                <c:pt idx="1">
                  <c:v>-54.582979660966402</c:v>
                </c:pt>
                <c:pt idx="2">
                  <c:v>-53.10795932193281</c:v>
                </c:pt>
                <c:pt idx="3">
                  <c:v>-51.632938982899248</c:v>
                </c:pt>
                <c:pt idx="4">
                  <c:v>-50.157918643865678</c:v>
                </c:pt>
                <c:pt idx="5">
                  <c:v>-48.682898304832122</c:v>
                </c:pt>
                <c:pt idx="6">
                  <c:v>-47.207877965798531</c:v>
                </c:pt>
                <c:pt idx="7">
                  <c:v>-45.732857626764968</c:v>
                </c:pt>
                <c:pt idx="8">
                  <c:v>-44.257837287731412</c:v>
                </c:pt>
                <c:pt idx="9">
                  <c:v>-42.782816948697807</c:v>
                </c:pt>
                <c:pt idx="10">
                  <c:v>-41.307796609664251</c:v>
                </c:pt>
                <c:pt idx="11">
                  <c:v>-39.832776270630688</c:v>
                </c:pt>
                <c:pt idx="12">
                  <c:v>-38.357755931597133</c:v>
                </c:pt>
                <c:pt idx="13">
                  <c:v>-36.882735592563527</c:v>
                </c:pt>
                <c:pt idx="14">
                  <c:v>-35.407715253529972</c:v>
                </c:pt>
                <c:pt idx="15">
                  <c:v>-33.932694914496409</c:v>
                </c:pt>
                <c:pt idx="16">
                  <c:v>-32.457674575462818</c:v>
                </c:pt>
                <c:pt idx="17">
                  <c:v>-30.982654236429251</c:v>
                </c:pt>
                <c:pt idx="18">
                  <c:v>-29.507633897395689</c:v>
                </c:pt>
                <c:pt idx="19">
                  <c:v>-28.032613558362129</c:v>
                </c:pt>
                <c:pt idx="20">
                  <c:v>-26.557593219328538</c:v>
                </c:pt>
                <c:pt idx="21">
                  <c:v>-25.082572880294979</c:v>
                </c:pt>
                <c:pt idx="22">
                  <c:v>-23.607552541261409</c:v>
                </c:pt>
                <c:pt idx="23">
                  <c:v>-22.132532202227821</c:v>
                </c:pt>
                <c:pt idx="24">
                  <c:v>-20.657511863194259</c:v>
                </c:pt>
                <c:pt idx="25">
                  <c:v>-19.182491524160699</c:v>
                </c:pt>
                <c:pt idx="26">
                  <c:v>-17.70747118512713</c:v>
                </c:pt>
                <c:pt idx="27">
                  <c:v>-16.23245084609357</c:v>
                </c:pt>
                <c:pt idx="28">
                  <c:v>-14.757430507060009</c:v>
                </c:pt>
                <c:pt idx="29">
                  <c:v>-13.28241016802639</c:v>
                </c:pt>
                <c:pt idx="30">
                  <c:v>-11.807389828992831</c:v>
                </c:pt>
                <c:pt idx="31">
                  <c:v>-10.332369489959261</c:v>
                </c:pt>
                <c:pt idx="32">
                  <c:v>-8.8573491509256996</c:v>
                </c:pt>
                <c:pt idx="33">
                  <c:v>-7.3823288118921369</c:v>
                </c:pt>
                <c:pt idx="34">
                  <c:v>-5.9073084728585741</c:v>
                </c:pt>
                <c:pt idx="35">
                  <c:v>-4.4322881338249536</c:v>
                </c:pt>
                <c:pt idx="36">
                  <c:v>-2.9572677947913921</c:v>
                </c:pt>
                <c:pt idx="37">
                  <c:v>-1.4822474557578289</c:v>
                </c:pt>
                <c:pt idx="38">
                  <c:v>-7.2271167242661249E-3</c:v>
                </c:pt>
                <c:pt idx="39">
                  <c:v>1.4677932223092971</c:v>
                </c:pt>
                <c:pt idx="40">
                  <c:v>2.942813561342859</c:v>
                </c:pt>
                <c:pt idx="41">
                  <c:v>4.4178339003764222</c:v>
                </c:pt>
                <c:pt idx="42">
                  <c:v>5.8928542394100418</c:v>
                </c:pt>
                <c:pt idx="43">
                  <c:v>7.3678745784436046</c:v>
                </c:pt>
                <c:pt idx="44">
                  <c:v>8.8428949174771674</c:v>
                </c:pt>
                <c:pt idx="45">
                  <c:v>10.31791525651073</c:v>
                </c:pt>
                <c:pt idx="46">
                  <c:v>11.792935595544289</c:v>
                </c:pt>
                <c:pt idx="47">
                  <c:v>13.267955934577859</c:v>
                </c:pt>
                <c:pt idx="48">
                  <c:v>14.742976273611481</c:v>
                </c:pt>
                <c:pt idx="49">
                  <c:v>16.217996612645042</c:v>
                </c:pt>
                <c:pt idx="50">
                  <c:v>17.693016951678601</c:v>
                </c:pt>
                <c:pt idx="51">
                  <c:v>19.16803729071216</c:v>
                </c:pt>
                <c:pt idx="52">
                  <c:v>20.64305762974573</c:v>
                </c:pt>
                <c:pt idx="53">
                  <c:v>22.118077968779289</c:v>
                </c:pt>
                <c:pt idx="54">
                  <c:v>23.593098307812848</c:v>
                </c:pt>
                <c:pt idx="55">
                  <c:v>25.068118646846411</c:v>
                </c:pt>
                <c:pt idx="56">
                  <c:v>26.543138985879981</c:v>
                </c:pt>
                <c:pt idx="57">
                  <c:v>28.018159324913601</c:v>
                </c:pt>
                <c:pt idx="58">
                  <c:v>29.49317966394716</c:v>
                </c:pt>
                <c:pt idx="59">
                  <c:v>30.968200002980719</c:v>
                </c:pt>
              </c:numCache>
            </c:numRef>
          </c:xVal>
          <c:yVal>
            <c:numRef>
              <c:f>Diagrammdaten!$AQ$5:$AQ$64</c:f>
              <c:numCache>
                <c:formatCode>0.0</c:formatCode>
                <c:ptCount val="60"/>
                <c:pt idx="0">
                  <c:v>5.2931924475829923</c:v>
                </c:pt>
                <c:pt idx="1">
                  <c:v>5.6391428391937728</c:v>
                </c:pt>
                <c:pt idx="2">
                  <c:v>6.001880151556148</c:v>
                </c:pt>
                <c:pt idx="3">
                  <c:v>6.3819110230045268</c:v>
                </c:pt>
                <c:pt idx="4">
                  <c:v>6.7797465249330076</c:v>
                </c:pt>
                <c:pt idx="5">
                  <c:v>7.1959020706120409</c:v>
                </c:pt>
                <c:pt idx="6">
                  <c:v>7.63089733810944</c:v>
                </c:pt>
                <c:pt idx="7">
                  <c:v>8.0852562080806614</c:v>
                </c:pt>
                <c:pt idx="8">
                  <c:v>8.5595067171678068</c:v>
                </c:pt>
                <c:pt idx="9">
                  <c:v>9.0541810276531898</c:v>
                </c:pt>
                <c:pt idx="10">
                  <c:v>9.5698154138429921</c:v>
                </c:pt>
                <c:pt idx="11">
                  <c:v>10.10695026542591</c:v>
                </c:pt>
                <c:pt idx="12">
                  <c:v>10.666130107813601</c:v>
                </c:pt>
                <c:pt idx="13">
                  <c:v>11.247903639315529</c:v>
                </c:pt>
                <c:pt idx="14">
                  <c:v>11.85282378503199</c:v>
                </c:pt>
                <c:pt idx="15">
                  <c:v>12.481447767665721</c:v>
                </c:pt>
                <c:pt idx="16">
                  <c:v>13.13433719609497</c:v>
                </c:pt>
                <c:pt idx="17">
                  <c:v>13.812058173499061</c:v>
                </c:pt>
                <c:pt idx="18">
                  <c:v>14.515181427965301</c:v>
                </c:pt>
                <c:pt idx="19">
                  <c:v>15.24428246966696</c:v>
                </c:pt>
                <c:pt idx="20">
                  <c:v>15.99994177968208</c:v>
                </c:pt>
                <c:pt idx="21">
                  <c:v>16.782745036157259</c:v>
                </c:pt>
                <c:pt idx="22">
                  <c:v>17.593283383703199</c:v>
                </c:pt>
                <c:pt idx="23">
                  <c:v>18.43215375163598</c:v>
                </c:pt>
                <c:pt idx="24">
                  <c:v>19.299959226045981</c:v>
                </c:pt>
                <c:pt idx="25">
                  <c:v>20.197309479847029</c:v>
                </c:pt>
                <c:pt idx="26">
                  <c:v>21.124821264147489</c:v>
                </c:pt>
                <c:pt idx="27">
                  <c:v>22.083118963704379</c:v>
                </c:pt>
                <c:pt idx="28">
                  <c:v>23.072835219064579</c:v>
                </c:pt>
                <c:pt idx="29">
                  <c:v>24.094611618423031</c:v>
                </c:pt>
                <c:pt idx="30">
                  <c:v>25.149099463354091</c:v>
                </c:pt>
                <c:pt idx="31">
                  <c:v>26.23696061451194</c:v>
                </c:pt>
                <c:pt idx="32">
                  <c:v>27.358868426238381</c:v>
                </c:pt>
                <c:pt idx="33">
                  <c:v>28.51550878288246</c:v>
                </c:pt>
                <c:pt idx="34">
                  <c:v>29.707581254647611</c:v>
                </c:pt>
                <c:pt idx="35">
                  <c:v>30.93580039704856</c:v>
                </c:pt>
                <c:pt idx="36">
                  <c:v>32.200897225620871</c:v>
                </c:pt>
                <c:pt idx="37">
                  <c:v>33.503620906247932</c:v>
                </c:pt>
                <c:pt idx="38">
                  <c:v>34.844740710894271</c:v>
                </c:pt>
                <c:pt idx="39">
                  <c:v>36.225048297822688</c:v>
                </c:pt>
                <c:pt idx="40">
                  <c:v>37.645360383205073</c:v>
                </c:pt>
                <c:pt idx="41">
                  <c:v>39.106521876016707</c:v>
                </c:pt>
                <c:pt idx="42">
                  <c:v>40.609409549502907</c:v>
                </c:pt>
                <c:pt idx="43">
                  <c:v>42.154936322025598</c:v>
                </c:pt>
                <c:pt idx="44">
                  <c:v>43.744056224762687</c:v>
                </c:pt>
                <c:pt idx="45">
                  <c:v>45.377770159903697</c:v>
                </c:pt>
                <c:pt idx="46">
                  <c:v>47.057132631174902</c:v>
                </c:pt>
                <c:pt idx="47">
                  <c:v>48.783259806914238</c:v>
                </c:pt>
                <c:pt idx="48">
                  <c:v>50.557339618942457</c:v>
                </c:pt>
                <c:pt idx="49">
                  <c:v>52.380645174902703</c:v>
                </c:pt>
                <c:pt idx="50">
                  <c:v>54.254553598074622</c:v>
                </c:pt>
                <c:pt idx="51">
                  <c:v>56.180573426027053</c:v>
                </c:pt>
                <c:pt idx="52">
                  <c:v>58.160384612188977</c:v>
                </c:pt>
                <c:pt idx="53">
                  <c:v>60.195895540103493</c:v>
                </c:pt>
                <c:pt idx="54">
                  <c:v>62.289321488399899</c:v>
                </c:pt>
                <c:pt idx="55">
                  <c:v>64.443293014998943</c:v>
                </c:pt>
                <c:pt idx="56">
                  <c:v>66.661030740102589</c:v>
                </c:pt>
                <c:pt idx="57">
                  <c:v>68.946742963343624</c:v>
                </c:pt>
                <c:pt idx="58">
                  <c:v>71.306824379118936</c:v>
                </c:pt>
                <c:pt idx="59">
                  <c:v>73.755933748653803</c:v>
                </c:pt>
              </c:numCache>
            </c:numRef>
          </c:yVal>
          <c:smooth val="0"/>
          <c:extLst>
            <c:ext xmlns:c16="http://schemas.microsoft.com/office/drawing/2014/chart" uri="{C3380CC4-5D6E-409C-BE32-E72D297353CC}">
              <c16:uniqueId val="{00000000-5A1F-44BD-8E40-5DD6ED427E24}"/>
            </c:ext>
          </c:extLst>
        </c:ser>
        <c:ser>
          <c:idx val="1"/>
          <c:order val="1"/>
          <c:tx>
            <c:v>Zweiphasengebiet Gemisch</c:v>
          </c:tx>
          <c:spPr>
            <a:ln w="19050">
              <a:solidFill>
                <a:srgbClr val="CA220E"/>
              </a:solidFill>
              <a:prstDash val="solid"/>
            </a:ln>
          </c:spPr>
          <c:marker>
            <c:symbol val="none"/>
          </c:marker>
          <c:xVal>
            <c:numRef>
              <c:f>Diagrammdaten!$AS$5:$AS$95</c:f>
              <c:numCache>
                <c:formatCode>0.0</c:formatCode>
                <c:ptCount val="91"/>
                <c:pt idx="0">
                  <c:v>-56.557999999999957</c:v>
                </c:pt>
                <c:pt idx="1">
                  <c:v>-55.057999999999957</c:v>
                </c:pt>
                <c:pt idx="2">
                  <c:v>-53.057999999999957</c:v>
                </c:pt>
                <c:pt idx="3">
                  <c:v>-51.557999999999957</c:v>
                </c:pt>
                <c:pt idx="4">
                  <c:v>-49.557999999999957</c:v>
                </c:pt>
                <c:pt idx="5">
                  <c:v>-47.848034569490068</c:v>
                </c:pt>
                <c:pt idx="6">
                  <c:v>-46.557999999999957</c:v>
                </c:pt>
                <c:pt idx="7">
                  <c:v>-44.557999999999957</c:v>
                </c:pt>
                <c:pt idx="8">
                  <c:v>-42.557999999999957</c:v>
                </c:pt>
                <c:pt idx="9">
                  <c:v>-41.057999999999957</c:v>
                </c:pt>
                <c:pt idx="10">
                  <c:v>-39.057999999999957</c:v>
                </c:pt>
                <c:pt idx="11">
                  <c:v>-37.057999999999957</c:v>
                </c:pt>
                <c:pt idx="12">
                  <c:v>-35.557999999999957</c:v>
                </c:pt>
                <c:pt idx="13">
                  <c:v>-33.557999999999957</c:v>
                </c:pt>
                <c:pt idx="14">
                  <c:v>-31.746243133478028</c:v>
                </c:pt>
                <c:pt idx="15">
                  <c:v>-30.557999999999961</c:v>
                </c:pt>
                <c:pt idx="16">
                  <c:v>-28.557999999999961</c:v>
                </c:pt>
                <c:pt idx="17">
                  <c:v>-26.557999999999961</c:v>
                </c:pt>
                <c:pt idx="18">
                  <c:v>-25.057999999999961</c:v>
                </c:pt>
                <c:pt idx="19">
                  <c:v>-23.057999999999961</c:v>
                </c:pt>
                <c:pt idx="20">
                  <c:v>-21.057999999999961</c:v>
                </c:pt>
                <c:pt idx="21">
                  <c:v>-19.557999999999961</c:v>
                </c:pt>
                <c:pt idx="22">
                  <c:v>-17.557999999999961</c:v>
                </c:pt>
                <c:pt idx="23">
                  <c:v>-16.057999999999989</c:v>
                </c:pt>
                <c:pt idx="24">
                  <c:v>-14.09942468736153</c:v>
                </c:pt>
                <c:pt idx="25">
                  <c:v>-12.557999999999989</c:v>
                </c:pt>
                <c:pt idx="26">
                  <c:v>-11.057999999999989</c:v>
                </c:pt>
                <c:pt idx="27">
                  <c:v>-9.0579999999999927</c:v>
                </c:pt>
                <c:pt idx="28">
                  <c:v>-6.0579999999999927</c:v>
                </c:pt>
                <c:pt idx="29">
                  <c:v>-4.5579999999999927</c:v>
                </c:pt>
                <c:pt idx="30">
                  <c:v>-2.5579999999999932</c:v>
                </c:pt>
                <c:pt idx="31">
                  <c:v>-0.55799999999999272</c:v>
                </c:pt>
                <c:pt idx="32">
                  <c:v>0.94200000000000728</c:v>
                </c:pt>
                <c:pt idx="33">
                  <c:v>2.9420000000000068</c:v>
                </c:pt>
                <c:pt idx="34">
                  <c:v>4.4420000000000073</c:v>
                </c:pt>
                <c:pt idx="35">
                  <c:v>5.9420000000000073</c:v>
                </c:pt>
                <c:pt idx="36">
                  <c:v>7.9420000000000073</c:v>
                </c:pt>
                <c:pt idx="37">
                  <c:v>9.9420000000000073</c:v>
                </c:pt>
                <c:pt idx="38">
                  <c:v>10.942000000000011</c:v>
                </c:pt>
                <c:pt idx="39">
                  <c:v>12.942000000000011</c:v>
                </c:pt>
                <c:pt idx="40">
                  <c:v>14.942000000000011</c:v>
                </c:pt>
                <c:pt idx="41">
                  <c:v>16.442000000000011</c:v>
                </c:pt>
                <c:pt idx="42">
                  <c:v>21.381690533676871</c:v>
                </c:pt>
                <c:pt idx="43">
                  <c:v>27.0483557248271</c:v>
                </c:pt>
                <c:pt idx="44">
                  <c:v>28.093324343344879</c:v>
                </c:pt>
                <c:pt idx="45">
                  <c:v>27.54550608237076</c:v>
                </c:pt>
                <c:pt idx="46">
                  <c:v>26.914681978845071</c:v>
                </c:pt>
                <c:pt idx="47">
                  <c:v>19.807223283908119</c:v>
                </c:pt>
                <c:pt idx="48">
                  <c:v>15.942000000000011</c:v>
                </c:pt>
                <c:pt idx="49">
                  <c:v>14.442000000000011</c:v>
                </c:pt>
                <c:pt idx="50">
                  <c:v>12.942000000000011</c:v>
                </c:pt>
                <c:pt idx="51">
                  <c:v>10.942000000000011</c:v>
                </c:pt>
                <c:pt idx="52">
                  <c:v>9.4420000000000073</c:v>
                </c:pt>
                <c:pt idx="53">
                  <c:v>7.4420000000000073</c:v>
                </c:pt>
                <c:pt idx="54">
                  <c:v>5.4420000000000073</c:v>
                </c:pt>
                <c:pt idx="55">
                  <c:v>4.4420000000000073</c:v>
                </c:pt>
                <c:pt idx="56">
                  <c:v>2.4420000000000068</c:v>
                </c:pt>
                <c:pt idx="57">
                  <c:v>0.44200000000000728</c:v>
                </c:pt>
                <c:pt idx="58">
                  <c:v>-1.0579999999999929</c:v>
                </c:pt>
                <c:pt idx="59">
                  <c:v>-3.0579999999999932</c:v>
                </c:pt>
                <c:pt idx="60">
                  <c:v>-5.0579999999999927</c:v>
                </c:pt>
                <c:pt idx="61">
                  <c:v>-6.5579999999999927</c:v>
                </c:pt>
                <c:pt idx="62">
                  <c:v>-8.0579999999999927</c:v>
                </c:pt>
                <c:pt idx="63">
                  <c:v>-10.057999999999989</c:v>
                </c:pt>
                <c:pt idx="64">
                  <c:v>-11.557999999999989</c:v>
                </c:pt>
                <c:pt idx="65">
                  <c:v>-13.557999999999989</c:v>
                </c:pt>
                <c:pt idx="66">
                  <c:v>-15.557999999999989</c:v>
                </c:pt>
                <c:pt idx="67">
                  <c:v>-17.057999999999989</c:v>
                </c:pt>
                <c:pt idx="68">
                  <c:v>-19.057999999999961</c:v>
                </c:pt>
                <c:pt idx="69">
                  <c:v>-20.557999999999961</c:v>
                </c:pt>
                <c:pt idx="70">
                  <c:v>-22.557999999999961</c:v>
                </c:pt>
                <c:pt idx="71">
                  <c:v>-24.557999999999961</c:v>
                </c:pt>
                <c:pt idx="72">
                  <c:v>-26.057999999999961</c:v>
                </c:pt>
                <c:pt idx="73">
                  <c:v>-27.557999999999961</c:v>
                </c:pt>
                <c:pt idx="74">
                  <c:v>-29.557999999999961</c:v>
                </c:pt>
                <c:pt idx="75">
                  <c:v>-31.057999999999961</c:v>
                </c:pt>
                <c:pt idx="76">
                  <c:v>-33.057999999999957</c:v>
                </c:pt>
                <c:pt idx="77">
                  <c:v>-35.057999999999957</c:v>
                </c:pt>
                <c:pt idx="78">
                  <c:v>-36.557999999999957</c:v>
                </c:pt>
                <c:pt idx="79">
                  <c:v>-38.557999999999957</c:v>
                </c:pt>
                <c:pt idx="80">
                  <c:v>-40.557999999999957</c:v>
                </c:pt>
                <c:pt idx="81">
                  <c:v>-42.057999999999957</c:v>
                </c:pt>
                <c:pt idx="82">
                  <c:v>-44.057999999999957</c:v>
                </c:pt>
                <c:pt idx="83">
                  <c:v>-46.057999999999957</c:v>
                </c:pt>
                <c:pt idx="84">
                  <c:v>-47.557999999999957</c:v>
                </c:pt>
                <c:pt idx="85">
                  <c:v>-49.557999999999957</c:v>
                </c:pt>
                <c:pt idx="86">
                  <c:v>-51.057999999999957</c:v>
                </c:pt>
                <c:pt idx="87">
                  <c:v>-52.557999999999957</c:v>
                </c:pt>
                <c:pt idx="88">
                  <c:v>-54.557999999999957</c:v>
                </c:pt>
                <c:pt idx="89">
                  <c:v>-56.557999999999957</c:v>
                </c:pt>
                <c:pt idx="90">
                  <c:v>-56.557999999999957</c:v>
                </c:pt>
              </c:numCache>
            </c:numRef>
          </c:xVal>
          <c:yVal>
            <c:numRef>
              <c:f>Diagrammdaten!$AT$5:$AT$95</c:f>
              <c:numCache>
                <c:formatCode>0.0</c:formatCode>
                <c:ptCount val="91"/>
                <c:pt idx="0">
                  <c:v>5.4780051259908742</c:v>
                </c:pt>
                <c:pt idx="1">
                  <c:v>5.8456131572846974</c:v>
                </c:pt>
                <c:pt idx="2">
                  <c:v>6.3645097625518776</c:v>
                </c:pt>
                <c:pt idx="3">
                  <c:v>6.7760097325392348</c:v>
                </c:pt>
                <c:pt idx="4">
                  <c:v>7.3555814500223446</c:v>
                </c:pt>
                <c:pt idx="5">
                  <c:v>7.8801022921033574</c:v>
                </c:pt>
                <c:pt idx="6">
                  <c:v>8.294088050458825</c:v>
                </c:pt>
                <c:pt idx="7">
                  <c:v>8.9679936918172327</c:v>
                </c:pt>
                <c:pt idx="8">
                  <c:v>9.6822265563709067</c:v>
                </c:pt>
                <c:pt idx="9">
                  <c:v>10.245278730601081</c:v>
                </c:pt>
                <c:pt idx="10">
                  <c:v>11.03375480111268</c:v>
                </c:pt>
                <c:pt idx="11">
                  <c:v>11.8667984507219</c:v>
                </c:pt>
                <c:pt idx="12">
                  <c:v>12.52178619033891</c:v>
                </c:pt>
                <c:pt idx="13">
                  <c:v>13.436675746896441</c:v>
                </c:pt>
                <c:pt idx="14">
                  <c:v>14.307728833801219</c:v>
                </c:pt>
                <c:pt idx="15">
                  <c:v>14.901453916039049</c:v>
                </c:pt>
                <c:pt idx="16">
                  <c:v>15.94206815698081</c:v>
                </c:pt>
                <c:pt idx="17">
                  <c:v>17.035981937540988</c:v>
                </c:pt>
                <c:pt idx="18">
                  <c:v>17.892465274251389</c:v>
                </c:pt>
                <c:pt idx="19">
                  <c:v>19.08396931052981</c:v>
                </c:pt>
                <c:pt idx="20">
                  <c:v>20.333790790516868</c:v>
                </c:pt>
                <c:pt idx="21">
                  <c:v>21.31058437112878</c:v>
                </c:pt>
                <c:pt idx="22">
                  <c:v>22.66713664971557</c:v>
                </c:pt>
                <c:pt idx="23">
                  <c:v>23.726290926883191</c:v>
                </c:pt>
                <c:pt idx="24">
                  <c:v>25.1647339010065</c:v>
                </c:pt>
                <c:pt idx="25">
                  <c:v>26.342235587488251</c:v>
                </c:pt>
                <c:pt idx="26">
                  <c:v>27.527593049986621</c:v>
                </c:pt>
                <c:pt idx="27">
                  <c:v>29.170432875539049</c:v>
                </c:pt>
                <c:pt idx="28">
                  <c:v>31.773461738562169</c:v>
                </c:pt>
                <c:pt idx="29">
                  <c:v>33.139881981702473</c:v>
                </c:pt>
                <c:pt idx="30">
                  <c:v>35.031833153309947</c:v>
                </c:pt>
                <c:pt idx="31">
                  <c:v>37.006739736076803</c:v>
                </c:pt>
                <c:pt idx="32">
                  <c:v>38.544409355717818</c:v>
                </c:pt>
                <c:pt idx="33">
                  <c:v>40.672956642453421</c:v>
                </c:pt>
                <c:pt idx="34">
                  <c:v>42.330365027088057</c:v>
                </c:pt>
                <c:pt idx="35">
                  <c:v>44.042199418561637</c:v>
                </c:pt>
                <c:pt idx="36">
                  <c:v>46.413077690327803</c:v>
                </c:pt>
                <c:pt idx="37">
                  <c:v>48.890476676789469</c:v>
                </c:pt>
                <c:pt idx="38">
                  <c:v>50.171272605843711</c:v>
                </c:pt>
                <c:pt idx="39">
                  <c:v>52.822201181094748</c:v>
                </c:pt>
                <c:pt idx="40">
                  <c:v>55.6006895127448</c:v>
                </c:pt>
                <c:pt idx="41">
                  <c:v>57.775899616962221</c:v>
                </c:pt>
                <c:pt idx="42">
                  <c:v>65.607659520647559</c:v>
                </c:pt>
                <c:pt idx="43">
                  <c:v>76.93395425592955</c:v>
                </c:pt>
                <c:pt idx="44">
                  <c:v>80.896474126453512</c:v>
                </c:pt>
                <c:pt idx="45">
                  <c:v>82.075301730365226</c:v>
                </c:pt>
                <c:pt idx="46">
                  <c:v>82.142568581110481</c:v>
                </c:pt>
                <c:pt idx="47">
                  <c:v>76.474404393649152</c:v>
                </c:pt>
                <c:pt idx="48">
                  <c:v>72.812348099543726</c:v>
                </c:pt>
                <c:pt idx="49">
                  <c:v>71.415419957726073</c:v>
                </c:pt>
                <c:pt idx="50">
                  <c:v>70.041885155188268</c:v>
                </c:pt>
                <c:pt idx="51">
                  <c:v>68.252850046806827</c:v>
                </c:pt>
                <c:pt idx="52">
                  <c:v>66.946139663156572</c:v>
                </c:pt>
                <c:pt idx="53">
                  <c:v>65.254421970692178</c:v>
                </c:pt>
                <c:pt idx="54">
                  <c:v>63.623935037446657</c:v>
                </c:pt>
                <c:pt idx="55">
                  <c:v>62.832599431616849</c:v>
                </c:pt>
                <c:pt idx="56">
                  <c:v>61.299206812521398</c:v>
                </c:pt>
                <c:pt idx="57">
                  <c:v>59.832996533117587</c:v>
                </c:pt>
                <c:pt idx="58">
                  <c:v>58.778247127574502</c:v>
                </c:pt>
                <c:pt idx="59">
                  <c:v>57.432610028312617</c:v>
                </c:pt>
                <c:pt idx="60">
                  <c:v>56.157071886147477</c:v>
                </c:pt>
                <c:pt idx="61">
                  <c:v>55.246828107658047</c:v>
                </c:pt>
                <c:pt idx="62">
                  <c:v>54.376650821441103</c:v>
                </c:pt>
                <c:pt idx="63">
                  <c:v>53.279168017056953</c:v>
                </c:pt>
                <c:pt idx="64">
                  <c:v>52.503443029698367</c:v>
                </c:pt>
                <c:pt idx="65">
                  <c:v>51.53281514814153</c:v>
                </c:pt>
                <c:pt idx="66">
                  <c:v>50.635552087010403</c:v>
                </c:pt>
                <c:pt idx="67">
                  <c:v>50.011174520091089</c:v>
                </c:pt>
                <c:pt idx="68">
                  <c:v>49.244056581969943</c:v>
                </c:pt>
                <c:pt idx="69">
                  <c:v>48.718232093685238</c:v>
                </c:pt>
                <c:pt idx="70">
                  <c:v>48.083933071155073</c:v>
                </c:pt>
                <c:pt idx="71">
                  <c:v>47.527002373534728</c:v>
                </c:pt>
                <c:pt idx="72">
                  <c:v>47.160837443366368</c:v>
                </c:pt>
                <c:pt idx="73">
                  <c:v>46.839520986932897</c:v>
                </c:pt>
                <c:pt idx="74">
                  <c:v>46.482069397306461</c:v>
                </c:pt>
                <c:pt idx="75">
                  <c:v>46.268228099089683</c:v>
                </c:pt>
                <c:pt idx="76">
                  <c:v>46.057148634036537</c:v>
                </c:pt>
                <c:pt idx="77">
                  <c:v>45.932943604054472</c:v>
                </c:pt>
                <c:pt idx="78">
                  <c:v>45.898489145122831</c:v>
                </c:pt>
                <c:pt idx="79">
                  <c:v>45.933405402570088</c:v>
                </c:pt>
                <c:pt idx="80">
                  <c:v>46.064132991809757</c:v>
                </c:pt>
                <c:pt idx="81">
                  <c:v>46.227600693957768</c:v>
                </c:pt>
                <c:pt idx="82">
                  <c:v>46.536689864660531</c:v>
                </c:pt>
                <c:pt idx="83">
                  <c:v>46.955060954570612</c:v>
                </c:pt>
                <c:pt idx="84">
                  <c:v>47.344393468665999</c:v>
                </c:pt>
                <c:pt idx="85">
                  <c:v>47.970132935669938</c:v>
                </c:pt>
                <c:pt idx="86">
                  <c:v>48.52399261396112</c:v>
                </c:pt>
                <c:pt idx="87">
                  <c:v>49.154773130591643</c:v>
                </c:pt>
                <c:pt idx="88">
                  <c:v>50.123381896693893</c:v>
                </c:pt>
                <c:pt idx="89">
                  <c:v>51.249178858908863</c:v>
                </c:pt>
                <c:pt idx="90">
                  <c:v>5.4780051259908742</c:v>
                </c:pt>
              </c:numCache>
            </c:numRef>
          </c:yVal>
          <c:smooth val="0"/>
          <c:extLst>
            <c:ext xmlns:c16="http://schemas.microsoft.com/office/drawing/2014/chart" uri="{C3380CC4-5D6E-409C-BE32-E72D297353CC}">
              <c16:uniqueId val="{00000001-5A1F-44BD-8E40-5DD6ED427E24}"/>
            </c:ext>
          </c:extLst>
        </c:ser>
        <c:ser>
          <c:idx val="2"/>
          <c:order val="2"/>
          <c:tx>
            <c:v>tief, rein</c:v>
          </c:tx>
          <c:spPr>
            <a:ln w="28575">
              <a:solidFill>
                <a:srgbClr val="00304F"/>
              </a:solidFill>
              <a:prstDash val="solid"/>
            </a:ln>
          </c:spPr>
          <c:marker>
            <c:symbol val="none"/>
          </c:marker>
          <c:xVal>
            <c:numRef>
              <c:f>Diagrammdaten!$AV$5:$AV$821</c:f>
              <c:numCache>
                <c:formatCode>0.0</c:formatCode>
                <c:ptCount val="817"/>
                <c:pt idx="0">
                  <c:v>52.149999999996787</c:v>
                </c:pt>
                <c:pt idx="1">
                  <c:v>52.031875730044987</c:v>
                </c:pt>
                <c:pt idx="2">
                  <c:v>51.914195931781478</c:v>
                </c:pt>
                <c:pt idx="3">
                  <c:v>51.796948832054227</c:v>
                </c:pt>
                <c:pt idx="4">
                  <c:v>51.680122581397541</c:v>
                </c:pt>
                <c:pt idx="5">
                  <c:v>51.563705248426693</c:v>
                </c:pt>
                <c:pt idx="6">
                  <c:v>51.447684814009847</c:v>
                </c:pt>
                <c:pt idx="7">
                  <c:v>51.332049165200367</c:v>
                </c:pt>
                <c:pt idx="8">
                  <c:v>51.216786088918873</c:v>
                </c:pt>
                <c:pt idx="9">
                  <c:v>51.101883265365423</c:v>
                </c:pt>
                <c:pt idx="10">
                  <c:v>50.987328261152918</c:v>
                </c:pt>
                <c:pt idx="11">
                  <c:v>50.873108522139432</c:v>
                </c:pt>
                <c:pt idx="12">
                  <c:v>50.759211365941162</c:v>
                </c:pt>
                <c:pt idx="13">
                  <c:v>50.645623974112823</c:v>
                </c:pt>
                <c:pt idx="14">
                  <c:v>50.532333383967277</c:v>
                </c:pt>
                <c:pt idx="15">
                  <c:v>50.419326480017958</c:v>
                </c:pt>
                <c:pt idx="16">
                  <c:v>50.306589985017183</c:v>
                </c:pt>
                <c:pt idx="17">
                  <c:v>50.194110450566768</c:v>
                </c:pt>
                <c:pt idx="18">
                  <c:v>50.081874247271678</c:v>
                </c:pt>
                <c:pt idx="19">
                  <c:v>49.969867554410257</c:v>
                </c:pt>
                <c:pt idx="20">
                  <c:v>49.858076349087128</c:v>
                </c:pt>
                <c:pt idx="21">
                  <c:v>49.746486394835983</c:v>
                </c:pt>
                <c:pt idx="22">
                  <c:v>49.63508322963537</c:v>
                </c:pt>
                <c:pt idx="23">
                  <c:v>49.52385215329673</c:v>
                </c:pt>
                <c:pt idx="24">
                  <c:v>49.412778214186119</c:v>
                </c:pt>
                <c:pt idx="25">
                  <c:v>49.301846195228897</c:v>
                </c:pt>
                <c:pt idx="26">
                  <c:v>49.191040599152068</c:v>
                </c:pt>
                <c:pt idx="27">
                  <c:v>49.08034563290812</c:v>
                </c:pt>
                <c:pt idx="28">
                  <c:v>48.969745191219197</c:v>
                </c:pt>
                <c:pt idx="29">
                  <c:v>48.859222839189897</c:v>
                </c:pt>
                <c:pt idx="30">
                  <c:v>48.748761793906567</c:v>
                </c:pt>
                <c:pt idx="31">
                  <c:v>48.638344904956</c:v>
                </c:pt>
                <c:pt idx="32">
                  <c:v>48.52795463378493</c:v>
                </c:pt>
                <c:pt idx="33">
                  <c:v>48.417573031804643</c:v>
                </c:pt>
                <c:pt idx="34">
                  <c:v>48.307181717156027</c:v>
                </c:pt>
                <c:pt idx="35">
                  <c:v>48.196761850019811</c:v>
                </c:pt>
                <c:pt idx="36">
                  <c:v>48.086294106366381</c:v>
                </c:pt>
                <c:pt idx="37">
                  <c:v>47.975758650013518</c:v>
                </c:pt>
                <c:pt idx="38">
                  <c:v>47.865135102863057</c:v>
                </c:pt>
                <c:pt idx="39">
                  <c:v>47.754402513163313</c:v>
                </c:pt>
                <c:pt idx="40">
                  <c:v>47.643539321629191</c:v>
                </c:pt>
                <c:pt idx="41">
                  <c:v>47.532523325251191</c:v>
                </c:pt>
                <c:pt idx="42">
                  <c:v>47.421331638581023</c:v>
                </c:pt>
                <c:pt idx="43">
                  <c:v>47.309940652288446</c:v>
                </c:pt>
                <c:pt idx="44">
                  <c:v>47.19832598873802</c:v>
                </c:pt>
                <c:pt idx="45">
                  <c:v>47.086462454324817</c:v>
                </c:pt>
                <c:pt idx="46">
                  <c:v>46.974323988277213</c:v>
                </c:pt>
                <c:pt idx="47">
                  <c:v>46.861883607592517</c:v>
                </c:pt>
                <c:pt idx="48">
                  <c:v>46.749113347747418</c:v>
                </c:pt>
                <c:pt idx="49">
                  <c:v>46.635984198779738</c:v>
                </c:pt>
                <c:pt idx="50">
                  <c:v>46.522466036293217</c:v>
                </c:pt>
                <c:pt idx="51">
                  <c:v>46.408527546881999</c:v>
                </c:pt>
                <c:pt idx="52">
                  <c:v>46.294136147412473</c:v>
                </c:pt>
                <c:pt idx="53">
                  <c:v>46.179257897540822</c:v>
                </c:pt>
                <c:pt idx="54">
                  <c:v>46.063857404755588</c:v>
                </c:pt>
                <c:pt idx="55">
                  <c:v>45.947897721153772</c:v>
                </c:pt>
                <c:pt idx="56">
                  <c:v>45.83134023106453</c:v>
                </c:pt>
                <c:pt idx="57">
                  <c:v>45.714144528497002</c:v>
                </c:pt>
                <c:pt idx="58">
                  <c:v>45.596268283283962</c:v>
                </c:pt>
                <c:pt idx="59">
                  <c:v>45.477667094618774</c:v>
                </c:pt>
                <c:pt idx="60">
                  <c:v>45.358294330509693</c:v>
                </c:pt>
                <c:pt idx="61">
                  <c:v>45.238142059555862</c:v>
                </c:pt>
                <c:pt idx="62">
                  <c:v>45.118737663491402</c:v>
                </c:pt>
                <c:pt idx="63">
                  <c:v>45.000861662339503</c:v>
                </c:pt>
                <c:pt idx="64">
                  <c:v>44.884498596333117</c:v>
                </c:pt>
                <c:pt idx="65">
                  <c:v>44.7696331401973</c:v>
                </c:pt>
                <c:pt idx="66">
                  <c:v>44.656250102566453</c:v>
                </c:pt>
                <c:pt idx="67">
                  <c:v>44.544334425382942</c:v>
                </c:pt>
                <c:pt idx="68">
                  <c:v>44.433871183274391</c:v>
                </c:pt>
                <c:pt idx="69">
                  <c:v>44.324845582913163</c:v>
                </c:pt>
                <c:pt idx="70">
                  <c:v>44.217242962355272</c:v>
                </c:pt>
                <c:pt idx="71">
                  <c:v>44.111048790362588</c:v>
                </c:pt>
                <c:pt idx="72">
                  <c:v>44.006248665707972</c:v>
                </c:pt>
                <c:pt idx="73">
                  <c:v>43.902828316460898</c:v>
                </c:pt>
                <c:pt idx="74">
                  <c:v>43.800773599261561</c:v>
                </c:pt>
                <c:pt idx="75">
                  <c:v>43.700070498573382</c:v>
                </c:pt>
                <c:pt idx="76">
                  <c:v>43.600705125926311</c:v>
                </c:pt>
                <c:pt idx="77">
                  <c:v>43.502663719141708</c:v>
                </c:pt>
                <c:pt idx="78">
                  <c:v>43.405932641546542</c:v>
                </c:pt>
                <c:pt idx="79">
                  <c:v>43.310498381171158</c:v>
                </c:pt>
                <c:pt idx="80">
                  <c:v>43.216347549939137</c:v>
                </c:pt>
                <c:pt idx="81">
                  <c:v>43.123466882842081</c:v>
                </c:pt>
                <c:pt idx="82">
                  <c:v>43.031843237104063</c:v>
                </c:pt>
                <c:pt idx="83">
                  <c:v>42.941463591338049</c:v>
                </c:pt>
                <c:pt idx="84">
                  <c:v>42.852315044687771</c:v>
                </c:pt>
                <c:pt idx="85">
                  <c:v>42.764384815967453</c:v>
                </c:pt>
                <c:pt idx="86">
                  <c:v>42.677660242785521</c:v>
                </c:pt>
                <c:pt idx="87">
                  <c:v>42.592128780666258</c:v>
                </c:pt>
                <c:pt idx="88">
                  <c:v>42.507778002162468</c:v>
                </c:pt>
                <c:pt idx="89">
                  <c:v>42.424595595959033</c:v>
                </c:pt>
                <c:pt idx="90">
                  <c:v>42.342569365975407</c:v>
                </c:pt>
                <c:pt idx="91">
                  <c:v>42.261687230457987</c:v>
                </c:pt>
                <c:pt idx="92">
                  <c:v>42.181937221070541</c:v>
                </c:pt>
                <c:pt idx="93">
                  <c:v>42.103307481979243</c:v>
                </c:pt>
                <c:pt idx="94">
                  <c:v>42.025786268933018</c:v>
                </c:pt>
                <c:pt idx="95">
                  <c:v>41.949361948343267</c:v>
                </c:pt>
                <c:pt idx="96">
                  <c:v>41.874022996357837</c:v>
                </c:pt>
                <c:pt idx="97">
                  <c:v>41.799757997934883</c:v>
                </c:pt>
                <c:pt idx="98">
                  <c:v>41.726555645913614</c:v>
                </c:pt>
                <c:pt idx="99">
                  <c:v>41.654404740084892</c:v>
                </c:pt>
                <c:pt idx="100">
                  <c:v>41.583294186259543</c:v>
                </c:pt>
                <c:pt idx="101">
                  <c:v>41.513212995338563</c:v>
                </c:pt>
                <c:pt idx="102">
                  <c:v>41.444150282380178</c:v>
                </c:pt>
                <c:pt idx="103">
                  <c:v>41.376095265670642</c:v>
                </c:pt>
                <c:pt idx="104">
                  <c:v>41.309037265793449</c:v>
                </c:pt>
                <c:pt idx="105">
                  <c:v>41.242965704701078</c:v>
                </c:pt>
                <c:pt idx="106">
                  <c:v>41.177870104788497</c:v>
                </c:pt>
                <c:pt idx="107">
                  <c:v>41.113740087966789</c:v>
                </c:pt>
                <c:pt idx="108">
                  <c:v>41.050565374741609</c:v>
                </c:pt>
                <c:pt idx="109">
                  <c:v>40.988335783292939</c:v>
                </c:pt>
                <c:pt idx="110">
                  <c:v>40.927041228557982</c:v>
                </c:pt>
                <c:pt idx="111">
                  <c:v>40.866671721317289</c:v>
                </c:pt>
                <c:pt idx="112">
                  <c:v>40.807217367284977</c:v>
                </c:pt>
                <c:pt idx="113">
                  <c:v>40.748668366202708</c:v>
                </c:pt>
                <c:pt idx="114">
                  <c:v>40.691015010937242</c:v>
                </c:pt>
                <c:pt idx="115">
                  <c:v>40.634247686582398</c:v>
                </c:pt>
                <c:pt idx="116">
                  <c:v>40.578356869568097</c:v>
                </c:pt>
                <c:pt idx="117">
                  <c:v>40.523333126770069</c:v>
                </c:pt>
                <c:pt idx="118">
                  <c:v>40.469167114628021</c:v>
                </c:pt>
                <c:pt idx="119">
                  <c:v>40.415849578269793</c:v>
                </c:pt>
                <c:pt idx="120">
                  <c:v>40.363371350636612</c:v>
                </c:pt>
                <c:pt idx="121">
                  <c:v>40.311723351619662</c:v>
                </c:pt>
                <c:pt idx="122">
                  <c:v>40.260896587198943</c:v>
                </c:pt>
                <c:pt idx="123">
                  <c:v>40.21088214858969</c:v>
                </c:pt>
                <c:pt idx="124">
                  <c:v>40.161671211395173</c:v>
                </c:pt>
                <c:pt idx="125">
                  <c:v>40.113255034765473</c:v>
                </c:pt>
                <c:pt idx="126">
                  <c:v>40.065624960563348</c:v>
                </c:pt>
                <c:pt idx="127">
                  <c:v>40.018772412537373</c:v>
                </c:pt>
                <c:pt idx="128">
                  <c:v>39.972688895500603</c:v>
                </c:pt>
                <c:pt idx="129">
                  <c:v>39.927365994517913</c:v>
                </c:pt>
                <c:pt idx="130">
                  <c:v>39.882795374099601</c:v>
                </c:pt>
                <c:pt idx="131">
                  <c:v>39.838968777402499</c:v>
                </c:pt>
                <c:pt idx="132">
                  <c:v>39.795878025438363</c:v>
                </c:pt>
                <c:pt idx="133">
                  <c:v>39.753515016290862</c:v>
                </c:pt>
                <c:pt idx="134">
                  <c:v>39.711871724338891</c:v>
                </c:pt>
                <c:pt idx="135">
                  <c:v>39.670940199487227</c:v>
                </c:pt>
                <c:pt idx="136">
                  <c:v>39.630712566407283</c:v>
                </c:pt>
                <c:pt idx="137">
                  <c:v>39.591181023782838</c:v>
                </c:pt>
                <c:pt idx="138">
                  <c:v>39.55233784356659</c:v>
                </c:pt>
                <c:pt idx="139">
                  <c:v>39.514175370241453</c:v>
                </c:pt>
                <c:pt idx="140">
                  <c:v>39.476686020092423</c:v>
                </c:pt>
                <c:pt idx="141">
                  <c:v>39.439862280485613</c:v>
                </c:pt>
                <c:pt idx="142">
                  <c:v>39.403696709155838</c:v>
                </c:pt>
                <c:pt idx="143">
                  <c:v>39.368181933500921</c:v>
                </c:pt>
                <c:pt idx="144">
                  <c:v>39.333310649886357</c:v>
                </c:pt>
                <c:pt idx="145">
                  <c:v>39.299075622955343</c:v>
                </c:pt>
                <c:pt idx="146">
                  <c:v>39.265469684950567</c:v>
                </c:pt>
                <c:pt idx="147">
                  <c:v>39.232485735040711</c:v>
                </c:pt>
                <c:pt idx="148">
                  <c:v>39.200116738657528</c:v>
                </c:pt>
                <c:pt idx="149">
                  <c:v>39.168355726840282</c:v>
                </c:pt>
                <c:pt idx="150">
                  <c:v>39.137195795587559</c:v>
                </c:pt>
                <c:pt idx="151">
                  <c:v>39.106630105218763</c:v>
                </c:pt>
                <c:pt idx="152">
                  <c:v>39.076651879743338</c:v>
                </c:pt>
                <c:pt idx="153">
                  <c:v>39.047254406237471</c:v>
                </c:pt>
                <c:pt idx="154">
                  <c:v>39.018431034229202</c:v>
                </c:pt>
                <c:pt idx="155">
                  <c:v>38.990175175091963</c:v>
                </c:pt>
                <c:pt idx="156">
                  <c:v>38.962480301446313</c:v>
                </c:pt>
                <c:pt idx="157">
                  <c:v>38.935339946568149</c:v>
                </c:pt>
                <c:pt idx="158">
                  <c:v>38.908747703807933</c:v>
                </c:pt>
                <c:pt idx="159">
                  <c:v>38.882697226013867</c:v>
                </c:pt>
                <c:pt idx="160">
                  <c:v>38.85718222496638</c:v>
                </c:pt>
                <c:pt idx="161">
                  <c:v>38.832196470818189</c:v>
                </c:pt>
                <c:pt idx="162">
                  <c:v>38.807733791543683</c:v>
                </c:pt>
                <c:pt idx="163">
                  <c:v>38.783788072394707</c:v>
                </c:pt>
                <c:pt idx="164">
                  <c:v>38.760353255364457</c:v>
                </c:pt>
                <c:pt idx="165">
                  <c:v>38.737423338659077</c:v>
                </c:pt>
                <c:pt idx="166">
                  <c:v>38.714992376176667</c:v>
                </c:pt>
                <c:pt idx="167">
                  <c:v>38.693054476993147</c:v>
                </c:pt>
                <c:pt idx="168">
                  <c:v>38.671603804856197</c:v>
                </c:pt>
                <c:pt idx="169">
                  <c:v>38.650634577684968</c:v>
                </c:pt>
                <c:pt idx="170">
                  <c:v>38.630141067080437</c:v>
                </c:pt>
                <c:pt idx="171">
                  <c:v>38.610117597836847</c:v>
                </c:pt>
                <c:pt idx="172">
                  <c:v>38.590558547466507</c:v>
                </c:pt>
                <c:pt idx="173">
                  <c:v>38.571458345726228</c:v>
                </c:pt>
                <c:pt idx="174">
                  <c:v>38.55281147415451</c:v>
                </c:pt>
                <c:pt idx="175">
                  <c:v>38.534612465611588</c:v>
                </c:pt>
                <c:pt idx="176">
                  <c:v>38.516855903830162</c:v>
                </c:pt>
                <c:pt idx="177">
                  <c:v>38.499536422968283</c:v>
                </c:pt>
                <c:pt idx="178">
                  <c:v>38.482648707171677</c:v>
                </c:pt>
                <c:pt idx="179">
                  <c:v>38.466187490140904</c:v>
                </c:pt>
                <c:pt idx="180">
                  <c:v>38.450147554704643</c:v>
                </c:pt>
                <c:pt idx="181">
                  <c:v>38.434523732399548</c:v>
                </c:pt>
                <c:pt idx="182">
                  <c:v>38.419310903054793</c:v>
                </c:pt>
                <c:pt idx="183">
                  <c:v>38.40450399438447</c:v>
                </c:pt>
                <c:pt idx="184">
                  <c:v>38.390097981582237</c:v>
                </c:pt>
                <c:pt idx="185">
                  <c:v>38.37608788692495</c:v>
                </c:pt>
                <c:pt idx="186">
                  <c:v>38.362468779379469</c:v>
                </c:pt>
                <c:pt idx="187">
                  <c:v>38.349235774215742</c:v>
                </c:pt>
                <c:pt idx="188">
                  <c:v>38.336384032624267</c:v>
                </c:pt>
                <c:pt idx="189">
                  <c:v>38.32390876133843</c:v>
                </c:pt>
                <c:pt idx="190">
                  <c:v>38.311805212263103</c:v>
                </c:pt>
                <c:pt idx="191">
                  <c:v>38.300068682106598</c:v>
                </c:pt>
                <c:pt idx="192">
                  <c:v>38.288694512017173</c:v>
                </c:pt>
                <c:pt idx="193">
                  <c:v>38.27767808722524</c:v>
                </c:pt>
                <c:pt idx="194">
                  <c:v>38.26701483668819</c:v>
                </c:pt>
                <c:pt idx="195">
                  <c:v>38.256700232741423</c:v>
                </c:pt>
                <c:pt idx="196">
                  <c:v>38.246729790751893</c:v>
                </c:pt>
                <c:pt idx="197">
                  <c:v>38.237099068775713</c:v>
                </c:pt>
                <c:pt idx="198">
                  <c:v>38.227803667221004</c:v>
                </c:pt>
                <c:pt idx="199">
                  <c:v>38.218839228512543</c:v>
                </c:pt>
                <c:pt idx="200">
                  <c:v>38.210201436761338</c:v>
                </c:pt>
                <c:pt idx="201">
                  <c:v>38.201886017437118</c:v>
                </c:pt>
                <c:pt idx="202">
                  <c:v>38.193888737044233</c:v>
                </c:pt>
                <c:pt idx="203">
                  <c:v>38.186205402800447</c:v>
                </c:pt>
                <c:pt idx="204">
                  <c:v>38.178831862320123</c:v>
                </c:pt>
                <c:pt idx="205">
                  <c:v>38.171764003297653</c:v>
                </c:pt>
                <c:pt idx="206">
                  <c:v>38.164997753196758</c:v>
                </c:pt>
                <c:pt idx="207">
                  <c:v>38.158529078940212</c:v>
                </c:pt>
                <c:pt idx="208">
                  <c:v>38.152353986604169</c:v>
                </c:pt>
                <c:pt idx="209">
                  <c:v>38.146468521112517</c:v>
                </c:pt>
                <c:pt idx="210">
                  <c:v>38.140868765935522</c:v>
                </c:pt>
                <c:pt idx="211">
                  <c:v>38.13555084279011</c:v>
                </c:pt>
                <c:pt idx="212">
                  <c:v>38.130510911341673</c:v>
                </c:pt>
                <c:pt idx="213">
                  <c:v>38.125745168909873</c:v>
                </c:pt>
                <c:pt idx="214">
                  <c:v>38.121249850172553</c:v>
                </c:pt>
                <c:pt idx="215">
                  <c:v>38.117021226876368</c:v>
                </c:pt>
                <c:pt idx="216">
                  <c:v>38.113055607544482</c:v>
                </c:pt>
                <c:pt idx="217">
                  <c:v>38.109349337189137</c:v>
                </c:pt>
                <c:pt idx="218">
                  <c:v>38.105898797024047</c:v>
                </c:pt>
                <c:pt idx="219">
                  <c:v>38.102700404178393</c:v>
                </c:pt>
                <c:pt idx="220">
                  <c:v>38.099750611412787</c:v>
                </c:pt>
                <c:pt idx="221">
                  <c:v>38.097045906836001</c:v>
                </c:pt>
                <c:pt idx="222">
                  <c:v>38.094582813622537</c:v>
                </c:pt>
                <c:pt idx="223">
                  <c:v>38.092357889731552</c:v>
                </c:pt>
                <c:pt idx="224">
                  <c:v>38.090367727627672</c:v>
                </c:pt>
                <c:pt idx="225">
                  <c:v>38.088608954000513</c:v>
                </c:pt>
                <c:pt idx="226">
                  <c:v>38.087078229486792</c:v>
                </c:pt>
                <c:pt idx="227">
                  <c:v>38.085772248393482</c:v>
                </c:pt>
                <c:pt idx="228">
                  <c:v>38.084687738419689</c:v>
                </c:pt>
                <c:pt idx="229">
                  <c:v>38.08382146038133</c:v>
                </c:pt>
                <c:pt idx="230">
                  <c:v>38.083170207935268</c:v>
                </c:pt>
                <c:pt idx="231">
                  <c:v>38.082730807303619</c:v>
                </c:pt>
                <c:pt idx="232">
                  <c:v>38.08250011700045</c:v>
                </c:pt>
                <c:pt idx="233">
                  <c:v>38.082475027556029</c:v>
                </c:pt>
                <c:pt idx="234">
                  <c:v>38.082652461244322</c:v>
                </c:pt>
                <c:pt idx="235">
                  <c:v>38.083029371809062</c:v>
                </c:pt>
                <c:pt idx="236">
                  <c:v>38.083602744191303</c:v>
                </c:pt>
                <c:pt idx="237">
                  <c:v>38.084369594256877</c:v>
                </c:pt>
                <c:pt idx="238">
                  <c:v>38.085326968523361</c:v>
                </c:pt>
                <c:pt idx="239">
                  <c:v>38.086471943889478</c:v>
                </c:pt>
                <c:pt idx="240">
                  <c:v>38.087801627362303</c:v>
                </c:pt>
                <c:pt idx="241">
                  <c:v>38.089313155787522</c:v>
                </c:pt>
                <c:pt idx="242">
                  <c:v>38.091003695578252</c:v>
                </c:pt>
                <c:pt idx="243">
                  <c:v>38.092870442444053</c:v>
                </c:pt>
                <c:pt idx="244">
                  <c:v>38.094910621121699</c:v>
                </c:pt>
                <c:pt idx="245">
                  <c:v>38.097121485105617</c:v>
                </c:pt>
                <c:pt idx="246">
                  <c:v>38.099500316379363</c:v>
                </c:pt>
                <c:pt idx="247">
                  <c:v>38.102044425146573</c:v>
                </c:pt>
                <c:pt idx="248">
                  <c:v>38.10475114956364</c:v>
                </c:pt>
                <c:pt idx="249">
                  <c:v>38.107617855489593</c:v>
                </c:pt>
                <c:pt idx="250">
                  <c:v>38.110641936124132</c:v>
                </c:pt>
                <c:pt idx="251">
                  <c:v>38.113820811960863</c:v>
                </c:pt>
                <c:pt idx="252">
                  <c:v>38.117151930281238</c:v>
                </c:pt>
                <c:pt idx="253">
                  <c:v>38.12063276499714</c:v>
                </c:pt>
                <c:pt idx="254">
                  <c:v>38.124260816414562</c:v>
                </c:pt>
                <c:pt idx="255">
                  <c:v>38.128033610930629</c:v>
                </c:pt>
                <c:pt idx="256">
                  <c:v>38.131948700785067</c:v>
                </c:pt>
                <c:pt idx="257">
                  <c:v>38.136003663801382</c:v>
                </c:pt>
                <c:pt idx="258">
                  <c:v>38.140196103130222</c:v>
                </c:pt>
                <c:pt idx="259">
                  <c:v>38.144523646994571</c:v>
                </c:pt>
                <c:pt idx="260">
                  <c:v>38.148983948436182</c:v>
                </c:pt>
                <c:pt idx="261">
                  <c:v>38.153574685063397</c:v>
                </c:pt>
                <c:pt idx="262">
                  <c:v>38.158293558803393</c:v>
                </c:pt>
                <c:pt idx="263">
                  <c:v>38.163138295654278</c:v>
                </c:pt>
                <c:pt idx="264">
                  <c:v>38.168106645440957</c:v>
                </c:pt>
                <c:pt idx="265">
                  <c:v>38.173196381573348</c:v>
                </c:pt>
                <c:pt idx="266">
                  <c:v>38.178405300807192</c:v>
                </c:pt>
                <c:pt idx="267">
                  <c:v>38.183731223008067</c:v>
                </c:pt>
                <c:pt idx="268">
                  <c:v>38.189171990918169</c:v>
                </c:pt>
                <c:pt idx="269">
                  <c:v>38.19472546992705</c:v>
                </c:pt>
                <c:pt idx="270">
                  <c:v>38.200389547845703</c:v>
                </c:pt>
                <c:pt idx="271">
                  <c:v>38.20616213468287</c:v>
                </c:pt>
                <c:pt idx="272">
                  <c:v>38.212041162427788</c:v>
                </c:pt>
                <c:pt idx="273">
                  <c:v>38.218024584835291</c:v>
                </c:pt>
                <c:pt idx="274">
                  <c:v>38.224110377214231</c:v>
                </c:pt>
                <c:pt idx="275">
                  <c:v>38.230296536223477</c:v>
                </c:pt>
                <c:pt idx="276">
                  <c:v>38.236581079668717</c:v>
                </c:pt>
                <c:pt idx="277">
                  <c:v>38.242962046306843</c:v>
                </c:pt>
                <c:pt idx="278">
                  <c:v>38.249437495653979</c:v>
                </c:pt>
                <c:pt idx="279">
                  <c:v>38.256005507798079</c:v>
                </c:pt>
                <c:pt idx="280">
                  <c:v>38.262664183218249</c:v>
                </c:pt>
                <c:pt idx="281">
                  <c:v>38.269411642607963</c:v>
                </c:pt>
                <c:pt idx="282">
                  <c:v>38.276246026705053</c:v>
                </c:pt>
                <c:pt idx="283">
                  <c:v>38.283165496125257</c:v>
                </c:pt>
                <c:pt idx="284">
                  <c:v>38.290168231204518</c:v>
                </c:pt>
                <c:pt idx="285">
                  <c:v>38.297252431844811</c:v>
                </c:pt>
                <c:pt idx="286">
                  <c:v>38.304416317365387</c:v>
                </c:pt>
                <c:pt idx="287">
                  <c:v>38.311658126362367</c:v>
                </c:pt>
                <c:pt idx="288">
                  <c:v>38.318976116573033</c:v>
                </c:pt>
                <c:pt idx="289">
                  <c:v>38.326368564745621</c:v>
                </c:pt>
                <c:pt idx="290">
                  <c:v>38.333833766516022</c:v>
                </c:pt>
                <c:pt idx="291">
                  <c:v>38.341370036290748</c:v>
                </c:pt>
                <c:pt idx="292">
                  <c:v>38.348975707134507</c:v>
                </c:pt>
                <c:pt idx="293">
                  <c:v>38.356649130666142</c:v>
                </c:pt>
                <c:pt idx="294">
                  <c:v>38.36438867696836</c:v>
                </c:pt>
                <c:pt idx="295">
                  <c:v>38.372192734445207</c:v>
                </c:pt>
                <c:pt idx="296">
                  <c:v>38.380059709832658</c:v>
                </c:pt>
                <c:pt idx="297">
                  <c:v>38.387988028018469</c:v>
                </c:pt>
                <c:pt idx="298">
                  <c:v>38.395976132013743</c:v>
                </c:pt>
                <c:pt idx="299">
                  <c:v>38.404022482873643</c:v>
                </c:pt>
                <c:pt idx="300">
                  <c:v>38.412125559629089</c:v>
                </c:pt>
                <c:pt idx="301">
                  <c:v>38.420283859227311</c:v>
                </c:pt>
                <c:pt idx="302">
                  <c:v>38.428495896474601</c:v>
                </c:pt>
                <c:pt idx="303">
                  <c:v>38.436760203983113</c:v>
                </c:pt>
                <c:pt idx="304">
                  <c:v>38.445075332124247</c:v>
                </c:pt>
                <c:pt idx="305">
                  <c:v>38.453439848984033</c:v>
                </c:pt>
                <c:pt idx="306">
                  <c:v>38.461852340321059</c:v>
                </c:pt>
                <c:pt idx="307">
                  <c:v>38.470311409529423</c:v>
                </c:pt>
                <c:pt idx="308">
                  <c:v>38.478815677603961</c:v>
                </c:pt>
                <c:pt idx="309">
                  <c:v>38.487363783107071</c:v>
                </c:pt>
                <c:pt idx="310">
                  <c:v>38.495954382137711</c:v>
                </c:pt>
                <c:pt idx="311">
                  <c:v>38.50458614830211</c:v>
                </c:pt>
                <c:pt idx="312">
                  <c:v>38.513257772685733</c:v>
                </c:pt>
                <c:pt idx="313">
                  <c:v>38.521967963826107</c:v>
                </c:pt>
                <c:pt idx="314">
                  <c:v>38.530715447684088</c:v>
                </c:pt>
                <c:pt idx="315">
                  <c:v>38.539498967617419</c:v>
                </c:pt>
                <c:pt idx="316">
                  <c:v>38.548317284351981</c:v>
                </c:pt>
                <c:pt idx="317">
                  <c:v>38.557169175951692</c:v>
                </c:pt>
                <c:pt idx="318">
                  <c:v>38.566053437788639</c:v>
                </c:pt>
                <c:pt idx="319">
                  <c:v>38.574968882508642</c:v>
                </c:pt>
                <c:pt idx="320">
                  <c:v>38.583914339995999</c:v>
                </c:pt>
                <c:pt idx="321">
                  <c:v>38.592888657335038</c:v>
                </c:pt>
                <c:pt idx="322">
                  <c:v>38.601890698767527</c:v>
                </c:pt>
                <c:pt idx="323">
                  <c:v>38.610919345647801</c:v>
                </c:pt>
                <c:pt idx="324">
                  <c:v>38.619973496391367</c:v>
                </c:pt>
                <c:pt idx="325">
                  <c:v>38.629052066422332</c:v>
                </c:pt>
                <c:pt idx="326">
                  <c:v>38.63815398811181</c:v>
                </c:pt>
                <c:pt idx="327">
                  <c:v>38.647278210715172</c:v>
                </c:pt>
                <c:pt idx="328">
                  <c:v>38.656423700301332</c:v>
                </c:pt>
                <c:pt idx="329">
                  <c:v>38.66558943967641</c:v>
                </c:pt>
                <c:pt idx="330">
                  <c:v>38.674774428301824</c:v>
                </c:pt>
                <c:pt idx="331">
                  <c:v>38.683977682207001</c:v>
                </c:pt>
                <c:pt idx="332">
                  <c:v>38.693198233893902</c:v>
                </c:pt>
                <c:pt idx="333">
                  <c:v>38.702435132244602</c:v>
                </c:pt>
                <c:pt idx="334">
                  <c:v>38.711687442355867</c:v>
                </c:pt>
                <c:pt idx="335">
                  <c:v>38.720954245575847</c:v>
                </c:pt>
                <c:pt idx="336">
                  <c:v>38.730234639158539</c:v>
                </c:pt>
                <c:pt idx="337">
                  <c:v>38.739527736371201</c:v>
                </c:pt>
                <c:pt idx="338">
                  <c:v>38.748832666140572</c:v>
                </c:pt>
                <c:pt idx="339">
                  <c:v>38.758148573075971</c:v>
                </c:pt>
                <c:pt idx="340">
                  <c:v>38.767474617242392</c:v>
                </c:pt>
                <c:pt idx="341">
                  <c:v>38.776809974020132</c:v>
                </c:pt>
                <c:pt idx="342">
                  <c:v>38.786153833943501</c:v>
                </c:pt>
                <c:pt idx="343">
                  <c:v>38.795505402530686</c:v>
                </c:pt>
                <c:pt idx="344">
                  <c:v>38.804863900109979</c:v>
                </c:pt>
                <c:pt idx="345">
                  <c:v>38.814228561638231</c:v>
                </c:pt>
                <c:pt idx="346">
                  <c:v>38.823598636515207</c:v>
                </c:pt>
                <c:pt idx="347">
                  <c:v>38.832973388390883</c:v>
                </c:pt>
                <c:pt idx="348">
                  <c:v>38.842352094969272</c:v>
                </c:pt>
                <c:pt idx="349">
                  <c:v>38.851734047805451</c:v>
                </c:pt>
                <c:pt idx="350">
                  <c:v>38.861118552100038</c:v>
                </c:pt>
                <c:pt idx="351">
                  <c:v>38.870504926488543</c:v>
                </c:pt>
                <c:pt idx="352">
                  <c:v>38.879892502826351</c:v>
                </c:pt>
                <c:pt idx="353">
                  <c:v>38.889280625972113</c:v>
                </c:pt>
                <c:pt idx="354">
                  <c:v>38.898668653566062</c:v>
                </c:pt>
                <c:pt idx="355">
                  <c:v>38.908055955806837</c:v>
                </c:pt>
                <c:pt idx="356">
                  <c:v>38.91744191522514</c:v>
                </c:pt>
                <c:pt idx="357">
                  <c:v>38.926825926458321</c:v>
                </c:pt>
                <c:pt idx="358">
                  <c:v>38.936207396017551</c:v>
                </c:pt>
                <c:pt idx="359">
                  <c:v>38.9455857420607</c:v>
                </c:pt>
                <c:pt idx="360">
                  <c:v>38.954960394160203</c:v>
                </c:pt>
                <c:pt idx="361">
                  <c:v>38.964330793072008</c:v>
                </c:pt>
                <c:pt idx="362">
                  <c:v>38.973696390504642</c:v>
                </c:pt>
                <c:pt idx="363">
                  <c:v>38.983056648887207</c:v>
                </c:pt>
                <c:pt idx="364">
                  <c:v>38.992411041141047</c:v>
                </c:pt>
                <c:pt idx="365">
                  <c:v>39.001759050450573</c:v>
                </c:pt>
                <c:pt idx="366">
                  <c:v>39.011100170035043</c:v>
                </c:pt>
                <c:pt idx="367">
                  <c:v>39.02043390292414</c:v>
                </c:pt>
                <c:pt idx="368">
                  <c:v>39.02975976173434</c:v>
                </c:pt>
                <c:pt idx="369">
                  <c:v>39.039077268448182</c:v>
                </c:pt>
                <c:pt idx="370">
                  <c:v>39.048385954196021</c:v>
                </c:pt>
                <c:pt idx="371">
                  <c:v>39.057685359040818</c:v>
                </c:pt>
                <c:pt idx="372">
                  <c:v>39.066975031767072</c:v>
                </c:pt>
                <c:pt idx="373">
                  <c:v>39.07625452967261</c:v>
                </c:pt>
                <c:pt idx="374">
                  <c:v>39.085523418363209</c:v>
                </c:pt>
                <c:pt idx="375">
                  <c:v>39.0947812715537</c:v>
                </c:pt>
                <c:pt idx="376">
                  <c:v>39.104027670870153</c:v>
                </c:pt>
                <c:pt idx="377">
                  <c:v>39.113262205659957</c:v>
                </c:pt>
                <c:pt idx="378">
                  <c:v>39.122484472802853</c:v>
                </c:pt>
                <c:pt idx="379">
                  <c:v>39.131694076529932</c:v>
                </c:pt>
                <c:pt idx="380">
                  <c:v>39.140890628244222</c:v>
                </c:pt>
                <c:pt idx="381">
                  <c:v>39.150073746349847</c:v>
                </c:pt>
                <c:pt idx="382">
                  <c:v>39.159243056083653</c:v>
                </c:pt>
                <c:pt idx="383">
                  <c:v>39.168398189351933</c:v>
                </c:pt>
                <c:pt idx="384">
                  <c:v>39.177538784574317</c:v>
                </c:pt>
                <c:pt idx="385">
                  <c:v>39.186664486532088</c:v>
                </c:pt>
                <c:pt idx="386">
                  <c:v>39.195774946220133</c:v>
                </c:pt>
                <c:pt idx="387">
                  <c:v>39.204869820707813</c:v>
                </c:pt>
                <c:pt idx="388">
                  <c:v>39.213948773001682</c:v>
                </c:pt>
                <c:pt idx="389">
                  <c:v>39.223011471916379</c:v>
                </c:pt>
                <c:pt idx="390">
                  <c:v>39.232057591948553</c:v>
                </c:pt>
                <c:pt idx="391">
                  <c:v>39.241086813159647</c:v>
                </c:pt>
                <c:pt idx="392">
                  <c:v>39.250098821060078</c:v>
                </c:pt>
                <c:pt idx="393">
                  <c:v>39.259093306501313</c:v>
                </c:pt>
                <c:pt idx="394">
                  <c:v>39.268069965573027</c:v>
                </c:pt>
                <c:pt idx="395">
                  <c:v>39.277028499505043</c:v>
                </c:pt>
                <c:pt idx="396">
                  <c:v>39.285968614574358</c:v>
                </c:pt>
                <c:pt idx="397">
                  <c:v>39.294890022018762</c:v>
                </c:pt>
                <c:pt idx="398">
                  <c:v>39.30379243795403</c:v>
                </c:pt>
                <c:pt idx="399">
                  <c:v>39.31267558329688</c:v>
                </c:pt>
                <c:pt idx="400">
                  <c:v>39.321539183692323</c:v>
                </c:pt>
                <c:pt idx="401">
                  <c:v>39.330382969446248</c:v>
                </c:pt>
                <c:pt idx="402">
                  <c:v>39.339206675464077</c:v>
                </c:pt>
                <c:pt idx="403">
                  <c:v>39.348010041192033</c:v>
                </c:pt>
                <c:pt idx="404">
                  <c:v>39.356792810563213</c:v>
                </c:pt>
                <c:pt idx="405">
                  <c:v>39.365554731950454</c:v>
                </c:pt>
                <c:pt idx="406">
                  <c:v>39.3742955581194</c:v>
                </c:pt>
                <c:pt idx="407">
                  <c:v>39.383015046191083</c:v>
                </c:pt>
                <c:pt idx="408">
                  <c:v>39.391712957603723</c:v>
                </c:pt>
                <c:pt idx="409">
                  <c:v>39.400389058081601</c:v>
                </c:pt>
                <c:pt idx="410">
                  <c:v>39.409043117606977</c:v>
                </c:pt>
                <c:pt idx="411">
                  <c:v>39.417674910394339</c:v>
                </c:pt>
                <c:pt idx="412">
                  <c:v>39.426284214870577</c:v>
                </c:pt>
                <c:pt idx="413">
                  <c:v>39.434870813657596</c:v>
                </c:pt>
                <c:pt idx="414">
                  <c:v>39.443434493558129</c:v>
                </c:pt>
                <c:pt idx="415">
                  <c:v>39.451975045544657</c:v>
                </c:pt>
                <c:pt idx="416">
                  <c:v>39.460492264750428</c:v>
                </c:pt>
                <c:pt idx="417">
                  <c:v>39.468985950467413</c:v>
                </c:pt>
                <c:pt idx="418">
                  <c:v>39.477455906142147</c:v>
                </c:pt>
                <c:pt idx="419">
                  <c:v>39.485901939376618</c:v>
                </c:pt>
                <c:pt idx="420">
                  <c:v>39.49432386193223</c:v>
                </c:pt>
                <c:pt idx="421">
                  <c:v>39.502721489734093</c:v>
                </c:pt>
                <c:pt idx="422">
                  <c:v>39.511094642879698</c:v>
                </c:pt>
                <c:pt idx="423">
                  <c:v>39.519443145648268</c:v>
                </c:pt>
                <c:pt idx="424">
                  <c:v>39.527766826513577</c:v>
                </c:pt>
                <c:pt idx="425">
                  <c:v>39.536065518156533</c:v>
                </c:pt>
                <c:pt idx="426">
                  <c:v>39.544339057480947</c:v>
                </c:pt>
                <c:pt idx="427">
                  <c:v>39.552587285630921</c:v>
                </c:pt>
                <c:pt idx="428">
                  <c:v>39.560810048008989</c:v>
                </c:pt>
                <c:pt idx="429">
                  <c:v>39.569007194296319</c:v>
                </c:pt>
                <c:pt idx="430">
                  <c:v>39.57717857847274</c:v>
                </c:pt>
                <c:pt idx="431">
                  <c:v>39.585324058839717</c:v>
                </c:pt>
                <c:pt idx="432">
                  <c:v>39.593443498044167</c:v>
                </c:pt>
                <c:pt idx="433">
                  <c:v>39.601536763100107</c:v>
                </c:pt>
                <c:pt idx="434">
                  <c:v>39.6096037254149</c:v>
                </c:pt>
                <c:pt idx="435">
                  <c:v>39.617644260815098</c:v>
                </c:pt>
                <c:pt idx="436">
                  <c:v>39.625658249569483</c:v>
                </c:pt>
                <c:pt idx="437">
                  <c:v>39.633645576418992</c:v>
                </c:pt>
                <c:pt idx="438">
                  <c:v>39.641606130600678</c:v>
                </c:pt>
                <c:pt idx="439">
                  <c:v>39.64953980587444</c:v>
                </c:pt>
                <c:pt idx="440">
                  <c:v>39.657446500550982</c:v>
                </c:pt>
                <c:pt idx="441">
                  <c:v>39.665326117518987</c:v>
                </c:pt>
                <c:pt idx="442">
                  <c:v>39.673178564270302</c:v>
                </c:pt>
                <c:pt idx="443">
                  <c:v>39.681003752928007</c:v>
                </c:pt>
                <c:pt idx="444">
                  <c:v>39.688801600273557</c:v>
                </c:pt>
                <c:pt idx="445">
                  <c:v>39.696572027771587</c:v>
                </c:pt>
                <c:pt idx="446">
                  <c:v>39.704314961597049</c:v>
                </c:pt>
                <c:pt idx="447">
                  <c:v>39.712030332661868</c:v>
                </c:pt>
                <c:pt idx="448">
                  <c:v>39.719718076638863</c:v>
                </c:pt>
                <c:pt idx="449">
                  <c:v>39.727378133988047</c:v>
                </c:pt>
                <c:pt idx="450">
                  <c:v>39.735010449980962</c:v>
                </c:pt>
                <c:pt idx="451">
                  <c:v>39.742614974726052</c:v>
                </c:pt>
                <c:pt idx="452">
                  <c:v>39.750191663192368</c:v>
                </c:pt>
                <c:pt idx="453">
                  <c:v>39.75774047523339</c:v>
                </c:pt>
                <c:pt idx="454">
                  <c:v>39.765261375612063</c:v>
                </c:pt>
                <c:pt idx="455">
                  <c:v>39.772754334023773</c:v>
                </c:pt>
                <c:pt idx="456">
                  <c:v>39.780219325120747</c:v>
                </c:pt>
                <c:pt idx="457">
                  <c:v>39.787656328536571</c:v>
                </c:pt>
                <c:pt idx="458">
                  <c:v>39.795065328912358</c:v>
                </c:pt>
                <c:pt idx="459">
                  <c:v>39.802446315921713</c:v>
                </c:pt>
                <c:pt idx="460">
                  <c:v>39.809799284298776</c:v>
                </c:pt>
                <c:pt idx="461">
                  <c:v>39.817124233869087</c:v>
                </c:pt>
                <c:pt idx="462">
                  <c:v>39.824421169582187</c:v>
                </c:pt>
                <c:pt idx="463">
                  <c:v>39.831690101547281</c:v>
                </c:pt>
                <c:pt idx="464">
                  <c:v>39.838931045078482</c:v>
                </c:pt>
                <c:pt idx="465">
                  <c:v>39.846144020743743</c:v>
                </c:pt>
                <c:pt idx="466">
                  <c:v>39.853329054427661</c:v>
                </c:pt>
                <c:pt idx="467">
                  <c:v>39.860486177407267</c:v>
                </c:pt>
                <c:pt idx="468">
                  <c:v>39.867615426453597</c:v>
                </c:pt>
                <c:pt idx="469">
                  <c:v>39.87471684396661</c:v>
                </c:pt>
                <c:pt idx="470">
                  <c:v>39.881790478167602</c:v>
                </c:pt>
                <c:pt idx="471">
                  <c:v>39.888836383398541</c:v>
                </c:pt>
                <c:pt idx="472">
                  <c:v>39.895854620638488</c:v>
                </c:pt>
                <c:pt idx="473">
                  <c:v>39.902845258869043</c:v>
                </c:pt>
                <c:pt idx="474">
                  <c:v>39.909808383798008</c:v>
                </c:pt>
                <c:pt idx="475">
                  <c:v>39.91674410090468</c:v>
                </c:pt>
                <c:pt idx="476">
                  <c:v>39.923652524293743</c:v>
                </c:pt>
                <c:pt idx="477">
                  <c:v>39.930533774166797</c:v>
                </c:pt>
                <c:pt idx="478">
                  <c:v>39.937387976029299</c:v>
                </c:pt>
                <c:pt idx="479">
                  <c:v>39.944215260203073</c:v>
                </c:pt>
                <c:pt idx="480">
                  <c:v>39.95101576147681</c:v>
                </c:pt>
                <c:pt idx="481">
                  <c:v>39.957789618826332</c:v>
                </c:pt>
                <c:pt idx="482">
                  <c:v>39.964536975182341</c:v>
                </c:pt>
                <c:pt idx="483">
                  <c:v>39.971257977230437</c:v>
                </c:pt>
                <c:pt idx="484">
                  <c:v>39.97795277522988</c:v>
                </c:pt>
                <c:pt idx="485">
                  <c:v>39.984621522849856</c:v>
                </c:pt>
                <c:pt idx="486">
                  <c:v>39.991264377018872</c:v>
                </c:pt>
                <c:pt idx="487">
                  <c:v>39.997881497780952</c:v>
                </c:pt>
                <c:pt idx="488">
                  <c:v>40.004473048162993</c:v>
                </c:pt>
                <c:pt idx="489">
                  <c:v>40.011039194046191</c:v>
                </c:pt>
                <c:pt idx="490">
                  <c:v>40.017580104044043</c:v>
                </c:pt>
                <c:pt idx="491">
                  <c:v>40.024095949385533</c:v>
                </c:pt>
                <c:pt idx="492">
                  <c:v>40.030586903801122</c:v>
                </c:pt>
                <c:pt idx="493">
                  <c:v>40.037053143413353</c:v>
                </c:pt>
                <c:pt idx="494">
                  <c:v>40.043494846631518</c:v>
                </c:pt>
                <c:pt idx="495">
                  <c:v>40.049912194048829</c:v>
                </c:pt>
                <c:pt idx="496">
                  <c:v>40.056305368341953</c:v>
                </c:pt>
                <c:pt idx="497">
                  <c:v>40.062674554174457</c:v>
                </c:pt>
                <c:pt idx="498">
                  <c:v>40.069019938102826</c:v>
                </c:pt>
                <c:pt idx="499">
                  <c:v>40.075341708483897</c:v>
                </c:pt>
                <c:pt idx="500">
                  <c:v>40.081640055387197</c:v>
                </c:pt>
                <c:pt idx="501">
                  <c:v>40.087915170506562</c:v>
                </c:pt>
                <c:pt idx="502">
                  <c:v>40.094167247077792</c:v>
                </c:pt>
                <c:pt idx="503">
                  <c:v>40.100396479795343</c:v>
                </c:pt>
                <c:pt idx="504">
                  <c:v>40.106603064733967</c:v>
                </c:pt>
                <c:pt idx="505">
                  <c:v>40.112787199272077</c:v>
                </c:pt>
                <c:pt idx="506">
                  <c:v>40.118949082016059</c:v>
                </c:pt>
                <c:pt idx="507">
                  <c:v>40.125088912729503</c:v>
                </c:pt>
                <c:pt idx="508">
                  <c:v>40.131206892263037</c:v>
                </c:pt>
                <c:pt idx="509">
                  <c:v>40.137303222487283</c:v>
                </c:pt>
                <c:pt idx="510">
                  <c:v>40.143378106227999</c:v>
                </c:pt>
                <c:pt idx="511">
                  <c:v>40.14943174720446</c:v>
                </c:pt>
                <c:pt idx="512">
                  <c:v>40.155464349968163</c:v>
                </c:pt>
                <c:pt idx="513">
                  <c:v>40.161476119847691</c:v>
                </c:pt>
                <c:pt idx="514">
                  <c:v>40.167467262892671</c:v>
                </c:pt>
                <c:pt idx="515">
                  <c:v>40.173437985821352</c:v>
                </c:pt>
                <c:pt idx="516">
                  <c:v>40.179388495972262</c:v>
                </c:pt>
                <c:pt idx="517">
                  <c:v>40.185319001255607</c:v>
                </c:pt>
                <c:pt idx="518">
                  <c:v>40.191229710109837</c:v>
                </c:pt>
                <c:pt idx="519">
                  <c:v>40.19712083145896</c:v>
                </c:pt>
                <c:pt idx="520">
                  <c:v>40.202992574674113</c:v>
                </c:pt>
                <c:pt idx="521">
                  <c:v>40.208845149535357</c:v>
                </c:pt>
                <c:pt idx="522">
                  <c:v>40.214678766199597</c:v>
                </c:pt>
                <c:pt idx="523">
                  <c:v>40.220493635167088</c:v>
                </c:pt>
                <c:pt idx="524">
                  <c:v>40.226289967253017</c:v>
                </c:pt>
                <c:pt idx="525">
                  <c:v>40.232067973561527</c:v>
                </c:pt>
                <c:pt idx="526">
                  <c:v>40.237827865462457</c:v>
                </c:pt>
                <c:pt idx="527">
                  <c:v>40.243569854568356</c:v>
                </c:pt>
                <c:pt idx="528">
                  <c:v>40.249294152718157</c:v>
                </c:pt>
                <c:pt idx="529">
                  <c:v>40.25500097195868</c:v>
                </c:pt>
                <c:pt idx="530">
                  <c:v>40.260690524533629</c:v>
                </c:pt>
                <c:pt idx="531">
                  <c:v>40.266363022870678</c:v>
                </c:pt>
                <c:pt idx="532">
                  <c:v>40.272018679573591</c:v>
                </c:pt>
                <c:pt idx="533">
                  <c:v>40.277657707417063</c:v>
                </c:pt>
                <c:pt idx="534">
                  <c:v>40.283280319341827</c:v>
                </c:pt>
                <c:pt idx="535">
                  <c:v>40.288886728453797</c:v>
                </c:pt>
                <c:pt idx="536">
                  <c:v>40.294477148026431</c:v>
                </c:pt>
                <c:pt idx="537">
                  <c:v>40.300051791503051</c:v>
                </c:pt>
                <c:pt idx="538">
                  <c:v>40.305610872502832</c:v>
                </c:pt>
                <c:pt idx="539">
                  <c:v>40.311154604829767</c:v>
                </c:pt>
                <c:pt idx="540">
                  <c:v>40.316683202482352</c:v>
                </c:pt>
                <c:pt idx="541">
                  <c:v>40.322196879665853</c:v>
                </c:pt>
                <c:pt idx="542">
                  <c:v>40.32769585080797</c:v>
                </c:pt>
                <c:pt idx="543">
                  <c:v>40.333180330574351</c:v>
                </c:pt>
                <c:pt idx="544">
                  <c:v>40.338650533888092</c:v>
                </c:pt>
                <c:pt idx="545">
                  <c:v>40.344106675949831</c:v>
                </c:pt>
                <c:pt idx="546">
                  <c:v>40.349548972260827</c:v>
                </c:pt>
                <c:pt idx="547">
                  <c:v>40.354977638646183</c:v>
                </c:pt>
                <c:pt idx="548">
                  <c:v>40.360392891282061</c:v>
                </c:pt>
                <c:pt idx="549">
                  <c:v>40.365794946722701</c:v>
                </c:pt>
                <c:pt idx="550">
                  <c:v>40.371184021929928</c:v>
                </c:pt>
                <c:pt idx="551">
                  <c:v>40.376560334303463</c:v>
                </c:pt>
                <c:pt idx="552">
                  <c:v>40.381924101714048</c:v>
                </c:pt>
                <c:pt idx="553">
                  <c:v>40.38727554253569</c:v>
                </c:pt>
                <c:pt idx="554">
                  <c:v>40.392614875681488</c:v>
                </c:pt>
                <c:pt idx="555">
                  <c:v>40.397942320639572</c:v>
                </c:pt>
                <c:pt idx="556">
                  <c:v>40.403258097509422</c:v>
                </c:pt>
                <c:pt idx="557">
                  <c:v>40.408562427040238</c:v>
                </c:pt>
                <c:pt idx="558">
                  <c:v>40.413855530670219</c:v>
                </c:pt>
                <c:pt idx="559">
                  <c:v>40.419137630565672</c:v>
                </c:pt>
                <c:pt idx="560">
                  <c:v>40.424408949661817</c:v>
                </c:pt>
                <c:pt idx="561">
                  <c:v>40.429669711703873</c:v>
                </c:pt>
                <c:pt idx="562">
                  <c:v>40.434920141287883</c:v>
                </c:pt>
                <c:pt idx="563">
                  <c:v>40.440160463903169</c:v>
                </c:pt>
                <c:pt idx="564">
                  <c:v>40.445390905974591</c:v>
                </c:pt>
                <c:pt idx="565">
                  <c:v>40.450611694904012</c:v>
                </c:pt>
                <c:pt idx="566">
                  <c:v>40.455823059113868</c:v>
                </c:pt>
                <c:pt idx="567">
                  <c:v>40.461025228088538</c:v>
                </c:pt>
                <c:pt idx="568">
                  <c:v>40.466218432416717</c:v>
                </c:pt>
                <c:pt idx="569">
                  <c:v>40.471402903833393</c:v>
                </c:pt>
                <c:pt idx="570">
                  <c:v>40.476578875262128</c:v>
                </c:pt>
                <c:pt idx="571">
                  <c:v>40.481746580854349</c:v>
                </c:pt>
                <c:pt idx="572">
                  <c:v>40.48690625603183</c:v>
                </c:pt>
                <c:pt idx="573">
                  <c:v>40.492058137524111</c:v>
                </c:pt>
                <c:pt idx="574">
                  <c:v>40.497202463409913</c:v>
                </c:pt>
                <c:pt idx="575">
                  <c:v>40.502339473153143</c:v>
                </c:pt>
                <c:pt idx="576">
                  <c:v>40.507469407640201</c:v>
                </c:pt>
                <c:pt idx="577">
                  <c:v>40.512592509216233</c:v>
                </c:pt>
                <c:pt idx="578">
                  <c:v>40.51770902171927</c:v>
                </c:pt>
                <c:pt idx="579">
                  <c:v>40.522819190512678</c:v>
                </c:pt>
                <c:pt idx="580">
                  <c:v>40.527923262518023</c:v>
                </c:pt>
                <c:pt idx="581">
                  <c:v>40.533021486243342</c:v>
                </c:pt>
                <c:pt idx="582">
                  <c:v>40.538114111812661</c:v>
                </c:pt>
                <c:pt idx="583">
                  <c:v>40.543201390992522</c:v>
                </c:pt>
                <c:pt idx="584">
                  <c:v>40.548283577215223</c:v>
                </c:pt>
                <c:pt idx="585">
                  <c:v>40.553360925603037</c:v>
                </c:pt>
                <c:pt idx="586">
                  <c:v>40.558433692987421</c:v>
                </c:pt>
                <c:pt idx="587">
                  <c:v>40.563502137928253</c:v>
                </c:pt>
                <c:pt idx="588">
                  <c:v>40.568566520728382</c:v>
                </c:pt>
                <c:pt idx="589">
                  <c:v>40.573627103449716</c:v>
                </c:pt>
                <c:pt idx="590">
                  <c:v>40.578684149922033</c:v>
                </c:pt>
                <c:pt idx="591">
                  <c:v>40.583737925753667</c:v>
                </c:pt>
                <c:pt idx="592">
                  <c:v>40.588788698336323</c:v>
                </c:pt>
                <c:pt idx="593">
                  <c:v>40.593836736850221</c:v>
                </c:pt>
                <c:pt idx="594">
                  <c:v>40.598882312263576</c:v>
                </c:pt>
                <c:pt idx="595">
                  <c:v>40.603925697331697</c:v>
                </c:pt>
                <c:pt idx="596">
                  <c:v>40.608967166592208</c:v>
                </c:pt>
                <c:pt idx="597">
                  <c:v>40.614006996358171</c:v>
                </c:pt>
                <c:pt idx="598">
                  <c:v>40.61904546470771</c:v>
                </c:pt>
                <c:pt idx="599">
                  <c:v>40.624082851470121</c:v>
                </c:pt>
                <c:pt idx="600">
                  <c:v>40.629119438211887</c:v>
                </c:pt>
                <c:pt idx="601">
                  <c:v>40.634155508216338</c:v>
                </c:pt>
                <c:pt idx="602">
                  <c:v>40.639191346462503</c:v>
                </c:pt>
                <c:pt idx="603">
                  <c:v>40.644227239601037</c:v>
                </c:pt>
                <c:pt idx="604">
                  <c:v>40.649263475926659</c:v>
                </c:pt>
                <c:pt idx="605">
                  <c:v>40.654300345347337</c:v>
                </c:pt>
                <c:pt idx="606">
                  <c:v>40.659338139352201</c:v>
                </c:pt>
                <c:pt idx="607">
                  <c:v>40.664377150975611</c:v>
                </c:pt>
                <c:pt idx="608">
                  <c:v>40.669417674757312</c:v>
                </c:pt>
                <c:pt idx="609">
                  <c:v>40.674460006703328</c:v>
                </c:pt>
                <c:pt idx="610">
                  <c:v>40.679504444240592</c:v>
                </c:pt>
                <c:pt idx="611">
                  <c:v>40.684551286170688</c:v>
                </c:pt>
                <c:pt idx="612">
                  <c:v>40.689600832621643</c:v>
                </c:pt>
                <c:pt idx="613">
                  <c:v>40.694653384995661</c:v>
                </c:pt>
                <c:pt idx="614">
                  <c:v>40.699709245916146</c:v>
                </c:pt>
                <c:pt idx="615">
                  <c:v>40.704768719171447</c:v>
                </c:pt>
                <c:pt idx="616">
                  <c:v>40.709832109656759</c:v>
                </c:pt>
                <c:pt idx="617">
                  <c:v>40.714899723314552</c:v>
                </c:pt>
                <c:pt idx="618">
                  <c:v>40.719971867071543</c:v>
                </c:pt>
                <c:pt idx="619">
                  <c:v>40.725048848775941</c:v>
                </c:pt>
                <c:pt idx="620">
                  <c:v>40.730130977131182</c:v>
                </c:pt>
                <c:pt idx="621">
                  <c:v>40.735218561628933</c:v>
                </c:pt>
                <c:pt idx="622">
                  <c:v>40.740311912480372</c:v>
                </c:pt>
                <c:pt idx="623">
                  <c:v>40.745411340547321</c:v>
                </c:pt>
                <c:pt idx="624">
                  <c:v>40.750517157269996</c:v>
                </c:pt>
                <c:pt idx="625">
                  <c:v>40.755629674595177</c:v>
                </c:pt>
                <c:pt idx="626">
                  <c:v>40.760749204903448</c:v>
                </c:pt>
                <c:pt idx="627">
                  <c:v>40.76587606093517</c:v>
                </c:pt>
                <c:pt idx="628">
                  <c:v>40.771010555717339</c:v>
                </c:pt>
                <c:pt idx="629">
                  <c:v>40.776153002500557</c:v>
                </c:pt>
                <c:pt idx="630">
                  <c:v>40.781303714604057</c:v>
                </c:pt>
                <c:pt idx="631">
                  <c:v>40.786463005532369</c:v>
                </c:pt>
                <c:pt idx="632">
                  <c:v>40.791631188657327</c:v>
                </c:pt>
                <c:pt idx="633">
                  <c:v>40.796808577315119</c:v>
                </c:pt>
                <c:pt idx="634">
                  <c:v>40.801995484665333</c:v>
                </c:pt>
                <c:pt idx="635">
                  <c:v>40.807192223626537</c:v>
                </c:pt>
                <c:pt idx="636">
                  <c:v>40.812399106800228</c:v>
                </c:pt>
                <c:pt idx="637">
                  <c:v>40.817616446399938</c:v>
                </c:pt>
                <c:pt idx="638">
                  <c:v>40.822844554175838</c:v>
                </c:pt>
                <c:pt idx="639">
                  <c:v>40.828083741343448</c:v>
                </c:pt>
                <c:pt idx="640">
                  <c:v>40.833334318511447</c:v>
                </c:pt>
                <c:pt idx="641">
                  <c:v>40.838596595612223</c:v>
                </c:pt>
                <c:pt idx="642">
                  <c:v>40.84387088183189</c:v>
                </c:pt>
                <c:pt idx="643">
                  <c:v>40.849157485542491</c:v>
                </c:pt>
                <c:pt idx="644">
                  <c:v>40.85445671423588</c:v>
                </c:pt>
                <c:pt idx="645">
                  <c:v>40.859768874457593</c:v>
                </c:pt>
                <c:pt idx="646">
                  <c:v>40.865094271742919</c:v>
                </c:pt>
                <c:pt idx="647">
                  <c:v>40.870433210556477</c:v>
                </c:pt>
                <c:pt idx="648">
                  <c:v>40.875785994228977</c:v>
                </c:pt>
                <c:pt idx="649">
                  <c:v>40.881152924900157</c:v>
                </c:pt>
                <c:pt idx="650">
                  <c:v>40.886534303460849</c:v>
                </c:pt>
                <c:pt idx="651">
                  <c:v>40.891930429497677</c:v>
                </c:pt>
                <c:pt idx="652">
                  <c:v>40.897341601238963</c:v>
                </c:pt>
                <c:pt idx="653">
                  <c:v>40.90276811550325</c:v>
                </c:pt>
                <c:pt idx="654">
                  <c:v>40.908210267649508</c:v>
                </c:pt>
                <c:pt idx="655">
                  <c:v>40.913668351528088</c:v>
                </c:pt>
                <c:pt idx="656">
                  <c:v>40.919142659435352</c:v>
                </c:pt>
                <c:pt idx="657">
                  <c:v>40.9246334820686</c:v>
                </c:pt>
                <c:pt idx="658">
                  <c:v>40.930141108484293</c:v>
                </c:pt>
                <c:pt idx="659">
                  <c:v>40.935665826056209</c:v>
                </c:pt>
                <c:pt idx="660">
                  <c:v>40.941207920437819</c:v>
                </c:pt>
                <c:pt idx="661">
                  <c:v>40.946767675524541</c:v>
                </c:pt>
                <c:pt idx="662">
                  <c:v>40.952345373419007</c:v>
                </c:pt>
                <c:pt idx="663">
                  <c:v>40.957941294396512</c:v>
                </c:pt>
                <c:pt idx="664">
                  <c:v>40.963555716875483</c:v>
                </c:pt>
                <c:pt idx="665">
                  <c:v>40.969188917385047</c:v>
                </c:pt>
                <c:pt idx="666">
                  <c:v>40.974841170538298</c:v>
                </c:pt>
                <c:pt idx="667">
                  <c:v>40.980512749005577</c:v>
                </c:pt>
                <c:pt idx="668">
                  <c:v>40.986203923488461</c:v>
                </c:pt>
                <c:pt idx="669">
                  <c:v>40.991914962696853</c:v>
                </c:pt>
                <c:pt idx="670">
                  <c:v>40.997646133326839</c:v>
                </c:pt>
                <c:pt idx="671">
                  <c:v>41.003397700038697</c:v>
                </c:pt>
                <c:pt idx="672">
                  <c:v>41.009169925439778</c:v>
                </c:pt>
                <c:pt idx="673">
                  <c:v>41.014963070064603</c:v>
                </c:pt>
                <c:pt idx="674">
                  <c:v>41.020777392358468</c:v>
                </c:pt>
                <c:pt idx="675">
                  <c:v>41.026613148661973</c:v>
                </c:pt>
                <c:pt idx="676">
                  <c:v>41.032470593196081</c:v>
                </c:pt>
                <c:pt idx="677">
                  <c:v>41.038349978048473</c:v>
                </c:pt>
                <c:pt idx="678">
                  <c:v>41.044251553161303</c:v>
                </c:pt>
                <c:pt idx="679">
                  <c:v>41.050175566319297</c:v>
                </c:pt>
                <c:pt idx="680">
                  <c:v>41.056122263138832</c:v>
                </c:pt>
                <c:pt idx="681">
                  <c:v>41.062091887057932</c:v>
                </c:pt>
                <c:pt idx="682">
                  <c:v>41.068084679326716</c:v>
                </c:pt>
                <c:pt idx="683">
                  <c:v>41.074100878998713</c:v>
                </c:pt>
                <c:pt idx="684">
                  <c:v>41.08014072292309</c:v>
                </c:pt>
                <c:pt idx="685">
                  <c:v>41.086204445736307</c:v>
                </c:pt>
                <c:pt idx="686">
                  <c:v>41.092292279855997</c:v>
                </c:pt>
                <c:pt idx="687">
                  <c:v>41.098404455472973</c:v>
                </c:pt>
                <c:pt idx="688">
                  <c:v>41.104541200545611</c:v>
                </c:pt>
                <c:pt idx="689">
                  <c:v>41.110702740794181</c:v>
                </c:pt>
                <c:pt idx="690">
                  <c:v>41.11688929969381</c:v>
                </c:pt>
                <c:pt idx="691">
                  <c:v>41.123101098470222</c:v>
                </c:pt>
                <c:pt idx="692">
                  <c:v>41.129338356092767</c:v>
                </c:pt>
                <c:pt idx="693">
                  <c:v>41.135601289270539</c:v>
                </c:pt>
                <c:pt idx="694">
                  <c:v>41.141890112445708</c:v>
                </c:pt>
                <c:pt idx="695">
                  <c:v>41.148205037789467</c:v>
                </c:pt>
                <c:pt idx="696">
                  <c:v>41.154546275196203</c:v>
                </c:pt>
                <c:pt idx="697">
                  <c:v>41.16091403227739</c:v>
                </c:pt>
                <c:pt idx="698">
                  <c:v>41.167308514356989</c:v>
                </c:pt>
                <c:pt idx="699">
                  <c:v>41.173729924466329</c:v>
                </c:pt>
                <c:pt idx="700">
                  <c:v>41.18017846333629</c:v>
                </c:pt>
                <c:pt idx="701">
                  <c:v>41.186654329394507</c:v>
                </c:pt>
                <c:pt idx="702">
                  <c:v>41.193157718755458</c:v>
                </c:pt>
                <c:pt idx="703">
                  <c:v>41.199688825217891</c:v>
                </c:pt>
                <c:pt idx="704">
                  <c:v>41.206247840254832</c:v>
                </c:pt>
                <c:pt idx="705">
                  <c:v>41.212834953009803</c:v>
                </c:pt>
                <c:pt idx="706">
                  <c:v>41.219450350286927</c:v>
                </c:pt>
                <c:pt idx="707">
                  <c:v>41.226094216545562</c:v>
                </c:pt>
                <c:pt idx="708">
                  <c:v>41.232766733890628</c:v>
                </c:pt>
                <c:pt idx="709">
                  <c:v>41.239468082066033</c:v>
                </c:pt>
                <c:pt idx="710">
                  <c:v>41.24619843844556</c:v>
                </c:pt>
                <c:pt idx="711">
                  <c:v>41.252957978024092</c:v>
                </c:pt>
                <c:pt idx="712">
                  <c:v>41.259746873408517</c:v>
                </c:pt>
                <c:pt idx="713">
                  <c:v>41.266565294808863</c:v>
                </c:pt>
                <c:pt idx="714">
                  <c:v>41.273413410027267</c:v>
                </c:pt>
                <c:pt idx="715">
                  <c:v>41.280291384449193</c:v>
                </c:pt>
                <c:pt idx="716">
                  <c:v>41.28719938103211</c:v>
                </c:pt>
                <c:pt idx="717">
                  <c:v>41.294137560295098</c:v>
                </c:pt>
                <c:pt idx="718">
                  <c:v>41.301106080307527</c:v>
                </c:pt>
                <c:pt idx="719">
                  <c:v>41.308105096677536</c:v>
                </c:pt>
                <c:pt idx="720">
                  <c:v>41.315134762540993</c:v>
                </c:pt>
                <c:pt idx="721">
                  <c:v>41.322195228548367</c:v>
                </c:pt>
                <c:pt idx="722">
                  <c:v>41.32928664285339</c:v>
                </c:pt>
                <c:pt idx="723">
                  <c:v>41.336409151100383</c:v>
                </c:pt>
                <c:pt idx="724">
                  <c:v>41.343562896410731</c:v>
                </c:pt>
                <c:pt idx="725">
                  <c:v>41.350748019370428</c:v>
                </c:pt>
                <c:pt idx="726">
                  <c:v>41.357964658016947</c:v>
                </c:pt>
                <c:pt idx="727">
                  <c:v>41.365212947825277</c:v>
                </c:pt>
                <c:pt idx="728">
                  <c:v>41.372493021694368</c:v>
                </c:pt>
                <c:pt idx="729">
                  <c:v>41.379805009933698</c:v>
                </c:pt>
                <c:pt idx="730">
                  <c:v>41.387149040248971</c:v>
                </c:pt>
                <c:pt idx="731">
                  <c:v>41.394525237727812</c:v>
                </c:pt>
                <c:pt idx="732">
                  <c:v>41.401933724825881</c:v>
                </c:pt>
                <c:pt idx="733">
                  <c:v>41.409374621352981</c:v>
                </c:pt>
                <c:pt idx="734">
                  <c:v>41.416848044457772</c:v>
                </c:pt>
                <c:pt idx="735">
                  <c:v>41.424354108614118</c:v>
                </c:pt>
                <c:pt idx="736">
                  <c:v>41.431892925606583</c:v>
                </c:pt>
                <c:pt idx="737">
                  <c:v>41.439464604516097</c:v>
                </c:pt>
                <c:pt idx="738">
                  <c:v>41.447069251704761</c:v>
                </c:pt>
                <c:pt idx="739">
                  <c:v>41.454706970803102</c:v>
                </c:pt>
                <c:pt idx="740">
                  <c:v>41.462377862695007</c:v>
                </c:pt>
                <c:pt idx="741">
                  <c:v>41.470082025503018</c:v>
                </c:pt>
                <c:pt idx="742">
                  <c:v>41.477819554575937</c:v>
                </c:pt>
                <c:pt idx="743">
                  <c:v>41.485590542473737</c:v>
                </c:pt>
                <c:pt idx="744">
                  <c:v>41.493395078954052</c:v>
                </c:pt>
                <c:pt idx="745">
                  <c:v>41.501233250959842</c:v>
                </c:pt>
                <c:pt idx="746">
                  <c:v>41.50910514260471</c:v>
                </c:pt>
                <c:pt idx="747">
                  <c:v>41.517010835161393</c:v>
                </c:pt>
                <c:pt idx="748">
                  <c:v>41.524950407047747</c:v>
                </c:pt>
                <c:pt idx="749">
                  <c:v>41.532923933815823</c:v>
                </c:pt>
                <c:pt idx="750">
                  <c:v>41.540931488138881</c:v>
                </c:pt>
                <c:pt idx="751">
                  <c:v>41.548973139799671</c:v>
                </c:pt>
                <c:pt idx="752">
                  <c:v>41.55704895568033</c:v>
                </c:pt>
                <c:pt idx="753">
                  <c:v>41.565158999749997</c:v>
                </c:pt>
                <c:pt idx="754">
                  <c:v>41.573303333055428</c:v>
                </c:pt>
                <c:pt idx="755">
                  <c:v>41.58148201371057</c:v>
                </c:pt>
                <c:pt idx="756">
                  <c:v>41.589695096887233</c:v>
                </c:pt>
                <c:pt idx="757">
                  <c:v>41.59794263480552</c:v>
                </c:pt>
                <c:pt idx="758">
                  <c:v>41.606224676726363</c:v>
                </c:pt>
                <c:pt idx="759">
                  <c:v>41.614541268942283</c:v>
                </c:pt>
                <c:pt idx="760">
                  <c:v>41.622892454771197</c:v>
                </c:pt>
                <c:pt idx="761">
                  <c:v>41.631278274548272</c:v>
                </c:pt>
                <c:pt idx="762">
                  <c:v>41.639698765620842</c:v>
                </c:pt>
                <c:pt idx="763">
                  <c:v>41.648153962342008</c:v>
                </c:pt>
                <c:pt idx="764">
                  <c:v>41.656643896066377</c:v>
                </c:pt>
                <c:pt idx="765">
                  <c:v>41.665168595144621</c:v>
                </c:pt>
                <c:pt idx="766">
                  <c:v>41.673728084920697</c:v>
                </c:pt>
                <c:pt idx="767">
                  <c:v>41.682322387728732</c:v>
                </c:pt>
                <c:pt idx="768">
                  <c:v>41.690951522890323</c:v>
                </c:pt>
                <c:pt idx="769">
                  <c:v>41.699615506713769</c:v>
                </c:pt>
                <c:pt idx="770">
                  <c:v>41.708314352492273</c:v>
                </c:pt>
                <c:pt idx="771">
                  <c:v>41.717048070504752</c:v>
                </c:pt>
                <c:pt idx="772">
                  <c:v>41.725816668016357</c:v>
                </c:pt>
                <c:pt idx="773">
                  <c:v>41.734620149278904</c:v>
                </c:pt>
                <c:pt idx="774">
                  <c:v>41.743458515535281</c:v>
                </c:pt>
                <c:pt idx="775">
                  <c:v>41.752331765020763</c:v>
                </c:pt>
                <c:pt idx="776">
                  <c:v>41.761239892967637</c:v>
                </c:pt>
                <c:pt idx="777">
                  <c:v>41.770182891609643</c:v>
                </c:pt>
                <c:pt idx="778">
                  <c:v>41.779160750188339</c:v>
                </c:pt>
                <c:pt idx="779">
                  <c:v>41.788173454958503</c:v>
                </c:pt>
                <c:pt idx="780">
                  <c:v>41.797220989196767</c:v>
                </c:pt>
                <c:pt idx="781">
                  <c:v>41.80630333320812</c:v>
                </c:pt>
                <c:pt idx="782">
                  <c:v>41.81542046433691</c:v>
                </c:pt>
                <c:pt idx="783">
                  <c:v>41.824572356974947</c:v>
                </c:pt>
                <c:pt idx="784">
                  <c:v>41.833758982574182</c:v>
                </c:pt>
                <c:pt idx="785">
                  <c:v>41.842980309656703</c:v>
                </c:pt>
                <c:pt idx="786">
                  <c:v>41.852236303828931</c:v>
                </c:pt>
                <c:pt idx="787">
                  <c:v>41.8615269277945</c:v>
                </c:pt>
                <c:pt idx="788">
                  <c:v>41.870852141368353</c:v>
                </c:pt>
                <c:pt idx="789">
                  <c:v>41.880211901493112</c:v>
                </c:pt>
                <c:pt idx="790">
                  <c:v>41.889606162254609</c:v>
                </c:pt>
                <c:pt idx="791">
                  <c:v>41.899034874900053</c:v>
                </c:pt>
                <c:pt idx="792">
                  <c:v>41.908497987854673</c:v>
                </c:pt>
                <c:pt idx="793">
                  <c:v>41.917995446742509</c:v>
                </c:pt>
                <c:pt idx="794">
                  <c:v>41.927527194405513</c:v>
                </c:pt>
                <c:pt idx="795">
                  <c:v>41.937093170924641</c:v>
                </c:pt>
                <c:pt idx="796">
                  <c:v>41.946693313641838</c:v>
                </c:pt>
                <c:pt idx="797">
                  <c:v>41.956327557182817</c:v>
                </c:pt>
                <c:pt idx="798">
                  <c:v>41.965995833480122</c:v>
                </c:pt>
                <c:pt idx="799">
                  <c:v>41.975698071798938</c:v>
                </c:pt>
                <c:pt idx="800">
                  <c:v>41.985434198761538</c:v>
                </c:pt>
                <c:pt idx="801">
                  <c:v>41.995204138374163</c:v>
                </c:pt>
                <c:pt idx="802">
                  <c:v>42.005007812054373</c:v>
                </c:pt>
                <c:pt idx="803">
                  <c:v>42.014845138658359</c:v>
                </c:pt>
                <c:pt idx="804">
                  <c:v>42.024716034511471</c:v>
                </c:pt>
                <c:pt idx="805">
                  <c:v>42.034620413436528</c:v>
                </c:pt>
                <c:pt idx="806">
                  <c:v>42.044558186785757</c:v>
                </c:pt>
                <c:pt idx="807">
                  <c:v>42.05452926347192</c:v>
                </c:pt>
                <c:pt idx="808">
                  <c:v>42.064533550000483</c:v>
                </c:pt>
                <c:pt idx="809">
                  <c:v>42.074570950503407</c:v>
                </c:pt>
                <c:pt idx="810">
                  <c:v>42.084641366772871</c:v>
                </c:pt>
                <c:pt idx="811">
                  <c:v>42.094744698296147</c:v>
                </c:pt>
                <c:pt idx="812">
                  <c:v>42.10488084229155</c:v>
                </c:pt>
                <c:pt idx="813">
                  <c:v>42.115049693743913</c:v>
                </c:pt>
                <c:pt idx="814">
                  <c:v>42.125251145443087</c:v>
                </c:pt>
                <c:pt idx="815">
                  <c:v>42.135485088020857</c:v>
                </c:pt>
                <c:pt idx="816">
                  <c:v>42.145751409989657</c:v>
                </c:pt>
              </c:numCache>
            </c:numRef>
          </c:xVal>
          <c:yVal>
            <c:numRef>
              <c:f>Diagrammdaten!$AW$5:$AW$821</c:f>
              <c:numCache>
                <c:formatCode>0.0</c:formatCode>
                <c:ptCount val="817"/>
                <c:pt idx="0">
                  <c:v>225.94860339016461</c:v>
                </c:pt>
                <c:pt idx="1">
                  <c:v>224.94082269167441</c:v>
                </c:pt>
                <c:pt idx="2">
                  <c:v>223.93541147710579</c:v>
                </c:pt>
                <c:pt idx="3">
                  <c:v>222.93230566910469</c:v>
                </c:pt>
                <c:pt idx="4">
                  <c:v>221.93144091967719</c:v>
                </c:pt>
                <c:pt idx="5">
                  <c:v>220.93275258281031</c:v>
                </c:pt>
                <c:pt idx="6">
                  <c:v>219.93617568607689</c:v>
                </c:pt>
                <c:pt idx="7">
                  <c:v>218.94164490113701</c:v>
                </c:pt>
                <c:pt idx="8">
                  <c:v>217.94909451304801</c:v>
                </c:pt>
                <c:pt idx="9">
                  <c:v>216.95845838837809</c:v>
                </c:pt>
                <c:pt idx="10">
                  <c:v>215.96966994199829</c:v>
                </c:pt>
                <c:pt idx="11">
                  <c:v>214.9826621024898</c:v>
                </c:pt>
                <c:pt idx="12">
                  <c:v>213.99736727608459</c:v>
                </c:pt>
                <c:pt idx="13">
                  <c:v>213.0137173090655</c:v>
                </c:pt>
                <c:pt idx="14">
                  <c:v>212.03164344850049</c:v>
                </c:pt>
                <c:pt idx="15">
                  <c:v>211.05107630123439</c:v>
                </c:pt>
                <c:pt idx="16">
                  <c:v>210.07194579102759</c:v>
                </c:pt>
                <c:pt idx="17">
                  <c:v>209.0941811137051</c:v>
                </c:pt>
                <c:pt idx="18">
                  <c:v>208.11771069020699</c:v>
                </c:pt>
                <c:pt idx="19">
                  <c:v>207.14246211741869</c:v>
                </c:pt>
                <c:pt idx="20">
                  <c:v>206.16836211659759</c:v>
                </c:pt>
                <c:pt idx="21">
                  <c:v>205.19533647928299</c:v>
                </c:pt>
                <c:pt idx="22">
                  <c:v>204.22331001049261</c:v>
                </c:pt>
                <c:pt idx="23">
                  <c:v>203.2522064690267</c:v>
                </c:pt>
                <c:pt idx="24">
                  <c:v>202.28194850471851</c:v>
                </c:pt>
                <c:pt idx="25">
                  <c:v>201.3124575923662</c:v>
                </c:pt>
                <c:pt idx="26">
                  <c:v>200.34365396217049</c:v>
                </c:pt>
                <c:pt idx="27">
                  <c:v>199.37545652641529</c:v>
                </c:pt>
                <c:pt idx="28">
                  <c:v>198.40778280207689</c:v>
                </c:pt>
                <c:pt idx="29">
                  <c:v>197.4405488291878</c:v>
                </c:pt>
                <c:pt idx="30">
                  <c:v>196.47366908452511</c:v>
                </c:pt>
                <c:pt idx="31">
                  <c:v>195.50705639034439</c:v>
                </c:pt>
                <c:pt idx="32">
                  <c:v>194.54062181778539</c:v>
                </c:pt>
                <c:pt idx="33">
                  <c:v>193.57427458453179</c:v>
                </c:pt>
                <c:pt idx="34">
                  <c:v>192.60792194633029</c:v>
                </c:pt>
                <c:pt idx="35">
                  <c:v>191.64146908182141</c:v>
                </c:pt>
                <c:pt idx="36">
                  <c:v>190.6748189702532</c:v>
                </c:pt>
                <c:pt idx="37">
                  <c:v>189.70787226141209</c:v>
                </c:pt>
                <c:pt idx="38">
                  <c:v>188.74052713724501</c:v>
                </c:pt>
                <c:pt idx="39">
                  <c:v>187.77267916444021</c:v>
                </c:pt>
                <c:pt idx="40">
                  <c:v>186.80422113719959</c:v>
                </c:pt>
                <c:pt idx="41">
                  <c:v>185.8350429094767</c:v>
                </c:pt>
                <c:pt idx="42">
                  <c:v>184.86503121565329</c:v>
                </c:pt>
                <c:pt idx="43">
                  <c:v>183.8940694787826</c:v>
                </c:pt>
                <c:pt idx="44">
                  <c:v>182.9220376052144</c:v>
                </c:pt>
                <c:pt idx="45">
                  <c:v>181.94881176444309</c:v>
                </c:pt>
                <c:pt idx="46">
                  <c:v>180.97426415285719</c:v>
                </c:pt>
                <c:pt idx="47">
                  <c:v>179.9982627398534</c:v>
                </c:pt>
                <c:pt idx="48">
                  <c:v>179.02067099471759</c:v>
                </c:pt>
                <c:pt idx="49">
                  <c:v>178.04134759242569</c:v>
                </c:pt>
                <c:pt idx="50">
                  <c:v>177.06014609637589</c:v>
                </c:pt>
                <c:pt idx="51">
                  <c:v>176.07691461571301</c:v>
                </c:pt>
                <c:pt idx="52">
                  <c:v>175.09149543476511</c:v>
                </c:pt>
                <c:pt idx="53">
                  <c:v>174.1037246117576</c:v>
                </c:pt>
                <c:pt idx="54">
                  <c:v>173.11343154358539</c:v>
                </c:pt>
                <c:pt idx="55">
                  <c:v>172.12043849310251</c:v>
                </c:pt>
                <c:pt idx="56">
                  <c:v>171.1245600749225</c:v>
                </c:pt>
                <c:pt idx="57">
                  <c:v>170.1256026950941</c:v>
                </c:pt>
                <c:pt idx="58">
                  <c:v>169.12336393961141</c:v>
                </c:pt>
                <c:pt idx="59">
                  <c:v>168.1176319058747</c:v>
                </c:pt>
                <c:pt idx="60">
                  <c:v>167.10818447045619</c:v>
                </c:pt>
                <c:pt idx="61">
                  <c:v>166.095075117222</c:v>
                </c:pt>
                <c:pt idx="62">
                  <c:v>165.08903015451631</c:v>
                </c:pt>
                <c:pt idx="63">
                  <c:v>164.0954691314509</c:v>
                </c:pt>
                <c:pt idx="64">
                  <c:v>163.11424595890199</c:v>
                </c:pt>
                <c:pt idx="65">
                  <c:v>162.14521612654639</c:v>
                </c:pt>
                <c:pt idx="66">
                  <c:v>161.18823669130501</c:v>
                </c:pt>
                <c:pt idx="67">
                  <c:v>160.2431662657047</c:v>
                </c:pt>
                <c:pt idx="68">
                  <c:v>159.3098650060949</c:v>
                </c:pt>
                <c:pt idx="69">
                  <c:v>158.38819460077741</c:v>
                </c:pt>
                <c:pt idx="70">
                  <c:v>157.47801825801179</c:v>
                </c:pt>
                <c:pt idx="71">
                  <c:v>156.57920069395141</c:v>
                </c:pt>
                <c:pt idx="72">
                  <c:v>155.69160812045459</c:v>
                </c:pt>
                <c:pt idx="73">
                  <c:v>154.81510823282369</c:v>
                </c:pt>
                <c:pt idx="74">
                  <c:v>153.9495701974711</c:v>
                </c:pt>
                <c:pt idx="75">
                  <c:v>153.09486463947769</c:v>
                </c:pt>
                <c:pt idx="76">
                  <c:v>152.2508636301142</c:v>
                </c:pt>
                <c:pt idx="77">
                  <c:v>151.41744067426899</c:v>
                </c:pt>
                <c:pt idx="78">
                  <c:v>150.59447069783209</c:v>
                </c:pt>
                <c:pt idx="79">
                  <c:v>149.78183003501411</c:v>
                </c:pt>
                <c:pt idx="80">
                  <c:v>148.97939641561669</c:v>
                </c:pt>
                <c:pt idx="81">
                  <c:v>148.18704895226639</c:v>
                </c:pt>
                <c:pt idx="82">
                  <c:v>147.40466812759379</c:v>
                </c:pt>
                <c:pt idx="83">
                  <c:v>146.63213578140881</c:v>
                </c:pt>
                <c:pt idx="84">
                  <c:v>145.86933509780289</c:v>
                </c:pt>
                <c:pt idx="85">
                  <c:v>145.1161505922783</c:v>
                </c:pt>
                <c:pt idx="86">
                  <c:v>144.372468098821</c:v>
                </c:pt>
                <c:pt idx="87">
                  <c:v>143.6381747569873</c:v>
                </c:pt>
                <c:pt idx="88">
                  <c:v>142.91315899896389</c:v>
                </c:pt>
                <c:pt idx="89">
                  <c:v>142.19731053664279</c:v>
                </c:pt>
                <c:pt idx="90">
                  <c:v>141.49052034869499</c:v>
                </c:pt>
                <c:pt idx="91">
                  <c:v>140.79268066764141</c:v>
                </c:pt>
                <c:pt idx="92">
                  <c:v>140.10368496694861</c:v>
                </c:pt>
                <c:pt idx="93">
                  <c:v>139.42342794814769</c:v>
                </c:pt>
                <c:pt idx="94">
                  <c:v>138.7518055279495</c:v>
                </c:pt>
                <c:pt idx="95">
                  <c:v>138.08871482542139</c:v>
                </c:pt>
                <c:pt idx="96">
                  <c:v>137.43405414916589</c:v>
                </c:pt>
                <c:pt idx="97">
                  <c:v>136.7877229845499</c:v>
                </c:pt>
                <c:pt idx="98">
                  <c:v>136.1496219809718</c:v>
                </c:pt>
                <c:pt idx="99">
                  <c:v>135.51965293916751</c:v>
                </c:pt>
                <c:pt idx="100">
                  <c:v>134.89771879856761</c:v>
                </c:pt>
                <c:pt idx="101">
                  <c:v>134.28372362470839</c:v>
                </c:pt>
                <c:pt idx="102">
                  <c:v>133.6775725966873</c:v>
                </c:pt>
                <c:pt idx="103">
                  <c:v>133.07917199469551</c:v>
                </c:pt>
                <c:pt idx="104">
                  <c:v>132.48842918759061</c:v>
                </c:pt>
                <c:pt idx="105">
                  <c:v>131.905252620553</c:v>
                </c:pt>
                <c:pt idx="106">
                  <c:v>131.32955180280371</c:v>
                </c:pt>
                <c:pt idx="107">
                  <c:v>130.76123729539029</c:v>
                </c:pt>
                <c:pt idx="108">
                  <c:v>130.20022069905531</c:v>
                </c:pt>
                <c:pt idx="109">
                  <c:v>129.64641464217911</c:v>
                </c:pt>
                <c:pt idx="110">
                  <c:v>129.09973276880291</c:v>
                </c:pt>
                <c:pt idx="111">
                  <c:v>128.5600897267359</c:v>
                </c:pt>
                <c:pt idx="112">
                  <c:v>128.0274011557463</c:v>
                </c:pt>
                <c:pt idx="113">
                  <c:v>127.50158367584601</c:v>
                </c:pt>
                <c:pt idx="114">
                  <c:v>126.98255487566399</c:v>
                </c:pt>
                <c:pt idx="115">
                  <c:v>126.47023330090209</c:v>
                </c:pt>
                <c:pt idx="116">
                  <c:v>125.96453844290799</c:v>
                </c:pt>
                <c:pt idx="117">
                  <c:v>125.465390727325</c:v>
                </c:pt>
                <c:pt idx="118">
                  <c:v>124.97271150284671</c:v>
                </c:pt>
                <c:pt idx="119">
                  <c:v>124.4864230300896</c:v>
                </c:pt>
                <c:pt idx="120">
                  <c:v>124.00644847053201</c:v>
                </c:pt>
                <c:pt idx="121">
                  <c:v>123.5327118755952</c:v>
                </c:pt>
                <c:pt idx="122">
                  <c:v>123.06513817580699</c:v>
                </c:pt>
                <c:pt idx="123">
                  <c:v>122.60365317008549</c:v>
                </c:pt>
                <c:pt idx="124">
                  <c:v>122.1481835151167</c:v>
                </c:pt>
                <c:pt idx="125">
                  <c:v>121.69865671486561</c:v>
                </c:pt>
                <c:pt idx="126">
                  <c:v>121.2550011101665</c:v>
                </c:pt>
                <c:pt idx="127">
                  <c:v>120.8171458684611</c:v>
                </c:pt>
                <c:pt idx="128">
                  <c:v>120.3850209736171</c:v>
                </c:pt>
                <c:pt idx="129">
                  <c:v>119.95855721588519</c:v>
                </c:pt>
                <c:pt idx="130">
                  <c:v>119.53768618195269</c:v>
                </c:pt>
                <c:pt idx="131">
                  <c:v>119.12234024512919</c:v>
                </c:pt>
                <c:pt idx="132">
                  <c:v>118.7124525556345</c:v>
                </c:pt>
                <c:pt idx="133">
                  <c:v>118.3079570310092</c:v>
                </c:pt>
                <c:pt idx="134">
                  <c:v>117.90878834664539</c:v>
                </c:pt>
                <c:pt idx="135">
                  <c:v>117.51488192642189</c:v>
                </c:pt>
                <c:pt idx="136">
                  <c:v>117.1261739334773</c:v>
                </c:pt>
                <c:pt idx="137">
                  <c:v>116.7426012610841</c:v>
                </c:pt>
                <c:pt idx="138">
                  <c:v>116.3641015236433</c:v>
                </c:pt>
                <c:pt idx="139">
                  <c:v>115.9906130478043</c:v>
                </c:pt>
                <c:pt idx="140">
                  <c:v>115.62207486369709</c:v>
                </c:pt>
                <c:pt idx="141">
                  <c:v>115.2584266962796</c:v>
                </c:pt>
                <c:pt idx="142">
                  <c:v>114.8996089568093</c:v>
                </c:pt>
                <c:pt idx="143">
                  <c:v>114.5455627344309</c:v>
                </c:pt>
                <c:pt idx="144">
                  <c:v>114.1962297878717</c:v>
                </c:pt>
                <c:pt idx="145">
                  <c:v>113.8515525372632</c:v>
                </c:pt>
                <c:pt idx="146">
                  <c:v>113.5114740560839</c:v>
                </c:pt>
                <c:pt idx="147">
                  <c:v>113.1759380631911</c:v>
                </c:pt>
                <c:pt idx="148">
                  <c:v>112.84488891500121</c:v>
                </c:pt>
                <c:pt idx="149">
                  <c:v>112.51827159777029</c:v>
                </c:pt>
                <c:pt idx="150">
                  <c:v>112.1960317199657</c:v>
                </c:pt>
                <c:pt idx="151">
                  <c:v>111.87811550479231</c:v>
                </c:pt>
                <c:pt idx="152">
                  <c:v>111.5644697827972</c:v>
                </c:pt>
                <c:pt idx="153">
                  <c:v>111.2550419845992</c:v>
                </c:pt>
                <c:pt idx="154">
                  <c:v>110.94978013372589</c:v>
                </c:pt>
                <c:pt idx="155">
                  <c:v>110.6486328395558</c:v>
                </c:pt>
                <c:pt idx="156">
                  <c:v>110.35154929037181</c:v>
                </c:pt>
                <c:pt idx="157">
                  <c:v>110.05847924652041</c:v>
                </c:pt>
                <c:pt idx="158">
                  <c:v>109.76937303367831</c:v>
                </c:pt>
                <c:pt idx="159">
                  <c:v>109.48418153621471</c:v>
                </c:pt>
                <c:pt idx="160">
                  <c:v>109.2028561906679</c:v>
                </c:pt>
                <c:pt idx="161">
                  <c:v>108.9253489793111</c:v>
                </c:pt>
                <c:pt idx="162">
                  <c:v>108.65161242382911</c:v>
                </c:pt>
                <c:pt idx="163">
                  <c:v>108.3815995790887</c:v>
                </c:pt>
                <c:pt idx="164">
                  <c:v>108.1152640270054</c:v>
                </c:pt>
                <c:pt idx="165">
                  <c:v>107.852559870509</c:v>
                </c:pt>
                <c:pt idx="166">
                  <c:v>107.5934417275965</c:v>
                </c:pt>
                <c:pt idx="167">
                  <c:v>107.3378647254907</c:v>
                </c:pt>
                <c:pt idx="168">
                  <c:v>107.0857844948781</c:v>
                </c:pt>
                <c:pt idx="169">
                  <c:v>106.8371571642349</c:v>
                </c:pt>
                <c:pt idx="170">
                  <c:v>106.59193935426509</c:v>
                </c:pt>
                <c:pt idx="171">
                  <c:v>106.3500881723817</c:v>
                </c:pt>
                <c:pt idx="172">
                  <c:v>106.1115612073215</c:v>
                </c:pt>
                <c:pt idx="173">
                  <c:v>105.876316523803</c:v>
                </c:pt>
                <c:pt idx="174">
                  <c:v>105.64431265729171</c:v>
                </c:pt>
                <c:pt idx="175">
                  <c:v>105.415508608834</c:v>
                </c:pt>
                <c:pt idx="176">
                  <c:v>105.1898638399732</c:v>
                </c:pt>
                <c:pt idx="177">
                  <c:v>104.9673382677356</c:v>
                </c:pt>
                <c:pt idx="178">
                  <c:v>104.747892259704</c:v>
                </c:pt>
                <c:pt idx="179">
                  <c:v>104.5314866291538</c:v>
                </c:pt>
                <c:pt idx="180">
                  <c:v>104.318082630267</c:v>
                </c:pt>
                <c:pt idx="181">
                  <c:v>104.10764195341039</c:v>
                </c:pt>
                <c:pt idx="182">
                  <c:v>103.9001267204851</c:v>
                </c:pt>
                <c:pt idx="183">
                  <c:v>103.6954994803517</c:v>
                </c:pt>
                <c:pt idx="184">
                  <c:v>103.4937232043015</c:v>
                </c:pt>
                <c:pt idx="185">
                  <c:v>103.2947612816112</c:v>
                </c:pt>
                <c:pt idx="186">
                  <c:v>103.09857751514529</c:v>
                </c:pt>
                <c:pt idx="187">
                  <c:v>102.905136117029</c:v>
                </c:pt>
                <c:pt idx="188">
                  <c:v>102.7144017043708</c:v>
                </c:pt>
                <c:pt idx="189">
                  <c:v>102.5263392950483</c:v>
                </c:pt>
                <c:pt idx="190">
                  <c:v>102.3409143035523</c:v>
                </c:pt>
                <c:pt idx="191">
                  <c:v>102.1580925368765</c:v>
                </c:pt>
                <c:pt idx="192">
                  <c:v>101.97784019046961</c:v>
                </c:pt>
                <c:pt idx="193">
                  <c:v>101.80012384423161</c:v>
                </c:pt>
                <c:pt idx="194">
                  <c:v>101.6249104585627</c:v>
                </c:pt>
                <c:pt idx="195">
                  <c:v>101.4521673704663</c:v>
                </c:pt>
                <c:pt idx="196">
                  <c:v>101.2818622896872</c:v>
                </c:pt>
                <c:pt idx="197">
                  <c:v>101.113963294909</c:v>
                </c:pt>
                <c:pt idx="198">
                  <c:v>100.948438829987</c:v>
                </c:pt>
                <c:pt idx="199">
                  <c:v>100.78525770022929</c:v>
                </c:pt>
                <c:pt idx="200">
                  <c:v>100.624389068718</c:v>
                </c:pt>
                <c:pt idx="201">
                  <c:v>100.465802452674</c:v>
                </c:pt>
                <c:pt idx="202">
                  <c:v>100.3094677198566</c:v>
                </c:pt>
                <c:pt idx="203">
                  <c:v>100.155355085013</c:v>
                </c:pt>
                <c:pt idx="204">
                  <c:v>100.00343510634831</c:v>
                </c:pt>
                <c:pt idx="205">
                  <c:v>99.853678682051481</c:v>
                </c:pt>
                <c:pt idx="206">
                  <c:v>99.706057046845487</c:v>
                </c:pt>
                <c:pt idx="207">
                  <c:v>99.560541768570729</c:v>
                </c:pt>
                <c:pt idx="208">
                  <c:v>99.417104744813017</c:v>
                </c:pt>
                <c:pt idx="209">
                  <c:v>99.275718199558966</c:v>
                </c:pt>
                <c:pt idx="210">
                  <c:v>99.136354679874984</c:v>
                </c:pt>
                <c:pt idx="211">
                  <c:v>98.998987052635641</c:v>
                </c:pt>
                <c:pt idx="212">
                  <c:v>98.863588501270002</c:v>
                </c:pt>
                <c:pt idx="213">
                  <c:v>98.730132522544523</c:v>
                </c:pt>
                <c:pt idx="214">
                  <c:v>98.59859292336354</c:v>
                </c:pt>
                <c:pt idx="215">
                  <c:v>98.468943817622929</c:v>
                </c:pt>
                <c:pt idx="216">
                  <c:v>98.341159623063689</c:v>
                </c:pt>
                <c:pt idx="217">
                  <c:v>98.21521505817546</c:v>
                </c:pt>
                <c:pt idx="218">
                  <c:v>98.091085139113119</c:v>
                </c:pt>
                <c:pt idx="219">
                  <c:v>97.968745176647815</c:v>
                </c:pt>
                <c:pt idx="220">
                  <c:v>97.848170773145199</c:v>
                </c:pt>
                <c:pt idx="221">
                  <c:v>97.729337819561422</c:v>
                </c:pt>
                <c:pt idx="222">
                  <c:v>97.61222249247443</c:v>
                </c:pt>
                <c:pt idx="223">
                  <c:v>97.49680125113359</c:v>
                </c:pt>
                <c:pt idx="224">
                  <c:v>97.383050834541521</c:v>
                </c:pt>
                <c:pt idx="225">
                  <c:v>97.270948258548643</c:v>
                </c:pt>
                <c:pt idx="226">
                  <c:v>97.160470812988336</c:v>
                </c:pt>
                <c:pt idx="227">
                  <c:v>97.05159605882244</c:v>
                </c:pt>
                <c:pt idx="228">
                  <c:v>96.944301825318675</c:v>
                </c:pt>
                <c:pt idx="229">
                  <c:v>96.838566207252057</c:v>
                </c:pt>
                <c:pt idx="230">
                  <c:v>96.73436756212179</c:v>
                </c:pt>
                <c:pt idx="231">
                  <c:v>96.631684507404785</c:v>
                </c:pt>
                <c:pt idx="232">
                  <c:v>96.530495917824879</c:v>
                </c:pt>
                <c:pt idx="233">
                  <c:v>96.430780922645084</c:v>
                </c:pt>
                <c:pt idx="234">
                  <c:v>96.332518902986536</c:v>
                </c:pt>
                <c:pt idx="235">
                  <c:v>96.235689489172032</c:v>
                </c:pt>
                <c:pt idx="236">
                  <c:v>96.140272558087887</c:v>
                </c:pt>
                <c:pt idx="237">
                  <c:v>96.046248230579138</c:v>
                </c:pt>
                <c:pt idx="238">
                  <c:v>95.953596868853907</c:v>
                </c:pt>
                <c:pt idx="239">
                  <c:v>95.862299073925485</c:v>
                </c:pt>
                <c:pt idx="240">
                  <c:v>95.772335683068462</c:v>
                </c:pt>
                <c:pt idx="241">
                  <c:v>95.683687767308768</c:v>
                </c:pt>
                <c:pt idx="242">
                  <c:v>95.596336628923808</c:v>
                </c:pt>
                <c:pt idx="243">
                  <c:v>95.510263798977959</c:v>
                </c:pt>
                <c:pt idx="244">
                  <c:v>95.425451034877696</c:v>
                </c:pt>
                <c:pt idx="245">
                  <c:v>95.34188031794956</c:v>
                </c:pt>
                <c:pt idx="246">
                  <c:v>95.259533851047493</c:v>
                </c:pt>
                <c:pt idx="247">
                  <c:v>95.178394056175563</c:v>
                </c:pt>
                <c:pt idx="248">
                  <c:v>95.098443572143452</c:v>
                </c:pt>
                <c:pt idx="249">
                  <c:v>95.019665252287254</c:v>
                </c:pt>
                <c:pt idx="250">
                  <c:v>94.942042161908802</c:v>
                </c:pt>
                <c:pt idx="251">
                  <c:v>94.865557576601674</c:v>
                </c:pt>
                <c:pt idx="252">
                  <c:v>94.790194979336803</c:v>
                </c:pt>
                <c:pt idx="253">
                  <c:v>94.715938058524543</c:v>
                </c:pt>
                <c:pt idx="254">
                  <c:v>94.642770705891493</c:v>
                </c:pt>
                <c:pt idx="255">
                  <c:v>94.570677014182607</c:v>
                </c:pt>
                <c:pt idx="256">
                  <c:v>94.499641275042961</c:v>
                </c:pt>
                <c:pt idx="257">
                  <c:v>94.429647976885775</c:v>
                </c:pt>
                <c:pt idx="258">
                  <c:v>94.360681802793692</c:v>
                </c:pt>
                <c:pt idx="259">
                  <c:v>94.292727628433539</c:v>
                </c:pt>
                <c:pt idx="260">
                  <c:v>94.225770520003792</c:v>
                </c:pt>
                <c:pt idx="261">
                  <c:v>94.159795732202383</c:v>
                </c:pt>
                <c:pt idx="262">
                  <c:v>94.094788706219219</c:v>
                </c:pt>
                <c:pt idx="263">
                  <c:v>94.030735067750967</c:v>
                </c:pt>
                <c:pt idx="264">
                  <c:v>93.96762062504277</c:v>
                </c:pt>
                <c:pt idx="265">
                  <c:v>93.905431366950978</c:v>
                </c:pt>
                <c:pt idx="266">
                  <c:v>93.844153461024504</c:v>
                </c:pt>
                <c:pt idx="267">
                  <c:v>93.78377325162316</c:v>
                </c:pt>
                <c:pt idx="268">
                  <c:v>93.724277258038043</c:v>
                </c:pt>
                <c:pt idx="269">
                  <c:v>93.66565217265358</c:v>
                </c:pt>
                <c:pt idx="270">
                  <c:v>93.607884859119324</c:v>
                </c:pt>
                <c:pt idx="271">
                  <c:v>93.550962350544694</c:v>
                </c:pt>
                <c:pt idx="272">
                  <c:v>93.49487184772309</c:v>
                </c:pt>
                <c:pt idx="273">
                  <c:v>93.439600717362794</c:v>
                </c:pt>
                <c:pt idx="274">
                  <c:v>93.385136490351485</c:v>
                </c:pt>
                <c:pt idx="275">
                  <c:v>93.331466860031355</c:v>
                </c:pt>
                <c:pt idx="276">
                  <c:v>93.278579680496151</c:v>
                </c:pt>
                <c:pt idx="277">
                  <c:v>93.226462964907697</c:v>
                </c:pt>
                <c:pt idx="278">
                  <c:v>93.175104883830471</c:v>
                </c:pt>
                <c:pt idx="279">
                  <c:v>93.124493763580148</c:v>
                </c:pt>
                <c:pt idx="280">
                  <c:v>93.074618084593453</c:v>
                </c:pt>
                <c:pt idx="281">
                  <c:v>93.025466479810035</c:v>
                </c:pt>
                <c:pt idx="282">
                  <c:v>92.977027733072745</c:v>
                </c:pt>
                <c:pt idx="283">
                  <c:v>92.929290777538171</c:v>
                </c:pt>
                <c:pt idx="284">
                  <c:v>92.882244694108522</c:v>
                </c:pt>
                <c:pt idx="285">
                  <c:v>92.835878709871011</c:v>
                </c:pt>
                <c:pt idx="286">
                  <c:v>92.790182196545004</c:v>
                </c:pt>
                <c:pt idx="287">
                  <c:v>92.745144668954111</c:v>
                </c:pt>
                <c:pt idx="288">
                  <c:v>92.700755783496206</c:v>
                </c:pt>
                <c:pt idx="289">
                  <c:v>92.65700533663221</c:v>
                </c:pt>
                <c:pt idx="290">
                  <c:v>92.613883263376081</c:v>
                </c:pt>
                <c:pt idx="291">
                  <c:v>92.571379635803723</c:v>
                </c:pt>
                <c:pt idx="292">
                  <c:v>92.529484661554676</c:v>
                </c:pt>
                <c:pt idx="293">
                  <c:v>92.48818868235702</c:v>
                </c:pt>
                <c:pt idx="294">
                  <c:v>92.447482172572776</c:v>
                </c:pt>
                <c:pt idx="295">
                  <c:v>92.407355737599474</c:v>
                </c:pt>
                <c:pt idx="296">
                  <c:v>92.367800112653299</c:v>
                </c:pt>
                <c:pt idx="297">
                  <c:v>92.328806161059092</c:v>
                </c:pt>
                <c:pt idx="298">
                  <c:v>92.290364872905187</c:v>
                </c:pt>
                <c:pt idx="299">
                  <c:v>92.252467363573217</c:v>
                </c:pt>
                <c:pt idx="300">
                  <c:v>92.215104872267929</c:v>
                </c:pt>
                <c:pt idx="301">
                  <c:v>92.178268760569694</c:v>
                </c:pt>
                <c:pt idx="302">
                  <c:v>92.141950510974837</c:v>
                </c:pt>
                <c:pt idx="303">
                  <c:v>92.106141725438761</c:v>
                </c:pt>
                <c:pt idx="304">
                  <c:v>92.070834123922211</c:v>
                </c:pt>
                <c:pt idx="305">
                  <c:v>92.036019542930774</c:v>
                </c:pt>
                <c:pt idx="306">
                  <c:v>92.001689934054184</c:v>
                </c:pt>
                <c:pt idx="307">
                  <c:v>91.967837362504454</c:v>
                </c:pt>
                <c:pt idx="308">
                  <c:v>91.934454005653777</c:v>
                </c:pt>
                <c:pt idx="309">
                  <c:v>91.901532151564737</c:v>
                </c:pt>
                <c:pt idx="310">
                  <c:v>91.869064197521027</c:v>
                </c:pt>
                <c:pt idx="311">
                  <c:v>91.837042648556292</c:v>
                </c:pt>
                <c:pt idx="312">
                  <c:v>91.805460115974725</c:v>
                </c:pt>
                <c:pt idx="313">
                  <c:v>91.774309315878455</c:v>
                </c:pt>
                <c:pt idx="314">
                  <c:v>91.74358306768022</c:v>
                </c:pt>
                <c:pt idx="315">
                  <c:v>91.713274292621151</c:v>
                </c:pt>
                <c:pt idx="316">
                  <c:v>91.683376012286303</c:v>
                </c:pt>
                <c:pt idx="317">
                  <c:v>91.653881347112005</c:v>
                </c:pt>
                <c:pt idx="318">
                  <c:v>91.624783514900827</c:v>
                </c:pt>
                <c:pt idx="319">
                  <c:v>91.596075829325727</c:v>
                </c:pt>
                <c:pt idx="320">
                  <c:v>91.567751698439906</c:v>
                </c:pt>
                <c:pt idx="321">
                  <c:v>91.539804623184054</c:v>
                </c:pt>
                <c:pt idx="322">
                  <c:v>91.512228195894608</c:v>
                </c:pt>
                <c:pt idx="323">
                  <c:v>91.485016098815464</c:v>
                </c:pt>
                <c:pt idx="324">
                  <c:v>91.458162102605442</c:v>
                </c:pt>
                <c:pt idx="325">
                  <c:v>91.431660064859983</c:v>
                </c:pt>
                <c:pt idx="326">
                  <c:v>91.40550392862113</c:v>
                </c:pt>
                <c:pt idx="327">
                  <c:v>91.37968772090943</c:v>
                </c:pt>
                <c:pt idx="328">
                  <c:v>91.354205551250502</c:v>
                </c:pt>
                <c:pt idx="329">
                  <c:v>91.329051610211081</c:v>
                </c:pt>
                <c:pt idx="330">
                  <c:v>91.304220167943271</c:v>
                </c:pt>
                <c:pt idx="331">
                  <c:v>91.279705572739601</c:v>
                </c:pt>
                <c:pt idx="332">
                  <c:v>91.255502249597996</c:v>
                </c:pt>
                <c:pt idx="333">
                  <c:v>91.231604698815246</c:v>
                </c:pt>
                <c:pt idx="334">
                  <c:v>91.208007494446107</c:v>
                </c:pt>
                <c:pt idx="335">
                  <c:v>91.18470528324643</c:v>
                </c:pt>
                <c:pt idx="336">
                  <c:v>91.161692782786446</c:v>
                </c:pt>
                <c:pt idx="337">
                  <c:v>91.138964780616078</c:v>
                </c:pt>
                <c:pt idx="338">
                  <c:v>91.11651613241898</c:v>
                </c:pt>
                <c:pt idx="339">
                  <c:v>91.09434176106177</c:v>
                </c:pt>
                <c:pt idx="340">
                  <c:v>91.072436655098045</c:v>
                </c:pt>
                <c:pt idx="341">
                  <c:v>91.050795867519099</c:v>
                </c:pt>
                <c:pt idx="342">
                  <c:v>91.029414514482454</c:v>
                </c:pt>
                <c:pt idx="343">
                  <c:v>91.008287774061415</c:v>
                </c:pt>
                <c:pt idx="344">
                  <c:v>90.987410885026023</c:v>
                </c:pt>
                <c:pt idx="345">
                  <c:v>90.966779145641212</c:v>
                </c:pt>
                <c:pt idx="346">
                  <c:v>90.9463879124919</c:v>
                </c:pt>
                <c:pt idx="347">
                  <c:v>90.926232599338945</c:v>
                </c:pt>
                <c:pt idx="348">
                  <c:v>90.906308675994723</c:v>
                </c:pt>
                <c:pt idx="349">
                  <c:v>90.886611667230895</c:v>
                </c:pt>
                <c:pt idx="350">
                  <c:v>90.86713715171183</c:v>
                </c:pt>
                <c:pt idx="351">
                  <c:v>90.84788076096045</c:v>
                </c:pt>
                <c:pt idx="352">
                  <c:v>90.828838178344384</c:v>
                </c:pt>
                <c:pt idx="353">
                  <c:v>90.810005138106007</c:v>
                </c:pt>
                <c:pt idx="354">
                  <c:v>90.791377424405852</c:v>
                </c:pt>
                <c:pt idx="355">
                  <c:v>90.772950870407115</c:v>
                </c:pt>
                <c:pt idx="356">
                  <c:v>90.754721357386742</c:v>
                </c:pt>
                <c:pt idx="357">
                  <c:v>90.73668481388053</c:v>
                </c:pt>
                <c:pt idx="358">
                  <c:v>90.718837214847227</c:v>
                </c:pt>
                <c:pt idx="359">
                  <c:v>90.701174580874707</c:v>
                </c:pt>
                <c:pt idx="360">
                  <c:v>90.683692977416868</c:v>
                </c:pt>
                <c:pt idx="361">
                  <c:v>90.666388514049146</c:v>
                </c:pt>
                <c:pt idx="362">
                  <c:v>90.649257343762926</c:v>
                </c:pt>
                <c:pt idx="363">
                  <c:v>90.632295662288143</c:v>
                </c:pt>
                <c:pt idx="364">
                  <c:v>90.615499707440009</c:v>
                </c:pt>
                <c:pt idx="365">
                  <c:v>90.598865758505966</c:v>
                </c:pt>
                <c:pt idx="366">
                  <c:v>90.582390135643877</c:v>
                </c:pt>
                <c:pt idx="367">
                  <c:v>90.566069199323948</c:v>
                </c:pt>
                <c:pt idx="368">
                  <c:v>90.54989934978714</c:v>
                </c:pt>
                <c:pt idx="369">
                  <c:v>90.5338770265367</c:v>
                </c:pt>
                <c:pt idx="370">
                  <c:v>90.51799870785257</c:v>
                </c:pt>
                <c:pt idx="371">
                  <c:v>90.502260910327692</c:v>
                </c:pt>
                <c:pt idx="372">
                  <c:v>90.486660188438449</c:v>
                </c:pt>
                <c:pt idx="373">
                  <c:v>90.471193134129123</c:v>
                </c:pt>
                <c:pt idx="374">
                  <c:v>90.455856376422545</c:v>
                </c:pt>
                <c:pt idx="375">
                  <c:v>90.440646581058374</c:v>
                </c:pt>
                <c:pt idx="376">
                  <c:v>90.425560450139628</c:v>
                </c:pt>
                <c:pt idx="377">
                  <c:v>90.410594721818583</c:v>
                </c:pt>
                <c:pt idx="378">
                  <c:v>90.395746169981606</c:v>
                </c:pt>
                <c:pt idx="379">
                  <c:v>90.381011603971217</c:v>
                </c:pt>
                <c:pt idx="380">
                  <c:v>90.366387868311648</c:v>
                </c:pt>
                <c:pt idx="381">
                  <c:v>90.351871842463481</c:v>
                </c:pt>
                <c:pt idx="382">
                  <c:v>90.337460440583726</c:v>
                </c:pt>
                <c:pt idx="383">
                  <c:v>90.323150611309075</c:v>
                </c:pt>
                <c:pt idx="384">
                  <c:v>90.308939337549006</c:v>
                </c:pt>
                <c:pt idx="385">
                  <c:v>90.294823636297849</c:v>
                </c:pt>
                <c:pt idx="386">
                  <c:v>90.280800558449997</c:v>
                </c:pt>
                <c:pt idx="387">
                  <c:v>90.266867188637761</c:v>
                </c:pt>
                <c:pt idx="388">
                  <c:v>90.25302064507089</c:v>
                </c:pt>
                <c:pt idx="389">
                  <c:v>90.239258079394531</c:v>
                </c:pt>
                <c:pt idx="390">
                  <c:v>90.225576676547263</c:v>
                </c:pt>
                <c:pt idx="391">
                  <c:v>90.2119736546382</c:v>
                </c:pt>
                <c:pt idx="392">
                  <c:v>90.19844626482039</c:v>
                </c:pt>
                <c:pt idx="393">
                  <c:v>90.184991791179328</c:v>
                </c:pt>
                <c:pt idx="394">
                  <c:v>90.171607550622639</c:v>
                </c:pt>
                <c:pt idx="395">
                  <c:v>90.158290892779789</c:v>
                </c:pt>
                <c:pt idx="396">
                  <c:v>90.145039199899571</c:v>
                </c:pt>
                <c:pt idx="397">
                  <c:v>90.131849886758445</c:v>
                </c:pt>
                <c:pt idx="398">
                  <c:v>90.118720400565905</c:v>
                </c:pt>
                <c:pt idx="399">
                  <c:v>90.105648220875949</c:v>
                </c:pt>
                <c:pt idx="400">
                  <c:v>90.092630859500133</c:v>
                </c:pt>
                <c:pt idx="401">
                  <c:v>90.079665860415247</c:v>
                </c:pt>
                <c:pt idx="402">
                  <c:v>90.066750799686091</c:v>
                </c:pt>
                <c:pt idx="403">
                  <c:v>90.0538832853711</c:v>
                </c:pt>
                <c:pt idx="404">
                  <c:v>90.041060957434738</c:v>
                </c:pt>
                <c:pt idx="405">
                  <c:v>90.028281487665154</c:v>
                </c:pt>
                <c:pt idx="406">
                  <c:v>90.015542579574955</c:v>
                </c:pt>
                <c:pt idx="407">
                  <c:v>90.00284196831646</c:v>
                </c:pt>
                <c:pt idx="408">
                  <c:v>89.990177420579627</c:v>
                </c:pt>
                <c:pt idx="409">
                  <c:v>89.977546734497182</c:v>
                </c:pt>
                <c:pt idx="410">
                  <c:v>89.964947739540463</c:v>
                </c:pt>
                <c:pt idx="411">
                  <c:v>89.952378296411894</c:v>
                </c:pt>
                <c:pt idx="412">
                  <c:v>89.939836296935511</c:v>
                </c:pt>
                <c:pt idx="413">
                  <c:v>89.927319663940963</c:v>
                </c:pt>
                <c:pt idx="414">
                  <c:v>89.914826351143347</c:v>
                </c:pt>
                <c:pt idx="415">
                  <c:v>89.902354343017024</c:v>
                </c:pt>
                <c:pt idx="416">
                  <c:v>89.889901654658814</c:v>
                </c:pt>
                <c:pt idx="417">
                  <c:v>89.877466331661907</c:v>
                </c:pt>
                <c:pt idx="418">
                  <c:v>89.865046449962534</c:v>
                </c:pt>
                <c:pt idx="419">
                  <c:v>89.852640115694726</c:v>
                </c:pt>
                <c:pt idx="420">
                  <c:v>89.840245465034471</c:v>
                </c:pt>
                <c:pt idx="421">
                  <c:v>89.82786066403618</c:v>
                </c:pt>
                <c:pt idx="422">
                  <c:v>89.815483908465112</c:v>
                </c:pt>
                <c:pt idx="423">
                  <c:v>89.803113423621355</c:v>
                </c:pt>
                <c:pt idx="424">
                  <c:v>89.790747464160944</c:v>
                </c:pt>
                <c:pt idx="425">
                  <c:v>89.77838431390559</c:v>
                </c:pt>
                <c:pt idx="426">
                  <c:v>89.766022285646272</c:v>
                </c:pt>
                <c:pt idx="427">
                  <c:v>89.753659720944782</c:v>
                </c:pt>
                <c:pt idx="428">
                  <c:v>89.741294989926928</c:v>
                </c:pt>
                <c:pt idx="429">
                  <c:v>89.728926491069743</c:v>
                </c:pt>
                <c:pt idx="430">
                  <c:v>89.716552650976894</c:v>
                </c:pt>
                <c:pt idx="431">
                  <c:v>89.704171924160335</c:v>
                </c:pt>
                <c:pt idx="432">
                  <c:v>89.691782792808581</c:v>
                </c:pt>
                <c:pt idx="433">
                  <c:v>89.679383766547772</c:v>
                </c:pt>
                <c:pt idx="434">
                  <c:v>89.666973382205157</c:v>
                </c:pt>
                <c:pt idx="435">
                  <c:v>89.654550203565634</c:v>
                </c:pt>
                <c:pt idx="436">
                  <c:v>89.64211282111917</c:v>
                </c:pt>
                <c:pt idx="437">
                  <c:v>89.629659851816982</c:v>
                </c:pt>
                <c:pt idx="438">
                  <c:v>89.617189938812047</c:v>
                </c:pt>
                <c:pt idx="439">
                  <c:v>89.604701751204189</c:v>
                </c:pt>
                <c:pt idx="440">
                  <c:v>89.592193983788732</c:v>
                </c:pt>
                <c:pt idx="441">
                  <c:v>89.579665356796426</c:v>
                </c:pt>
                <c:pt idx="442">
                  <c:v>89.567114615637394</c:v>
                </c:pt>
                <c:pt idx="443">
                  <c:v>89.554540530652204</c:v>
                </c:pt>
                <c:pt idx="444">
                  <c:v>89.541941896860465</c:v>
                </c:pt>
                <c:pt idx="445">
                  <c:v>89.529317533717432</c:v>
                </c:pt>
                <c:pt idx="446">
                  <c:v>89.516666284876678</c:v>
                </c:pt>
                <c:pt idx="447">
                  <c:v>89.503987017965954</c:v>
                </c:pt>
                <c:pt idx="448">
                  <c:v>89.491278624368874</c:v>
                </c:pt>
                <c:pt idx="449">
                  <c:v>89.478540019023811</c:v>
                </c:pt>
                <c:pt idx="450">
                  <c:v>89.465770140245553</c:v>
                </c:pt>
                <c:pt idx="451">
                  <c:v>89.452967949562336</c:v>
                </c:pt>
                <c:pt idx="452">
                  <c:v>89.440132431585795</c:v>
                </c:pt>
                <c:pt idx="453">
                  <c:v>89.427262593909788</c:v>
                </c:pt>
                <c:pt idx="454">
                  <c:v>89.414357467056405</c:v>
                </c:pt>
                <c:pt idx="455">
                  <c:v>89.40141610446652</c:v>
                </c:pt>
                <c:pt idx="456">
                  <c:v>89.388437582555326</c:v>
                </c:pt>
                <c:pt idx="457">
                  <c:v>89.375421000845009</c:v>
                </c:pt>
                <c:pt idx="458">
                  <c:v>89.362365482191208</c:v>
                </c:pt>
                <c:pt idx="459">
                  <c:v>89.349270173133661</c:v>
                </c:pt>
                <c:pt idx="460">
                  <c:v>89.33613424439406</c:v>
                </c:pt>
                <c:pt idx="461">
                  <c:v>89.322956891583146</c:v>
                </c:pt>
                <c:pt idx="462">
                  <c:v>89.309737336157909</c:v>
                </c:pt>
                <c:pt idx="463">
                  <c:v>89.296474826732521</c:v>
                </c:pt>
                <c:pt idx="464">
                  <c:v>89.283168640871551</c:v>
                </c:pt>
                <c:pt idx="465">
                  <c:v>89.26981808755049</c:v>
                </c:pt>
                <c:pt idx="466">
                  <c:v>89.256422510605219</c:v>
                </c:pt>
                <c:pt idx="467">
                  <c:v>89.242981293670354</c:v>
                </c:pt>
                <c:pt idx="468">
                  <c:v>89.229493867526799</c:v>
                </c:pt>
                <c:pt idx="469">
                  <c:v>89.215959721588533</c:v>
                </c:pt>
                <c:pt idx="470">
                  <c:v>89.202378423303514</c:v>
                </c:pt>
                <c:pt idx="471">
                  <c:v>89.188749655153174</c:v>
                </c:pt>
                <c:pt idx="472">
                  <c:v>89.175073303092248</c:v>
                </c:pt>
                <c:pt idx="473">
                  <c:v>89.161350050809844</c:v>
                </c:pt>
                <c:pt idx="474">
                  <c:v>89.147583965867852</c:v>
                </c:pt>
                <c:pt idx="475">
                  <c:v>89.133776507748976</c:v>
                </c:pt>
                <c:pt idx="476">
                  <c:v>89.119927573398016</c:v>
                </c:pt>
                <c:pt idx="477">
                  <c:v>89.106036799636684</c:v>
                </c:pt>
                <c:pt idx="478">
                  <c:v>89.092103690926763</c:v>
                </c:pt>
                <c:pt idx="479">
                  <c:v>89.078127668019135</c:v>
                </c:pt>
                <c:pt idx="480">
                  <c:v>89.064108092700025</c:v>
                </c:pt>
                <c:pt idx="481">
                  <c:v>89.050044282333161</c:v>
                </c:pt>
                <c:pt idx="482">
                  <c:v>89.035935519209474</c:v>
                </c:pt>
                <c:pt idx="483">
                  <c:v>89.021781056954211</c:v>
                </c:pt>
                <c:pt idx="484">
                  <c:v>89.007580125110564</c:v>
                </c:pt>
                <c:pt idx="485">
                  <c:v>88.99333193254418</c:v>
                </c:pt>
                <c:pt idx="486">
                  <c:v>88.979035670042862</c:v>
                </c:pt>
                <c:pt idx="487">
                  <c:v>88.96469051234169</c:v>
                </c:pt>
                <c:pt idx="488">
                  <c:v>88.950295619741169</c:v>
                </c:pt>
                <c:pt idx="489">
                  <c:v>88.935850139413304</c:v>
                </c:pt>
                <c:pt idx="490">
                  <c:v>88.921353206476454</c:v>
                </c:pt>
                <c:pt idx="491">
                  <c:v>88.906803944891223</c:v>
                </c:pt>
                <c:pt idx="492">
                  <c:v>88.89220146821134</c:v>
                </c:pt>
                <c:pt idx="493">
                  <c:v>88.877544880229905</c:v>
                </c:pt>
                <c:pt idx="494">
                  <c:v>88.862833275531713</c:v>
                </c:pt>
                <c:pt idx="495">
                  <c:v>88.848065739977301</c:v>
                </c:pt>
                <c:pt idx="496">
                  <c:v>88.833241351128208</c:v>
                </c:pt>
                <c:pt idx="497">
                  <c:v>88.818359178626167</c:v>
                </c:pt>
                <c:pt idx="498">
                  <c:v>88.803418284531304</c:v>
                </c:pt>
                <c:pt idx="499">
                  <c:v>88.788417723633643</c:v>
                </c:pt>
                <c:pt idx="500">
                  <c:v>88.773356543735886</c:v>
                </c:pt>
                <c:pt idx="501">
                  <c:v>88.758233785913518</c:v>
                </c:pt>
                <c:pt idx="502">
                  <c:v>88.743048484762269</c:v>
                </c:pt>
                <c:pt idx="503">
                  <c:v>88.727799668628052</c:v>
                </c:pt>
                <c:pt idx="504">
                  <c:v>88.712486359826144</c:v>
                </c:pt>
                <c:pt idx="505">
                  <c:v>88.697107574852907</c:v>
                </c:pt>
                <c:pt idx="506">
                  <c:v>88.6816623245861</c:v>
                </c:pt>
                <c:pt idx="507">
                  <c:v>88.666149614484425</c:v>
                </c:pt>
                <c:pt idx="508">
                  <c:v>88.650568444777946</c:v>
                </c:pt>
                <c:pt idx="509">
                  <c:v>88.634917810658479</c:v>
                </c:pt>
                <c:pt idx="510">
                  <c:v>88.619196702463483</c:v>
                </c:pt>
                <c:pt idx="511">
                  <c:v>88.603404105863348</c:v>
                </c:pt>
                <c:pt idx="512">
                  <c:v>88.587539002040401</c:v>
                </c:pt>
                <c:pt idx="513">
                  <c:v>88.571600367874112</c:v>
                </c:pt>
                <c:pt idx="514">
                  <c:v>88.555587176121236</c:v>
                </c:pt>
                <c:pt idx="515">
                  <c:v>88.539498395596624</c:v>
                </c:pt>
                <c:pt idx="516">
                  <c:v>88.523332991356341</c:v>
                </c:pt>
                <c:pt idx="517">
                  <c:v>88.507089924877263</c:v>
                </c:pt>
                <c:pt idx="518">
                  <c:v>88.490768154241593</c:v>
                </c:pt>
                <c:pt idx="519">
                  <c:v>88.47436663431688</c:v>
                </c:pt>
                <c:pt idx="520">
                  <c:v>88.457884316941588</c:v>
                </c:pt>
                <c:pt idx="521">
                  <c:v>88.441320151105799</c:v>
                </c:pt>
                <c:pt idx="522">
                  <c:v>88.424673083138018</c:v>
                </c:pt>
                <c:pt idx="523">
                  <c:v>88.407942056886483</c:v>
                </c:pt>
                <c:pt idx="524">
                  <c:v>88.391126013904412</c:v>
                </c:pt>
                <c:pt idx="525">
                  <c:v>88.374223893635701</c:v>
                </c:pt>
                <c:pt idx="526">
                  <c:v>88.357234633597955</c:v>
                </c:pt>
                <c:pt idx="527">
                  <c:v>88.34015716956597</c:v>
                </c:pt>
                <c:pt idx="528">
                  <c:v>88.322990435755869</c:v>
                </c:pt>
                <c:pt idx="529">
                  <c:v>88.305733365008265</c:v>
                </c:pt>
                <c:pt idx="530">
                  <c:v>88.288384888969418</c:v>
                </c:pt>
                <c:pt idx="531">
                  <c:v>88.270943938271984</c:v>
                </c:pt>
                <c:pt idx="532">
                  <c:v>88.253409442714371</c:v>
                </c:pt>
                <c:pt idx="533">
                  <c:v>88.235780331439642</c:v>
                </c:pt>
                <c:pt idx="534">
                  <c:v>88.218055533109421</c:v>
                </c:pt>
                <c:pt idx="535">
                  <c:v>88.20023397607757</c:v>
                </c:pt>
                <c:pt idx="536">
                  <c:v>88.18231458856404</c:v>
                </c:pt>
                <c:pt idx="537">
                  <c:v>88.164296298819721</c:v>
                </c:pt>
                <c:pt idx="538">
                  <c:v>88.146178035293758</c:v>
                </c:pt>
                <c:pt idx="539">
                  <c:v>88.127958726795711</c:v>
                </c:pt>
                <c:pt idx="540">
                  <c:v>88.109637302653695</c:v>
                </c:pt>
                <c:pt idx="541">
                  <c:v>88.091212692869163</c:v>
                </c:pt>
                <c:pt idx="542">
                  <c:v>88.072683828267586</c:v>
                </c:pt>
                <c:pt idx="543">
                  <c:v>88.054049640644564</c:v>
                </c:pt>
                <c:pt idx="544">
                  <c:v>88.03530906290716</c:v>
                </c:pt>
                <c:pt idx="545">
                  <c:v>88.016461029210348</c:v>
                </c:pt>
                <c:pt idx="546">
                  <c:v>87.997504475088959</c:v>
                </c:pt>
                <c:pt idx="547">
                  <c:v>87.978438337581323</c:v>
                </c:pt>
                <c:pt idx="548">
                  <c:v>87.959261555352512</c:v>
                </c:pt>
                <c:pt idx="549">
                  <c:v>87.93997306880469</c:v>
                </c:pt>
                <c:pt idx="550">
                  <c:v>87.920571820186623</c:v>
                </c:pt>
                <c:pt idx="551">
                  <c:v>87.901056753693283</c:v>
                </c:pt>
                <c:pt idx="552">
                  <c:v>87.881426815561881</c:v>
                </c:pt>
                <c:pt idx="553">
                  <c:v>87.861680954155958</c:v>
                </c:pt>
                <c:pt idx="554">
                  <c:v>87.841818120047549</c:v>
                </c:pt>
                <c:pt idx="555">
                  <c:v>87.821837266088039</c:v>
                </c:pt>
                <c:pt idx="556">
                  <c:v>87.801737347472624</c:v>
                </c:pt>
                <c:pt idx="557">
                  <c:v>87.781517321796358</c:v>
                </c:pt>
                <c:pt idx="558">
                  <c:v>87.761176149103306</c:v>
                </c:pt>
                <c:pt idx="559">
                  <c:v>87.740712791924565</c:v>
                </c:pt>
                <c:pt idx="560">
                  <c:v>87.72012621531124</c:v>
                </c:pt>
                <c:pt idx="561">
                  <c:v>87.699415386856401</c:v>
                </c:pt>
                <c:pt idx="562">
                  <c:v>87.678579276707353</c:v>
                </c:pt>
                <c:pt idx="563">
                  <c:v>87.657616857571327</c:v>
                </c:pt>
                <c:pt idx="564">
                  <c:v>87.636527104711305</c:v>
                </c:pt>
                <c:pt idx="565">
                  <c:v>87.615308995929098</c:v>
                </c:pt>
                <c:pt idx="566">
                  <c:v>87.593961511545757</c:v>
                </c:pt>
                <c:pt idx="567">
                  <c:v>87.572483634364573</c:v>
                </c:pt>
                <c:pt idx="568">
                  <c:v>87.550874349630107</c:v>
                </c:pt>
                <c:pt idx="569">
                  <c:v>87.529132644974908</c:v>
                </c:pt>
                <c:pt idx="570">
                  <c:v>87.507257510358244</c:v>
                </c:pt>
                <c:pt idx="571">
                  <c:v>87.485247937991048</c:v>
                </c:pt>
                <c:pt idx="572">
                  <c:v>87.463102922256596</c:v>
                </c:pt>
                <c:pt idx="573">
                  <c:v>87.440821459614526</c:v>
                </c:pt>
                <c:pt idx="574">
                  <c:v>87.418402548502627</c:v>
                </c:pt>
                <c:pt idx="575">
                  <c:v>87.39584518922068</c:v>
                </c:pt>
                <c:pt idx="576">
                  <c:v>87.373148383808925</c:v>
                </c:pt>
                <c:pt idx="577">
                  <c:v>87.350311135916499</c:v>
                </c:pt>
                <c:pt idx="578">
                  <c:v>87.327332450659</c:v>
                </c:pt>
                <c:pt idx="579">
                  <c:v>87.304211334463446</c:v>
                </c:pt>
                <c:pt idx="580">
                  <c:v>87.280946794910605</c:v>
                </c:pt>
                <c:pt idx="581">
                  <c:v>87.257537840557603</c:v>
                </c:pt>
                <c:pt idx="582">
                  <c:v>87.233983480760898</c:v>
                </c:pt>
                <c:pt idx="583">
                  <c:v>87.210282725482372</c:v>
                </c:pt>
                <c:pt idx="584">
                  <c:v>87.186434585089501</c:v>
                </c:pt>
                <c:pt idx="585">
                  <c:v>87.162438070145683</c:v>
                </c:pt>
                <c:pt idx="586">
                  <c:v>87.138292191190345</c:v>
                </c:pt>
                <c:pt idx="587">
                  <c:v>87.113995958513073</c:v>
                </c:pt>
                <c:pt idx="588">
                  <c:v>87.08954838191265</c:v>
                </c:pt>
                <c:pt idx="589">
                  <c:v>87.064948470458077</c:v>
                </c:pt>
                <c:pt idx="590">
                  <c:v>87.040195232229536</c:v>
                </c:pt>
                <c:pt idx="591">
                  <c:v>87.015287674059977</c:v>
                </c:pt>
                <c:pt idx="592">
                  <c:v>86.99022480126547</c:v>
                </c:pt>
                <c:pt idx="593">
                  <c:v>86.965005617367922</c:v>
                </c:pt>
                <c:pt idx="594">
                  <c:v>86.939629123811457</c:v>
                </c:pt>
                <c:pt idx="595">
                  <c:v>86.914094319672714</c:v>
                </c:pt>
                <c:pt idx="596">
                  <c:v>86.888400201361037</c:v>
                </c:pt>
                <c:pt idx="597">
                  <c:v>86.862545762318405</c:v>
                </c:pt>
                <c:pt idx="598">
                  <c:v>86.836529992708421</c:v>
                </c:pt>
                <c:pt idx="599">
                  <c:v>86.81035187910129</c:v>
                </c:pt>
                <c:pt idx="600">
                  <c:v>86.78401040415531</c:v>
                </c:pt>
                <c:pt idx="601">
                  <c:v>86.757504546291145</c:v>
                </c:pt>
                <c:pt idx="602">
                  <c:v>86.730833279365186</c:v>
                </c:pt>
                <c:pt idx="603">
                  <c:v>86.703995572335231</c:v>
                </c:pt>
                <c:pt idx="604">
                  <c:v>86.676990388926285</c:v>
                </c:pt>
                <c:pt idx="605">
                  <c:v>86.64981668729078</c:v>
                </c:pt>
                <c:pt idx="606">
                  <c:v>86.62247341966895</c:v>
                </c:pt>
                <c:pt idx="607">
                  <c:v>86.594959532044328</c:v>
                </c:pt>
                <c:pt idx="608">
                  <c:v>86.567273963799366</c:v>
                </c:pt>
                <c:pt idx="609">
                  <c:v>86.539415647372877</c:v>
                </c:pt>
                <c:pt idx="610">
                  <c:v>86.511383507909571</c:v>
                </c:pt>
                <c:pt idx="611">
                  <c:v>86.483176462916617</c:v>
                </c:pt>
                <c:pt idx="612">
                  <c:v>86.454793421918822</c:v>
                </c:pt>
                <c:pt idx="613">
                  <c:v>86.426233286111895</c:v>
                </c:pt>
                <c:pt idx="614">
                  <c:v>86.397494948021119</c:v>
                </c:pt>
                <c:pt idx="615">
                  <c:v>86.368577291159781</c:v>
                </c:pt>
                <c:pt idx="616">
                  <c:v>86.339479189690451</c:v>
                </c:pt>
                <c:pt idx="617">
                  <c:v>86.31019950808944</c:v>
                </c:pt>
                <c:pt idx="618">
                  <c:v>86.280737100815585</c:v>
                </c:pt>
                <c:pt idx="619">
                  <c:v>86.251090811980063</c:v>
                </c:pt>
                <c:pt idx="620">
                  <c:v>86.22125947502559</c:v>
                </c:pt>
                <c:pt idx="621">
                  <c:v>86.191241912404706</c:v>
                </c:pt>
                <c:pt idx="622">
                  <c:v>86.161036935267404</c:v>
                </c:pt>
                <c:pt idx="623">
                  <c:v>86.1306433431551</c:v>
                </c:pt>
                <c:pt idx="624">
                  <c:v>86.100059923696875</c:v>
                </c:pt>
                <c:pt idx="625">
                  <c:v>86.069285452315782</c:v>
                </c:pt>
                <c:pt idx="626">
                  <c:v>86.038318691940944</c:v>
                </c:pt>
                <c:pt idx="627">
                  <c:v>86.007158392727121</c:v>
                </c:pt>
                <c:pt idx="628">
                  <c:v>85.975803291783848</c:v>
                </c:pt>
                <c:pt idx="629">
                  <c:v>85.944252112925611</c:v>
                </c:pt>
                <c:pt idx="630">
                  <c:v>85.912503566317469</c:v>
                </c:pt>
                <c:pt idx="631">
                  <c:v>85.880556348466484</c:v>
                </c:pt>
                <c:pt idx="632">
                  <c:v>85.848409141682069</c:v>
                </c:pt>
                <c:pt idx="633">
                  <c:v>85.816060614062579</c:v>
                </c:pt>
                <c:pt idx="634">
                  <c:v>85.78350941919318</c:v>
                </c:pt>
                <c:pt idx="635">
                  <c:v>85.750754195951359</c:v>
                </c:pt>
                <c:pt idx="636">
                  <c:v>85.717793568304259</c:v>
                </c:pt>
                <c:pt idx="637">
                  <c:v>85.684626145124767</c:v>
                </c:pt>
                <c:pt idx="638">
                  <c:v>85.651250520008006</c:v>
                </c:pt>
                <c:pt idx="639">
                  <c:v>85.617665271105992</c:v>
                </c:pt>
                <c:pt idx="640">
                  <c:v>85.583868960968445</c:v>
                </c:pt>
                <c:pt idx="641">
                  <c:v>85.549860136395651</c:v>
                </c:pt>
                <c:pt idx="642">
                  <c:v>85.515637328302489</c:v>
                </c:pt>
                <c:pt idx="643">
                  <c:v>85.481199051591375</c:v>
                </c:pt>
                <c:pt idx="644">
                  <c:v>85.446543805038743</c:v>
                </c:pt>
                <c:pt idx="645">
                  <c:v>85.41167007118888</c:v>
                </c:pt>
                <c:pt idx="646">
                  <c:v>85.376576316259133</c:v>
                </c:pt>
                <c:pt idx="647">
                  <c:v>85.341260990060064</c:v>
                </c:pt>
                <c:pt idx="648">
                  <c:v>85.305722525917645</c:v>
                </c:pt>
                <c:pt idx="649">
                  <c:v>85.269959340613369</c:v>
                </c:pt>
                <c:pt idx="650">
                  <c:v>85.233969834331234</c:v>
                </c:pt>
                <c:pt idx="651">
                  <c:v>85.197752390615022</c:v>
                </c:pt>
                <c:pt idx="652">
                  <c:v>85.16130537633471</c:v>
                </c:pt>
                <c:pt idx="653">
                  <c:v>85.124627141664135</c:v>
                </c:pt>
                <c:pt idx="654">
                  <c:v>85.087716020068285</c:v>
                </c:pt>
                <c:pt idx="655">
                  <c:v>85.050570328297013</c:v>
                </c:pt>
                <c:pt idx="656">
                  <c:v>85.013188366391077</c:v>
                </c:pt>
                <c:pt idx="657">
                  <c:v>84.975568417695712</c:v>
                </c:pt>
                <c:pt idx="658">
                  <c:v>84.937708748881576</c:v>
                </c:pt>
                <c:pt idx="659">
                  <c:v>84.899607609975376</c:v>
                </c:pt>
                <c:pt idx="660">
                  <c:v>84.861263234398507</c:v>
                </c:pt>
                <c:pt idx="661">
                  <c:v>84.822673839012666</c:v>
                </c:pt>
                <c:pt idx="662">
                  <c:v>84.783837624172861</c:v>
                </c:pt>
                <c:pt idx="663">
                  <c:v>84.744752773787198</c:v>
                </c:pt>
                <c:pt idx="664">
                  <c:v>84.705417455385643</c:v>
                </c:pt>
                <c:pt idx="665">
                  <c:v>84.665829820191618</c:v>
                </c:pt>
                <c:pt idx="666">
                  <c:v>84.625988003202878</c:v>
                </c:pt>
                <c:pt idx="667">
                  <c:v>84.585890123277665</c:v>
                </c:pt>
                <c:pt idx="668">
                  <c:v>84.545534283223716</c:v>
                </c:pt>
                <c:pt idx="669">
                  <c:v>84.50491856989693</c:v>
                </c:pt>
                <c:pt idx="670">
                  <c:v>84.464041054301632</c:v>
                </c:pt>
                <c:pt idx="671">
                  <c:v>84.422899791694917</c:v>
                </c:pt>
                <c:pt idx="672">
                  <c:v>84.381492821699567</c:v>
                </c:pt>
                <c:pt idx="673">
                  <c:v>84.339818168416059</c:v>
                </c:pt>
                <c:pt idx="674">
                  <c:v>84.297873840541257</c:v>
                </c:pt>
                <c:pt idx="675">
                  <c:v>84.255657831488847</c:v>
                </c:pt>
                <c:pt idx="676">
                  <c:v>84.213168119514421</c:v>
                </c:pt>
                <c:pt idx="677">
                  <c:v>84.170402667840889</c:v>
                </c:pt>
                <c:pt idx="678">
                  <c:v>84.127359424790185</c:v>
                </c:pt>
                <c:pt idx="679">
                  <c:v>84.084036323913395</c:v>
                </c:pt>
                <c:pt idx="680">
                  <c:v>84.040431284125191</c:v>
                </c:pt>
                <c:pt idx="681">
                  <c:v>83.996542209838708</c:v>
                </c:pt>
                <c:pt idx="682">
                  <c:v>83.952366991103688</c:v>
                </c:pt>
                <c:pt idx="683">
                  <c:v>83.907903503743114</c:v>
                </c:pt>
                <c:pt idx="684">
                  <c:v>83.863149609493661</c:v>
                </c:pt>
                <c:pt idx="685">
                  <c:v>83.818103156145</c:v>
                </c:pt>
                <c:pt idx="686">
                  <c:v>83.77276197768127</c:v>
                </c:pt>
                <c:pt idx="687">
                  <c:v>83.727123894420131</c:v>
                </c:pt>
                <c:pt idx="688">
                  <c:v>83.681186713155967</c:v>
                </c:pt>
                <c:pt idx="689">
                  <c:v>83.634948227300313</c:v>
                </c:pt>
                <c:pt idx="690">
                  <c:v>83.588406217021827</c:v>
                </c:pt>
                <c:pt idx="691">
                  <c:v>83.541558449388205</c:v>
                </c:pt>
                <c:pt idx="692">
                  <c:v>83.494402678505651</c:v>
                </c:pt>
                <c:pt idx="693">
                  <c:v>83.446936645658383</c:v>
                </c:pt>
                <c:pt idx="694">
                  <c:v>83.399158079447261</c:v>
                </c:pt>
                <c:pt idx="695">
                  <c:v>83.351064695927747</c:v>
                </c:pt>
                <c:pt idx="696">
                  <c:v>83.302654198747135</c:v>
                </c:pt>
                <c:pt idx="697">
                  <c:v>83.253924279278394</c:v>
                </c:pt>
                <c:pt idx="698">
                  <c:v>83.204872616756731</c:v>
                </c:pt>
                <c:pt idx="699">
                  <c:v>83.155496878411839</c:v>
                </c:pt>
                <c:pt idx="700">
                  <c:v>83.105794719598421</c:v>
                </c:pt>
                <c:pt idx="701">
                  <c:v>83.055763783929081</c:v>
                </c:pt>
                <c:pt idx="702">
                  <c:v>83.005401703399073</c:v>
                </c:pt>
                <c:pt idx="703">
                  <c:v>82.954706098517619</c:v>
                </c:pt>
                <c:pt idx="704">
                  <c:v>82.903674578430184</c:v>
                </c:pt>
                <c:pt idx="705">
                  <c:v>82.85230474104371</c:v>
                </c:pt>
                <c:pt idx="706">
                  <c:v>82.800594173147957</c:v>
                </c:pt>
                <c:pt idx="707">
                  <c:v>82.748540450536652</c:v>
                </c:pt>
                <c:pt idx="708">
                  <c:v>82.696141138123735</c:v>
                </c:pt>
                <c:pt idx="709">
                  <c:v>82.643393790062433</c:v>
                </c:pt>
                <c:pt idx="710">
                  <c:v>82.590295949859254</c:v>
                </c:pt>
                <c:pt idx="711">
                  <c:v>82.53684515048603</c:v>
                </c:pt>
                <c:pt idx="712">
                  <c:v>82.483038914492198</c:v>
                </c:pt>
                <c:pt idx="713">
                  <c:v>82.428874754113991</c:v>
                </c:pt>
                <c:pt idx="714">
                  <c:v>82.374350171381295</c:v>
                </c:pt>
                <c:pt idx="715">
                  <c:v>82.319462658224168</c:v>
                </c:pt>
                <c:pt idx="716">
                  <c:v>82.264209696576629</c:v>
                </c:pt>
                <c:pt idx="717">
                  <c:v>82.208588758478115</c:v>
                </c:pt>
                <c:pt idx="718">
                  <c:v>82.152597306175281</c:v>
                </c:pt>
                <c:pt idx="719">
                  <c:v>82.096232792219283</c:v>
                </c:pt>
                <c:pt idx="720">
                  <c:v>82.039492659564246</c:v>
                </c:pt>
                <c:pt idx="721">
                  <c:v>81.982374341661625</c:v>
                </c:pt>
                <c:pt idx="722">
                  <c:v>81.924875262554693</c:v>
                </c:pt>
                <c:pt idx="723">
                  <c:v>81.866992836970809</c:v>
                </c:pt>
                <c:pt idx="724">
                  <c:v>81.80872447041186</c:v>
                </c:pt>
                <c:pt idx="725">
                  <c:v>81.750067559243732</c:v>
                </c:pt>
                <c:pt idx="726">
                  <c:v>81.691019490784299</c:v>
                </c:pt>
                <c:pt idx="727">
                  <c:v>81.631577643389591</c:v>
                </c:pt>
                <c:pt idx="728">
                  <c:v>81.571739386539136</c:v>
                </c:pt>
                <c:pt idx="729">
                  <c:v>81.511502080920025</c:v>
                </c:pt>
                <c:pt idx="730">
                  <c:v>81.450863078509059</c:v>
                </c:pt>
                <c:pt idx="731">
                  <c:v>81.38981972265438</c:v>
                </c:pt>
                <c:pt idx="732">
                  <c:v>81.328369348155761</c:v>
                </c:pt>
                <c:pt idx="733">
                  <c:v>81.266509281344213</c:v>
                </c:pt>
                <c:pt idx="734">
                  <c:v>81.204236840159567</c:v>
                </c:pt>
                <c:pt idx="735">
                  <c:v>81.141549334227633</c:v>
                </c:pt>
                <c:pt idx="736">
                  <c:v>81.078444064937202</c:v>
                </c:pt>
                <c:pt idx="737">
                  <c:v>81.014918325515069</c:v>
                </c:pt>
                <c:pt idx="738">
                  <c:v>80.95096940109994</c:v>
                </c:pt>
                <c:pt idx="739">
                  <c:v>80.886594568817515</c:v>
                </c:pt>
                <c:pt idx="740">
                  <c:v>80.821791097852682</c:v>
                </c:pt>
                <c:pt idx="741">
                  <c:v>80.756556249522276</c:v>
                </c:pt>
                <c:pt idx="742">
                  <c:v>80.690887277346917</c:v>
                </c:pt>
                <c:pt idx="743">
                  <c:v>80.624781427121874</c:v>
                </c:pt>
                <c:pt idx="744">
                  <c:v>80.558235936988439</c:v>
                </c:pt>
                <c:pt idx="745">
                  <c:v>80.491248037503894</c:v>
                </c:pt>
                <c:pt idx="746">
                  <c:v>80.423814951710852</c:v>
                </c:pt>
                <c:pt idx="747">
                  <c:v>80.355933895207798</c:v>
                </c:pt>
                <c:pt idx="748">
                  <c:v>80.28760207621697</c:v>
                </c:pt>
                <c:pt idx="749">
                  <c:v>80.218816695654255</c:v>
                </c:pt>
                <c:pt idx="750">
                  <c:v>80.149574947197266</c:v>
                </c:pt>
                <c:pt idx="751">
                  <c:v>80.079874017353205</c:v>
                </c:pt>
                <c:pt idx="752">
                  <c:v>80.009711085528352</c:v>
                </c:pt>
                <c:pt idx="753">
                  <c:v>79.939083324094938</c:v>
                </c:pt>
                <c:pt idx="754">
                  <c:v>79.867987898459532</c:v>
                </c:pt>
                <c:pt idx="755">
                  <c:v>79.796421967130968</c:v>
                </c:pt>
                <c:pt idx="756">
                  <c:v>79.72438268178847</c:v>
                </c:pt>
                <c:pt idx="757">
                  <c:v>79.651867187348344</c:v>
                </c:pt>
                <c:pt idx="758">
                  <c:v>79.578872622034069</c:v>
                </c:pt>
                <c:pt idx="759">
                  <c:v>79.50539611744145</c:v>
                </c:pt>
                <c:pt idx="760">
                  <c:v>79.431434798609075</c:v>
                </c:pt>
                <c:pt idx="761">
                  <c:v>79.356985784085296</c:v>
                </c:pt>
                <c:pt idx="762">
                  <c:v>79.282046185996322</c:v>
                </c:pt>
                <c:pt idx="763">
                  <c:v>79.2066131101152</c:v>
                </c:pt>
                <c:pt idx="764">
                  <c:v>79.130683655930326</c:v>
                </c:pt>
                <c:pt idx="765">
                  <c:v>79.054254916714072</c:v>
                </c:pt>
                <c:pt idx="766">
                  <c:v>78.977323979591119</c:v>
                </c:pt>
                <c:pt idx="767">
                  <c:v>78.899887925609619</c:v>
                </c:pt>
                <c:pt idx="768">
                  <c:v>78.821943829808049</c:v>
                </c:pt>
                <c:pt idx="769">
                  <c:v>78.743488761287352</c:v>
                </c:pt>
                <c:pt idx="770">
                  <c:v>78.664519783278976</c:v>
                </c:pt>
                <c:pt idx="771">
                  <c:v>78.585033953216396</c:v>
                </c:pt>
                <c:pt idx="772">
                  <c:v>78.505028322804776</c:v>
                </c:pt>
                <c:pt idx="773">
                  <c:v>78.424499938092154</c:v>
                </c:pt>
                <c:pt idx="774">
                  <c:v>78.343445839540479</c:v>
                </c:pt>
                <c:pt idx="775">
                  <c:v>78.261863062097063</c:v>
                </c:pt>
                <c:pt idx="776">
                  <c:v>78.17974863526571</c:v>
                </c:pt>
                <c:pt idx="777">
                  <c:v>78.097099583178817</c:v>
                </c:pt>
                <c:pt idx="778">
                  <c:v>78.013912924670237</c:v>
                </c:pt>
                <c:pt idx="779">
                  <c:v>77.930185673346898</c:v>
                </c:pt>
                <c:pt idx="780">
                  <c:v>77.845914837662008</c:v>
                </c:pt>
                <c:pt idx="781">
                  <c:v>77.761097420987582</c:v>
                </c:pt>
                <c:pt idx="782">
                  <c:v>77.675730421688598</c:v>
                </c:pt>
                <c:pt idx="783">
                  <c:v>77.589810833195557</c:v>
                </c:pt>
                <c:pt idx="784">
                  <c:v>77.503335644079172</c:v>
                </c:pt>
                <c:pt idx="785">
                  <c:v>77.416301838123431</c:v>
                </c:pt>
                <c:pt idx="786">
                  <c:v>77.328706394400612</c:v>
                </c:pt>
                <c:pt idx="787">
                  <c:v>77.240546287345481</c:v>
                </c:pt>
                <c:pt idx="788">
                  <c:v>77.151818486829612</c:v>
                </c:pt>
                <c:pt idx="789">
                  <c:v>77.062519958236663</c:v>
                </c:pt>
                <c:pt idx="790">
                  <c:v>76.972647662537</c:v>
                </c:pt>
                <c:pt idx="791">
                  <c:v>76.882198556363164</c:v>
                </c:pt>
                <c:pt idx="792">
                  <c:v>76.79116959208433</c:v>
                </c:pt>
                <c:pt idx="793">
                  <c:v>76.699557717882641</c:v>
                </c:pt>
                <c:pt idx="794">
                  <c:v>76.607359877828145</c:v>
                </c:pt>
                <c:pt idx="795">
                  <c:v>76.514573011953956</c:v>
                </c:pt>
                <c:pt idx="796">
                  <c:v>76.421194056332482</c:v>
                </c:pt>
                <c:pt idx="797">
                  <c:v>76.327219943150482</c:v>
                </c:pt>
                <c:pt idx="798">
                  <c:v>76.232647600784574</c:v>
                </c:pt>
                <c:pt idx="799">
                  <c:v>76.137473953877077</c:v>
                </c:pt>
                <c:pt idx="800">
                  <c:v>76.041695923411282</c:v>
                </c:pt>
                <c:pt idx="801">
                  <c:v>75.945310426787074</c:v>
                </c:pt>
                <c:pt idx="802">
                  <c:v>75.848314377895747</c:v>
                </c:pt>
                <c:pt idx="803">
                  <c:v>75.750704687195409</c:v>
                </c:pt>
                <c:pt idx="804">
                  <c:v>75.65247826178647</c:v>
                </c:pt>
                <c:pt idx="805">
                  <c:v>75.553632005485426</c:v>
                </c:pt>
                <c:pt idx="806">
                  <c:v>75.454162818900556</c:v>
                </c:pt>
                <c:pt idx="807">
                  <c:v>75.354067599505797</c:v>
                </c:pt>
                <c:pt idx="808">
                  <c:v>75.253343241714745</c:v>
                </c:pt>
                <c:pt idx="809">
                  <c:v>75.151986636955073</c:v>
                </c:pt>
                <c:pt idx="810">
                  <c:v>75.049994673741267</c:v>
                </c:pt>
                <c:pt idx="811">
                  <c:v>74.947364237748602</c:v>
                </c:pt>
                <c:pt idx="812">
                  <c:v>74.844092211885766</c:v>
                </c:pt>
                <c:pt idx="813">
                  <c:v>74.740175476366531</c:v>
                </c:pt>
                <c:pt idx="814">
                  <c:v>74.635610908782908</c:v>
                </c:pt>
                <c:pt idx="815">
                  <c:v>74.530395384176202</c:v>
                </c:pt>
                <c:pt idx="816">
                  <c:v>74.424525775107682</c:v>
                </c:pt>
              </c:numCache>
            </c:numRef>
          </c:yVal>
          <c:smooth val="0"/>
          <c:extLst>
            <c:ext xmlns:c16="http://schemas.microsoft.com/office/drawing/2014/chart" uri="{C3380CC4-5D6E-409C-BE32-E72D297353CC}">
              <c16:uniqueId val="{00000002-5A1F-44BD-8E40-5DD6ED427E24}"/>
            </c:ext>
          </c:extLst>
        </c:ser>
        <c:ser>
          <c:idx val="3"/>
          <c:order val="3"/>
          <c:tx>
            <c:v>tief, Gemisch</c:v>
          </c:tx>
          <c:spPr>
            <a:ln w="28575">
              <a:solidFill>
                <a:srgbClr val="CA220E"/>
              </a:solidFill>
              <a:prstDash val="solid"/>
            </a:ln>
          </c:spPr>
          <c:marker>
            <c:symbol val="none"/>
          </c:marker>
          <c:xVal>
            <c:numRef>
              <c:f>Diagrammdaten!$AY$5:$AY$781</c:f>
              <c:numCache>
                <c:formatCode>0.0</c:formatCode>
                <c:ptCount val="777"/>
                <c:pt idx="0">
                  <c:v>52.15</c:v>
                </c:pt>
                <c:pt idx="1">
                  <c:v>52.009580117877327</c:v>
                </c:pt>
                <c:pt idx="2">
                  <c:v>51.869571437404687</c:v>
                </c:pt>
                <c:pt idx="3">
                  <c:v>51.729954301891347</c:v>
                </c:pt>
                <c:pt idx="4">
                  <c:v>51.590708767989121</c:v>
                </c:pt>
                <c:pt idx="5">
                  <c:v>51.451814588184639</c:v>
                </c:pt>
                <c:pt idx="6">
                  <c:v>51.3132511913131</c:v>
                </c:pt>
                <c:pt idx="7">
                  <c:v>51.174997661965399</c:v>
                </c:pt>
                <c:pt idx="8">
                  <c:v>51.037032718704573</c:v>
                </c:pt>
                <c:pt idx="9">
                  <c:v>50.899334690989889</c:v>
                </c:pt>
                <c:pt idx="10">
                  <c:v>50.76188149473122</c:v>
                </c:pt>
                <c:pt idx="11">
                  <c:v>50.624650606344026</c:v>
                </c:pt>
                <c:pt idx="12">
                  <c:v>50.48761903520478</c:v>
                </c:pt>
                <c:pt idx="13">
                  <c:v>50.350763294372442</c:v>
                </c:pt>
                <c:pt idx="14">
                  <c:v>50.214059369432483</c:v>
                </c:pt>
                <c:pt idx="15">
                  <c:v>50.077482685321733</c:v>
                </c:pt>
                <c:pt idx="16">
                  <c:v>49.941008070953657</c:v>
                </c:pt>
                <c:pt idx="17">
                  <c:v>49.804609721465702</c:v>
                </c:pt>
                <c:pt idx="18">
                  <c:v>49.668261157887848</c:v>
                </c:pt>
                <c:pt idx="19">
                  <c:v>49.531935184005498</c:v>
                </c:pt>
                <c:pt idx="20">
                  <c:v>49.395603840170388</c:v>
                </c:pt>
                <c:pt idx="21">
                  <c:v>49.259238353790487</c:v>
                </c:pt>
                <c:pt idx="22">
                  <c:v>49.122809086193783</c:v>
                </c:pt>
                <c:pt idx="23">
                  <c:v>48.986285475537947</c:v>
                </c:pt>
                <c:pt idx="24">
                  <c:v>48.849635975391678</c:v>
                </c:pt>
                <c:pt idx="25">
                  <c:v>48.712827988578447</c:v>
                </c:pt>
                <c:pt idx="26">
                  <c:v>48.575827795826967</c:v>
                </c:pt>
                <c:pt idx="27">
                  <c:v>48.438600478714307</c:v>
                </c:pt>
                <c:pt idx="28">
                  <c:v>48.301109836332557</c:v>
                </c:pt>
                <c:pt idx="29">
                  <c:v>48.163318295047681</c:v>
                </c:pt>
                <c:pt idx="30">
                  <c:v>48.025186810624518</c:v>
                </c:pt>
                <c:pt idx="31">
                  <c:v>47.886674761918101</c:v>
                </c:pt>
                <c:pt idx="32">
                  <c:v>47.747739835230398</c:v>
                </c:pt>
                <c:pt idx="33">
                  <c:v>47.608337898303603</c:v>
                </c:pt>
                <c:pt idx="34">
                  <c:v>47.468422862796487</c:v>
                </c:pt>
                <c:pt idx="35">
                  <c:v>47.328552001966052</c:v>
                </c:pt>
                <c:pt idx="36">
                  <c:v>47.190405267101227</c:v>
                </c:pt>
                <c:pt idx="37">
                  <c:v>47.054052439855482</c:v>
                </c:pt>
                <c:pt idx="38">
                  <c:v>46.919474223293278</c:v>
                </c:pt>
                <c:pt idx="39">
                  <c:v>46.786651493250638</c:v>
                </c:pt>
                <c:pt idx="40">
                  <c:v>46.655565297626893</c:v>
                </c:pt>
                <c:pt idx="41">
                  <c:v>46.526196855665873</c:v>
                </c:pt>
                <c:pt idx="42">
                  <c:v>46.398527557225982</c:v>
                </c:pt>
                <c:pt idx="43">
                  <c:v>46.272538962034403</c:v>
                </c:pt>
                <c:pt idx="44">
                  <c:v>46.148212798932917</c:v>
                </c:pt>
                <c:pt idx="45">
                  <c:v>46.02553096510907</c:v>
                </c:pt>
                <c:pt idx="46">
                  <c:v>45.904475525312137</c:v>
                </c:pt>
                <c:pt idx="47">
                  <c:v>45.785028711058523</c:v>
                </c:pt>
                <c:pt idx="48">
                  <c:v>45.667172919819578</c:v>
                </c:pt>
                <c:pt idx="49">
                  <c:v>45.550890714197607</c:v>
                </c:pt>
                <c:pt idx="50">
                  <c:v>45.43616482108515</c:v>
                </c:pt>
                <c:pt idx="51">
                  <c:v>45.322978130812317</c:v>
                </c:pt>
                <c:pt idx="52">
                  <c:v>45.211313696278133</c:v>
                </c:pt>
                <c:pt idx="53">
                  <c:v>45.101154732066952</c:v>
                </c:pt>
                <c:pt idx="54">
                  <c:v>44.992484613550431</c:v>
                </c:pt>
                <c:pt idx="55">
                  <c:v>44.885286875977762</c:v>
                </c:pt>
                <c:pt idx="56">
                  <c:v>44.779545213548573</c:v>
                </c:pt>
                <c:pt idx="57">
                  <c:v>44.67524347847251</c:v>
                </c:pt>
                <c:pt idx="58">
                  <c:v>44.572365680018343</c:v>
                </c:pt>
                <c:pt idx="59">
                  <c:v>44.470895983544963</c:v>
                </c:pt>
                <c:pt idx="60">
                  <c:v>44.370818709523391</c:v>
                </c:pt>
                <c:pt idx="61">
                  <c:v>44.272118332544302</c:v>
                </c:pt>
                <c:pt idx="62">
                  <c:v>44.174779480312118</c:v>
                </c:pt>
                <c:pt idx="63">
                  <c:v>44.078786932631672</c:v>
                </c:pt>
                <c:pt idx="64">
                  <c:v>43.984125620377817</c:v>
                </c:pt>
                <c:pt idx="65">
                  <c:v>43.890780624458372</c:v>
                </c:pt>
                <c:pt idx="66">
                  <c:v>43.798737174764362</c:v>
                </c:pt>
                <c:pt idx="67">
                  <c:v>43.707980649111462</c:v>
                </c:pt>
                <c:pt idx="68">
                  <c:v>43.618496572170898</c:v>
                </c:pt>
                <c:pt idx="69">
                  <c:v>43.530270614392677</c:v>
                </c:pt>
                <c:pt idx="70">
                  <c:v>43.443288590918371</c:v>
                </c:pt>
                <c:pt idx="71">
                  <c:v>43.357536460488667</c:v>
                </c:pt>
                <c:pt idx="72">
                  <c:v>43.273000324340579</c:v>
                </c:pt>
                <c:pt idx="73">
                  <c:v>43.189666425100057</c:v>
                </c:pt>
                <c:pt idx="74">
                  <c:v>43.107521145666283</c:v>
                </c:pt>
                <c:pt idx="75">
                  <c:v>43.026551008094231</c:v>
                </c:pt>
                <c:pt idx="76">
                  <c:v>42.946742672464033</c:v>
                </c:pt>
                <c:pt idx="77">
                  <c:v>42.868082935754927</c:v>
                </c:pt>
                <c:pt idx="78">
                  <c:v>42.790558730708618</c:v>
                </c:pt>
                <c:pt idx="79">
                  <c:v>42.714157124690551</c:v>
                </c:pt>
                <c:pt idx="80">
                  <c:v>42.638865318549442</c:v>
                </c:pt>
                <c:pt idx="81">
                  <c:v>42.564670645472212</c:v>
                </c:pt>
                <c:pt idx="82">
                  <c:v>42.491560569838313</c:v>
                </c:pt>
                <c:pt idx="83">
                  <c:v>42.419522686071161</c:v>
                </c:pt>
                <c:pt idx="84">
                  <c:v>42.348544717488728</c:v>
                </c:pt>
                <c:pt idx="85">
                  <c:v>42.278614515154672</c:v>
                </c:pt>
                <c:pt idx="86">
                  <c:v>42.20972005672656</c:v>
                </c:pt>
                <c:pt idx="87">
                  <c:v>42.141849445307578</c:v>
                </c:pt>
                <c:pt idx="88">
                  <c:v>42.074990908296627</c:v>
                </c:pt>
                <c:pt idx="89">
                  <c:v>42.009132796240188</c:v>
                </c:pt>
                <c:pt idx="90">
                  <c:v>41.944263581685618</c:v>
                </c:pt>
                <c:pt idx="91">
                  <c:v>41.880371858037378</c:v>
                </c:pt>
                <c:pt idx="92">
                  <c:v>41.817446338413532</c:v>
                </c:pt>
                <c:pt idx="93">
                  <c:v>41.75547585450829</c:v>
                </c:pt>
                <c:pt idx="94">
                  <c:v>41.694449355452711</c:v>
                </c:pt>
                <c:pt idx="95">
                  <c:v>41.634355906685293</c:v>
                </c:pt>
                <c:pt idx="96">
                  <c:v>41.575184688820237</c:v>
                </c:pt>
                <c:pt idx="97">
                  <c:v>41.516924996523493</c:v>
                </c:pt>
                <c:pt idx="98">
                  <c:v>41.459566237393346</c:v>
                </c:pt>
                <c:pt idx="99">
                  <c:v>41.403097930843707</c:v>
                </c:pt>
                <c:pt idx="100">
                  <c:v>41.347509706994153</c:v>
                </c:pt>
                <c:pt idx="101">
                  <c:v>41.292791305564613</c:v>
                </c:pt>
                <c:pt idx="102">
                  <c:v>41.238932574776292</c:v>
                </c:pt>
                <c:pt idx="103">
                  <c:v>41.185923470259127</c:v>
                </c:pt>
                <c:pt idx="104">
                  <c:v>41.133754053963258</c:v>
                </c:pt>
                <c:pt idx="105">
                  <c:v>41.082414493077962</c:v>
                </c:pt>
                <c:pt idx="106">
                  <c:v>41.031895058959343</c:v>
                </c:pt>
                <c:pt idx="107">
                  <c:v>40.982186126060917</c:v>
                </c:pt>
                <c:pt idx="108">
                  <c:v>40.933278170874928</c:v>
                </c:pt>
                <c:pt idx="109">
                  <c:v>40.885161770878753</c:v>
                </c:pt>
                <c:pt idx="110">
                  <c:v>40.837827603488563</c:v>
                </c:pt>
                <c:pt idx="111">
                  <c:v>40.791266445023048</c:v>
                </c:pt>
                <c:pt idx="112">
                  <c:v>40.74546916967131</c:v>
                </c:pt>
                <c:pt idx="113">
                  <c:v>40.700426748472367</c:v>
                </c:pt>
                <c:pt idx="114">
                  <c:v>40.656130248298503</c:v>
                </c:pt>
                <c:pt idx="115">
                  <c:v>40.61257083085134</c:v>
                </c:pt>
                <c:pt idx="116">
                  <c:v>40.569739751662667</c:v>
                </c:pt>
                <c:pt idx="117">
                  <c:v>40.527628359106259</c:v>
                </c:pt>
                <c:pt idx="118">
                  <c:v>40.486228093414788</c:v>
                </c:pt>
                <c:pt idx="119">
                  <c:v>40.445530485708623</c:v>
                </c:pt>
                <c:pt idx="120">
                  <c:v>40.40552715703231</c:v>
                </c:pt>
                <c:pt idx="121">
                  <c:v>40.366209817399543</c:v>
                </c:pt>
                <c:pt idx="122">
                  <c:v>40.327570264845669</c:v>
                </c:pt>
                <c:pt idx="123">
                  <c:v>40.289600384491649</c:v>
                </c:pt>
                <c:pt idx="124">
                  <c:v>40.252292147615243</c:v>
                </c:pt>
                <c:pt idx="125">
                  <c:v>40.215637610730802</c:v>
                </c:pt>
                <c:pt idx="126">
                  <c:v>40.179628914679817</c:v>
                </c:pt>
                <c:pt idx="127">
                  <c:v>40.14425828372822</c:v>
                </c:pt>
                <c:pt idx="128">
                  <c:v>40.109518024675637</c:v>
                </c:pt>
                <c:pt idx="129">
                  <c:v>40.07540052596962</c:v>
                </c:pt>
                <c:pt idx="130">
                  <c:v>40.041898256833562</c:v>
                </c:pt>
                <c:pt idx="131">
                  <c:v>40.009003766400852</c:v>
                </c:pt>
                <c:pt idx="132">
                  <c:v>39.976709682857319</c:v>
                </c:pt>
                <c:pt idx="133">
                  <c:v>39.945008712596781</c:v>
                </c:pt>
                <c:pt idx="134">
                  <c:v>39.913893639381271</c:v>
                </c:pt>
                <c:pt idx="135">
                  <c:v>39.88335732351289</c:v>
                </c:pt>
                <c:pt idx="136">
                  <c:v>39.853392701013952</c:v>
                </c:pt>
                <c:pt idx="137">
                  <c:v>39.823992782816482</c:v>
                </c:pt>
                <c:pt idx="138">
                  <c:v>39.795150653960427</c:v>
                </c:pt>
                <c:pt idx="139">
                  <c:v>39.766859472801443</c:v>
                </c:pt>
                <c:pt idx="140">
                  <c:v>39.739112470226168</c:v>
                </c:pt>
                <c:pt idx="141">
                  <c:v>39.711902948879441</c:v>
                </c:pt>
                <c:pt idx="142">
                  <c:v>39.685224282396582</c:v>
                </c:pt>
                <c:pt idx="143">
                  <c:v>39.659069914647823</c:v>
                </c:pt>
                <c:pt idx="144">
                  <c:v>39.633433358989933</c:v>
                </c:pt>
                <c:pt idx="145">
                  <c:v>39.608308197527563</c:v>
                </c:pt>
                <c:pt idx="146">
                  <c:v>39.5836880803814</c:v>
                </c:pt>
                <c:pt idx="147">
                  <c:v>39.559566724968192</c:v>
                </c:pt>
                <c:pt idx="148">
                  <c:v>39.535937915287349</c:v>
                </c:pt>
                <c:pt idx="149">
                  <c:v>39.512795501215969</c:v>
                </c:pt>
                <c:pt idx="150">
                  <c:v>39.490133397812983</c:v>
                </c:pt>
                <c:pt idx="151">
                  <c:v>39.467945584633412</c:v>
                </c:pt>
                <c:pt idx="152">
                  <c:v>39.446226105048012</c:v>
                </c:pt>
                <c:pt idx="153">
                  <c:v>39.424969065574153</c:v>
                </c:pt>
                <c:pt idx="154">
                  <c:v>39.404168635212677</c:v>
                </c:pt>
                <c:pt idx="155">
                  <c:v>39.383819044795473</c:v>
                </c:pt>
                <c:pt idx="156">
                  <c:v>39.363914586339853</c:v>
                </c:pt>
                <c:pt idx="157">
                  <c:v>39.34444961241077</c:v>
                </c:pt>
                <c:pt idx="158">
                  <c:v>39.325418535492069</c:v>
                </c:pt>
                <c:pt idx="159">
                  <c:v>39.306815827367011</c:v>
                </c:pt>
                <c:pt idx="160">
                  <c:v>39.288636018502388</c:v>
                </c:pt>
                <c:pt idx="161">
                  <c:v>39.270873697446547</c:v>
                </c:pt>
                <c:pt idx="162">
                  <c:v>39.25352351023124</c:v>
                </c:pt>
                <c:pt idx="163">
                  <c:v>39.236580159781028</c:v>
                </c:pt>
                <c:pt idx="164">
                  <c:v>39.22003840533462</c:v>
                </c:pt>
                <c:pt idx="165">
                  <c:v>39.203893061868271</c:v>
                </c:pt>
                <c:pt idx="166">
                  <c:v>39.188138999532221</c:v>
                </c:pt>
                <c:pt idx="167">
                  <c:v>39.172771143089079</c:v>
                </c:pt>
                <c:pt idx="168">
                  <c:v>39.157784471365773</c:v>
                </c:pt>
                <c:pt idx="169">
                  <c:v>39.143174016708002</c:v>
                </c:pt>
                <c:pt idx="170">
                  <c:v>39.12893486444468</c:v>
                </c:pt>
                <c:pt idx="171">
                  <c:v>39.115062152357709</c:v>
                </c:pt>
                <c:pt idx="172">
                  <c:v>39.10155107016115</c:v>
                </c:pt>
                <c:pt idx="173">
                  <c:v>39.088396858985867</c:v>
                </c:pt>
                <c:pt idx="174">
                  <c:v>39.075594810872268</c:v>
                </c:pt>
                <c:pt idx="175">
                  <c:v>39.063140268268242</c:v>
                </c:pt>
                <c:pt idx="176">
                  <c:v>39.051028623535878</c:v>
                </c:pt>
                <c:pt idx="177">
                  <c:v>39.039255318465038</c:v>
                </c:pt>
                <c:pt idx="178">
                  <c:v>39.027815843790933</c:v>
                </c:pt>
                <c:pt idx="179">
                  <c:v>39.016705738721328</c:v>
                </c:pt>
                <c:pt idx="180">
                  <c:v>39.005920590469131</c:v>
                </c:pt>
                <c:pt idx="181">
                  <c:v>38.995456033790518</c:v>
                </c:pt>
                <c:pt idx="182">
                  <c:v>38.985307750530801</c:v>
                </c:pt>
                <c:pt idx="183">
                  <c:v>38.97547146917524</c:v>
                </c:pt>
                <c:pt idx="184">
                  <c:v>38.965942964407787</c:v>
                </c:pt>
                <c:pt idx="185">
                  <c:v>38.956718056673111</c:v>
                </c:pt>
                <c:pt idx="186">
                  <c:v>38.947792611747687</c:v>
                </c:pt>
                <c:pt idx="187">
                  <c:v>38.939162540313433</c:v>
                </c:pt>
                <c:pt idx="188">
                  <c:v>38.930823797540079</c:v>
                </c:pt>
                <c:pt idx="189">
                  <c:v>38.922772382670423</c:v>
                </c:pt>
                <c:pt idx="190">
                  <c:v>38.915004338613947</c:v>
                </c:pt>
                <c:pt idx="191">
                  <c:v>38.907515751542647</c:v>
                </c:pt>
                <c:pt idx="192">
                  <c:v>38.900302750494987</c:v>
                </c:pt>
                <c:pt idx="193">
                  <c:v>38.893361506982018</c:v>
                </c:pt>
                <c:pt idx="194">
                  <c:v>38.886688234602268</c:v>
                </c:pt>
                <c:pt idx="195">
                  <c:v>38.880279188657802</c:v>
                </c:pt>
                <c:pt idx="196">
                  <c:v>38.874130665777038</c:v>
                </c:pt>
                <c:pt idx="197">
                  <c:v>38.868239003541483</c:v>
                </c:pt>
                <c:pt idx="198">
                  <c:v>38.862600580118119</c:v>
                </c:pt>
                <c:pt idx="199">
                  <c:v>38.857211813894793</c:v>
                </c:pt>
                <c:pt idx="200">
                  <c:v>38.852069163119467</c:v>
                </c:pt>
                <c:pt idx="201">
                  <c:v>38.847169125546152</c:v>
                </c:pt>
                <c:pt idx="202">
                  <c:v>38.842508238081876</c:v>
                </c:pt>
                <c:pt idx="203">
                  <c:v>38.838083076439091</c:v>
                </c:pt>
                <c:pt idx="204">
                  <c:v>38.833890254792173</c:v>
                </c:pt>
                <c:pt idx="205">
                  <c:v>38.829926425434678</c:v>
                </c:pt>
                <c:pt idx="206">
                  <c:v>38.826188278444818</c:v>
                </c:pt>
                <c:pt idx="207">
                  <c:v>38.822672541349668</c:v>
                </c:pt>
                <c:pt idx="208">
                  <c:v>38.81937597879508</c:v>
                </c:pt>
                <c:pt idx="209">
                  <c:v>38.816295392217569</c:v>
                </c:pt>
                <c:pt idx="210">
                  <c:v>38.813427619520553</c:v>
                </c:pt>
                <c:pt idx="211">
                  <c:v>38.810769534750378</c:v>
                </c:pt>
                <c:pt idx="212">
                  <c:v>38.808318047779217</c:v>
                </c:pt>
                <c:pt idx="213">
                  <c:v>38.806070103986457</c:v>
                </c:pt>
                <c:pt idx="214">
                  <c:v>38.804022683944552</c:v>
                </c:pt>
                <c:pt idx="215">
                  <c:v>38.802172803107403</c:v>
                </c:pt>
                <c:pt idx="216">
                  <c:v>38.800517511499258</c:v>
                </c:pt>
                <c:pt idx="217">
                  <c:v>38.799053893407198</c:v>
                </c:pt>
                <c:pt idx="218">
                  <c:v>38.797779067074913</c:v>
                </c:pt>
                <c:pt idx="219">
                  <c:v>38.796690184397391</c:v>
                </c:pt>
                <c:pt idx="220">
                  <c:v>38.795784430619271</c:v>
                </c:pt>
                <c:pt idx="221">
                  <c:v>38.795059024032767</c:v>
                </c:pt>
                <c:pt idx="222">
                  <c:v>38.794511215677637</c:v>
                </c:pt>
                <c:pt idx="223">
                  <c:v>38.794138358396772</c:v>
                </c:pt>
                <c:pt idx="224">
                  <c:v>38.793937589038592</c:v>
                </c:pt>
                <c:pt idx="225">
                  <c:v>38.793906365303471</c:v>
                </c:pt>
                <c:pt idx="226">
                  <c:v>38.794042066245503</c:v>
                </c:pt>
                <c:pt idx="227">
                  <c:v>38.794342102185027</c:v>
                </c:pt>
                <c:pt idx="228">
                  <c:v>38.794804038037292</c:v>
                </c:pt>
                <c:pt idx="229">
                  <c:v>38.795425134866001</c:v>
                </c:pt>
                <c:pt idx="230">
                  <c:v>38.796202981594398</c:v>
                </c:pt>
                <c:pt idx="231">
                  <c:v>38.797135110693411</c:v>
                </c:pt>
                <c:pt idx="232">
                  <c:v>38.798219084443119</c:v>
                </c:pt>
                <c:pt idx="233">
                  <c:v>38.799452494643901</c:v>
                </c:pt>
                <c:pt idx="234">
                  <c:v>38.800832962325927</c:v>
                </c:pt>
                <c:pt idx="235">
                  <c:v>38.802358137461979</c:v>
                </c:pt>
                <c:pt idx="236">
                  <c:v>38.804025698678878</c:v>
                </c:pt>
                <c:pt idx="237">
                  <c:v>38.805833352970303</c:v>
                </c:pt>
                <c:pt idx="238">
                  <c:v>38.80777883540911</c:v>
                </c:pt>
                <c:pt idx="239">
                  <c:v>38.809859908861483</c:v>
                </c:pt>
                <c:pt idx="240">
                  <c:v>38.812074363700233</c:v>
                </c:pt>
                <c:pt idx="241">
                  <c:v>38.814420017519232</c:v>
                </c:pt>
                <c:pt idx="242">
                  <c:v>38.816894714847393</c:v>
                </c:pt>
                <c:pt idx="243">
                  <c:v>38.819496326864353</c:v>
                </c:pt>
                <c:pt idx="244">
                  <c:v>38.82222275111625</c:v>
                </c:pt>
                <c:pt idx="245">
                  <c:v>38.825071911230452</c:v>
                </c:pt>
                <c:pt idx="246">
                  <c:v>38.828041756633198</c:v>
                </c:pt>
                <c:pt idx="247">
                  <c:v>38.831130262266292</c:v>
                </c:pt>
                <c:pt idx="248">
                  <c:v>38.834335428303618</c:v>
                </c:pt>
                <c:pt idx="249">
                  <c:v>38.837655279870347</c:v>
                </c:pt>
                <c:pt idx="250">
                  <c:v>38.841087866761669</c:v>
                </c:pt>
                <c:pt idx="251">
                  <c:v>38.844631263160657</c:v>
                </c:pt>
                <c:pt idx="252">
                  <c:v>38.848283567360731</c:v>
                </c:pt>
                <c:pt idx="253">
                  <c:v>38.852042901484729</c:v>
                </c:pt>
                <c:pt idx="254">
                  <c:v>38.855907411206978</c:v>
                </c:pt>
                <c:pt idx="255">
                  <c:v>38.859875265477257</c:v>
                </c:pt>
                <c:pt idx="256">
                  <c:v>38.86394465624204</c:v>
                </c:pt>
                <c:pt idx="257">
                  <c:v>38.868113798172047</c:v>
                </c:pt>
                <c:pt idx="258">
                  <c:v>38.872380928385248</c:v>
                </c:pt>
                <c:pt idx="259">
                  <c:v>38.876744306176107</c:v>
                </c:pt>
                <c:pt idx="260">
                  <c:v>38.881202212742693</c:v>
                </c:pt>
                <c:pt idx="261">
                  <c:v>38.885752950916732</c:v>
                </c:pt>
                <c:pt idx="262">
                  <c:v>38.890394844893663</c:v>
                </c:pt>
                <c:pt idx="263">
                  <c:v>38.895126239966821</c:v>
                </c:pt>
                <c:pt idx="264">
                  <c:v>38.8999455022606</c:v>
                </c:pt>
                <c:pt idx="265">
                  <c:v>38.904851018465934</c:v>
                </c:pt>
                <c:pt idx="266">
                  <c:v>38.909841195578323</c:v>
                </c:pt>
                <c:pt idx="267">
                  <c:v>38.914914460637497</c:v>
                </c:pt>
                <c:pt idx="268">
                  <c:v>38.920069260468189</c:v>
                </c:pt>
                <c:pt idx="269">
                  <c:v>38.925304061423233</c:v>
                </c:pt>
                <c:pt idx="270">
                  <c:v>38.930617349129761</c:v>
                </c:pt>
                <c:pt idx="271">
                  <c:v>38.936007628236027</c:v>
                </c:pt>
                <c:pt idx="272">
                  <c:v>38.941473422161643</c:v>
                </c:pt>
                <c:pt idx="273">
                  <c:v>38.947013272848743</c:v>
                </c:pt>
                <c:pt idx="274">
                  <c:v>38.952625740518442</c:v>
                </c:pt>
                <c:pt idx="275">
                  <c:v>38.958309403425758</c:v>
                </c:pt>
                <c:pt idx="276">
                  <c:v>38.964062857619879</c:v>
                </c:pt>
                <c:pt idx="277">
                  <c:v>38.969884716707327</c:v>
                </c:pt>
                <c:pt idx="278">
                  <c:v>38.975773611614713</c:v>
                </c:pt>
                <c:pt idx="279">
                  <c:v>38.981728190358638</c:v>
                </c:pt>
                <c:pt idx="280">
                  <c:v>38.987747117815047</c:v>
                </c:pt>
                <c:pt idx="281">
                  <c:v>38.99382907549154</c:v>
                </c:pt>
                <c:pt idx="282">
                  <c:v>38.999972761306637</c:v>
                </c:pt>
                <c:pt idx="283">
                  <c:v>39.00617688936623</c:v>
                </c:pt>
                <c:pt idx="284">
                  <c:v>39.012440189746727</c:v>
                </c:pt>
                <c:pt idx="285">
                  <c:v>39.018761408282273</c:v>
                </c:pt>
                <c:pt idx="286">
                  <c:v>39.025139306350987</c:v>
                </c:pt>
                <c:pt idx="287">
                  <c:v>39.031572660669191</c:v>
                </c:pt>
                <c:pt idx="288">
                  <c:v>39.038060263084382</c:v>
                </c:pt>
                <c:pt idx="289">
                  <c:v>39.04460092037624</c:v>
                </c:pt>
                <c:pt idx="290">
                  <c:v>39.051193454056623</c:v>
                </c:pt>
                <c:pt idx="291">
                  <c:v>39.057836700174988</c:v>
                </c:pt>
                <c:pt idx="292">
                  <c:v>39.064529509129073</c:v>
                </c:pt>
                <c:pt idx="293">
                  <c:v>39.071270745473988</c:v>
                </c:pt>
                <c:pt idx="294">
                  <c:v>39.078059287740253</c:v>
                </c:pt>
                <c:pt idx="295">
                  <c:v>39.084894028251767</c:v>
                </c:pt>
                <c:pt idx="296">
                  <c:v>39.091773872948579</c:v>
                </c:pt>
                <c:pt idx="297">
                  <c:v>39.098697741213577</c:v>
                </c:pt>
                <c:pt idx="298">
                  <c:v>39.105664565700351</c:v>
                </c:pt>
                <c:pt idx="299">
                  <c:v>39.112673292169283</c:v>
                </c:pt>
                <c:pt idx="300">
                  <c:v>39.119722879321749</c:v>
                </c:pt>
                <c:pt idx="301">
                  <c:v>39.126812298641283</c:v>
                </c:pt>
                <c:pt idx="302">
                  <c:v>39.133940534237567</c:v>
                </c:pt>
                <c:pt idx="303">
                  <c:v>39.141106582694199</c:v>
                </c:pt>
                <c:pt idx="304">
                  <c:v>39.148309452917687</c:v>
                </c:pt>
                <c:pt idx="305">
                  <c:v>39.155548165994809</c:v>
                </c:pt>
                <c:pt idx="306">
                  <c:v>39.162821755047823</c:v>
                </c:pt>
                <c:pt idx="307">
                  <c:v>39.170129265096513</c:v>
                </c:pt>
                <c:pt idx="308">
                  <c:v>39.177469752924793</c:v>
                </c:pt>
                <c:pt idx="309">
                  <c:v>39.184842286946257</c:v>
                </c:pt>
                <c:pt idx="310">
                  <c:v>39.192245947077907</c:v>
                </c:pt>
                <c:pt idx="311">
                  <c:v>39.199679824614428</c:v>
                </c:pt>
                <c:pt idx="312">
                  <c:v>39.207143022106557</c:v>
                </c:pt>
                <c:pt idx="313">
                  <c:v>39.214634653243159</c:v>
                </c:pt>
                <c:pt idx="314">
                  <c:v>39.222153842735523</c:v>
                </c:pt>
                <c:pt idx="315">
                  <c:v>39.229699726206853</c:v>
                </c:pt>
                <c:pt idx="316">
                  <c:v>39.237271450082453</c:v>
                </c:pt>
                <c:pt idx="317">
                  <c:v>39.244868171484548</c:v>
                </c:pt>
                <c:pt idx="318">
                  <c:v>39.252489058131083</c:v>
                </c:pt>
                <c:pt idx="319">
                  <c:v>39.260133288234599</c:v>
                </c:pt>
                <c:pt idx="320">
                  <c:v>39.267800050407729</c:v>
                </c:pt>
                <c:pt idx="321">
                  <c:v>39.275488543568741</c:v>
                </c:pt>
                <c:pt idx="322">
                  <c:v>39.283197976851483</c:v>
                </c:pt>
                <c:pt idx="323">
                  <c:v>39.290927569517407</c:v>
                </c:pt>
                <c:pt idx="324">
                  <c:v>39.298676550872727</c:v>
                </c:pt>
                <c:pt idx="325">
                  <c:v>39.306444160182501</c:v>
                </c:pt>
                <c:pt idx="326">
                  <c:v>39.314229646595123</c:v>
                </c:pt>
                <c:pt idx="327">
                  <c:v>39.322032269063001</c:v>
                </c:pt>
                <c:pt idx="328">
                  <c:v>39.329851296269112</c:v>
                </c:pt>
                <c:pt idx="329">
                  <c:v>39.337686006555117</c:v>
                </c:pt>
                <c:pt idx="330">
                  <c:v>39.345535687852077</c:v>
                </c:pt>
                <c:pt idx="331">
                  <c:v>39.353399637612533</c:v>
                </c:pt>
                <c:pt idx="332">
                  <c:v>39.361277162746582</c:v>
                </c:pt>
                <c:pt idx="333">
                  <c:v>39.369167579558777</c:v>
                </c:pt>
                <c:pt idx="334">
                  <c:v>39.377070213687517</c:v>
                </c:pt>
                <c:pt idx="335">
                  <c:v>39.384984400046207</c:v>
                </c:pt>
                <c:pt idx="336">
                  <c:v>39.392909482767919</c:v>
                </c:pt>
                <c:pt idx="337">
                  <c:v>39.400844815149142</c:v>
                </c:pt>
                <c:pt idx="338">
                  <c:v>39.40878975959842</c:v>
                </c:pt>
                <c:pt idx="339">
                  <c:v>39.416743687584663</c:v>
                </c:pt>
                <c:pt idx="340">
                  <c:v>39.424705979587387</c:v>
                </c:pt>
                <c:pt idx="341">
                  <c:v>39.43267602505</c:v>
                </c:pt>
                <c:pt idx="342">
                  <c:v>39.440653222333196</c:v>
                </c:pt>
                <c:pt idx="343">
                  <c:v>39.44863697867001</c:v>
                </c:pt>
                <c:pt idx="344">
                  <c:v>39.456626710122848</c:v>
                </c:pt>
                <c:pt idx="345">
                  <c:v>39.464621841541479</c:v>
                </c:pt>
                <c:pt idx="346">
                  <c:v>39.472621806522092</c:v>
                </c:pt>
                <c:pt idx="347">
                  <c:v>39.480626047368929</c:v>
                </c:pt>
                <c:pt idx="348">
                  <c:v>39.488634015054153</c:v>
                </c:pt>
                <c:pt idx="349">
                  <c:v>39.496645169181967</c:v>
                </c:pt>
                <c:pt idx="350">
                  <c:v>39.504658977952268</c:v>
                </c:pt>
                <c:pt idx="351">
                  <c:v>39.512674918124347</c:v>
                </c:pt>
                <c:pt idx="352">
                  <c:v>39.520692474982717</c:v>
                </c:pt>
                <c:pt idx="353">
                  <c:v>39.528711142304807</c:v>
                </c:pt>
                <c:pt idx="354">
                  <c:v>39.536730422325682</c:v>
                </c:pt>
                <c:pt idx="355">
                  <c:v>39.544749825707648</c:v>
                </c:pt>
                <c:pt idx="356">
                  <c:v>39.552768871507723</c:v>
                </c:pt>
                <c:pt idx="357">
                  <c:v>39.560787087146558</c:v>
                </c:pt>
                <c:pt idx="358">
                  <c:v>39.568804008378713</c:v>
                </c:pt>
                <c:pt idx="359">
                  <c:v>39.576819179261129</c:v>
                </c:pt>
                <c:pt idx="360">
                  <c:v>39.584832152124307</c:v>
                </c:pt>
                <c:pt idx="361">
                  <c:v>39.592842487543322</c:v>
                </c:pt>
                <c:pt idx="362">
                  <c:v>39.600849754308022</c:v>
                </c:pt>
                <c:pt idx="363">
                  <c:v>39.608853529394437</c:v>
                </c:pt>
                <c:pt idx="364">
                  <c:v>39.616853397936659</c:v>
                </c:pt>
                <c:pt idx="365">
                  <c:v>39.624848953198217</c:v>
                </c:pt>
                <c:pt idx="366">
                  <c:v>39.632839796544289</c:v>
                </c:pt>
                <c:pt idx="367">
                  <c:v>39.64082553741293</c:v>
                </c:pt>
                <c:pt idx="368">
                  <c:v>39.648805793288084</c:v>
                </c:pt>
                <c:pt idx="369">
                  <c:v>39.656780189671643</c:v>
                </c:pt>
                <c:pt idx="370">
                  <c:v>39.66474836005542</c:v>
                </c:pt>
                <c:pt idx="371">
                  <c:v>39.672709945893828</c:v>
                </c:pt>
                <c:pt idx="372">
                  <c:v>39.680664596576378</c:v>
                </c:pt>
                <c:pt idx="373">
                  <c:v>39.688611969399872</c:v>
                </c:pt>
                <c:pt idx="374">
                  <c:v>39.696551729542072</c:v>
                </c:pt>
                <c:pt idx="375">
                  <c:v>39.704483550034233</c:v>
                </c:pt>
                <c:pt idx="376">
                  <c:v>39.712407111732851</c:v>
                </c:pt>
                <c:pt idx="377">
                  <c:v>39.720322103295068</c:v>
                </c:pt>
                <c:pt idx="378">
                  <c:v>39.72822822115026</c:v>
                </c:pt>
                <c:pt idx="379">
                  <c:v>39.736125169475173</c:v>
                </c:pt>
                <c:pt idx="380">
                  <c:v>39.744012660168657</c:v>
                </c:pt>
                <c:pt idx="381">
                  <c:v>39.751890412824572</c:v>
                </c:pt>
                <c:pt idx="382">
                  <c:v>39.759758154710021</c:v>
                </c:pt>
                <c:pt idx="383">
                  <c:v>39.767615620740983</c:v>
                </c:pt>
                <c:pt idx="384">
                  <c:v>39.775462553459811</c:v>
                </c:pt>
                <c:pt idx="385">
                  <c:v>39.783298703015369</c:v>
                </c:pt>
                <c:pt idx="386">
                  <c:v>39.791123827144148</c:v>
                </c:pt>
                <c:pt idx="387">
                  <c:v>39.798937691154393</c:v>
                </c:pt>
                <c:pt idx="388">
                  <c:v>39.806740067910809</c:v>
                </c:pt>
                <c:pt idx="389">
                  <c:v>39.814530737826964</c:v>
                </c:pt>
                <c:pt idx="390">
                  <c:v>39.822309488859311</c:v>
                </c:pt>
                <c:pt idx="391">
                  <c:v>39.830076116506881</c:v>
                </c:pt>
                <c:pt idx="392">
                  <c:v>39.837830423821593</c:v>
                </c:pt>
                <c:pt idx="393">
                  <c:v>39.84557222142459</c:v>
                </c:pt>
                <c:pt idx="394">
                  <c:v>39.853301327538396</c:v>
                </c:pt>
                <c:pt idx="395">
                  <c:v>39.861017568035862</c:v>
                </c:pt>
                <c:pt idx="396">
                  <c:v>39.868720776514088</c:v>
                </c:pt>
                <c:pt idx="397">
                  <c:v>39.876410794405288</c:v>
                </c:pt>
                <c:pt idx="398">
                  <c:v>39.884087471141861</c:v>
                </c:pt>
                <c:pt idx="399">
                  <c:v>39.891750664413927</c:v>
                </c:pt>
                <c:pt idx="400">
                  <c:v>39.89940024059517</c:v>
                </c:pt>
                <c:pt idx="401">
                  <c:v>39.907036075553727</c:v>
                </c:pt>
                <c:pt idx="402">
                  <c:v>39.91465805748966</c:v>
                </c:pt>
                <c:pt idx="403">
                  <c:v>39.922266101702107</c:v>
                </c:pt>
                <c:pt idx="404">
                  <c:v>39.929860147509537</c:v>
                </c:pt>
                <c:pt idx="405">
                  <c:v>39.937440144281489</c:v>
                </c:pt>
                <c:pt idx="406">
                  <c:v>39.945006048946041</c:v>
                </c:pt>
                <c:pt idx="407">
                  <c:v>39.95255782498154</c:v>
                </c:pt>
                <c:pt idx="408">
                  <c:v>39.960095441776737</c:v>
                </c:pt>
                <c:pt idx="409">
                  <c:v>39.967618874167677</c:v>
                </c:pt>
                <c:pt idx="410">
                  <c:v>39.975128102074663</c:v>
                </c:pt>
                <c:pt idx="411">
                  <c:v>39.982623110203278</c:v>
                </c:pt>
                <c:pt idx="412">
                  <c:v>39.990103887790397</c:v>
                </c:pt>
                <c:pt idx="413">
                  <c:v>39.997570428381543</c:v>
                </c:pt>
                <c:pt idx="414">
                  <c:v>40.005022729632493</c:v>
                </c:pt>
                <c:pt idx="415">
                  <c:v>40.012460793129819</c:v>
                </c:pt>
                <c:pt idx="416">
                  <c:v>40.019884624226457</c:v>
                </c:pt>
                <c:pt idx="417">
                  <c:v>40.027294231889698</c:v>
                </c:pt>
                <c:pt idx="418">
                  <c:v>40.034689628560002</c:v>
                </c:pt>
                <c:pt idx="419">
                  <c:v>40.042070830017067</c:v>
                </c:pt>
                <c:pt idx="420">
                  <c:v>40.049437855255682</c:v>
                </c:pt>
                <c:pt idx="421">
                  <c:v>40.056790726366422</c:v>
                </c:pt>
                <c:pt idx="422">
                  <c:v>40.064129468422877</c:v>
                </c:pt>
                <c:pt idx="423">
                  <c:v>40.071454109374997</c:v>
                </c:pt>
                <c:pt idx="424">
                  <c:v>40.078764679945252</c:v>
                </c:pt>
                <c:pt idx="425">
                  <c:v>40.086061213531423</c:v>
                </c:pt>
                <c:pt idx="426">
                  <c:v>40.093343746111181</c:v>
                </c:pt>
                <c:pt idx="427">
                  <c:v>40.100612316152812</c:v>
                </c:pt>
                <c:pt idx="428">
                  <c:v>40.107866964527297</c:v>
                </c:pt>
                <c:pt idx="429">
                  <c:v>40.115107734424747</c:v>
                </c:pt>
                <c:pt idx="430">
                  <c:v>40.12233467127367</c:v>
                </c:pt>
                <c:pt idx="431">
                  <c:v>40.129547822663397</c:v>
                </c:pt>
                <c:pt idx="432">
                  <c:v>40.136747238268903</c:v>
                </c:pt>
                <c:pt idx="433">
                  <c:v>40.14393296977925</c:v>
                </c:pt>
                <c:pt idx="434">
                  <c:v>40.151105070827391</c:v>
                </c:pt>
                <c:pt idx="435">
                  <c:v>40.158263596923049</c:v>
                </c:pt>
                <c:pt idx="436">
                  <c:v>40.165408605389203</c:v>
                </c:pt>
                <c:pt idx="437">
                  <c:v>40.172540155298208</c:v>
                </c:pt>
                <c:pt idx="438">
                  <c:v>40.179658307413959</c:v>
                </c:pt>
                <c:pt idx="439">
                  <c:v>40.186763124132312</c:v>
                </c:pt>
                <c:pt idx="440">
                  <c:v>40.193854669426742</c:v>
                </c:pt>
                <c:pt idx="441">
                  <c:v>40.200933008795751</c:v>
                </c:pt>
                <c:pt idx="442">
                  <c:v>40.207998209210068</c:v>
                </c:pt>
                <c:pt idx="443">
                  <c:v>40.215050339065748</c:v>
                </c:pt>
                <c:pt idx="444">
                  <c:v>40.222089468136062</c:v>
                </c:pt>
                <c:pt idx="445">
                  <c:v>40.229115667526933</c:v>
                </c:pt>
                <c:pt idx="446">
                  <c:v>40.236129009634453</c:v>
                </c:pt>
                <c:pt idx="447">
                  <c:v>40.243129568104457</c:v>
                </c:pt>
                <c:pt idx="448">
                  <c:v>40.250117417792453</c:v>
                </c:pt>
                <c:pt idx="449">
                  <c:v>40.257092634728203</c:v>
                </c:pt>
                <c:pt idx="450">
                  <c:v>40.264055296080187</c:v>
                </c:pt>
                <c:pt idx="451">
                  <c:v>40.271005480122987</c:v>
                </c:pt>
                <c:pt idx="452">
                  <c:v>40.277943266205362</c:v>
                </c:pt>
                <c:pt idx="453">
                  <c:v>40.284868734721407</c:v>
                </c:pt>
                <c:pt idx="454">
                  <c:v>40.2917819670838</c:v>
                </c:pt>
                <c:pt idx="455">
                  <c:v>40.298683045697118</c:v>
                </c:pt>
                <c:pt idx="456">
                  <c:v>40.305572053934441</c:v>
                </c:pt>
                <c:pt idx="457">
                  <c:v>40.312449076116152</c:v>
                </c:pt>
                <c:pt idx="458">
                  <c:v>40.319314197488197</c:v>
                </c:pt>
                <c:pt idx="459">
                  <c:v>40.326167504204072</c:v>
                </c:pt>
                <c:pt idx="460">
                  <c:v>40.333009083308262</c:v>
                </c:pt>
                <c:pt idx="461">
                  <c:v>40.339839022720938</c:v>
                </c:pt>
                <c:pt idx="462">
                  <c:v>40.346657411224122</c:v>
                </c:pt>
                <c:pt idx="463">
                  <c:v>40.353464338449761</c:v>
                </c:pt>
                <c:pt idx="464">
                  <c:v>40.360259894869877</c:v>
                </c:pt>
                <c:pt idx="465">
                  <c:v>40.367044171786858</c:v>
                </c:pt>
                <c:pt idx="466">
                  <c:v>40.373817261327481</c:v>
                </c:pt>
                <c:pt idx="467">
                  <c:v>40.380579256436029</c:v>
                </c:pt>
                <c:pt idx="468">
                  <c:v>40.387330250870257</c:v>
                </c:pt>
                <c:pt idx="469">
                  <c:v>40.394070339199281</c:v>
                </c:pt>
                <c:pt idx="470">
                  <c:v>40.400799616801322</c:v>
                </c:pt>
                <c:pt idx="471">
                  <c:v>40.407518179864077</c:v>
                </c:pt>
                <c:pt idx="472">
                  <c:v>40.41422612538635</c:v>
                </c:pt>
                <c:pt idx="473">
                  <c:v>40.42092355117984</c:v>
                </c:pt>
                <c:pt idx="474">
                  <c:v>40.427610555873699</c:v>
                </c:pt>
                <c:pt idx="475">
                  <c:v>40.434287238919559</c:v>
                </c:pt>
                <c:pt idx="476">
                  <c:v>40.440953700597767</c:v>
                </c:pt>
                <c:pt idx="477">
                  <c:v>40.447610042024543</c:v>
                </c:pt>
                <c:pt idx="478">
                  <c:v>40.454256365161719</c:v>
                </c:pt>
                <c:pt idx="479">
                  <c:v>40.460892772824891</c:v>
                </c:pt>
                <c:pt idx="480">
                  <c:v>40.467519368695108</c:v>
                </c:pt>
                <c:pt idx="481">
                  <c:v>40.474136257330407</c:v>
                </c:pt>
                <c:pt idx="482">
                  <c:v>40.480743544178452</c:v>
                </c:pt>
                <c:pt idx="483">
                  <c:v>40.487341335589647</c:v>
                </c:pt>
                <c:pt idx="484">
                  <c:v>40.493929738832747</c:v>
                </c:pt>
                <c:pt idx="485">
                  <c:v>40.500508862108568</c:v>
                </c:pt>
                <c:pt idx="486">
                  <c:v>40.507078814567173</c:v>
                </c:pt>
                <c:pt idx="487">
                  <c:v>40.513639706324298</c:v>
                </c:pt>
                <c:pt idx="488">
                  <c:v>40.520191648477628</c:v>
                </c:pt>
                <c:pt idx="489">
                  <c:v>40.526734753127123</c:v>
                </c:pt>
                <c:pt idx="490">
                  <c:v>40.533269133391741</c:v>
                </c:pt>
                <c:pt idx="491">
                  <c:v>40.539794903428692</c:v>
                </c:pt>
                <c:pt idx="492">
                  <c:v>40.546312178453888</c:v>
                </c:pt>
                <c:pt idx="493">
                  <c:v>40.552821074762143</c:v>
                </c:pt>
                <c:pt idx="494">
                  <c:v>40.559321709745753</c:v>
                </c:pt>
                <c:pt idx="495">
                  <c:v>40.565814201917448</c:v>
                </c:pt>
                <c:pt idx="496">
                  <c:v>40.572298670930039</c:v>
                </c:pt>
                <c:pt idx="497">
                  <c:v>40.578775237598187</c:v>
                </c:pt>
                <c:pt idx="498">
                  <c:v>40.585244023919607</c:v>
                </c:pt>
                <c:pt idx="499">
                  <c:v>40.591705153096761</c:v>
                </c:pt>
                <c:pt idx="500">
                  <c:v>40.598158749558628</c:v>
                </c:pt>
                <c:pt idx="501">
                  <c:v>40.604604938981467</c:v>
                </c:pt>
                <c:pt idx="502">
                  <c:v>40.611043848311681</c:v>
                </c:pt>
                <c:pt idx="503">
                  <c:v>40.617475605786382</c:v>
                </c:pt>
                <c:pt idx="504">
                  <c:v>40.623900340954521</c:v>
                </c:pt>
                <c:pt idx="505">
                  <c:v>40.63031818469986</c:v>
                </c:pt>
                <c:pt idx="506">
                  <c:v>40.636729269260087</c:v>
                </c:pt>
                <c:pt idx="507">
                  <c:v>40.64313372824747</c:v>
                </c:pt>
                <c:pt idx="508">
                  <c:v>40.649531696670898</c:v>
                </c:pt>
                <c:pt idx="509">
                  <c:v>40.6559233109543</c:v>
                </c:pt>
                <c:pt idx="510">
                  <c:v>40.662308708956203</c:v>
                </c:pt>
                <c:pt idx="511">
                  <c:v>40.668688029989617</c:v>
                </c:pt>
                <c:pt idx="512">
                  <c:v>40.675061414840378</c:v>
                </c:pt>
                <c:pt idx="513">
                  <c:v>40.681429005784388</c:v>
                </c:pt>
                <c:pt idx="514">
                  <c:v>40.687790946605269</c:v>
                </c:pt>
                <c:pt idx="515">
                  <c:v>40.69414738261159</c:v>
                </c:pt>
                <c:pt idx="516">
                  <c:v>40.700498460652227</c:v>
                </c:pt>
                <c:pt idx="517">
                  <c:v>40.706844329131151</c:v>
                </c:pt>
                <c:pt idx="518">
                  <c:v>40.713185138022553</c:v>
                </c:pt>
                <c:pt idx="519">
                  <c:v>40.719521038884508</c:v>
                </c:pt>
                <c:pt idx="520">
                  <c:v>40.725852184870327</c:v>
                </c:pt>
                <c:pt idx="521">
                  <c:v>40.732178730742213</c:v>
                </c:pt>
                <c:pt idx="522">
                  <c:v>40.738500832880227</c:v>
                </c:pt>
                <c:pt idx="523">
                  <c:v>40.744818649293528</c:v>
                </c:pt>
                <c:pt idx="524">
                  <c:v>40.751132339627979</c:v>
                </c:pt>
                <c:pt idx="525">
                  <c:v>40.757442065174338</c:v>
                </c:pt>
                <c:pt idx="526">
                  <c:v>40.763747988874869</c:v>
                </c:pt>
                <c:pt idx="527">
                  <c:v>40.770050275329183</c:v>
                </c:pt>
                <c:pt idx="528">
                  <c:v>40.776349090797353</c:v>
                </c:pt>
                <c:pt idx="529">
                  <c:v>40.782644603204751</c:v>
                </c:pt>
                <c:pt idx="530">
                  <c:v>40.788936982141621</c:v>
                </c:pt>
                <c:pt idx="531">
                  <c:v>40.79522639886661</c:v>
                </c:pt>
                <c:pt idx="532">
                  <c:v>40.801513026303589</c:v>
                </c:pt>
                <c:pt idx="533">
                  <c:v>40.807797039040587</c:v>
                </c:pt>
                <c:pt idx="534">
                  <c:v>40.814078613327837</c:v>
                </c:pt>
                <c:pt idx="535">
                  <c:v>40.820357927071171</c:v>
                </c:pt>
                <c:pt idx="536">
                  <c:v>40.826635159827269</c:v>
                </c:pt>
                <c:pt idx="537">
                  <c:v>40.832910492796422</c:v>
                </c:pt>
                <c:pt idx="538">
                  <c:v>40.839184108813967</c:v>
                </c:pt>
                <c:pt idx="539">
                  <c:v>40.845456192339697</c:v>
                </c:pt>
                <c:pt idx="540">
                  <c:v>40.851726929447231</c:v>
                </c:pt>
                <c:pt idx="541">
                  <c:v>40.857996507810483</c:v>
                </c:pt>
                <c:pt idx="542">
                  <c:v>40.864265116689872</c:v>
                </c:pt>
                <c:pt idx="543">
                  <c:v>40.870532946916597</c:v>
                </c:pt>
                <c:pt idx="544">
                  <c:v>40.876800190876359</c:v>
                </c:pt>
                <c:pt idx="545">
                  <c:v>40.883067042489309</c:v>
                </c:pt>
                <c:pt idx="546">
                  <c:v>40.889333697191738</c:v>
                </c:pt>
                <c:pt idx="547">
                  <c:v>40.895600351914148</c:v>
                </c:pt>
                <c:pt idx="548">
                  <c:v>40.901867205058863</c:v>
                </c:pt>
                <c:pt idx="549">
                  <c:v>40.908134456475707</c:v>
                </c:pt>
                <c:pt idx="550">
                  <c:v>40.914402307436838</c:v>
                </c:pt>
                <c:pt idx="551">
                  <c:v>40.92067096061065</c:v>
                </c:pt>
                <c:pt idx="552">
                  <c:v>40.926940620031587</c:v>
                </c:pt>
                <c:pt idx="553">
                  <c:v>40.933211491073209</c:v>
                </c:pt>
                <c:pt idx="554">
                  <c:v>40.939483780416317</c:v>
                </c:pt>
                <c:pt idx="555">
                  <c:v>40.945757696016337</c:v>
                </c:pt>
                <c:pt idx="556">
                  <c:v>40.952033447070832</c:v>
                </c:pt>
                <c:pt idx="557">
                  <c:v>40.958311243985158</c:v>
                </c:pt>
                <c:pt idx="558">
                  <c:v>40.964591298335442</c:v>
                </c:pt>
                <c:pt idx="559">
                  <c:v>40.970873822833212</c:v>
                </c:pt>
                <c:pt idx="560">
                  <c:v>40.977159031285808</c:v>
                </c:pt>
                <c:pt idx="561">
                  <c:v>40.983447138558162</c:v>
                </c:pt>
                <c:pt idx="562">
                  <c:v>40.989738360531817</c:v>
                </c:pt>
                <c:pt idx="563">
                  <c:v>40.996032914063662</c:v>
                </c:pt>
                <c:pt idx="564">
                  <c:v>41.002331016943863</c:v>
                </c:pt>
                <c:pt idx="565">
                  <c:v>41.008632887852222</c:v>
                </c:pt>
                <c:pt idx="566">
                  <c:v>41.014938746313213</c:v>
                </c:pt>
                <c:pt idx="567">
                  <c:v>41.021248812651017</c:v>
                </c:pt>
                <c:pt idx="568">
                  <c:v>41.02756330794432</c:v>
                </c:pt>
                <c:pt idx="569">
                  <c:v>41.033882453977988</c:v>
                </c:pt>
                <c:pt idx="570">
                  <c:v>41.04020647319588</c:v>
                </c:pt>
                <c:pt idx="571">
                  <c:v>41.046535588652191</c:v>
                </c:pt>
                <c:pt idx="572">
                  <c:v>41.052870023963138</c:v>
                </c:pt>
                <c:pt idx="573">
                  <c:v>41.059210003255252</c:v>
                </c:pt>
                <c:pt idx="574">
                  <c:v>41.065555751116968</c:v>
                </c:pt>
                <c:pt idx="575">
                  <c:v>41.071907492546693</c:v>
                </c:pt>
                <c:pt idx="576">
                  <c:v>41.078265452901782</c:v>
                </c:pt>
                <c:pt idx="577">
                  <c:v>41.084629857845833</c:v>
                </c:pt>
                <c:pt idx="578">
                  <c:v>41.091000933297053</c:v>
                </c:pt>
                <c:pt idx="579">
                  <c:v>41.097378905376388</c:v>
                </c:pt>
                <c:pt idx="580">
                  <c:v>41.103764000353223</c:v>
                </c:pt>
                <c:pt idx="581">
                  <c:v>41.110156444592967</c:v>
                </c:pt>
                <c:pt idx="582">
                  <c:v>41.116556464503518</c:v>
                </c:pt>
                <c:pt idx="583">
                  <c:v>41.122964286482102</c:v>
                </c:pt>
                <c:pt idx="584">
                  <c:v>41.129380136862061</c:v>
                </c:pt>
                <c:pt idx="585">
                  <c:v>41.135804241858231</c:v>
                </c:pt>
                <c:pt idx="586">
                  <c:v>41.142236827513493</c:v>
                </c:pt>
                <c:pt idx="587">
                  <c:v>41.148678119647158</c:v>
                </c:pt>
                <c:pt idx="588">
                  <c:v>41.155128343799163</c:v>
                </c:pt>
                <c:pt idx="589">
                  <c:v>41.161587725178528</c:v>
                </c:pt>
                <c:pt idx="590">
                  <c:v>41.168056488609778</c:v>
                </c:pt>
                <c:pt idx="591">
                  <c:v>41.174534858479973</c:v>
                </c:pt>
                <c:pt idx="592">
                  <c:v>41.181023058687117</c:v>
                </c:pt>
                <c:pt idx="593">
                  <c:v>41.187521312587378</c:v>
                </c:pt>
                <c:pt idx="594">
                  <c:v>41.194029842944033</c:v>
                </c:pt>
                <c:pt idx="595">
                  <c:v>41.20054887187537</c:v>
                </c:pt>
                <c:pt idx="596">
                  <c:v>41.207078620805277</c:v>
                </c:pt>
                <c:pt idx="597">
                  <c:v>41.213619310412312</c:v>
                </c:pt>
                <c:pt idx="598">
                  <c:v>41.220171160579831</c:v>
                </c:pt>
                <c:pt idx="599">
                  <c:v>41.226734390348227</c:v>
                </c:pt>
                <c:pt idx="600">
                  <c:v>41.233309217864758</c:v>
                </c:pt>
                <c:pt idx="601">
                  <c:v>41.239895860338109</c:v>
                </c:pt>
                <c:pt idx="602">
                  <c:v>41.246494533988901</c:v>
                </c:pt>
                <c:pt idx="603">
                  <c:v>41.253105454005777</c:v>
                </c:pt>
                <c:pt idx="604">
                  <c:v>41.259728834498873</c:v>
                </c:pt>
                <c:pt idx="605">
                  <c:v>41.266364888455527</c:v>
                </c:pt>
                <c:pt idx="606">
                  <c:v>41.273013827696047</c:v>
                </c:pt>
                <c:pt idx="607">
                  <c:v>41.279675862831581</c:v>
                </c:pt>
                <c:pt idx="608">
                  <c:v>41.286351203221777</c:v>
                </c:pt>
                <c:pt idx="609">
                  <c:v>41.293040056932909</c:v>
                </c:pt>
                <c:pt idx="610">
                  <c:v>41.299742630699313</c:v>
                </c:pt>
                <c:pt idx="611">
                  <c:v>41.30645912988296</c:v>
                </c:pt>
                <c:pt idx="612">
                  <c:v>41.31318975843508</c:v>
                </c:pt>
                <c:pt idx="613">
                  <c:v>41.319934718859827</c:v>
                </c:pt>
                <c:pt idx="614">
                  <c:v>41.326694212177323</c:v>
                </c:pt>
                <c:pt idx="615">
                  <c:v>41.333468437888911</c:v>
                </c:pt>
                <c:pt idx="616">
                  <c:v>41.340257593941423</c:v>
                </c:pt>
                <c:pt idx="617">
                  <c:v>41.347061876696927</c:v>
                </c:pt>
                <c:pt idx="618">
                  <c:v>41.353881480897151</c:v>
                </c:pt>
                <c:pt idx="619">
                  <c:v>41.360716599634372</c:v>
                </c:pt>
                <c:pt idx="620">
                  <c:v>41.367567424321351</c:v>
                </c:pt>
                <c:pt idx="621">
                  <c:v>41.374434144661492</c:v>
                </c:pt>
                <c:pt idx="622">
                  <c:v>41.381316948620999</c:v>
                </c:pt>
                <c:pt idx="623">
                  <c:v>41.388216022402212</c:v>
                </c:pt>
                <c:pt idx="624">
                  <c:v>41.395131550417318</c:v>
                </c:pt>
                <c:pt idx="625">
                  <c:v>41.402063715263843</c:v>
                </c:pt>
                <c:pt idx="626">
                  <c:v>41.409012697700781</c:v>
                </c:pt>
                <c:pt idx="627">
                  <c:v>41.415978676626082</c:v>
                </c:pt>
                <c:pt idx="628">
                  <c:v>41.422961829053698</c:v>
                </c:pt>
                <c:pt idx="629">
                  <c:v>41.429962330093559</c:v>
                </c:pt>
                <c:pt idx="630">
                  <c:v>41.436980352932778</c:v>
                </c:pt>
                <c:pt idx="631">
                  <c:v>41.44401606881506</c:v>
                </c:pt>
                <c:pt idx="632">
                  <c:v>41.451069647023971</c:v>
                </c:pt>
                <c:pt idx="633">
                  <c:v>41.458141254866518</c:v>
                </c:pt>
                <c:pt idx="634">
                  <c:v>41.465231057655942</c:v>
                </c:pt>
                <c:pt idx="635">
                  <c:v>41.472339218697662</c:v>
                </c:pt>
                <c:pt idx="636">
                  <c:v>41.479465899275553</c:v>
                </c:pt>
                <c:pt idx="637">
                  <c:v>41.486611258638803</c:v>
                </c:pt>
                <c:pt idx="638">
                  <c:v>41.493775453988484</c:v>
                </c:pt>
                <c:pt idx="639">
                  <c:v>41.500958640467402</c:v>
                </c:pt>
                <c:pt idx="640">
                  <c:v>41.508160971149842</c:v>
                </c:pt>
                <c:pt idx="641">
                  <c:v>41.515382597031341</c:v>
                </c:pt>
                <c:pt idx="642">
                  <c:v>41.522623667019651</c:v>
                </c:pt>
                <c:pt idx="643">
                  <c:v>41.52988432792786</c:v>
                </c:pt>
                <c:pt idx="644">
                  <c:v>41.537164724465192</c:v>
                </c:pt>
                <c:pt idx="645">
                  <c:v>41.544464999233227</c:v>
                </c:pt>
                <c:pt idx="646">
                  <c:v>41.551785292718328</c:v>
                </c:pt>
                <c:pt idx="647">
                  <c:v>41.559125743286842</c:v>
                </c:pt>
                <c:pt idx="648">
                  <c:v>41.566486487181322</c:v>
                </c:pt>
                <c:pt idx="649">
                  <c:v>41.573867658516932</c:v>
                </c:pt>
                <c:pt idx="650">
                  <c:v>41.581269389277828</c:v>
                </c:pt>
                <c:pt idx="651">
                  <c:v>41.588691809315762</c:v>
                </c:pt>
                <c:pt idx="652">
                  <c:v>41.59613504634823</c:v>
                </c:pt>
                <c:pt idx="653">
                  <c:v>41.603599225957097</c:v>
                </c:pt>
                <c:pt idx="654">
                  <c:v>41.611084471588107</c:v>
                </c:pt>
                <c:pt idx="655">
                  <c:v>41.618590904550963</c:v>
                </c:pt>
                <c:pt idx="656">
                  <c:v>41.626118644020913</c:v>
                </c:pt>
                <c:pt idx="657">
                  <c:v>41.633667807039132</c:v>
                </c:pt>
                <c:pt idx="658">
                  <c:v>41.641238508513467</c:v>
                </c:pt>
                <c:pt idx="659">
                  <c:v>41.648830861222528</c:v>
                </c:pt>
                <c:pt idx="660">
                  <c:v>41.65644497581777</c:v>
                </c:pt>
                <c:pt idx="661">
                  <c:v>41.664080960825473</c:v>
                </c:pt>
                <c:pt idx="662">
                  <c:v>41.67173892265118</c:v>
                </c:pt>
                <c:pt idx="663">
                  <c:v>41.679418965584567</c:v>
                </c:pt>
                <c:pt idx="664">
                  <c:v>41.687121191801452</c:v>
                </c:pt>
                <c:pt idx="665">
                  <c:v>41.694845701371101</c:v>
                </c:pt>
                <c:pt idx="666">
                  <c:v>41.702592592259563</c:v>
                </c:pt>
                <c:pt idx="667">
                  <c:v>41.710361960336307</c:v>
                </c:pt>
                <c:pt idx="668">
                  <c:v>41.718153899379153</c:v>
                </c:pt>
                <c:pt idx="669">
                  <c:v>41.725968501081013</c:v>
                </c:pt>
                <c:pt idx="670">
                  <c:v>41.733805855056481</c:v>
                </c:pt>
                <c:pt idx="671">
                  <c:v>41.741666048848387</c:v>
                </c:pt>
                <c:pt idx="672">
                  <c:v>41.749549167934632</c:v>
                </c:pt>
                <c:pt idx="673">
                  <c:v>41.757455295735987</c:v>
                </c:pt>
                <c:pt idx="674">
                  <c:v>41.765384513623928</c:v>
                </c:pt>
                <c:pt idx="675">
                  <c:v>41.773336900927639</c:v>
                </c:pt>
                <c:pt idx="676">
                  <c:v>41.781312534943062</c:v>
                </c:pt>
                <c:pt idx="677">
                  <c:v>41.789311490940882</c:v>
                </c:pt>
                <c:pt idx="678">
                  <c:v>41.797333842175057</c:v>
                </c:pt>
                <c:pt idx="679">
                  <c:v>41.805379659891777</c:v>
                </c:pt>
                <c:pt idx="680">
                  <c:v>41.813449013338698</c:v>
                </c:pt>
                <c:pt idx="681">
                  <c:v>41.821541969774117</c:v>
                </c:pt>
                <c:pt idx="682">
                  <c:v>41.829658594475553</c:v>
                </c:pt>
                <c:pt idx="683">
                  <c:v>41.837798950751093</c:v>
                </c:pt>
                <c:pt idx="684">
                  <c:v>41.845963099947397</c:v>
                </c:pt>
                <c:pt idx="685">
                  <c:v>41.854151101461618</c:v>
                </c:pt>
                <c:pt idx="686">
                  <c:v>41.862363012749313</c:v>
                </c:pt>
                <c:pt idx="687">
                  <c:v>41.87059888933635</c:v>
                </c:pt>
                <c:pt idx="688">
                  <c:v>41.878858784828978</c:v>
                </c:pt>
                <c:pt idx="689">
                  <c:v>41.887142750925157</c:v>
                </c:pt>
                <c:pt idx="690">
                  <c:v>41.895450837423589</c:v>
                </c:pt>
                <c:pt idx="691">
                  <c:v>41.903783092236758</c:v>
                </c:pt>
                <c:pt idx="692">
                  <c:v>41.912139561400373</c:v>
                </c:pt>
                <c:pt idx="693">
                  <c:v>41.920520289085502</c:v>
                </c:pt>
                <c:pt idx="694">
                  <c:v>41.928925317610137</c:v>
                </c:pt>
                <c:pt idx="695">
                  <c:v>41.937354687450082</c:v>
                </c:pt>
                <c:pt idx="696">
                  <c:v>41.945808437250747</c:v>
                </c:pt>
                <c:pt idx="697">
                  <c:v>41.954286603839137</c:v>
                </c:pt>
                <c:pt idx="698">
                  <c:v>41.962789222236253</c:v>
                </c:pt>
                <c:pt idx="699">
                  <c:v>41.971316325668631</c:v>
                </c:pt>
                <c:pt idx="700">
                  <c:v>41.979867945579571</c:v>
                </c:pt>
                <c:pt idx="701">
                  <c:v>41.9884441116441</c:v>
                </c:pt>
                <c:pt idx="702">
                  <c:v>41.997044851779037</c:v>
                </c:pt>
                <c:pt idx="703">
                  <c:v>42.005670192156508</c:v>
                </c:pt>
                <c:pt idx="704">
                  <c:v>42.01432015721705</c:v>
                </c:pt>
                <c:pt idx="705">
                  <c:v>42.022994769681851</c:v>
                </c:pt>
                <c:pt idx="706">
                  <c:v>42.031694050566323</c:v>
                </c:pt>
                <c:pt idx="707">
                  <c:v>42.040418019192657</c:v>
                </c:pt>
                <c:pt idx="708">
                  <c:v>42.049166693204072</c:v>
                </c:pt>
                <c:pt idx="709">
                  <c:v>42.057940088576693</c:v>
                </c:pt>
                <c:pt idx="710">
                  <c:v>42.066738219635148</c:v>
                </c:pt>
                <c:pt idx="711">
                  <c:v>42.075561099064771</c:v>
                </c:pt>
                <c:pt idx="712">
                  <c:v>42.084408737925777</c:v>
                </c:pt>
                <c:pt idx="713">
                  <c:v>42.09328114566766</c:v>
                </c:pt>
                <c:pt idx="714">
                  <c:v>42.102178330143417</c:v>
                </c:pt>
                <c:pt idx="715">
                  <c:v>42.111100297622727</c:v>
                </c:pt>
                <c:pt idx="716">
                  <c:v>42.120047052807571</c:v>
                </c:pt>
                <c:pt idx="717">
                  <c:v>42.129018598846358</c:v>
                </c:pt>
                <c:pt idx="718">
                  <c:v>42.138014937349283</c:v>
                </c:pt>
                <c:pt idx="719">
                  <c:v>42.147036068401363</c:v>
                </c:pt>
                <c:pt idx="720">
                  <c:v>42.156081990579857</c:v>
                </c:pt>
                <c:pt idx="721">
                  <c:v>42.16515270096766</c:v>
                </c:pt>
                <c:pt idx="722">
                  <c:v>42.174248195169511</c:v>
                </c:pt>
                <c:pt idx="723">
                  <c:v>42.183368467327149</c:v>
                </c:pt>
                <c:pt idx="724">
                  <c:v>42.192513510135242</c:v>
                </c:pt>
                <c:pt idx="725">
                  <c:v>42.20168331485614</c:v>
                </c:pt>
                <c:pt idx="726">
                  <c:v>42.210877871337402</c:v>
                </c:pt>
                <c:pt idx="727">
                  <c:v>42.220097168026903</c:v>
                </c:pt>
                <c:pt idx="728">
                  <c:v>42.229341191989107</c:v>
                </c:pt>
                <c:pt idx="729">
                  <c:v>42.238609928921342</c:v>
                </c:pt>
                <c:pt idx="730">
                  <c:v>42.247903363170458</c:v>
                </c:pt>
                <c:pt idx="731">
                  <c:v>42.257221477750932</c:v>
                </c:pt>
                <c:pt idx="732">
                  <c:v>42.26656425435884</c:v>
                </c:pt>
                <c:pt idx="733">
                  <c:v>42.275931673390893</c:v>
                </c:pt>
                <c:pt idx="734">
                  <c:v>42.285323713961567</c:v>
                </c:pt>
                <c:pt idx="735">
                  <c:v>42.294740353919337</c:v>
                </c:pt>
                <c:pt idx="736">
                  <c:v>42.304181569864987</c:v>
                </c:pt>
                <c:pt idx="737">
                  <c:v>42.313647337168923</c:v>
                </c:pt>
                <c:pt idx="738">
                  <c:v>42.323137629988828</c:v>
                </c:pt>
                <c:pt idx="739">
                  <c:v>42.332652421287342</c:v>
                </c:pt>
                <c:pt idx="740">
                  <c:v>42.342191682850981</c:v>
                </c:pt>
                <c:pt idx="741">
                  <c:v>42.351755385306909</c:v>
                </c:pt>
                <c:pt idx="742">
                  <c:v>42.361343498142013</c:v>
                </c:pt>
                <c:pt idx="743">
                  <c:v>42.370955989721871</c:v>
                </c:pt>
                <c:pt idx="744">
                  <c:v>42.380592827307339</c:v>
                </c:pt>
                <c:pt idx="745">
                  <c:v>42.390253977075638</c:v>
                </c:pt>
                <c:pt idx="746">
                  <c:v>42.39993940413769</c:v>
                </c:pt>
                <c:pt idx="747">
                  <c:v>42.409649072556881</c:v>
                </c:pt>
                <c:pt idx="748">
                  <c:v>42.419382945368973</c:v>
                </c:pt>
                <c:pt idx="749">
                  <c:v>42.429140984600167</c:v>
                </c:pt>
                <c:pt idx="750">
                  <c:v>42.438923151287582</c:v>
                </c:pt>
                <c:pt idx="751">
                  <c:v>42.448729405497147</c:v>
                </c:pt>
                <c:pt idx="752">
                  <c:v>42.45855970634458</c:v>
                </c:pt>
                <c:pt idx="753">
                  <c:v>42.468414012012907</c:v>
                </c:pt>
                <c:pt idx="754">
                  <c:v>42.478292279774543</c:v>
                </c:pt>
                <c:pt idx="755">
                  <c:v>42.488194466008167</c:v>
                </c:pt>
                <c:pt idx="756">
                  <c:v>42.498120526221122</c:v>
                </c:pt>
                <c:pt idx="757">
                  <c:v>42.508070415066939</c:v>
                </c:pt>
                <c:pt idx="758">
                  <c:v>42.518044086366878</c:v>
                </c:pt>
                <c:pt idx="759">
                  <c:v>42.528041493128868</c:v>
                </c:pt>
                <c:pt idx="760">
                  <c:v>42.538062587567673</c:v>
                </c:pt>
                <c:pt idx="761">
                  <c:v>42.548107321125251</c:v>
                </c:pt>
                <c:pt idx="762">
                  <c:v>42.55817564449039</c:v>
                </c:pt>
                <c:pt idx="763">
                  <c:v>42.568267507619069</c:v>
                </c:pt>
                <c:pt idx="764">
                  <c:v>42.578382859753823</c:v>
                </c:pt>
                <c:pt idx="765">
                  <c:v>42.588521649444722</c:v>
                </c:pt>
                <c:pt idx="766">
                  <c:v>42.598683824568973</c:v>
                </c:pt>
                <c:pt idx="767">
                  <c:v>42.608869332350672</c:v>
                </c:pt>
                <c:pt idx="768">
                  <c:v>42.619078119382102</c:v>
                </c:pt>
                <c:pt idx="769">
                  <c:v>42.62931013164215</c:v>
                </c:pt>
                <c:pt idx="770">
                  <c:v>42.639565314517533</c:v>
                </c:pt>
                <c:pt idx="771">
                  <c:v>42.649843612822067</c:v>
                </c:pt>
                <c:pt idx="772">
                  <c:v>42.660144970816923</c:v>
                </c:pt>
                <c:pt idx="773">
                  <c:v>42.67046933223024</c:v>
                </c:pt>
                <c:pt idx="774">
                  <c:v>42.680816640278003</c:v>
                </c:pt>
                <c:pt idx="775">
                  <c:v>42.691186837680753</c:v>
                </c:pt>
                <c:pt idx="776">
                  <c:v>42.701579866687823</c:v>
                </c:pt>
              </c:numCache>
            </c:numRef>
          </c:xVal>
          <c:yVal>
            <c:numRef>
              <c:f>Diagrammdaten!$AZ$5:$AZ$781</c:f>
              <c:numCache>
                <c:formatCode>0.0</c:formatCode>
                <c:ptCount val="777"/>
                <c:pt idx="0">
                  <c:v>224.7020850737461</c:v>
                </c:pt>
                <c:pt idx="1">
                  <c:v>223.69254038687561</c:v>
                </c:pt>
                <c:pt idx="2">
                  <c:v>222.68474919383681</c:v>
                </c:pt>
                <c:pt idx="3">
                  <c:v>221.67861780914961</c:v>
                </c:pt>
                <c:pt idx="4">
                  <c:v>220.67405139598671</c:v>
                </c:pt>
                <c:pt idx="5">
                  <c:v>219.67095388780061</c:v>
                </c:pt>
                <c:pt idx="6">
                  <c:v>218.6692279034794</c:v>
                </c:pt>
                <c:pt idx="7">
                  <c:v>217.66877465784671</c:v>
                </c:pt>
                <c:pt idx="8">
                  <c:v>216.66949386711551</c:v>
                </c:pt>
                <c:pt idx="9">
                  <c:v>215.67128364887739</c:v>
                </c:pt>
                <c:pt idx="10">
                  <c:v>214.67404041631619</c:v>
                </c:pt>
                <c:pt idx="11">
                  <c:v>213.677658766071</c:v>
                </c:pt>
                <c:pt idx="12">
                  <c:v>212.68203135936949</c:v>
                </c:pt>
                <c:pt idx="13">
                  <c:v>211.687048795831</c:v>
                </c:pt>
                <c:pt idx="14">
                  <c:v>210.69259947935731</c:v>
                </c:pt>
                <c:pt idx="15">
                  <c:v>209.69856947551619</c:v>
                </c:pt>
                <c:pt idx="16">
                  <c:v>208.70484235965921</c:v>
                </c:pt>
                <c:pt idx="17">
                  <c:v>207.71129905502701</c:v>
                </c:pt>
                <c:pt idx="18">
                  <c:v>206.71781766000461</c:v>
                </c:pt>
                <c:pt idx="19">
                  <c:v>205.72427326357729</c:v>
                </c:pt>
                <c:pt idx="20">
                  <c:v>204.73053774796969</c:v>
                </c:pt>
                <c:pt idx="21">
                  <c:v>203.73647957730961</c:v>
                </c:pt>
                <c:pt idx="22">
                  <c:v>202.7419635711002</c:v>
                </c:pt>
                <c:pt idx="23">
                  <c:v>201.74685066107131</c:v>
                </c:pt>
                <c:pt idx="24">
                  <c:v>200.7509976299078</c:v>
                </c:pt>
                <c:pt idx="25">
                  <c:v>199.75425683010101</c:v>
                </c:pt>
                <c:pt idx="26">
                  <c:v>198.75647588106159</c:v>
                </c:pt>
                <c:pt idx="27">
                  <c:v>197.75749734234361</c:v>
                </c:pt>
                <c:pt idx="28">
                  <c:v>196.75715836059939</c:v>
                </c:pt>
                <c:pt idx="29">
                  <c:v>195.75529028766849</c:v>
                </c:pt>
                <c:pt idx="30">
                  <c:v>194.75171826676441</c:v>
                </c:pt>
                <c:pt idx="31">
                  <c:v>193.74626078344599</c:v>
                </c:pt>
                <c:pt idx="32">
                  <c:v>192.73872917763541</c:v>
                </c:pt>
                <c:pt idx="33">
                  <c:v>191.72892711242861</c:v>
                </c:pt>
                <c:pt idx="34">
                  <c:v>190.7166499948892</c:v>
                </c:pt>
                <c:pt idx="35">
                  <c:v>189.70553046053439</c:v>
                </c:pt>
                <c:pt idx="36">
                  <c:v>188.7062740020107</c:v>
                </c:pt>
                <c:pt idx="37">
                  <c:v>187.71929548623319</c:v>
                </c:pt>
                <c:pt idx="38">
                  <c:v>186.7444429916842</c:v>
                </c:pt>
                <c:pt idx="39">
                  <c:v>185.78156631535211</c:v>
                </c:pt>
                <c:pt idx="40">
                  <c:v>184.8305169591672</c:v>
                </c:pt>
                <c:pt idx="41">
                  <c:v>183.89114811643429</c:v>
                </c:pt>
                <c:pt idx="42">
                  <c:v>182.9633146582371</c:v>
                </c:pt>
                <c:pt idx="43">
                  <c:v>182.046873119802</c:v>
                </c:pt>
                <c:pt idx="44">
                  <c:v>181.14168168686751</c:v>
                </c:pt>
                <c:pt idx="45">
                  <c:v>180.2476001820007</c:v>
                </c:pt>
                <c:pt idx="46">
                  <c:v>179.36449005089119</c:v>
                </c:pt>
                <c:pt idx="47">
                  <c:v>178.4922143486308</c:v>
                </c:pt>
                <c:pt idx="48">
                  <c:v>177.63063772594799</c:v>
                </c:pt>
                <c:pt idx="49">
                  <c:v>176.77962641542189</c:v>
                </c:pt>
                <c:pt idx="50">
                  <c:v>175.9390482176631</c:v>
                </c:pt>
                <c:pt idx="51">
                  <c:v>175.10877248748321</c:v>
                </c:pt>
                <c:pt idx="52">
                  <c:v>174.2886701200276</c:v>
                </c:pt>
                <c:pt idx="53">
                  <c:v>173.47861353688441</c:v>
                </c:pt>
                <c:pt idx="54">
                  <c:v>172.67847667217811</c:v>
                </c:pt>
                <c:pt idx="55">
                  <c:v>171.88813495865341</c:v>
                </c:pt>
                <c:pt idx="56">
                  <c:v>171.10746531372749</c:v>
                </c:pt>
                <c:pt idx="57">
                  <c:v>170.33634612553541</c:v>
                </c:pt>
                <c:pt idx="58">
                  <c:v>169.57465723897801</c:v>
                </c:pt>
                <c:pt idx="59">
                  <c:v>168.82227994174099</c:v>
                </c:pt>
                <c:pt idx="60">
                  <c:v>168.07909695033339</c:v>
                </c:pt>
                <c:pt idx="61">
                  <c:v>167.34499239611461</c:v>
                </c:pt>
                <c:pt idx="62">
                  <c:v>166.61985181131729</c:v>
                </c:pt>
                <c:pt idx="63">
                  <c:v>165.90356211510601</c:v>
                </c:pt>
                <c:pt idx="64">
                  <c:v>165.19601159961209</c:v>
                </c:pt>
                <c:pt idx="65">
                  <c:v>164.49708991601349</c:v>
                </c:pt>
                <c:pt idx="66">
                  <c:v>163.80668806061081</c:v>
                </c:pt>
                <c:pt idx="67">
                  <c:v>163.12469836094769</c:v>
                </c:pt>
                <c:pt idx="68">
                  <c:v>162.45101446193479</c:v>
                </c:pt>
                <c:pt idx="69">
                  <c:v>161.78553131202921</c:v>
                </c:pt>
                <c:pt idx="70">
                  <c:v>161.12814514941999</c:v>
                </c:pt>
                <c:pt idx="71">
                  <c:v>160.47875348828529</c:v>
                </c:pt>
                <c:pt idx="72">
                  <c:v>159.83725510506261</c:v>
                </c:pt>
                <c:pt idx="73">
                  <c:v>159.20355002477999</c:v>
                </c:pt>
                <c:pt idx="74">
                  <c:v>158.57753950742969</c:v>
                </c:pt>
                <c:pt idx="75">
                  <c:v>157.959126034413</c:v>
                </c:pt>
                <c:pt idx="76">
                  <c:v>157.34821329500539</c:v>
                </c:pt>
                <c:pt idx="77">
                  <c:v>156.74470617292559</c:v>
                </c:pt>
                <c:pt idx="78">
                  <c:v>156.1485107329348</c:v>
                </c:pt>
                <c:pt idx="79">
                  <c:v>155.5595342075213</c:v>
                </c:pt>
                <c:pt idx="80">
                  <c:v>154.97768498364951</c:v>
                </c:pt>
                <c:pt idx="81">
                  <c:v>154.40287258957949</c:v>
                </c:pt>
                <c:pt idx="82">
                  <c:v>153.83500768177021</c:v>
                </c:pt>
                <c:pt idx="83">
                  <c:v>153.27400203185769</c:v>
                </c:pt>
                <c:pt idx="84">
                  <c:v>152.71976851371281</c:v>
                </c:pt>
                <c:pt idx="85">
                  <c:v>152.17222109059421</c:v>
                </c:pt>
                <c:pt idx="86">
                  <c:v>151.63127480237119</c:v>
                </c:pt>
                <c:pt idx="87">
                  <c:v>151.09684575285621</c:v>
                </c:pt>
                <c:pt idx="88">
                  <c:v>150.56885109721659</c:v>
                </c:pt>
                <c:pt idx="89">
                  <c:v>150.04720902948571</c:v>
                </c:pt>
                <c:pt idx="90">
                  <c:v>149.53183877016491</c:v>
                </c:pt>
                <c:pt idx="91">
                  <c:v>149.0226605539375</c:v>
                </c:pt>
                <c:pt idx="92">
                  <c:v>148.51959561746091</c:v>
                </c:pt>
                <c:pt idx="93">
                  <c:v>148.0225661872926</c:v>
                </c:pt>
                <c:pt idx="94">
                  <c:v>147.5314954678785</c:v>
                </c:pt>
                <c:pt idx="95">
                  <c:v>147.04630762968989</c:v>
                </c:pt>
                <c:pt idx="96">
                  <c:v>146.5669277974323</c:v>
                </c:pt>
                <c:pt idx="97">
                  <c:v>146.09328203838101</c:v>
                </c:pt>
                <c:pt idx="98">
                  <c:v>145.6252973508245</c:v>
                </c:pt>
                <c:pt idx="99">
                  <c:v>145.1629016526058</c:v>
                </c:pt>
                <c:pt idx="100">
                  <c:v>144.70602376979059</c:v>
                </c:pt>
                <c:pt idx="101">
                  <c:v>144.25459342543459</c:v>
                </c:pt>
                <c:pt idx="102">
                  <c:v>143.80854122846989</c:v>
                </c:pt>
                <c:pt idx="103">
                  <c:v>143.36779866270541</c:v>
                </c:pt>
                <c:pt idx="104">
                  <c:v>142.93229807593721</c:v>
                </c:pt>
                <c:pt idx="105">
                  <c:v>142.50197266916891</c:v>
                </c:pt>
                <c:pt idx="106">
                  <c:v>142.07675648596251</c:v>
                </c:pt>
                <c:pt idx="107">
                  <c:v>141.6565844018846</c:v>
                </c:pt>
                <c:pt idx="108">
                  <c:v>141.24139211407859</c:v>
                </c:pt>
                <c:pt idx="109">
                  <c:v>140.83111613095249</c:v>
                </c:pt>
                <c:pt idx="110">
                  <c:v>140.42569376197409</c:v>
                </c:pt>
                <c:pt idx="111">
                  <c:v>140.0250631075906</c:v>
                </c:pt>
                <c:pt idx="112">
                  <c:v>139.6291630492525</c:v>
                </c:pt>
                <c:pt idx="113">
                  <c:v>139.2379332395646</c:v>
                </c:pt>
                <c:pt idx="114">
                  <c:v>138.85131409253751</c:v>
                </c:pt>
                <c:pt idx="115">
                  <c:v>138.46924677396291</c:v>
                </c:pt>
                <c:pt idx="116">
                  <c:v>138.09167319190141</c:v>
                </c:pt>
                <c:pt idx="117">
                  <c:v>137.71853598728029</c:v>
                </c:pt>
                <c:pt idx="118">
                  <c:v>137.34977852460111</c:v>
                </c:pt>
                <c:pt idx="119">
                  <c:v>136.9853448827682</c:v>
                </c:pt>
                <c:pt idx="120">
                  <c:v>136.625179846023</c:v>
                </c:pt>
                <c:pt idx="121">
                  <c:v>136.269228894988</c:v>
                </c:pt>
                <c:pt idx="122">
                  <c:v>135.91743819782201</c:v>
                </c:pt>
                <c:pt idx="123">
                  <c:v>135.5697546014888</c:v>
                </c:pt>
                <c:pt idx="124">
                  <c:v>135.2261256231283</c:v>
                </c:pt>
                <c:pt idx="125">
                  <c:v>134.88649944153721</c:v>
                </c:pt>
                <c:pt idx="126">
                  <c:v>134.5508248887603</c:v>
                </c:pt>
                <c:pt idx="127">
                  <c:v>134.21905144177961</c:v>
                </c:pt>
                <c:pt idx="128">
                  <c:v>133.89112921432411</c:v>
                </c:pt>
                <c:pt idx="129">
                  <c:v>133.56700894875979</c:v>
                </c:pt>
                <c:pt idx="130">
                  <c:v>133.24664200810699</c:v>
                </c:pt>
                <c:pt idx="131">
                  <c:v>132.92998036814879</c:v>
                </c:pt>
                <c:pt idx="132">
                  <c:v>132.61697660963529</c:v>
                </c:pt>
                <c:pt idx="133">
                  <c:v>132.30758391060169</c:v>
                </c:pt>
                <c:pt idx="134">
                  <c:v>132.0017560387769</c:v>
                </c:pt>
                <c:pt idx="135">
                  <c:v>131.69944734408861</c:v>
                </c:pt>
                <c:pt idx="136">
                  <c:v>131.4006127512763</c:v>
                </c:pt>
                <c:pt idx="137">
                  <c:v>131.10520775258601</c:v>
                </c:pt>
                <c:pt idx="138">
                  <c:v>130.8131884005727</c:v>
                </c:pt>
                <c:pt idx="139">
                  <c:v>130.52451130099351</c:v>
                </c:pt>
                <c:pt idx="140">
                  <c:v>130.23913360578479</c:v>
                </c:pt>
                <c:pt idx="141">
                  <c:v>129.95701300614789</c:v>
                </c:pt>
                <c:pt idx="142">
                  <c:v>129.67810772571221</c:v>
                </c:pt>
                <c:pt idx="143">
                  <c:v>129.402376513793</c:v>
                </c:pt>
                <c:pt idx="144">
                  <c:v>129.12977863873601</c:v>
                </c:pt>
                <c:pt idx="145">
                  <c:v>128.8602738813608</c:v>
                </c:pt>
                <c:pt idx="146">
                  <c:v>128.59382252846791</c:v>
                </c:pt>
                <c:pt idx="147">
                  <c:v>128.3303853664558</c:v>
                </c:pt>
                <c:pt idx="148">
                  <c:v>128.06992367500979</c:v>
                </c:pt>
                <c:pt idx="149">
                  <c:v>127.8123992208719</c:v>
                </c:pt>
                <c:pt idx="150">
                  <c:v>127.55777425170351</c:v>
                </c:pt>
                <c:pt idx="151">
                  <c:v>127.306011490022</c:v>
                </c:pt>
                <c:pt idx="152">
                  <c:v>127.057074127216</c:v>
                </c:pt>
                <c:pt idx="153">
                  <c:v>126.8109258176523</c:v>
                </c:pt>
                <c:pt idx="154">
                  <c:v>126.5675306728381</c:v>
                </c:pt>
                <c:pt idx="155">
                  <c:v>126.32685325568811</c:v>
                </c:pt>
                <c:pt idx="156">
                  <c:v>126.08885857484751</c:v>
                </c:pt>
                <c:pt idx="157">
                  <c:v>125.8535120790969</c:v>
                </c:pt>
                <c:pt idx="158">
                  <c:v>125.6207796518307</c:v>
                </c:pt>
                <c:pt idx="159">
                  <c:v>125.39062760561301</c:v>
                </c:pt>
                <c:pt idx="160">
                  <c:v>125.1630226767976</c:v>
                </c:pt>
                <c:pt idx="161">
                  <c:v>124.93793202022439</c:v>
                </c:pt>
                <c:pt idx="162">
                  <c:v>124.7153232039875</c:v>
                </c:pt>
                <c:pt idx="163">
                  <c:v>124.4951642042636</c:v>
                </c:pt>
                <c:pt idx="164">
                  <c:v>124.2774234002208</c:v>
                </c:pt>
                <c:pt idx="165">
                  <c:v>124.0620695689864</c:v>
                </c:pt>
                <c:pt idx="166">
                  <c:v>123.8490718806823</c:v>
                </c:pt>
                <c:pt idx="167">
                  <c:v>123.63839989352429</c:v>
                </c:pt>
                <c:pt idx="168">
                  <c:v>123.4300235489918</c:v>
                </c:pt>
                <c:pt idx="169">
                  <c:v>123.2239131670546</c:v>
                </c:pt>
                <c:pt idx="170">
                  <c:v>123.02003944146649</c:v>
                </c:pt>
                <c:pt idx="171">
                  <c:v>122.8183734351104</c:v>
                </c:pt>
                <c:pt idx="172">
                  <c:v>122.6188865754217</c:v>
                </c:pt>
                <c:pt idx="173">
                  <c:v>122.42155064985219</c:v>
                </c:pt>
                <c:pt idx="174">
                  <c:v>122.2263378014097</c:v>
                </c:pt>
                <c:pt idx="175">
                  <c:v>122.03322052423751</c:v>
                </c:pt>
                <c:pt idx="176">
                  <c:v>121.84217165927041</c:v>
                </c:pt>
                <c:pt idx="177">
                  <c:v>121.6531643899278</c:v>
                </c:pt>
                <c:pt idx="178">
                  <c:v>121.46617223787599</c:v>
                </c:pt>
                <c:pt idx="179">
                  <c:v>121.28116905883709</c:v>
                </c:pt>
                <c:pt idx="180">
                  <c:v>121.09812903845329</c:v>
                </c:pt>
                <c:pt idx="181">
                  <c:v>120.9170266882015</c:v>
                </c:pt>
                <c:pt idx="182">
                  <c:v>120.7378368413647</c:v>
                </c:pt>
                <c:pt idx="183">
                  <c:v>120.5605346490467</c:v>
                </c:pt>
                <c:pt idx="184">
                  <c:v>120.3850955762435</c:v>
                </c:pt>
                <c:pt idx="185">
                  <c:v>120.2114953979582</c:v>
                </c:pt>
                <c:pt idx="186">
                  <c:v>120.03971019536741</c:v>
                </c:pt>
                <c:pt idx="187">
                  <c:v>119.8697163520318</c:v>
                </c:pt>
                <c:pt idx="188">
                  <c:v>119.7014905501571</c:v>
                </c:pt>
                <c:pt idx="189">
                  <c:v>119.53500976689369</c:v>
                </c:pt>
                <c:pt idx="190">
                  <c:v>119.3702512706939</c:v>
                </c:pt>
                <c:pt idx="191">
                  <c:v>119.2071926176953</c:v>
                </c:pt>
                <c:pt idx="192">
                  <c:v>119.04581164816609</c:v>
                </c:pt>
                <c:pt idx="193">
                  <c:v>118.8860864829735</c:v>
                </c:pt>
                <c:pt idx="194">
                  <c:v>118.7279955201126</c:v>
                </c:pt>
                <c:pt idx="195">
                  <c:v>118.57151743126531</c:v>
                </c:pt>
                <c:pt idx="196">
                  <c:v>118.4166311583998</c:v>
                </c:pt>
                <c:pt idx="197">
                  <c:v>118.26331591040859</c:v>
                </c:pt>
                <c:pt idx="198">
                  <c:v>118.1115511597984</c:v>
                </c:pt>
                <c:pt idx="199">
                  <c:v>117.9613166393969</c:v>
                </c:pt>
                <c:pt idx="200">
                  <c:v>117.8125923391113</c:v>
                </c:pt>
                <c:pt idx="201">
                  <c:v>117.66535850272381</c:v>
                </c:pt>
                <c:pt idx="202">
                  <c:v>117.51959562471269</c:v>
                </c:pt>
                <c:pt idx="203">
                  <c:v>117.37528444712331</c:v>
                </c:pt>
                <c:pt idx="204">
                  <c:v>117.2324059564619</c:v>
                </c:pt>
                <c:pt idx="205">
                  <c:v>117.09094138062591</c:v>
                </c:pt>
                <c:pt idx="206">
                  <c:v>116.9508721858758</c:v>
                </c:pt>
                <c:pt idx="207">
                  <c:v>116.8121800738332</c:v>
                </c:pt>
                <c:pt idx="208">
                  <c:v>116.67484697851</c:v>
                </c:pt>
                <c:pt idx="209">
                  <c:v>116.538855063376</c:v>
                </c:pt>
                <c:pt idx="210">
                  <c:v>116.40418671845261</c:v>
                </c:pt>
                <c:pt idx="211">
                  <c:v>116.27082455744021</c:v>
                </c:pt>
                <c:pt idx="212">
                  <c:v>116.138751414881</c:v>
                </c:pt>
                <c:pt idx="213">
                  <c:v>116.0079503433395</c:v>
                </c:pt>
                <c:pt idx="214">
                  <c:v>115.87840461062559</c:v>
                </c:pt>
                <c:pt idx="215">
                  <c:v>115.75009769704209</c:v>
                </c:pt>
                <c:pt idx="216">
                  <c:v>115.6230132926585</c:v>
                </c:pt>
                <c:pt idx="217">
                  <c:v>115.4971352946197</c:v>
                </c:pt>
                <c:pt idx="218">
                  <c:v>115.3724478044799</c:v>
                </c:pt>
                <c:pt idx="219">
                  <c:v>115.24893512556071</c:v>
                </c:pt>
                <c:pt idx="220">
                  <c:v>115.12658176034719</c:v>
                </c:pt>
                <c:pt idx="221">
                  <c:v>115.00537240790079</c:v>
                </c:pt>
                <c:pt idx="222">
                  <c:v>114.885291961305</c:v>
                </c:pt>
                <c:pt idx="223">
                  <c:v>114.7663256820792</c:v>
                </c:pt>
                <c:pt idx="224">
                  <c:v>114.64845838747711</c:v>
                </c:pt>
                <c:pt idx="225">
                  <c:v>114.53167581936231</c:v>
                </c:pt>
                <c:pt idx="226">
                  <c:v>114.415963621869</c:v>
                </c:pt>
                <c:pt idx="227">
                  <c:v>114.3013076207794</c:v>
                </c:pt>
                <c:pt idx="228">
                  <c:v>114.18769413302</c:v>
                </c:pt>
                <c:pt idx="229">
                  <c:v>114.0751088074876</c:v>
                </c:pt>
                <c:pt idx="230">
                  <c:v>113.9635382195215</c:v>
                </c:pt>
                <c:pt idx="231">
                  <c:v>113.8529688978288</c:v>
                </c:pt>
                <c:pt idx="232">
                  <c:v>113.7433875410451</c:v>
                </c:pt>
                <c:pt idx="233">
                  <c:v>113.6347810154676</c:v>
                </c:pt>
                <c:pt idx="234">
                  <c:v>113.5271363528114</c:v>
                </c:pt>
                <c:pt idx="235">
                  <c:v>113.4204407479955</c:v>
                </c:pt>
                <c:pt idx="236">
                  <c:v>113.314681556949</c:v>
                </c:pt>
                <c:pt idx="237">
                  <c:v>113.209846294448</c:v>
                </c:pt>
                <c:pt idx="238">
                  <c:v>113.1059226319712</c:v>
                </c:pt>
                <c:pt idx="239">
                  <c:v>113.0028983955869</c:v>
                </c:pt>
                <c:pt idx="240">
                  <c:v>112.9007615638609</c:v>
                </c:pt>
                <c:pt idx="241">
                  <c:v>112.79950026579159</c:v>
                </c:pt>
                <c:pt idx="242">
                  <c:v>112.69910277876571</c:v>
                </c:pt>
                <c:pt idx="243">
                  <c:v>112.5995575265451</c:v>
                </c:pt>
                <c:pt idx="244">
                  <c:v>112.5008530772774</c:v>
                </c:pt>
                <c:pt idx="245">
                  <c:v>112.40297814152331</c:v>
                </c:pt>
                <c:pt idx="246">
                  <c:v>112.3059215703212</c:v>
                </c:pt>
                <c:pt idx="247">
                  <c:v>112.2096723532657</c:v>
                </c:pt>
                <c:pt idx="248">
                  <c:v>112.1142196166182</c:v>
                </c:pt>
                <c:pt idx="249">
                  <c:v>112.0195526214353</c:v>
                </c:pt>
                <c:pt idx="250">
                  <c:v>111.9256607617306</c:v>
                </c:pt>
                <c:pt idx="251">
                  <c:v>111.8325335626507</c:v>
                </c:pt>
                <c:pt idx="252">
                  <c:v>111.7401606786853</c:v>
                </c:pt>
                <c:pt idx="253">
                  <c:v>111.64853189189481</c:v>
                </c:pt>
                <c:pt idx="254">
                  <c:v>111.5576371101627</c:v>
                </c:pt>
                <c:pt idx="255">
                  <c:v>111.4674663654815</c:v>
                </c:pt>
                <c:pt idx="256">
                  <c:v>111.3780098122436</c:v>
                </c:pt>
                <c:pt idx="257">
                  <c:v>111.2892577255798</c:v>
                </c:pt>
                <c:pt idx="258">
                  <c:v>111.2012004997023</c:v>
                </c:pt>
                <c:pt idx="259">
                  <c:v>111.11382864628121</c:v>
                </c:pt>
                <c:pt idx="260">
                  <c:v>111.0271327928447</c:v>
                </c:pt>
                <c:pt idx="261">
                  <c:v>110.94110368119711</c:v>
                </c:pt>
                <c:pt idx="262">
                  <c:v>110.8557321658662</c:v>
                </c:pt>
                <c:pt idx="263">
                  <c:v>110.7710092125721</c:v>
                </c:pt>
                <c:pt idx="264">
                  <c:v>110.6869258967177</c:v>
                </c:pt>
                <c:pt idx="265">
                  <c:v>110.6034734019036</c:v>
                </c:pt>
                <c:pt idx="266">
                  <c:v>110.520643018466</c:v>
                </c:pt>
                <c:pt idx="267">
                  <c:v>110.4384261420365</c:v>
                </c:pt>
                <c:pt idx="268">
                  <c:v>110.3568142721267</c:v>
                </c:pt>
                <c:pt idx="269">
                  <c:v>110.2757990107288</c:v>
                </c:pt>
                <c:pt idx="270">
                  <c:v>110.19537206094709</c:v>
                </c:pt>
                <c:pt idx="271">
                  <c:v>110.1155252256458</c:v>
                </c:pt>
                <c:pt idx="272">
                  <c:v>110.036250406119</c:v>
                </c:pt>
                <c:pt idx="273">
                  <c:v>109.9575396007813</c:v>
                </c:pt>
                <c:pt idx="274">
                  <c:v>109.8793849038871</c:v>
                </c:pt>
                <c:pt idx="275">
                  <c:v>109.80177850425891</c:v>
                </c:pt>
                <c:pt idx="276">
                  <c:v>109.7247126840446</c:v>
                </c:pt>
                <c:pt idx="277">
                  <c:v>109.6481798174962</c:v>
                </c:pt>
                <c:pt idx="278">
                  <c:v>109.57217236976039</c:v>
                </c:pt>
                <c:pt idx="279">
                  <c:v>109.4966828957</c:v>
                </c:pt>
                <c:pt idx="280">
                  <c:v>109.4217040387275</c:v>
                </c:pt>
                <c:pt idx="281">
                  <c:v>109.34722852965901</c:v>
                </c:pt>
                <c:pt idx="282">
                  <c:v>109.2732491855931</c:v>
                </c:pt>
                <c:pt idx="283">
                  <c:v>109.19975890880011</c:v>
                </c:pt>
                <c:pt idx="284">
                  <c:v>109.1267506856352</c:v>
                </c:pt>
                <c:pt idx="285">
                  <c:v>109.054217585472</c:v>
                </c:pt>
                <c:pt idx="286">
                  <c:v>108.9821527596478</c:v>
                </c:pt>
                <c:pt idx="287">
                  <c:v>108.9105494404324</c:v>
                </c:pt>
                <c:pt idx="288">
                  <c:v>108.83940094000771</c:v>
                </c:pt>
                <c:pt idx="289">
                  <c:v>108.7687006494763</c:v>
                </c:pt>
                <c:pt idx="290">
                  <c:v>108.6984420378739</c:v>
                </c:pt>
                <c:pt idx="291">
                  <c:v>108.628618651202</c:v>
                </c:pt>
                <c:pt idx="292">
                  <c:v>108.5592241114874</c:v>
                </c:pt>
                <c:pt idx="293">
                  <c:v>108.49025211583989</c:v>
                </c:pt>
                <c:pt idx="294">
                  <c:v>108.4216964355398</c:v>
                </c:pt>
                <c:pt idx="295">
                  <c:v>108.35355091513451</c:v>
                </c:pt>
                <c:pt idx="296">
                  <c:v>108.2858094715501</c:v>
                </c:pt>
                <c:pt idx="297">
                  <c:v>108.2184660932227</c:v>
                </c:pt>
                <c:pt idx="298">
                  <c:v>108.1515148392342</c:v>
                </c:pt>
                <c:pt idx="299">
                  <c:v>108.08494983847601</c:v>
                </c:pt>
                <c:pt idx="300">
                  <c:v>108.01876528881201</c:v>
                </c:pt>
                <c:pt idx="301">
                  <c:v>107.9529554562663</c:v>
                </c:pt>
                <c:pt idx="302">
                  <c:v>107.88751467421839</c:v>
                </c:pt>
                <c:pt idx="303">
                  <c:v>107.8224373426127</c:v>
                </c:pt>
                <c:pt idx="304">
                  <c:v>107.7577179271789</c:v>
                </c:pt>
                <c:pt idx="305">
                  <c:v>107.69335095867039</c:v>
                </c:pt>
                <c:pt idx="306">
                  <c:v>107.6293310321074</c:v>
                </c:pt>
                <c:pt idx="307">
                  <c:v>107.56565280603211</c:v>
                </c:pt>
                <c:pt idx="308">
                  <c:v>107.5023110017858</c:v>
                </c:pt>
                <c:pt idx="309">
                  <c:v>107.4393004027813</c:v>
                </c:pt>
                <c:pt idx="310">
                  <c:v>107.37661585379971</c:v>
                </c:pt>
                <c:pt idx="311">
                  <c:v>107.3142522602881</c:v>
                </c:pt>
                <c:pt idx="312">
                  <c:v>107.2522045876741</c:v>
                </c:pt>
                <c:pt idx="313">
                  <c:v>107.19046786068709</c:v>
                </c:pt>
                <c:pt idx="314">
                  <c:v>107.1290371626876</c:v>
                </c:pt>
                <c:pt idx="315">
                  <c:v>107.06790763501181</c:v>
                </c:pt>
                <c:pt idx="316">
                  <c:v>107.00707447631839</c:v>
                </c:pt>
                <c:pt idx="317">
                  <c:v>106.9465329419492</c:v>
                </c:pt>
                <c:pt idx="318">
                  <c:v>106.886278343296</c:v>
                </c:pt>
                <c:pt idx="319">
                  <c:v>106.8263060471768</c:v>
                </c:pt>
                <c:pt idx="320">
                  <c:v>106.7666114752183</c:v>
                </c:pt>
                <c:pt idx="321">
                  <c:v>106.70719010325119</c:v>
                </c:pt>
                <c:pt idx="322">
                  <c:v>106.6480374607054</c:v>
                </c:pt>
                <c:pt idx="323">
                  <c:v>106.5891491300179</c:v>
                </c:pt>
                <c:pt idx="324">
                  <c:v>106.53052074605181</c:v>
                </c:pt>
                <c:pt idx="325">
                  <c:v>106.4721479955076</c:v>
                </c:pt>
                <c:pt idx="326">
                  <c:v>106.4140266163591</c:v>
                </c:pt>
                <c:pt idx="327">
                  <c:v>106.3561523972843</c:v>
                </c:pt>
                <c:pt idx="328">
                  <c:v>106.2985211771057</c:v>
                </c:pt>
                <c:pt idx="329">
                  <c:v>106.2411288442369</c:v>
                </c:pt>
                <c:pt idx="330">
                  <c:v>106.1839713361358</c:v>
                </c:pt>
                <c:pt idx="331">
                  <c:v>106.1270446387614</c:v>
                </c:pt>
                <c:pt idx="332">
                  <c:v>106.0703447860391</c:v>
                </c:pt>
                <c:pt idx="333">
                  <c:v>106.0138678593276</c:v>
                </c:pt>
                <c:pt idx="334">
                  <c:v>105.9576099868957</c:v>
                </c:pt>
                <c:pt idx="335">
                  <c:v>105.9015673433975</c:v>
                </c:pt>
                <c:pt idx="336">
                  <c:v>105.8457361493613</c:v>
                </c:pt>
                <c:pt idx="337">
                  <c:v>105.7901126706748</c:v>
                </c:pt>
                <c:pt idx="338">
                  <c:v>105.7346932180802</c:v>
                </c:pt>
                <c:pt idx="339">
                  <c:v>105.67947414667</c:v>
                </c:pt>
                <c:pt idx="340">
                  <c:v>105.6244518553911</c:v>
                </c:pt>
                <c:pt idx="341">
                  <c:v>105.5696227865503</c:v>
                </c:pt>
                <c:pt idx="342">
                  <c:v>105.5149834253239</c:v>
                </c:pt>
                <c:pt idx="343">
                  <c:v>105.4605302992741</c:v>
                </c:pt>
                <c:pt idx="344">
                  <c:v>105.4062599778624</c:v>
                </c:pt>
                <c:pt idx="345">
                  <c:v>105.3521690719777</c:v>
                </c:pt>
                <c:pt idx="346">
                  <c:v>105.29825423345591</c:v>
                </c:pt>
                <c:pt idx="347">
                  <c:v>105.2445121546137</c:v>
                </c:pt>
                <c:pt idx="348">
                  <c:v>105.1909395677782</c:v>
                </c:pt>
                <c:pt idx="349">
                  <c:v>105.1375332448243</c:v>
                </c:pt>
                <c:pt idx="350">
                  <c:v>105.0842899967153</c:v>
                </c:pt>
                <c:pt idx="351">
                  <c:v>105.03120667304201</c:v>
                </c:pt>
                <c:pt idx="352">
                  <c:v>104.9782801615717</c:v>
                </c:pt>
                <c:pt idx="353">
                  <c:v>104.92550738780101</c:v>
                </c:pt>
                <c:pt idx="354">
                  <c:v>104.8728853145012</c:v>
                </c:pt>
                <c:pt idx="355">
                  <c:v>104.8204109412808</c:v>
                </c:pt>
                <c:pt idx="356">
                  <c:v>104.7680813041419</c:v>
                </c:pt>
                <c:pt idx="357">
                  <c:v>104.7158934750446</c:v>
                </c:pt>
                <c:pt idx="358">
                  <c:v>104.66384456147129</c:v>
                </c:pt>
                <c:pt idx="359">
                  <c:v>104.61193170599979</c:v>
                </c:pt>
                <c:pt idx="360">
                  <c:v>104.5601520858728</c:v>
                </c:pt>
                <c:pt idx="361">
                  <c:v>104.50850291257559</c:v>
                </c:pt>
                <c:pt idx="362">
                  <c:v>104.4569814314204</c:v>
                </c:pt>
                <c:pt idx="363">
                  <c:v>104.4055849211227</c:v>
                </c:pt>
                <c:pt idx="364">
                  <c:v>104.3543106933986</c:v>
                </c:pt>
                <c:pt idx="365">
                  <c:v>104.303156092549</c:v>
                </c:pt>
                <c:pt idx="366">
                  <c:v>104.2521184950632</c:v>
                </c:pt>
                <c:pt idx="367">
                  <c:v>104.2011953092132</c:v>
                </c:pt>
                <c:pt idx="368">
                  <c:v>104.1503839746653</c:v>
                </c:pt>
                <c:pt idx="369">
                  <c:v>104.0996819620882</c:v>
                </c:pt>
                <c:pt idx="370">
                  <c:v>104.04908677277059</c:v>
                </c:pt>
                <c:pt idx="371">
                  <c:v>103.9985959382422</c:v>
                </c:pt>
                <c:pt idx="372">
                  <c:v>103.9482070199045</c:v>
                </c:pt>
                <c:pt idx="373">
                  <c:v>103.8979176086639</c:v>
                </c:pt>
                <c:pt idx="374">
                  <c:v>103.847725324576</c:v>
                </c:pt>
                <c:pt idx="375">
                  <c:v>103.7976278164997</c:v>
                </c:pt>
                <c:pt idx="376">
                  <c:v>103.74762276175031</c:v>
                </c:pt>
                <c:pt idx="377">
                  <c:v>103.69770786577961</c:v>
                </c:pt>
                <c:pt idx="378">
                  <c:v>103.64788086185</c:v>
                </c:pt>
                <c:pt idx="379">
                  <c:v>103.5981395107343</c:v>
                </c:pt>
                <c:pt idx="380">
                  <c:v>103.5484816004254</c:v>
                </c:pt>
                <c:pt idx="381">
                  <c:v>103.4989049458589</c:v>
                </c:pt>
                <c:pt idx="382">
                  <c:v>103.4494073886635</c:v>
                </c:pt>
                <c:pt idx="383">
                  <c:v>103.3999867969291</c:v>
                </c:pt>
                <c:pt idx="384">
                  <c:v>103.3506410650007</c:v>
                </c:pt>
                <c:pt idx="385">
                  <c:v>103.30136811330669</c:v>
                </c:pt>
                <c:pt idx="386">
                  <c:v>103.2521658882258</c:v>
                </c:pt>
                <c:pt idx="387">
                  <c:v>103.203032362001</c:v>
                </c:pt>
                <c:pt idx="388">
                  <c:v>103.15396553270369</c:v>
                </c:pt>
                <c:pt idx="389">
                  <c:v>103.1049634242856</c:v>
                </c:pt>
                <c:pt idx="390">
                  <c:v>103.0560240867088</c:v>
                </c:pt>
                <c:pt idx="391">
                  <c:v>103.00714559620241</c:v>
                </c:pt>
                <c:pt idx="392">
                  <c:v>102.958326055681</c:v>
                </c:pt>
                <c:pt idx="393">
                  <c:v>102.9095635953759</c:v>
                </c:pt>
                <c:pt idx="394">
                  <c:v>102.8608563737784</c:v>
                </c:pt>
                <c:pt idx="395">
                  <c:v>102.8122025790264</c:v>
                </c:pt>
                <c:pt idx="396">
                  <c:v>102.7636004309785</c:v>
                </c:pt>
                <c:pt idx="397">
                  <c:v>102.71504818439119</c:v>
                </c:pt>
                <c:pt idx="398">
                  <c:v>102.6665441340273</c:v>
                </c:pt>
                <c:pt idx="399">
                  <c:v>102.6180866235365</c:v>
                </c:pt>
                <c:pt idx="400">
                  <c:v>102.569674063031</c:v>
                </c:pt>
                <c:pt idx="401">
                  <c:v>102.52130497443071</c:v>
                </c:pt>
                <c:pt idx="402">
                  <c:v>102.47297841977201</c:v>
                </c:pt>
                <c:pt idx="403">
                  <c:v>102.4246946375565</c:v>
                </c:pt>
                <c:pt idx="404">
                  <c:v>102.3764525712359</c:v>
                </c:pt>
                <c:pt idx="405">
                  <c:v>102.32825079289481</c:v>
                </c:pt>
                <c:pt idx="406">
                  <c:v>102.28008780150969</c:v>
                </c:pt>
                <c:pt idx="407">
                  <c:v>102.2319620614452</c:v>
                </c:pt>
                <c:pt idx="408">
                  <c:v>102.1838720181395</c:v>
                </c:pt>
                <c:pt idx="409">
                  <c:v>102.1358161062242</c:v>
                </c:pt>
                <c:pt idx="410">
                  <c:v>102.0877927542861</c:v>
                </c:pt>
                <c:pt idx="411">
                  <c:v>102.0398003878886</c:v>
                </c:pt>
                <c:pt idx="412">
                  <c:v>101.9918374315907</c:v>
                </c:pt>
                <c:pt idx="413">
                  <c:v>101.9439023103524</c:v>
                </c:pt>
                <c:pt idx="414">
                  <c:v>101.89599345052881</c:v>
                </c:pt>
                <c:pt idx="415">
                  <c:v>101.84810928059601</c:v>
                </c:pt>
                <c:pt idx="416">
                  <c:v>101.8002482316773</c:v>
                </c:pt>
                <c:pt idx="417">
                  <c:v>101.7524087379368</c:v>
                </c:pt>
                <c:pt idx="418">
                  <c:v>101.7045892368632</c:v>
                </c:pt>
                <c:pt idx="419">
                  <c:v>101.6567881694791</c:v>
                </c:pt>
                <c:pt idx="420">
                  <c:v>101.6090039804928</c:v>
                </c:pt>
                <c:pt idx="421">
                  <c:v>101.56123511839991</c:v>
                </c:pt>
                <c:pt idx="422">
                  <c:v>101.51348003555221</c:v>
                </c:pt>
                <c:pt idx="423">
                  <c:v>101.4657371882012</c:v>
                </c:pt>
                <c:pt idx="424">
                  <c:v>101.41800503651309</c:v>
                </c:pt>
                <c:pt idx="425">
                  <c:v>101.37028204457231</c:v>
                </c:pt>
                <c:pt idx="426">
                  <c:v>101.32256668036911</c:v>
                </c:pt>
                <c:pt idx="427">
                  <c:v>101.27485741577431</c:v>
                </c:pt>
                <c:pt idx="428">
                  <c:v>101.2271527265101</c:v>
                </c:pt>
                <c:pt idx="429">
                  <c:v>101.1794510921104</c:v>
                </c:pt>
                <c:pt idx="430">
                  <c:v>101.1317509958766</c:v>
                </c:pt>
                <c:pt idx="431">
                  <c:v>101.0840509248311</c:v>
                </c:pt>
                <c:pt idx="432">
                  <c:v>101.0363493696659</c:v>
                </c:pt>
                <c:pt idx="433">
                  <c:v>100.9886448246922</c:v>
                </c:pt>
                <c:pt idx="434">
                  <c:v>100.9409357877845</c:v>
                </c:pt>
                <c:pt idx="435">
                  <c:v>100.8932207603268</c:v>
                </c:pt>
                <c:pt idx="436">
                  <c:v>100.8454982471594</c:v>
                </c:pt>
                <c:pt idx="437">
                  <c:v>100.7977667565215</c:v>
                </c:pt>
                <c:pt idx="438">
                  <c:v>100.7500248000007</c:v>
                </c:pt>
                <c:pt idx="439">
                  <c:v>100.70227089247589</c:v>
                </c:pt>
                <c:pt idx="440">
                  <c:v>100.6545035520671</c:v>
                </c:pt>
                <c:pt idx="441">
                  <c:v>100.6067213000853</c:v>
                </c:pt>
                <c:pt idx="442">
                  <c:v>100.55892266097879</c:v>
                </c:pt>
                <c:pt idx="443">
                  <c:v>100.51110616228659</c:v>
                </c:pt>
                <c:pt idx="444">
                  <c:v>100.46327033459271</c:v>
                </c:pt>
                <c:pt idx="445">
                  <c:v>100.4154137114781</c:v>
                </c:pt>
                <c:pt idx="446">
                  <c:v>100.367534829476</c:v>
                </c:pt>
                <c:pt idx="447">
                  <c:v>100.3196322280325</c:v>
                </c:pt>
                <c:pt idx="448">
                  <c:v>100.2717044494615</c:v>
                </c:pt>
                <c:pt idx="449">
                  <c:v>100.22375003890841</c:v>
                </c:pt>
                <c:pt idx="450">
                  <c:v>100.1757675443101</c:v>
                </c:pt>
                <c:pt idx="451">
                  <c:v>100.1277555163594</c:v>
                </c:pt>
                <c:pt idx="452">
                  <c:v>100.07971250847</c:v>
                </c:pt>
                <c:pt idx="453">
                  <c:v>100.03163707674079</c:v>
                </c:pt>
                <c:pt idx="454">
                  <c:v>99.983527779926547</c:v>
                </c:pt>
                <c:pt idx="455">
                  <c:v>99.935383179404511</c:v>
                </c:pt>
                <c:pt idx="456">
                  <c:v>99.887201839144581</c:v>
                </c:pt>
                <c:pt idx="457">
                  <c:v>99.838982325683332</c:v>
                </c:pt>
                <c:pt idx="458">
                  <c:v>99.790723208090967</c:v>
                </c:pt>
                <c:pt idx="459">
                  <c:v>99.742423057949381</c:v>
                </c:pt>
                <c:pt idx="460">
                  <c:v>99.694080449322016</c:v>
                </c:pt>
                <c:pt idx="461">
                  <c:v>99.645693958732721</c:v>
                </c:pt>
                <c:pt idx="462">
                  <c:v>99.597262165137238</c:v>
                </c:pt>
                <c:pt idx="463">
                  <c:v>99.548783649900898</c:v>
                </c:pt>
                <c:pt idx="464">
                  <c:v>99.50025699677596</c:v>
                </c:pt>
                <c:pt idx="465">
                  <c:v>99.451680791874793</c:v>
                </c:pt>
                <c:pt idx="466">
                  <c:v>99.403053623650479</c:v>
                </c:pt>
                <c:pt idx="467">
                  <c:v>99.354374082872454</c:v>
                </c:pt>
                <c:pt idx="468">
                  <c:v>99.305640762602351</c:v>
                </c:pt>
                <c:pt idx="469">
                  <c:v>99.25685225817179</c:v>
                </c:pt>
                <c:pt idx="470">
                  <c:v>99.208007167160346</c:v>
                </c:pt>
                <c:pt idx="471">
                  <c:v>99.159104089369123</c:v>
                </c:pt>
                <c:pt idx="472">
                  <c:v>99.110141626800484</c:v>
                </c:pt>
                <c:pt idx="473">
                  <c:v>99.061118383630259</c:v>
                </c:pt>
                <c:pt idx="474">
                  <c:v>99.012032966183654</c:v>
                </c:pt>
                <c:pt idx="475">
                  <c:v>98.962883982910881</c:v>
                </c:pt>
                <c:pt idx="476">
                  <c:v>98.913670044357559</c:v>
                </c:pt>
                <c:pt idx="477">
                  <c:v>98.864389763139187</c:v>
                </c:pt>
                <c:pt idx="478">
                  <c:v>98.815041753912524</c:v>
                </c:pt>
                <c:pt idx="479">
                  <c:v>98.765624633344672</c:v>
                </c:pt>
                <c:pt idx="480">
                  <c:v>98.71613702008176</c:v>
                </c:pt>
                <c:pt idx="481">
                  <c:v>98.666577534718073</c:v>
                </c:pt>
                <c:pt idx="482">
                  <c:v>98.616944799760674</c:v>
                </c:pt>
                <c:pt idx="483">
                  <c:v>98.567237439593953</c:v>
                </c:pt>
                <c:pt idx="484">
                  <c:v>98.517454080444935</c:v>
                </c:pt>
                <c:pt idx="485">
                  <c:v>98.46759335034109</c:v>
                </c:pt>
                <c:pt idx="486">
                  <c:v>98.417653879072105</c:v>
                </c:pt>
                <c:pt idx="487">
                  <c:v>98.367634298147635</c:v>
                </c:pt>
                <c:pt idx="488">
                  <c:v>98.317533240750137</c:v>
                </c:pt>
                <c:pt idx="489">
                  <c:v>98.267349341692778</c:v>
                </c:pt>
                <c:pt idx="490">
                  <c:v>98.217081237368319</c:v>
                </c:pt>
                <c:pt idx="491">
                  <c:v>98.166727565697187</c:v>
                </c:pt>
                <c:pt idx="492">
                  <c:v>98.116286966077482</c:v>
                </c:pt>
                <c:pt idx="493">
                  <c:v>98.065758079329598</c:v>
                </c:pt>
                <c:pt idx="494">
                  <c:v>98.015139547635115</c:v>
                </c:pt>
                <c:pt idx="495">
                  <c:v>97.964430014481508</c:v>
                </c:pt>
                <c:pt idx="496">
                  <c:v>97.913628124596272</c:v>
                </c:pt>
                <c:pt idx="497">
                  <c:v>97.862732523884247</c:v>
                </c:pt>
                <c:pt idx="498">
                  <c:v>97.811741859358321</c:v>
                </c:pt>
                <c:pt idx="499">
                  <c:v>97.760654779070691</c:v>
                </c:pt>
                <c:pt idx="500">
                  <c:v>97.709469932039738</c:v>
                </c:pt>
                <c:pt idx="501">
                  <c:v>97.65818596817455</c:v>
                </c:pt>
                <c:pt idx="502">
                  <c:v>97.606801538196137</c:v>
                </c:pt>
                <c:pt idx="503">
                  <c:v>97.555315293558891</c:v>
                </c:pt>
                <c:pt idx="504">
                  <c:v>97.503725886363668</c:v>
                </c:pt>
                <c:pt idx="505">
                  <c:v>97.452031969275552</c:v>
                </c:pt>
                <c:pt idx="506">
                  <c:v>97.400232195432395</c:v>
                </c:pt>
                <c:pt idx="507">
                  <c:v>97.348325218352102</c:v>
                </c:pt>
                <c:pt idx="508">
                  <c:v>97.296309691842069</c:v>
                </c:pt>
                <c:pt idx="509">
                  <c:v>97.244184269897062</c:v>
                </c:pt>
                <c:pt idx="510">
                  <c:v>97.191947606602483</c:v>
                </c:pt>
                <c:pt idx="511">
                  <c:v>97.139598356031229</c:v>
                </c:pt>
                <c:pt idx="512">
                  <c:v>97.087135172137323</c:v>
                </c:pt>
                <c:pt idx="513">
                  <c:v>97.034556708648367</c:v>
                </c:pt>
                <c:pt idx="514">
                  <c:v>96.98186161895471</c:v>
                </c:pt>
                <c:pt idx="515">
                  <c:v>96.929048555995379</c:v>
                </c:pt>
                <c:pt idx="516">
                  <c:v>96.876116172143014</c:v>
                </c:pt>
                <c:pt idx="517">
                  <c:v>96.823063119084736</c:v>
                </c:pt>
                <c:pt idx="518">
                  <c:v>96.769888047699965</c:v>
                </c:pt>
                <c:pt idx="519">
                  <c:v>96.716589607939056</c:v>
                </c:pt>
                <c:pt idx="520">
                  <c:v>96.663166448695009</c:v>
                </c:pt>
                <c:pt idx="521">
                  <c:v>96.609617217676131</c:v>
                </c:pt>
                <c:pt idx="522">
                  <c:v>96.555940561275051</c:v>
                </c:pt>
                <c:pt idx="523">
                  <c:v>96.502135124435384</c:v>
                </c:pt>
                <c:pt idx="524">
                  <c:v>96.448199550517245</c:v>
                </c:pt>
                <c:pt idx="525">
                  <c:v>96.394132481158834</c:v>
                </c:pt>
                <c:pt idx="526">
                  <c:v>96.339932556137384</c:v>
                </c:pt>
                <c:pt idx="527">
                  <c:v>96.285598413228428</c:v>
                </c:pt>
                <c:pt idx="528">
                  <c:v>96.231128688062043</c:v>
                </c:pt>
                <c:pt idx="529">
                  <c:v>96.176522013978143</c:v>
                </c:pt>
                <c:pt idx="530">
                  <c:v>96.121777021877861</c:v>
                </c:pt>
                <c:pt idx="531">
                  <c:v>96.066892340078596</c:v>
                </c:pt>
                <c:pt idx="532">
                  <c:v>96.011866594160978</c:v>
                </c:pt>
                <c:pt idx="533">
                  <c:v>95.95669840681856</c:v>
                </c:pt>
                <c:pt idx="534">
                  <c:v>95.901386397705949</c:v>
                </c:pt>
                <c:pt idx="535">
                  <c:v>95.845929183283488</c:v>
                </c:pt>
                <c:pt idx="536">
                  <c:v>95.790325376662651</c:v>
                </c:pt>
                <c:pt idx="537">
                  <c:v>95.734573587450583</c:v>
                </c:pt>
                <c:pt idx="538">
                  <c:v>95.678672421592935</c:v>
                </c:pt>
                <c:pt idx="539">
                  <c:v>95.622620481215321</c:v>
                </c:pt>
                <c:pt idx="540">
                  <c:v>95.566416364465937</c:v>
                </c:pt>
                <c:pt idx="541">
                  <c:v>95.510058665355459</c:v>
                </c:pt>
                <c:pt idx="542">
                  <c:v>95.453545973599006</c:v>
                </c:pt>
                <c:pt idx="543">
                  <c:v>95.396876874453966</c:v>
                </c:pt>
                <c:pt idx="544">
                  <c:v>95.340049948563632</c:v>
                </c:pt>
                <c:pt idx="545">
                  <c:v>95.283063771794815</c:v>
                </c:pt>
                <c:pt idx="546">
                  <c:v>95.225916915077178</c:v>
                </c:pt>
                <c:pt idx="547">
                  <c:v>95.168607944245409</c:v>
                </c:pt>
                <c:pt idx="548">
                  <c:v>95.111135419879147</c:v>
                </c:pt>
                <c:pt idx="549">
                  <c:v>95.053497897143103</c:v>
                </c:pt>
                <c:pt idx="550">
                  <c:v>94.995693925630036</c:v>
                </c:pt>
                <c:pt idx="551">
                  <c:v>94.937722049201795</c:v>
                </c:pt>
                <c:pt idx="552">
                  <c:v>94.879580805832191</c:v>
                </c:pt>
                <c:pt idx="553">
                  <c:v>94.821268727452221</c:v>
                </c:pt>
                <c:pt idx="554">
                  <c:v>94.762784339794678</c:v>
                </c:pt>
                <c:pt idx="555">
                  <c:v>94.704126162239803</c:v>
                </c:pt>
                <c:pt idx="556">
                  <c:v>94.645292707662847</c:v>
                </c:pt>
                <c:pt idx="557">
                  <c:v>94.586282482284901</c:v>
                </c:pt>
                <c:pt idx="558">
                  <c:v>94.527093985521105</c:v>
                </c:pt>
                <c:pt idx="559">
                  <c:v>94.467725709835037</c:v>
                </c:pt>
                <c:pt idx="560">
                  <c:v>94.408176140591635</c:v>
                </c:pt>
                <c:pt idx="561">
                  <c:v>94.34844375591409</c:v>
                </c:pt>
                <c:pt idx="562">
                  <c:v>94.288527026541416</c:v>
                </c:pt>
                <c:pt idx="563">
                  <c:v>94.228424415689943</c:v>
                </c:pt>
                <c:pt idx="564">
                  <c:v>94.168134378914473</c:v>
                </c:pt>
                <c:pt idx="565">
                  <c:v>94.107655363975496</c:v>
                </c:pt>
                <c:pt idx="566">
                  <c:v>94.046985810705124</c:v>
                </c:pt>
                <c:pt idx="567">
                  <c:v>93.986124150877416</c:v>
                </c:pt>
                <c:pt idx="568">
                  <c:v>93.925068808082727</c:v>
                </c:pt>
                <c:pt idx="569">
                  <c:v>93.863818197603024</c:v>
                </c:pt>
                <c:pt idx="570">
                  <c:v>93.802370726290121</c:v>
                </c:pt>
                <c:pt idx="571">
                  <c:v>93.74072479244812</c:v>
                </c:pt>
                <c:pt idx="572">
                  <c:v>93.678878785719419</c:v>
                </c:pt>
                <c:pt idx="573">
                  <c:v>93.616831086969668</c:v>
                </c:pt>
                <c:pt idx="574">
                  <c:v>93.55458006818283</c:v>
                </c:pt>
                <c:pt idx="575">
                  <c:v>93.492124092354956</c:v>
                </c:pt>
                <c:pt idx="576">
                  <c:v>93.429461513391516</c:v>
                </c:pt>
                <c:pt idx="577">
                  <c:v>93.366590676010077</c:v>
                </c:pt>
                <c:pt idx="578">
                  <c:v>93.303509915645179</c:v>
                </c:pt>
                <c:pt idx="579">
                  <c:v>93.240217558358808</c:v>
                </c:pt>
                <c:pt idx="580">
                  <c:v>93.1767119207516</c:v>
                </c:pt>
                <c:pt idx="581">
                  <c:v>93.112991309879831</c:v>
                </c:pt>
                <c:pt idx="582">
                  <c:v>93.049054023175799</c:v>
                </c:pt>
                <c:pt idx="583">
                  <c:v>92.984898348372212</c:v>
                </c:pt>
                <c:pt idx="584">
                  <c:v>92.920522563430353</c:v>
                </c:pt>
                <c:pt idx="585">
                  <c:v>92.855924936471396</c:v>
                </c:pt>
                <c:pt idx="586">
                  <c:v>92.791103725711963</c:v>
                </c:pt>
                <c:pt idx="587">
                  <c:v>92.72605717940543</c:v>
                </c:pt>
                <c:pt idx="588">
                  <c:v>92.660783535784944</c:v>
                </c:pt>
                <c:pt idx="589">
                  <c:v>92.595281023010571</c:v>
                </c:pt>
                <c:pt idx="590">
                  <c:v>92.529547859121919</c:v>
                </c:pt>
                <c:pt idx="591">
                  <c:v>92.463582251994239</c:v>
                </c:pt>
                <c:pt idx="592">
                  <c:v>92.397382399296689</c:v>
                </c:pt>
                <c:pt idx="593">
                  <c:v>92.330946488457329</c:v>
                </c:pt>
                <c:pt idx="594">
                  <c:v>92.2642726966303</c:v>
                </c:pt>
                <c:pt idx="595">
                  <c:v>92.197359190668038</c:v>
                </c:pt>
                <c:pt idx="596">
                  <c:v>92.130204127095283</c:v>
                </c:pt>
                <c:pt idx="597">
                  <c:v>92.062805652090688</c:v>
                </c:pt>
                <c:pt idx="598">
                  <c:v>91.995161901468222</c:v>
                </c:pt>
                <c:pt idx="599">
                  <c:v>91.927271000665812</c:v>
                </c:pt>
                <c:pt idx="600">
                  <c:v>91.859131064733887</c:v>
                </c:pt>
                <c:pt idx="601">
                  <c:v>91.790740198333324</c:v>
                </c:pt>
                <c:pt idx="602">
                  <c:v>91.722096495729744</c:v>
                </c:pt>
                <c:pt idx="603">
                  <c:v>91.65319804079914</c:v>
                </c:pt>
                <c:pt idx="604">
                  <c:v>91.584042907030494</c:v>
                </c:pt>
                <c:pt idx="605">
                  <c:v>91.514629157536703</c:v>
                </c:pt>
                <c:pt idx="606">
                  <c:v>91.444954845064558</c:v>
                </c:pt>
                <c:pt idx="607">
                  <c:v>91.375018012013399</c:v>
                </c:pt>
                <c:pt idx="608">
                  <c:v>91.304816690451759</c:v>
                </c:pt>
                <c:pt idx="609">
                  <c:v>91.234348902139502</c:v>
                </c:pt>
                <c:pt idx="610">
                  <c:v>91.16361265855582</c:v>
                </c:pt>
                <c:pt idx="611">
                  <c:v>91.092605960924146</c:v>
                </c:pt>
                <c:pt idx="612">
                  <c:v>91.021326800245319</c:v>
                </c:pt>
                <c:pt idx="613">
                  <c:v>90.949773157331478</c:v>
                </c:pt>
                <c:pt idx="614">
                  <c:v>90.877943002843054</c:v>
                </c:pt>
                <c:pt idx="615">
                  <c:v>90.805834297328744</c:v>
                </c:pt>
                <c:pt idx="616">
                  <c:v>90.733444991265756</c:v>
                </c:pt>
                <c:pt idx="617">
                  <c:v>90.660773025108497</c:v>
                </c:pt>
                <c:pt idx="618">
                  <c:v>90.587816329331304</c:v>
                </c:pt>
                <c:pt idx="619">
                  <c:v>90.514572824480965</c:v>
                </c:pt>
                <c:pt idx="620">
                  <c:v>90.441040421227783</c:v>
                </c:pt>
                <c:pt idx="621">
                  <c:v>90.367217020419204</c:v>
                </c:pt>
                <c:pt idx="622">
                  <c:v>90.29310051313503</c:v>
                </c:pt>
                <c:pt idx="623">
                  <c:v>90.218688780746305</c:v>
                </c:pt>
                <c:pt idx="624">
                  <c:v>90.143979694974348</c:v>
                </c:pt>
                <c:pt idx="625">
                  <c:v>90.068971117952415</c:v>
                </c:pt>
                <c:pt idx="626">
                  <c:v>89.99366090228871</c:v>
                </c:pt>
                <c:pt idx="627">
                  <c:v>89.918046891131311</c:v>
                </c:pt>
                <c:pt idx="628">
                  <c:v>89.842126918232921</c:v>
                </c:pt>
                <c:pt idx="629">
                  <c:v>89.765898808019173</c:v>
                </c:pt>
                <c:pt idx="630">
                  <c:v>89.689360375658026</c:v>
                </c:pt>
                <c:pt idx="631">
                  <c:v>89.612509427128003</c:v>
                </c:pt>
                <c:pt idx="632">
                  <c:v>89.535343759289731</c:v>
                </c:pt>
                <c:pt idx="633">
                  <c:v>89.457861159958554</c:v>
                </c:pt>
                <c:pt idx="634">
                  <c:v>89.380059407976162</c:v>
                </c:pt>
                <c:pt idx="635">
                  <c:v>89.30193627328417</c:v>
                </c:pt>
                <c:pt idx="636">
                  <c:v>89.223489517000004</c:v>
                </c:pt>
                <c:pt idx="637">
                  <c:v>89.144716891490802</c:v>
                </c:pt>
                <c:pt idx="638">
                  <c:v>89.065616140447403</c:v>
                </c:pt>
                <c:pt idx="639">
                  <c:v>88.986184998963452</c:v>
                </c:pt>
                <c:pt idx="640">
                  <c:v>88.906421193609873</c:v>
                </c:pt>
                <c:pt idx="641">
                  <c:v>88.826322442511483</c:v>
                </c:pt>
                <c:pt idx="642">
                  <c:v>88.745886455425506</c:v>
                </c:pt>
                <c:pt idx="643">
                  <c:v>88.665110933817246</c:v>
                </c:pt>
                <c:pt idx="644">
                  <c:v>88.583993570937892</c:v>
                </c:pt>
                <c:pt idx="645">
                  <c:v>88.502532051902762</c:v>
                </c:pt>
                <c:pt idx="646">
                  <c:v>88.420724053768197</c:v>
                </c:pt>
                <c:pt idx="647">
                  <c:v>88.338567245608147</c:v>
                </c:pt>
                <c:pt idx="648">
                  <c:v>88.256059288592638</c:v>
                </c:pt>
                <c:pt idx="649">
                  <c:v>88.173197836064347</c:v>
                </c:pt>
                <c:pt idx="650">
                  <c:v>88.089980533615261</c:v>
                </c:pt>
                <c:pt idx="651">
                  <c:v>88.006405019163495</c:v>
                </c:pt>
                <c:pt idx="652">
                  <c:v>87.922468923030067</c:v>
                </c:pt>
                <c:pt idx="653">
                  <c:v>87.838169868014305</c:v>
                </c:pt>
                <c:pt idx="654">
                  <c:v>87.75350546946882</c:v>
                </c:pt>
                <c:pt idx="655">
                  <c:v>87.668473335375623</c:v>
                </c:pt>
                <c:pt idx="656">
                  <c:v>87.58307106642053</c:v>
                </c:pt>
                <c:pt idx="657">
                  <c:v>87.49729625606723</c:v>
                </c:pt>
                <c:pt idx="658">
                  <c:v>87.411146490629747</c:v>
                </c:pt>
                <c:pt idx="659">
                  <c:v>87.324619349347302</c:v>
                </c:pt>
                <c:pt idx="660">
                  <c:v>87.237712404455792</c:v>
                </c:pt>
                <c:pt idx="661">
                  <c:v>87.150423221259004</c:v>
                </c:pt>
                <c:pt idx="662">
                  <c:v>87.06274935820079</c:v>
                </c:pt>
                <c:pt idx="663">
                  <c:v>86.9746883669347</c:v>
                </c:pt>
                <c:pt idx="664">
                  <c:v>86.886237792394354</c:v>
                </c:pt>
                <c:pt idx="665">
                  <c:v>86.79739517286211</c:v>
                </c:pt>
                <c:pt idx="666">
                  <c:v>86.70815804003783</c:v>
                </c:pt>
                <c:pt idx="667">
                  <c:v>86.618523919105883</c:v>
                </c:pt>
                <c:pt idx="668">
                  <c:v>86.528490328802576</c:v>
                </c:pt>
                <c:pt idx="669">
                  <c:v>86.438054781482293</c:v>
                </c:pt>
                <c:pt idx="670">
                  <c:v>86.347214783182523</c:v>
                </c:pt>
                <c:pt idx="671">
                  <c:v>86.255967833689226</c:v>
                </c:pt>
                <c:pt idx="672">
                  <c:v>86.164311426599554</c:v>
                </c:pt>
                <c:pt idx="673">
                  <c:v>86.07224304938596</c:v>
                </c:pt>
                <c:pt idx="674">
                  <c:v>85.979760183458481</c:v>
                </c:pt>
                <c:pt idx="675">
                  <c:v>85.88686030422565</c:v>
                </c:pt>
                <c:pt idx="676">
                  <c:v>85.793540881155991</c:v>
                </c:pt>
                <c:pt idx="677">
                  <c:v>85.69979937783792</c:v>
                </c:pt>
                <c:pt idx="678">
                  <c:v>85.605633252038913</c:v>
                </c:pt>
                <c:pt idx="679">
                  <c:v>85.511039955763707</c:v>
                </c:pt>
                <c:pt idx="680">
                  <c:v>85.416016935313664</c:v>
                </c:pt>
                <c:pt idx="681">
                  <c:v>85.32056163134186</c:v>
                </c:pt>
                <c:pt idx="682">
                  <c:v>85.224671478910409</c:v>
                </c:pt>
                <c:pt idx="683">
                  <c:v>85.128343907546864</c:v>
                </c:pt>
                <c:pt idx="684">
                  <c:v>85.031576341297509</c:v>
                </c:pt>
                <c:pt idx="685">
                  <c:v>84.934366198783138</c:v>
                </c:pt>
                <c:pt idx="686">
                  <c:v>84.836710893251578</c:v>
                </c:pt>
                <c:pt idx="687">
                  <c:v>84.738607832631018</c:v>
                </c:pt>
                <c:pt idx="688">
                  <c:v>84.6400544195821</c:v>
                </c:pt>
                <c:pt idx="689">
                  <c:v>84.541048051550504</c:v>
                </c:pt>
                <c:pt idx="690">
                  <c:v>84.44158612081543</c:v>
                </c:pt>
                <c:pt idx="691">
                  <c:v>84.341666014542994</c:v>
                </c:pt>
                <c:pt idx="692">
                  <c:v>84.241285114833502</c:v>
                </c:pt>
                <c:pt idx="693">
                  <c:v>84.140440798772033</c:v>
                </c:pt>
                <c:pt idx="694">
                  <c:v>84.039130438476136</c:v>
                </c:pt>
                <c:pt idx="695">
                  <c:v>83.937351401144639</c:v>
                </c:pt>
                <c:pt idx="696">
                  <c:v>83.835101049104253</c:v>
                </c:pt>
                <c:pt idx="697">
                  <c:v>83.732376739856676</c:v>
                </c:pt>
                <c:pt idx="698">
                  <c:v>83.629175826125902</c:v>
                </c:pt>
                <c:pt idx="699">
                  <c:v>83.525495655902844</c:v>
                </c:pt>
                <c:pt idx="700">
                  <c:v>83.421333572490582</c:v>
                </c:pt>
                <c:pt idx="701">
                  <c:v>83.316686914551255</c:v>
                </c:pt>
                <c:pt idx="702">
                  <c:v>83.211553016148486</c:v>
                </c:pt>
                <c:pt idx="703">
                  <c:v>83.105929206791728</c:v>
                </c:pt>
                <c:pt idx="704">
                  <c:v>82.99981281148068</c:v>
                </c:pt>
                <c:pt idx="705">
                  <c:v>82.893201150747757</c:v>
                </c:pt>
                <c:pt idx="706">
                  <c:v>82.786091540700781</c:v>
                </c:pt>
                <c:pt idx="707">
                  <c:v>82.67848129306563</c:v>
                </c:pt>
                <c:pt idx="708">
                  <c:v>82.570367715228215</c:v>
                </c:pt>
                <c:pt idx="709">
                  <c:v>82.461748110275494</c:v>
                </c:pt>
                <c:pt idx="710">
                  <c:v>82.352619777037617</c:v>
                </c:pt>
                <c:pt idx="711">
                  <c:v>82.242980010127951</c:v>
                </c:pt>
                <c:pt idx="712">
                  <c:v>82.132826099984129</c:v>
                </c:pt>
                <c:pt idx="713">
                  <c:v>82.022155332908198</c:v>
                </c:pt>
                <c:pt idx="714">
                  <c:v>81.910964991106454</c:v>
                </c:pt>
                <c:pt idx="715">
                  <c:v>81.799252352729013</c:v>
                </c:pt>
                <c:pt idx="716">
                  <c:v>81.687014691909098</c:v>
                </c:pt>
                <c:pt idx="717">
                  <c:v>81.574249278802185</c:v>
                </c:pt>
                <c:pt idx="718">
                  <c:v>81.460953379625423</c:v>
                </c:pt>
                <c:pt idx="719">
                  <c:v>81.347124256694286</c:v>
                </c:pt>
                <c:pt idx="720">
                  <c:v>81.232759168463105</c:v>
                </c:pt>
                <c:pt idx="721">
                  <c:v>81.117855369561113</c:v>
                </c:pt>
                <c:pt idx="722">
                  <c:v>81.002410110831718</c:v>
                </c:pt>
                <c:pt idx="723">
                  <c:v>80.886420639369163</c:v>
                </c:pt>
                <c:pt idx="724">
                  <c:v>80.76988419855607</c:v>
                </c:pt>
                <c:pt idx="725">
                  <c:v>80.652798028099866</c:v>
                </c:pt>
                <c:pt idx="726">
                  <c:v>80.535159364070964</c:v>
                </c:pt>
                <c:pt idx="727">
                  <c:v>80.416965438938561</c:v>
                </c:pt>
                <c:pt idx="728">
                  <c:v>80.298213481607405</c:v>
                </c:pt>
                <c:pt idx="729">
                  <c:v>80.178900717453075</c:v>
                </c:pt>
                <c:pt idx="730">
                  <c:v>80.059024368359132</c:v>
                </c:pt>
                <c:pt idx="731">
                  <c:v>79.938581652753356</c:v>
                </c:pt>
                <c:pt idx="732">
                  <c:v>79.817569785641993</c:v>
                </c:pt>
                <c:pt idx="733">
                  <c:v>79.695985978645538</c:v>
                </c:pt>
                <c:pt idx="734">
                  <c:v>79.573827440035402</c:v>
                </c:pt>
                <c:pt idx="735">
                  <c:v>79.451091374767145</c:v>
                </c:pt>
                <c:pt idx="736">
                  <c:v>79.327774984516722</c:v>
                </c:pt>
                <c:pt idx="737">
                  <c:v>79.203875467714653</c:v>
                </c:pt>
                <c:pt idx="738">
                  <c:v>79.079390019580785</c:v>
                </c:pt>
                <c:pt idx="739">
                  <c:v>78.954315832158372</c:v>
                </c:pt>
                <c:pt idx="740">
                  <c:v>78.828650094349115</c:v>
                </c:pt>
                <c:pt idx="741">
                  <c:v>78.702389991945921</c:v>
                </c:pt>
                <c:pt idx="742">
                  <c:v>78.575532707667634</c:v>
                </c:pt>
                <c:pt idx="743">
                  <c:v>78.448075421193053</c:v>
                </c:pt>
                <c:pt idx="744">
                  <c:v>78.32001530919311</c:v>
                </c:pt>
                <c:pt idx="745">
                  <c:v>78.191349545365597</c:v>
                </c:pt>
                <c:pt idx="746">
                  <c:v>78.062075300467654</c:v>
                </c:pt>
                <c:pt idx="747">
                  <c:v>77.932189742348712</c:v>
                </c:pt>
                <c:pt idx="748">
                  <c:v>77.80169003598337</c:v>
                </c:pt>
                <c:pt idx="749">
                  <c:v>77.670573343503918</c:v>
                </c:pt>
                <c:pt idx="750">
                  <c:v>77.538836824233172</c:v>
                </c:pt>
                <c:pt idx="751">
                  <c:v>77.406477634716339</c:v>
                </c:pt>
                <c:pt idx="752">
                  <c:v>77.273492928753072</c:v>
                </c:pt>
                <c:pt idx="753">
                  <c:v>77.139879857429193</c:v>
                </c:pt>
                <c:pt idx="754">
                  <c:v>77.005635569149277</c:v>
                </c:pt>
                <c:pt idx="755">
                  <c:v>76.870757209666451</c:v>
                </c:pt>
                <c:pt idx="756">
                  <c:v>76.73524192211552</c:v>
                </c:pt>
                <c:pt idx="757">
                  <c:v>76.599086847042685</c:v>
                </c:pt>
                <c:pt idx="758">
                  <c:v>76.46228912243717</c:v>
                </c:pt>
                <c:pt idx="759">
                  <c:v>76.324845883761483</c:v>
                </c:pt>
                <c:pt idx="760">
                  <c:v>76.186754263982323</c:v>
                </c:pt>
                <c:pt idx="761">
                  <c:v>76.048011393600675</c:v>
                </c:pt>
                <c:pt idx="762">
                  <c:v>75.908614400681529</c:v>
                </c:pt>
                <c:pt idx="763">
                  <c:v>75.768560410884533</c:v>
                </c:pt>
                <c:pt idx="764">
                  <c:v>75.62784654749251</c:v>
                </c:pt>
                <c:pt idx="765">
                  <c:v>75.48646993144223</c:v>
                </c:pt>
                <c:pt idx="766">
                  <c:v>75.344427681352329</c:v>
                </c:pt>
                <c:pt idx="767">
                  <c:v>75.201716913553241</c:v>
                </c:pt>
                <c:pt idx="768">
                  <c:v>75.058334742115818</c:v>
                </c:pt>
                <c:pt idx="769">
                  <c:v>74.914278278879422</c:v>
                </c:pt>
                <c:pt idx="770">
                  <c:v>74.769544633480649</c:v>
                </c:pt>
                <c:pt idx="771">
                  <c:v>74.624130913381478</c:v>
                </c:pt>
                <c:pt idx="772">
                  <c:v>74.478034223897055</c:v>
                </c:pt>
                <c:pt idx="773">
                  <c:v>74.331251668222905</c:v>
                </c:pt>
                <c:pt idx="774">
                  <c:v>74.183780347463824</c:v>
                </c:pt>
                <c:pt idx="775">
                  <c:v>74.035617360658591</c:v>
                </c:pt>
                <c:pt idx="776">
                  <c:v>73.886759804809969</c:v>
                </c:pt>
              </c:numCache>
            </c:numRef>
          </c:yVal>
          <c:smooth val="0"/>
          <c:extLst>
            <c:ext xmlns:c16="http://schemas.microsoft.com/office/drawing/2014/chart" uri="{C3380CC4-5D6E-409C-BE32-E72D297353CC}">
              <c16:uniqueId val="{00000003-5A1F-44BD-8E40-5DD6ED427E24}"/>
            </c:ext>
          </c:extLst>
        </c:ser>
        <c:ser>
          <c:idx val="4"/>
          <c:order val="4"/>
          <c:tx>
            <c:v>flach, rein</c:v>
          </c:tx>
          <c:spPr>
            <a:ln w="28575">
              <a:solidFill>
                <a:srgbClr val="EE7203"/>
              </a:solidFill>
              <a:prstDash val="dash"/>
            </a:ln>
          </c:spPr>
          <c:marker>
            <c:symbol val="none"/>
          </c:marker>
          <c:xVal>
            <c:numRef>
              <c:f>Diagrammdaten!$BB$5:$BB$131</c:f>
              <c:numCache>
                <c:formatCode>0.0</c:formatCode>
                <c:ptCount val="127"/>
                <c:pt idx="0">
                  <c:v>37.149999993934053</c:v>
                </c:pt>
                <c:pt idx="1">
                  <c:v>37.006454262149482</c:v>
                </c:pt>
                <c:pt idx="2">
                  <c:v>36.862976551865643</c:v>
                </c:pt>
                <c:pt idx="3">
                  <c:v>36.7195379780145</c:v>
                </c:pt>
                <c:pt idx="4">
                  <c:v>36.576108754151328</c:v>
                </c:pt>
                <c:pt idx="5">
                  <c:v>36.4326581302862</c:v>
                </c:pt>
                <c:pt idx="6">
                  <c:v>36.289154325742061</c:v>
                </c:pt>
                <c:pt idx="7">
                  <c:v>36.145564456553359</c:v>
                </c:pt>
                <c:pt idx="8">
                  <c:v>36.001854456836782</c:v>
                </c:pt>
                <c:pt idx="9">
                  <c:v>35.857988993516933</c:v>
                </c:pt>
                <c:pt idx="10">
                  <c:v>35.713931373710238</c:v>
                </c:pt>
                <c:pt idx="11">
                  <c:v>35.569643443964139</c:v>
                </c:pt>
                <c:pt idx="12">
                  <c:v>35.425085480468233</c:v>
                </c:pt>
                <c:pt idx="13">
                  <c:v>35.280216069232488</c:v>
                </c:pt>
                <c:pt idx="14">
                  <c:v>35.13499197507889</c:v>
                </c:pt>
                <c:pt idx="15">
                  <c:v>34.989367998152197</c:v>
                </c:pt>
                <c:pt idx="16">
                  <c:v>34.843296816469831</c:v>
                </c:pt>
                <c:pt idx="17">
                  <c:v>34.696728812809511</c:v>
                </c:pt>
                <c:pt idx="18">
                  <c:v>34.549611884009209</c:v>
                </c:pt>
                <c:pt idx="19">
                  <c:v>34.401891230444221</c:v>
                </c:pt>
                <c:pt idx="20">
                  <c:v>34.253565660326053</c:v>
                </c:pt>
                <c:pt idx="21">
                  <c:v>34.106316565959787</c:v>
                </c:pt>
                <c:pt idx="22">
                  <c:v>33.960936423591193</c:v>
                </c:pt>
                <c:pt idx="23">
                  <c:v>33.817407363601092</c:v>
                </c:pt>
                <c:pt idx="24">
                  <c:v>33.675711666998843</c:v>
                </c:pt>
                <c:pt idx="25">
                  <c:v>33.535831762377711</c:v>
                </c:pt>
                <c:pt idx="26">
                  <c:v>33.397750222902971</c:v>
                </c:pt>
                <c:pt idx="27">
                  <c:v>33.261449763332848</c:v>
                </c:pt>
                <c:pt idx="28">
                  <c:v>33.126913237083158</c:v>
                </c:pt>
                <c:pt idx="29">
                  <c:v>32.994123633339257</c:v>
                </c:pt>
                <c:pt idx="30">
                  <c:v>32.863064074220688</c:v>
                </c:pt>
                <c:pt idx="31">
                  <c:v>32.733717812004159</c:v>
                </c:pt>
                <c:pt idx="32">
                  <c:v>32.606068226410677</c:v>
                </c:pt>
                <c:pt idx="33">
                  <c:v>32.480098821960667</c:v>
                </c:pt>
                <c:pt idx="34">
                  <c:v>32.355793225403197</c:v>
                </c:pt>
                <c:pt idx="35">
                  <c:v>32.233135183223169</c:v>
                </c:pt>
                <c:pt idx="36">
                  <c:v>32.112108559230713</c:v>
                </c:pt>
                <c:pt idx="37">
                  <c:v>31.99269733223878</c:v>
                </c:pt>
                <c:pt idx="38">
                  <c:v>31.874885593830982</c:v>
                </c:pt>
                <c:pt idx="39">
                  <c:v>31.758657546225439</c:v>
                </c:pt>
                <c:pt idx="40">
                  <c:v>31.643997500237329</c:v>
                </c:pt>
                <c:pt idx="41">
                  <c:v>31.530889873342861</c:v>
                </c:pt>
                <c:pt idx="42">
                  <c:v>31.419319187853318</c:v>
                </c:pt>
                <c:pt idx="43">
                  <c:v>31.309270069191879</c:v>
                </c:pt>
                <c:pt idx="44">
                  <c:v>31.20072724427456</c:v>
                </c:pt>
                <c:pt idx="45">
                  <c:v>31.093675540089858</c:v>
                </c:pt>
                <c:pt idx="46">
                  <c:v>30.98809988217738</c:v>
                </c:pt>
                <c:pt idx="47">
                  <c:v>30.883985293520599</c:v>
                </c:pt>
                <c:pt idx="48">
                  <c:v>30.78131689334009</c:v>
                </c:pt>
                <c:pt idx="49">
                  <c:v>30.68007989609896</c:v>
                </c:pt>
                <c:pt idx="50">
                  <c:v>30.580259610619461</c:v>
                </c:pt>
                <c:pt idx="51">
                  <c:v>30.481841439334179</c:v>
                </c:pt>
                <c:pt idx="52">
                  <c:v>30.38481087764092</c:v>
                </c:pt>
                <c:pt idx="53">
                  <c:v>30.289153513422718</c:v>
                </c:pt>
                <c:pt idx="54">
                  <c:v>30.194855026661799</c:v>
                </c:pt>
                <c:pt idx="55">
                  <c:v>30.101901189238159</c:v>
                </c:pt>
                <c:pt idx="56">
                  <c:v>30.010277864754471</c:v>
                </c:pt>
                <c:pt idx="57">
                  <c:v>29.919971008614429</c:v>
                </c:pt>
                <c:pt idx="58">
                  <c:v>29.830966668198471</c:v>
                </c:pt>
                <c:pt idx="59">
                  <c:v>29.743250983044049</c:v>
                </c:pt>
                <c:pt idx="60">
                  <c:v>29.656810185367021</c:v>
                </c:pt>
                <c:pt idx="61">
                  <c:v>29.57163060054916</c:v>
                </c:pt>
                <c:pt idx="62">
                  <c:v>29.48769864781536</c:v>
                </c:pt>
                <c:pt idx="63">
                  <c:v>29.405000841014381</c:v>
                </c:pt>
                <c:pt idx="64">
                  <c:v>29.323523789592631</c:v>
                </c:pt>
                <c:pt idx="65">
                  <c:v>29.24325419954766</c:v>
                </c:pt>
                <c:pt idx="66">
                  <c:v>29.164178874645192</c:v>
                </c:pt>
                <c:pt idx="67">
                  <c:v>29.086284717687359</c:v>
                </c:pt>
                <c:pt idx="68">
                  <c:v>29.00955873187695</c:v>
                </c:pt>
                <c:pt idx="69">
                  <c:v>28.933988022372091</c:v>
                </c:pt>
                <c:pt idx="70">
                  <c:v>28.859559797865241</c:v>
                </c:pt>
                <c:pt idx="71">
                  <c:v>28.78626137227241</c:v>
                </c:pt>
                <c:pt idx="72">
                  <c:v>28.714080166649811</c:v>
                </c:pt>
                <c:pt idx="73">
                  <c:v>28.643003711013531</c:v>
                </c:pt>
                <c:pt idx="74">
                  <c:v>28.573019646406689</c:v>
                </c:pt>
                <c:pt idx="75">
                  <c:v>28.504115726993579</c:v>
                </c:pt>
                <c:pt idx="76">
                  <c:v>28.436279822253312</c:v>
                </c:pt>
                <c:pt idx="77">
                  <c:v>28.36949991925189</c:v>
                </c:pt>
                <c:pt idx="78">
                  <c:v>28.303764124994299</c:v>
                </c:pt>
                <c:pt idx="79">
                  <c:v>28.23906066884814</c:v>
                </c:pt>
                <c:pt idx="80">
                  <c:v>28.175377905030981</c:v>
                </c:pt>
                <c:pt idx="81">
                  <c:v>28.112704315162489</c:v>
                </c:pt>
                <c:pt idx="82">
                  <c:v>28.051028510870371</c:v>
                </c:pt>
                <c:pt idx="83">
                  <c:v>27.990339236445148</c:v>
                </c:pt>
                <c:pt idx="84">
                  <c:v>27.93062537153963</c:v>
                </c:pt>
                <c:pt idx="85">
                  <c:v>27.871875933902739</c:v>
                </c:pt>
                <c:pt idx="86">
                  <c:v>27.814080082144979</c:v>
                </c:pt>
                <c:pt idx="87">
                  <c:v>27.757227118525691</c:v>
                </c:pt>
                <c:pt idx="88">
                  <c:v>27.701306491753709</c:v>
                </c:pt>
                <c:pt idx="89">
                  <c:v>27.646307799798588</c:v>
                </c:pt>
                <c:pt idx="90">
                  <c:v>27.59222079269767</c:v>
                </c:pt>
                <c:pt idx="91">
                  <c:v>27.53903537535416</c:v>
                </c:pt>
                <c:pt idx="92">
                  <c:v>27.48674161031909</c:v>
                </c:pt>
                <c:pt idx="93">
                  <c:v>27.435329720543049</c:v>
                </c:pt>
                <c:pt idx="94">
                  <c:v>27.384790092089819</c:v>
                </c:pt>
                <c:pt idx="95">
                  <c:v>27.335113276806791</c:v>
                </c:pt>
                <c:pt idx="96">
                  <c:v>27.28628999493111</c:v>
                </c:pt>
                <c:pt idx="97">
                  <c:v>27.238311137632309</c:v>
                </c:pt>
                <c:pt idx="98">
                  <c:v>27.191167769470439</c:v>
                </c:pt>
                <c:pt idx="99">
                  <c:v>27.144851130762959</c:v>
                </c:pt>
                <c:pt idx="100">
                  <c:v>27.099352639847499</c:v>
                </c:pt>
                <c:pt idx="101">
                  <c:v>27.054663895225019</c:v>
                </c:pt>
                <c:pt idx="102">
                  <c:v>27.010776677572149</c:v>
                </c:pt>
                <c:pt idx="103">
                  <c:v>26.967682951609849</c:v>
                </c:pt>
                <c:pt idx="104">
                  <c:v>26.925374867810039</c:v>
                </c:pt>
                <c:pt idx="105">
                  <c:v>26.8838447639306</c:v>
                </c:pt>
                <c:pt idx="106">
                  <c:v>26.843085166359291</c:v>
                </c:pt>
                <c:pt idx="107">
                  <c:v>26.803088791253511</c:v>
                </c:pt>
                <c:pt idx="108">
                  <c:v>26.763848545459268</c:v>
                </c:pt>
                <c:pt idx="109">
                  <c:v>26.725357527193641</c:v>
                </c:pt>
                <c:pt idx="110">
                  <c:v>26.687609026471591</c:v>
                </c:pt>
                <c:pt idx="111">
                  <c:v>26.650596525267591</c:v>
                </c:pt>
                <c:pt idx="112">
                  <c:v>26.614313697383579</c:v>
                </c:pt>
                <c:pt idx="113">
                  <c:v>26.578754408021211</c:v>
                </c:pt>
                <c:pt idx="114">
                  <c:v>26.543912713028192</c:v>
                </c:pt>
                <c:pt idx="115">
                  <c:v>26.50978285781088</c:v>
                </c:pt>
                <c:pt idx="116">
                  <c:v>26.476359275893511</c:v>
                </c:pt>
                <c:pt idx="117">
                  <c:v>26.443636587110351</c:v>
                </c:pt>
                <c:pt idx="118">
                  <c:v>26.41160959541207</c:v>
                </c:pt>
                <c:pt idx="119">
                  <c:v>26.38027328627868</c:v>
                </c:pt>
                <c:pt idx="120">
                  <c:v>26.349622823716569</c:v>
                </c:pt>
                <c:pt idx="121">
                  <c:v>26.319653546837571</c:v>
                </c:pt>
                <c:pt idx="122">
                  <c:v>26.290360966000041</c:v>
                </c:pt>
                <c:pt idx="123">
                  <c:v>26.261740758512701</c:v>
                </c:pt>
                <c:pt idx="124">
                  <c:v>26.23378876386278</c:v>
                </c:pt>
                <c:pt idx="125">
                  <c:v>26.206500978545481</c:v>
                </c:pt>
                <c:pt idx="126">
                  <c:v>26.17987355035763</c:v>
                </c:pt>
              </c:numCache>
            </c:numRef>
          </c:xVal>
          <c:yVal>
            <c:numRef>
              <c:f>Diagrammdaten!$BC$5:$BC$131</c:f>
              <c:numCache>
                <c:formatCode>0.0</c:formatCode>
                <c:ptCount val="127"/>
                <c:pt idx="0">
                  <c:v>137.95487170519621</c:v>
                </c:pt>
                <c:pt idx="1">
                  <c:v>136.94377934586919</c:v>
                </c:pt>
                <c:pt idx="2">
                  <c:v>135.93390554038231</c:v>
                </c:pt>
                <c:pt idx="3">
                  <c:v>134.92512327178329</c:v>
                </c:pt>
                <c:pt idx="4">
                  <c:v>133.9173021888802</c:v>
                </c:pt>
                <c:pt idx="5">
                  <c:v>132.9103083662479</c:v>
                </c:pt>
                <c:pt idx="6">
                  <c:v>131.90400404545639</c:v>
                </c:pt>
                <c:pt idx="7">
                  <c:v>130.89824735573629</c:v>
                </c:pt>
                <c:pt idx="8">
                  <c:v>129.89289201191431</c:v>
                </c:pt>
                <c:pt idx="9">
                  <c:v>128.88778698737991</c:v>
                </c:pt>
                <c:pt idx="10">
                  <c:v>127.8827761594498</c:v>
                </c:pt>
                <c:pt idx="11">
                  <c:v>126.8776979241466</c:v>
                </c:pt>
                <c:pt idx="12">
                  <c:v>125.8723847771258</c:v>
                </c:pt>
                <c:pt idx="13">
                  <c:v>124.8666628570226</c:v>
                </c:pt>
                <c:pt idx="14">
                  <c:v>123.8603514469302</c:v>
                </c:pt>
                <c:pt idx="15">
                  <c:v>122.853262429228</c:v>
                </c:pt>
                <c:pt idx="16">
                  <c:v>121.84519968826601</c:v>
                </c:pt>
                <c:pt idx="17">
                  <c:v>120.83595845464239</c:v>
                </c:pt>
                <c:pt idx="18">
                  <c:v>119.8253245839532</c:v>
                </c:pt>
                <c:pt idx="19">
                  <c:v>118.81307376176851</c:v>
                </c:pt>
                <c:pt idx="20">
                  <c:v>117.79933459376799</c:v>
                </c:pt>
                <c:pt idx="21">
                  <c:v>116.79502448927251</c:v>
                </c:pt>
                <c:pt idx="22">
                  <c:v>115.8052086120795</c:v>
                </c:pt>
                <c:pt idx="23">
                  <c:v>114.8297156364082</c:v>
                </c:pt>
                <c:pt idx="24">
                  <c:v>113.8683760880689</c:v>
                </c:pt>
                <c:pt idx="25">
                  <c:v>112.9210223150273</c:v>
                </c:pt>
                <c:pt idx="26">
                  <c:v>111.98748845826429</c:v>
                </c:pt>
                <c:pt idx="27">
                  <c:v>111.06761042291031</c:v>
                </c:pt>
                <c:pt idx="28">
                  <c:v>110.1612258497514</c:v>
                </c:pt>
                <c:pt idx="29">
                  <c:v>109.268174087102</c:v>
                </c:pt>
                <c:pt idx="30">
                  <c:v>108.3882961631158</c:v>
                </c:pt>
                <c:pt idx="31">
                  <c:v>107.52143475854579</c:v>
                </c:pt>
                <c:pt idx="32">
                  <c:v>106.66743417999631</c:v>
                </c:pt>
                <c:pt idx="33">
                  <c:v>105.8261403337164</c:v>
                </c:pt>
                <c:pt idx="34">
                  <c:v>104.9974006999353</c:v>
                </c:pt>
                <c:pt idx="35">
                  <c:v>104.18106430779279</c:v>
                </c:pt>
                <c:pt idx="36">
                  <c:v>103.37698171088741</c:v>
                </c:pt>
                <c:pt idx="37">
                  <c:v>102.5850049634699</c:v>
                </c:pt>
                <c:pt idx="38">
                  <c:v>101.80498759730609</c:v>
                </c:pt>
                <c:pt idx="39">
                  <c:v>101.0367845992224</c:v>
                </c:pt>
                <c:pt idx="40">
                  <c:v>100.2802523893893</c:v>
                </c:pt>
                <c:pt idx="41">
                  <c:v>99.535248800301545</c:v>
                </c:pt>
                <c:pt idx="42">
                  <c:v>98.801633056565876</c:v>
                </c:pt>
                <c:pt idx="43">
                  <c:v>98.079265755395014</c:v>
                </c:pt>
                <c:pt idx="44">
                  <c:v>97.368008847889698</c:v>
                </c:pt>
                <c:pt idx="45">
                  <c:v>96.667725621428644</c:v>
                </c:pt>
                <c:pt idx="46">
                  <c:v>95.97828068199675</c:v>
                </c:pt>
                <c:pt idx="47">
                  <c:v>95.299539938527744</c:v>
                </c:pt>
                <c:pt idx="48">
                  <c:v>94.631370587166899</c:v>
                </c:pt>
                <c:pt idx="49">
                  <c:v>93.973641096729651</c:v>
                </c:pt>
                <c:pt idx="50">
                  <c:v>93.326221194934661</c:v>
                </c:pt>
                <c:pt idx="51">
                  <c:v>92.688981855515181</c:v>
                </c:pt>
                <c:pt idx="52">
                  <c:v>92.061795286056565</c:v>
                </c:pt>
                <c:pt idx="53">
                  <c:v>91.44453491683619</c:v>
                </c:pt>
                <c:pt idx="54">
                  <c:v>90.837075390334576</c:v>
                </c:pt>
                <c:pt idx="55">
                  <c:v>90.239292551803686</c:v>
                </c:pt>
                <c:pt idx="56">
                  <c:v>89.651063440245466</c:v>
                </c:pt>
                <c:pt idx="57">
                  <c:v>89.072266280685682</c:v>
                </c:pt>
                <c:pt idx="58">
                  <c:v>88.502780477124745</c:v>
                </c:pt>
                <c:pt idx="59">
                  <c:v>87.942486605793519</c:v>
                </c:pt>
                <c:pt idx="60">
                  <c:v>87.391266410009408</c:v>
                </c:pt>
                <c:pt idx="61">
                  <c:v>86.849002795173874</c:v>
                </c:pt>
                <c:pt idx="62">
                  <c:v>86.315579824758416</c:v>
                </c:pt>
                <c:pt idx="63">
                  <c:v>85.790882716934831</c:v>
                </c:pt>
                <c:pt idx="64">
                  <c:v>85.274797842182963</c:v>
                </c:pt>
                <c:pt idx="65">
                  <c:v>84.767212721039598</c:v>
                </c:pt>
                <c:pt idx="66">
                  <c:v>84.268016023075631</c:v>
                </c:pt>
                <c:pt idx="67">
                  <c:v>83.777097566249779</c:v>
                </c:pt>
                <c:pt idx="68">
                  <c:v>83.294348316818812</c:v>
                </c:pt>
                <c:pt idx="69">
                  <c:v>82.819660390142488</c:v>
                </c:pt>
                <c:pt idx="70">
                  <c:v>82.35292705172327</c:v>
                </c:pt>
                <c:pt idx="71">
                  <c:v>81.894042718810709</c:v>
                </c:pt>
                <c:pt idx="72">
                  <c:v>81.442902962984888</c:v>
                </c:pt>
                <c:pt idx="73">
                  <c:v>80.99940451247852</c:v>
                </c:pt>
                <c:pt idx="74">
                  <c:v>80.563445255526105</c:v>
                </c:pt>
                <c:pt idx="75">
                  <c:v>80.134924243890751</c:v>
                </c:pt>
                <c:pt idx="76">
                  <c:v>79.713741696820833</c:v>
                </c:pt>
                <c:pt idx="77">
                  <c:v>79.299799005348817</c:v>
                </c:pt>
                <c:pt idx="78">
                  <c:v>78.892998736910329</c:v>
                </c:pt>
                <c:pt idx="79">
                  <c:v>78.493244640243944</c:v>
                </c:pt>
                <c:pt idx="80">
                  <c:v>78.100441650528794</c:v>
                </c:pt>
                <c:pt idx="81">
                  <c:v>77.71449589473805</c:v>
                </c:pt>
                <c:pt idx="82">
                  <c:v>77.3353146971521</c:v>
                </c:pt>
                <c:pt idx="83">
                  <c:v>76.962806585000337</c:v>
                </c:pt>
                <c:pt idx="84">
                  <c:v>76.596881294214256</c:v>
                </c:pt>
                <c:pt idx="85">
                  <c:v>76.237449775192005</c:v>
                </c:pt>
                <c:pt idx="86">
                  <c:v>75.884424198619925</c:v>
                </c:pt>
                <c:pt idx="87">
                  <c:v>75.537717961218689</c:v>
                </c:pt>
                <c:pt idx="88">
                  <c:v>75.197245691431917</c:v>
                </c:pt>
                <c:pt idx="89">
                  <c:v>74.862923255007814</c:v>
                </c:pt>
                <c:pt idx="90">
                  <c:v>74.534667760391557</c:v>
                </c:pt>
                <c:pt idx="91">
                  <c:v>74.212397563914408</c:v>
                </c:pt>
                <c:pt idx="92">
                  <c:v>73.896032274746219</c:v>
                </c:pt>
                <c:pt idx="93">
                  <c:v>73.585492759513457</c:v>
                </c:pt>
                <c:pt idx="94">
                  <c:v>73.280701146578139</c:v>
                </c:pt>
                <c:pt idx="95">
                  <c:v>72.981580829917291</c:v>
                </c:pt>
                <c:pt idx="96">
                  <c:v>72.68805647253383</c:v>
                </c:pt>
                <c:pt idx="97">
                  <c:v>72.400054009368887</c:v>
                </c:pt>
                <c:pt idx="98">
                  <c:v>72.117500649656492</c:v>
                </c:pt>
                <c:pt idx="99">
                  <c:v>71.840324878650264</c:v>
                </c:pt>
                <c:pt idx="100">
                  <c:v>71.568456458690775</c:v>
                </c:pt>
                <c:pt idx="101">
                  <c:v>71.3018264295401</c:v>
                </c:pt>
                <c:pt idx="102">
                  <c:v>71.04036710792586</c:v>
                </c:pt>
                <c:pt idx="103">
                  <c:v>70.784012086252943</c:v>
                </c:pt>
                <c:pt idx="104">
                  <c:v>70.532696230401058</c:v>
                </c:pt>
                <c:pt idx="105">
                  <c:v>70.286355676559467</c:v>
                </c:pt>
                <c:pt idx="106">
                  <c:v>70.044927827042599</c:v>
                </c:pt>
                <c:pt idx="107">
                  <c:v>69.808351345020043</c:v>
                </c:pt>
                <c:pt idx="108">
                  <c:v>69.576566148087807</c:v>
                </c:pt>
                <c:pt idx="109">
                  <c:v>69.349513400655752</c:v>
                </c:pt>
                <c:pt idx="110">
                  <c:v>69.127135505039007</c:v>
                </c:pt>
                <c:pt idx="111">
                  <c:v>68.909376091253833</c:v>
                </c:pt>
                <c:pt idx="112">
                  <c:v>68.696180005394652</c:v>
                </c:pt>
                <c:pt idx="113">
                  <c:v>68.487493296603958</c:v>
                </c:pt>
                <c:pt idx="114">
                  <c:v>68.283263202515826</c:v>
                </c:pt>
                <c:pt idx="115">
                  <c:v>68.083438133176045</c:v>
                </c:pt>
                <c:pt idx="116">
                  <c:v>67.887967653351254</c:v>
                </c:pt>
                <c:pt idx="117">
                  <c:v>67.696802463205813</c:v>
                </c:pt>
                <c:pt idx="118">
                  <c:v>67.509894377286003</c:v>
                </c:pt>
                <c:pt idx="119">
                  <c:v>67.327196301810403</c:v>
                </c:pt>
                <c:pt idx="120">
                  <c:v>67.148662210194047</c:v>
                </c:pt>
                <c:pt idx="121">
                  <c:v>66.974247116818304</c:v>
                </c:pt>
                <c:pt idx="122">
                  <c:v>66.803907049014995</c:v>
                </c:pt>
                <c:pt idx="123">
                  <c:v>66.637599017267064</c:v>
                </c:pt>
                <c:pt idx="124">
                  <c:v>66.475280983567103</c:v>
                </c:pt>
                <c:pt idx="125">
                  <c:v>66.316911828160286</c:v>
                </c:pt>
                <c:pt idx="126">
                  <c:v>66.162451314311397</c:v>
                </c:pt>
              </c:numCache>
            </c:numRef>
          </c:yVal>
          <c:smooth val="0"/>
          <c:extLst>
            <c:ext xmlns:c16="http://schemas.microsoft.com/office/drawing/2014/chart" uri="{C3380CC4-5D6E-409C-BE32-E72D297353CC}">
              <c16:uniqueId val="{00000004-5A1F-44BD-8E40-5DD6ED427E24}"/>
            </c:ext>
          </c:extLst>
        </c:ser>
        <c:ser>
          <c:idx val="5"/>
          <c:order val="5"/>
          <c:tx>
            <c:v>flach, Gemisch</c:v>
          </c:tx>
          <c:spPr>
            <a:ln w="28575">
              <a:solidFill>
                <a:srgbClr val="F4B183"/>
              </a:solidFill>
              <a:prstDash val="dash"/>
            </a:ln>
          </c:spPr>
          <c:marker>
            <c:symbol val="none"/>
          </c:marker>
          <c:xVal>
            <c:numRef>
              <c:f>Diagrammdaten!$BE$5:$BE$184</c:f>
              <c:numCache>
                <c:formatCode>0.0</c:formatCode>
                <c:ptCount val="180"/>
                <c:pt idx="0">
                  <c:v>37.15</c:v>
                </c:pt>
                <c:pt idx="1">
                  <c:v>36.976504747197012</c:v>
                </c:pt>
                <c:pt idx="2">
                  <c:v>36.805259798544128</c:v>
                </c:pt>
                <c:pt idx="3">
                  <c:v>36.636240174001642</c:v>
                </c:pt>
                <c:pt idx="4">
                  <c:v>36.469421185420728</c:v>
                </c:pt>
                <c:pt idx="5">
                  <c:v>36.304778443689393</c:v>
                </c:pt>
                <c:pt idx="6">
                  <c:v>36.142287853770171</c:v>
                </c:pt>
                <c:pt idx="7">
                  <c:v>35.981925609665197</c:v>
                </c:pt>
                <c:pt idx="8">
                  <c:v>35.823668189316102</c:v>
                </c:pt>
                <c:pt idx="9">
                  <c:v>35.667492349459437</c:v>
                </c:pt>
                <c:pt idx="10">
                  <c:v>35.513375120444053</c:v>
                </c:pt>
                <c:pt idx="11">
                  <c:v>35.361293801028779</c:v>
                </c:pt>
                <c:pt idx="12">
                  <c:v>35.2112259531687</c:v>
                </c:pt>
                <c:pt idx="13">
                  <c:v>35.063149396802011</c:v>
                </c:pt>
                <c:pt idx="14">
                  <c:v>34.917042204650159</c:v>
                </c:pt>
                <c:pt idx="15">
                  <c:v>34.772882697041993</c:v>
                </c:pt>
                <c:pt idx="16">
                  <c:v>34.630649436770369</c:v>
                </c:pt>
                <c:pt idx="17">
                  <c:v>34.49032122399251</c:v>
                </c:pt>
                <c:pt idx="18">
                  <c:v>34.351877091184527</c:v>
                </c:pt>
                <c:pt idx="19">
                  <c:v>34.215296298156147</c:v>
                </c:pt>
                <c:pt idx="20">
                  <c:v>34.080558327134042</c:v>
                </c:pt>
                <c:pt idx="21">
                  <c:v>33.947642877926818</c:v>
                </c:pt>
                <c:pt idx="22">
                  <c:v>33.816529863170167</c:v>
                </c:pt>
                <c:pt idx="23">
                  <c:v>33.687199403667087</c:v>
                </c:pt>
                <c:pt idx="24">
                  <c:v>33.559631823823857</c:v>
                </c:pt>
                <c:pt idx="25">
                  <c:v>33.433807647190093</c:v>
                </c:pt>
                <c:pt idx="26">
                  <c:v>33.309707592107671</c:v>
                </c:pt>
                <c:pt idx="27">
                  <c:v>33.187312567472517</c:v>
                </c:pt>
                <c:pt idx="28">
                  <c:v>33.066603668614363</c:v>
                </c:pt>
                <c:pt idx="29">
                  <c:v>32.947562173296973</c:v>
                </c:pt>
                <c:pt idx="30">
                  <c:v>32.830169537843169</c:v>
                </c:pt>
                <c:pt idx="31">
                  <c:v>32.714407393386807</c:v>
                </c:pt>
                <c:pt idx="32">
                  <c:v>32.600257542253622</c:v>
                </c:pt>
                <c:pt idx="33">
                  <c:v>32.487701954474339</c:v>
                </c:pt>
                <c:pt idx="34">
                  <c:v>32.376722764427939</c:v>
                </c:pt>
                <c:pt idx="35">
                  <c:v>32.267302267620941</c:v>
                </c:pt>
                <c:pt idx="36">
                  <c:v>32.159422917599542</c:v>
                </c:pt>
                <c:pt idx="37">
                  <c:v>32.053067322993883</c:v>
                </c:pt>
                <c:pt idx="38">
                  <c:v>31.948218244699991</c:v>
                </c:pt>
                <c:pt idx="39">
                  <c:v>31.84485859319069</c:v>
                </c:pt>
                <c:pt idx="40">
                  <c:v>31.74297142596215</c:v>
                </c:pt>
                <c:pt idx="41">
                  <c:v>31.642539945107998</c:v>
                </c:pt>
                <c:pt idx="42">
                  <c:v>31.543547495024711</c:v>
                </c:pt>
                <c:pt idx="43">
                  <c:v>31.445977560244671</c:v>
                </c:pt>
                <c:pt idx="44">
                  <c:v>31.349813763391499</c:v>
                </c:pt>
                <c:pt idx="45">
                  <c:v>31.255039863261011</c:v>
                </c:pt>
                <c:pt idx="46">
                  <c:v>31.161639753019461</c:v>
                </c:pt>
                <c:pt idx="47">
                  <c:v>31.069597458520541</c:v>
                </c:pt>
                <c:pt idx="48">
                  <c:v>30.97889713673327</c:v>
                </c:pt>
                <c:pt idx="49">
                  <c:v>30.88952307428432</c:v>
                </c:pt>
                <c:pt idx="50">
                  <c:v>30.801459686102149</c:v>
                </c:pt>
                <c:pt idx="51">
                  <c:v>30.714691514168429</c:v>
                </c:pt>
                <c:pt idx="52">
                  <c:v>30.62920322636494</c:v>
                </c:pt>
                <c:pt idx="53">
                  <c:v>30.544979615419329</c:v>
                </c:pt>
                <c:pt idx="54">
                  <c:v>30.462005597938621</c:v>
                </c:pt>
                <c:pt idx="55">
                  <c:v>30.380266213531289</c:v>
                </c:pt>
                <c:pt idx="56">
                  <c:v>30.299746624012158</c:v>
                </c:pt>
                <c:pt idx="57">
                  <c:v>30.220432112686812</c:v>
                </c:pt>
                <c:pt idx="58">
                  <c:v>30.142308083706169</c:v>
                </c:pt>
                <c:pt idx="59">
                  <c:v>30.065360061496971</c:v>
                </c:pt>
                <c:pt idx="60">
                  <c:v>29.989573690251511</c:v>
                </c:pt>
                <c:pt idx="61">
                  <c:v>29.914934733484081</c:v>
                </c:pt>
                <c:pt idx="62">
                  <c:v>29.841429073640182</c:v>
                </c:pt>
                <c:pt idx="63">
                  <c:v>29.769042711760939</c:v>
                </c:pt>
                <c:pt idx="64">
                  <c:v>29.697761767193558</c:v>
                </c:pt>
                <c:pt idx="65">
                  <c:v>29.62757247735053</c:v>
                </c:pt>
                <c:pt idx="66">
                  <c:v>29.558461197501909</c:v>
                </c:pt>
                <c:pt idx="67">
                  <c:v>29.490414400611051</c:v>
                </c:pt>
                <c:pt idx="68">
                  <c:v>29.423418677196771</c:v>
                </c:pt>
                <c:pt idx="69">
                  <c:v>29.357460735227779</c:v>
                </c:pt>
                <c:pt idx="70">
                  <c:v>29.292527400040271</c:v>
                </c:pt>
                <c:pt idx="71">
                  <c:v>29.228605614274411</c:v>
                </c:pt>
                <c:pt idx="72">
                  <c:v>29.165682437833421</c:v>
                </c:pt>
                <c:pt idx="73">
                  <c:v>29.10374504785101</c:v>
                </c:pt>
                <c:pt idx="74">
                  <c:v>29.042780738674072</c:v>
                </c:pt>
                <c:pt idx="75">
                  <c:v>28.982776921849968</c:v>
                </c:pt>
                <c:pt idx="76">
                  <c:v>28.92372112612102</c:v>
                </c:pt>
                <c:pt idx="77">
                  <c:v>28.86560099741931</c:v>
                </c:pt>
                <c:pt idx="78">
                  <c:v>28.808404298860999</c:v>
                </c:pt>
                <c:pt idx="79">
                  <c:v>28.752118910737611</c:v>
                </c:pt>
                <c:pt idx="80">
                  <c:v>28.696732830500189</c:v>
                </c:pt>
                <c:pt idx="81">
                  <c:v>28.64223417273768</c:v>
                </c:pt>
                <c:pt idx="82">
                  <c:v>28.58861116914245</c:v>
                </c:pt>
                <c:pt idx="83">
                  <c:v>28.535852168465901</c:v>
                </c:pt>
                <c:pt idx="84">
                  <c:v>28.48394563645687</c:v>
                </c:pt>
                <c:pt idx="85">
                  <c:v>28.43288015578727</c:v>
                </c:pt>
                <c:pt idx="86">
                  <c:v>28.382644425958709</c:v>
                </c:pt>
                <c:pt idx="87">
                  <c:v>28.33322726319016</c:v>
                </c:pt>
                <c:pt idx="88">
                  <c:v>28.284617600285411</c:v>
                </c:pt>
                <c:pt idx="89">
                  <c:v>28.236804486478821</c:v>
                </c:pt>
                <c:pt idx="90">
                  <c:v>28.189777087259809</c:v>
                </c:pt>
                <c:pt idx="91">
                  <c:v>28.143524684172281</c:v>
                </c:pt>
                <c:pt idx="92">
                  <c:v>28.09803667459008</c:v>
                </c:pt>
                <c:pt idx="93">
                  <c:v>28.053302571468159</c:v>
                </c:pt>
                <c:pt idx="94">
                  <c:v>28.009312003067411</c:v>
                </c:pt>
                <c:pt idx="95">
                  <c:v>27.966054712653129</c:v>
                </c:pt>
                <c:pt idx="96">
                  <c:v>27.923520558167741</c:v>
                </c:pt>
                <c:pt idx="97">
                  <c:v>27.881699511875389</c:v>
                </c:pt>
                <c:pt idx="98">
                  <c:v>27.840581659982011</c:v>
                </c:pt>
                <c:pt idx="99">
                  <c:v>27.800157202223609</c:v>
                </c:pt>
                <c:pt idx="100">
                  <c:v>27.760416451433159</c:v>
                </c:pt>
                <c:pt idx="101">
                  <c:v>27.721349833074619</c:v>
                </c:pt>
                <c:pt idx="102">
                  <c:v>27.682947884754061</c:v>
                </c:pt>
                <c:pt idx="103">
                  <c:v>27.645201255702741</c:v>
                </c:pt>
                <c:pt idx="104">
                  <c:v>27.6081007062308</c:v>
                </c:pt>
                <c:pt idx="105">
                  <c:v>27.571637107159649</c:v>
                </c:pt>
                <c:pt idx="106">
                  <c:v>27.53580143922435</c:v>
                </c:pt>
                <c:pt idx="107">
                  <c:v>27.500584792451509</c:v>
                </c:pt>
                <c:pt idx="108">
                  <c:v>27.465978365513649</c:v>
                </c:pt>
                <c:pt idx="109">
                  <c:v>27.431973465056618</c:v>
                </c:pt>
                <c:pt idx="110">
                  <c:v>27.398561505005759</c:v>
                </c:pt>
                <c:pt idx="111">
                  <c:v>27.365734005845471</c:v>
                </c:pt>
                <c:pt idx="112">
                  <c:v>27.333482593879111</c:v>
                </c:pt>
                <c:pt idx="113">
                  <c:v>27.301799000465419</c:v>
                </c:pt>
                <c:pt idx="114">
                  <c:v>27.270675061232922</c:v>
                </c:pt>
                <c:pt idx="115">
                  <c:v>27.240102715276741</c:v>
                </c:pt>
                <c:pt idx="116">
                  <c:v>27.210074004330039</c:v>
                </c:pt>
                <c:pt idx="117">
                  <c:v>27.180581071922461</c:v>
                </c:pt>
                <c:pt idx="118">
                  <c:v>27.151616162516941</c:v>
                </c:pt>
                <c:pt idx="119">
                  <c:v>27.12317162062838</c:v>
                </c:pt>
                <c:pt idx="120">
                  <c:v>27.095239889928092</c:v>
                </c:pt>
                <c:pt idx="121">
                  <c:v>27.067813512330321</c:v>
                </c:pt>
                <c:pt idx="122">
                  <c:v>27.04088512706501</c:v>
                </c:pt>
                <c:pt idx="123">
                  <c:v>27.014447469735028</c:v>
                </c:pt>
                <c:pt idx="124">
                  <c:v>26.988493371361901</c:v>
                </c:pt>
                <c:pt idx="125">
                  <c:v>26.963015757416649</c:v>
                </c:pt>
                <c:pt idx="126">
                  <c:v>26.938007646841239</c:v>
                </c:pt>
                <c:pt idx="127">
                  <c:v>26.913462151057331</c:v>
                </c:pt>
                <c:pt idx="128">
                  <c:v>26.88937247296726</c:v>
                </c:pt>
                <c:pt idx="129">
                  <c:v>26.865731905942209</c:v>
                </c:pt>
                <c:pt idx="130">
                  <c:v>26.842533832806168</c:v>
                </c:pt>
                <c:pt idx="131">
                  <c:v>26.819771724809812</c:v>
                </c:pt>
                <c:pt idx="132">
                  <c:v>26.797439140598879</c:v>
                </c:pt>
                <c:pt idx="133">
                  <c:v>26.775529725174991</c:v>
                </c:pt>
                <c:pt idx="134">
                  <c:v>26.75403720885431</c:v>
                </c:pt>
                <c:pt idx="135">
                  <c:v>26.73295540621983</c:v>
                </c:pt>
                <c:pt idx="136">
                  <c:v>26.712278215069759</c:v>
                </c:pt>
                <c:pt idx="137">
                  <c:v>26.691999615366012</c:v>
                </c:pt>
                <c:pt idx="138">
                  <c:v>26.672113668177609</c:v>
                </c:pt>
                <c:pt idx="139">
                  <c:v>26.652614514625181</c:v>
                </c:pt>
                <c:pt idx="140">
                  <c:v>26.633496374824919</c:v>
                </c:pt>
                <c:pt idx="141">
                  <c:v>26.614753546831359</c:v>
                </c:pt>
                <c:pt idx="142">
                  <c:v>26.59638040558352</c:v>
                </c:pt>
                <c:pt idx="143">
                  <c:v>26.57837140185131</c:v>
                </c:pt>
                <c:pt idx="144">
                  <c:v>26.56072106118598</c:v>
                </c:pt>
                <c:pt idx="145">
                  <c:v>26.543423982872021</c:v>
                </c:pt>
                <c:pt idx="146">
                  <c:v>26.52647483888564</c:v>
                </c:pt>
                <c:pt idx="147">
                  <c:v>26.50986837285561</c:v>
                </c:pt>
                <c:pt idx="148">
                  <c:v>26.493599399031481</c:v>
                </c:pt>
                <c:pt idx="149">
                  <c:v>26.47766280125683</c:v>
                </c:pt>
                <c:pt idx="150">
                  <c:v>26.462053531949181</c:v>
                </c:pt>
                <c:pt idx="151">
                  <c:v>26.44676661108835</c:v>
                </c:pt>
                <c:pt idx="152">
                  <c:v>26.431797125213489</c:v>
                </c:pt>
                <c:pt idx="153">
                  <c:v>26.4171402264253</c:v>
                </c:pt>
                <c:pt idx="154">
                  <c:v>26.402791131403831</c:v>
                </c:pt>
                <c:pt idx="155">
                  <c:v>26.38874512042884</c:v>
                </c:pt>
                <c:pt idx="156">
                  <c:v>26.374997536418189</c:v>
                </c:pt>
                <c:pt idx="157">
                  <c:v>26.361543783972891</c:v>
                </c:pt>
                <c:pt idx="158">
                  <c:v>26.348379328433921</c:v>
                </c:pt>
                <c:pt idx="159">
                  <c:v>26.335499694955409</c:v>
                </c:pt>
                <c:pt idx="160">
                  <c:v>26.322900467586091</c:v>
                </c:pt>
                <c:pt idx="161">
                  <c:v>26.310577288367551</c:v>
                </c:pt>
                <c:pt idx="162">
                  <c:v>26.298525856444979</c:v>
                </c:pt>
                <c:pt idx="163">
                  <c:v>26.286741927193891</c:v>
                </c:pt>
                <c:pt idx="164">
                  <c:v>26.275221311360969</c:v>
                </c:pt>
                <c:pt idx="165">
                  <c:v>26.263959874219651</c:v>
                </c:pt>
                <c:pt idx="166">
                  <c:v>26.25295353474398</c:v>
                </c:pt>
                <c:pt idx="167">
                  <c:v>26.242198264799121</c:v>
                </c:pt>
                <c:pt idx="168">
                  <c:v>26.231690088345161</c:v>
                </c:pt>
                <c:pt idx="169">
                  <c:v>26.221425080662211</c:v>
                </c:pt>
                <c:pt idx="170">
                  <c:v>26.211399367591291</c:v>
                </c:pt>
                <c:pt idx="171">
                  <c:v>26.201609124796072</c:v>
                </c:pt>
                <c:pt idx="172">
                  <c:v>26.192050577035619</c:v>
                </c:pt>
                <c:pt idx="173">
                  <c:v>26.182719997466972</c:v>
                </c:pt>
                <c:pt idx="174">
                  <c:v>26.173613706956171</c:v>
                </c:pt>
                <c:pt idx="175">
                  <c:v>26.164728073414459</c:v>
                </c:pt>
                <c:pt idx="176">
                  <c:v>26.15605951115074</c:v>
                </c:pt>
                <c:pt idx="177">
                  <c:v>26.147604480246709</c:v>
                </c:pt>
                <c:pt idx="178">
                  <c:v>26.13935948594694</c:v>
                </c:pt>
                <c:pt idx="179">
                  <c:v>26.131321078071419</c:v>
                </c:pt>
              </c:numCache>
            </c:numRef>
          </c:xVal>
          <c:yVal>
            <c:numRef>
              <c:f>Diagrammdaten!$BF$5:$BF$184</c:f>
              <c:numCache>
                <c:formatCode>0.0</c:formatCode>
                <c:ptCount val="180"/>
                <c:pt idx="0">
                  <c:v>135.96053205253219</c:v>
                </c:pt>
                <c:pt idx="1">
                  <c:v>135.07697024407429</c:v>
                </c:pt>
                <c:pt idx="2">
                  <c:v>134.2062397809857</c:v>
                </c:pt>
                <c:pt idx="3">
                  <c:v>133.34816721757579</c:v>
                </c:pt>
                <c:pt idx="4">
                  <c:v>132.50258152391939</c:v>
                </c:pt>
                <c:pt idx="5">
                  <c:v>131.66931408900831</c:v>
                </c:pt>
                <c:pt idx="6">
                  <c:v>130.84819868083781</c:v>
                </c:pt>
                <c:pt idx="7">
                  <c:v>130.03907140632131</c:v>
                </c:pt>
                <c:pt idx="8">
                  <c:v>129.24177067110551</c:v>
                </c:pt>
                <c:pt idx="9">
                  <c:v>128.4561371393809</c:v>
                </c:pt>
                <c:pt idx="10">
                  <c:v>127.6820136937388</c:v>
                </c:pt>
                <c:pt idx="11">
                  <c:v>126.9192453951687</c:v>
                </c:pt>
                <c:pt idx="12">
                  <c:v>126.1676794432409</c:v>
                </c:pt>
                <c:pt idx="13">
                  <c:v>125.4271651365363</c:v>
                </c:pt>
                <c:pt idx="14">
                  <c:v>124.6975538334062</c:v>
                </c:pt>
                <c:pt idx="15">
                  <c:v>123.97869891309</c:v>
                </c:pt>
                <c:pt idx="16">
                  <c:v>123.2704557372692</c:v>
                </c:pt>
                <c:pt idx="17">
                  <c:v>122.57268161208211</c:v>
                </c:pt>
                <c:pt idx="18">
                  <c:v>121.88523575067561</c:v>
                </c:pt>
                <c:pt idx="19">
                  <c:v>121.20797923631009</c:v>
                </c:pt>
                <c:pt idx="20">
                  <c:v>120.54077498606721</c:v>
                </c:pt>
                <c:pt idx="21">
                  <c:v>119.88348771521289</c:v>
                </c:pt>
                <c:pt idx="22">
                  <c:v>119.2359839022111</c:v>
                </c:pt>
                <c:pt idx="23">
                  <c:v>118.5981317544726</c:v>
                </c:pt>
                <c:pt idx="24">
                  <c:v>117.96980117480349</c:v>
                </c:pt>
                <c:pt idx="25">
                  <c:v>117.35086372863471</c:v>
                </c:pt>
                <c:pt idx="26">
                  <c:v>116.741192612012</c:v>
                </c:pt>
                <c:pt idx="27">
                  <c:v>116.1406626203904</c:v>
                </c:pt>
                <c:pt idx="28">
                  <c:v>115.5491501182313</c:v>
                </c:pt>
                <c:pt idx="29">
                  <c:v>114.96653300942521</c:v>
                </c:pt>
                <c:pt idx="30">
                  <c:v>114.3926907085436</c:v>
                </c:pt>
                <c:pt idx="31">
                  <c:v>113.82750411292621</c:v>
                </c:pt>
                <c:pt idx="32">
                  <c:v>113.2708555756187</c:v>
                </c:pt>
                <c:pt idx="33">
                  <c:v>112.7226288791441</c:v>
                </c:pt>
                <c:pt idx="34">
                  <c:v>112.1827092101188</c:v>
                </c:pt>
                <c:pt idx="35">
                  <c:v>111.6509831347186</c:v>
                </c:pt>
                <c:pt idx="36">
                  <c:v>111.1273385749676</c:v>
                </c:pt>
                <c:pt idx="37">
                  <c:v>110.6116647858595</c:v>
                </c:pt>
                <c:pt idx="38">
                  <c:v>110.10385233330091</c:v>
                </c:pt>
                <c:pt idx="39">
                  <c:v>109.6037930728605</c:v>
                </c:pt>
                <c:pt idx="40">
                  <c:v>109.1113801293141</c:v>
                </c:pt>
                <c:pt idx="41">
                  <c:v>108.6265078769646</c:v>
                </c:pt>
                <c:pt idx="42">
                  <c:v>108.1490719207404</c:v>
                </c:pt>
                <c:pt idx="43">
                  <c:v>107.6789690780366</c:v>
                </c:pt>
                <c:pt idx="44">
                  <c:v>107.2160973612778</c:v>
                </c:pt>
                <c:pt idx="45">
                  <c:v>106.7603559612089</c:v>
                </c:pt>
                <c:pt idx="46">
                  <c:v>106.3116452308619</c:v>
                </c:pt>
                <c:pt idx="47">
                  <c:v>105.86986667020111</c:v>
                </c:pt>
                <c:pt idx="48">
                  <c:v>105.4349229114071</c:v>
                </c:pt>
                <c:pt idx="49">
                  <c:v>105.0067177047968</c:v>
                </c:pt>
                <c:pt idx="50">
                  <c:v>104.58515590532831</c:v>
                </c:pt>
                <c:pt idx="51">
                  <c:v>104.1701434597018</c:v>
                </c:pt>
                <c:pt idx="52">
                  <c:v>103.7615873939917</c:v>
                </c:pt>
                <c:pt idx="53">
                  <c:v>103.3593958018254</c:v>
                </c:pt>
                <c:pt idx="54">
                  <c:v>102.96347783305239</c:v>
                </c:pt>
                <c:pt idx="55">
                  <c:v>102.57374368289901</c:v>
                </c:pt>
                <c:pt idx="56">
                  <c:v>102.19010458156789</c:v>
                </c:pt>
                <c:pt idx="57">
                  <c:v>101.81247278428209</c:v>
                </c:pt>
                <c:pt idx="58">
                  <c:v>101.4407615617058</c:v>
                </c:pt>
                <c:pt idx="59">
                  <c:v>101.0748851907782</c:v>
                </c:pt>
                <c:pt idx="60">
                  <c:v>100.7147589458656</c:v>
                </c:pt>
                <c:pt idx="61">
                  <c:v>100.3602990902799</c:v>
                </c:pt>
                <c:pt idx="62">
                  <c:v>100.01142286807421</c:v>
                </c:pt>
                <c:pt idx="63">
                  <c:v>99.668048496143086</c:v>
                </c:pt>
                <c:pt idx="64">
                  <c:v>99.330095156575439</c:v>
                </c:pt>
                <c:pt idx="65">
                  <c:v>98.997482989255545</c:v>
                </c:pt>
                <c:pt idx="66">
                  <c:v>98.670133084668436</c:v>
                </c:pt>
                <c:pt idx="67">
                  <c:v>98.347967476924453</c:v>
                </c:pt>
                <c:pt idx="68">
                  <c:v>98.030909136941986</c:v>
                </c:pt>
                <c:pt idx="69">
                  <c:v>97.718881965803391</c:v>
                </c:pt>
                <c:pt idx="70">
                  <c:v>97.411810788253376</c:v>
                </c:pt>
                <c:pt idx="71">
                  <c:v>97.109621346300486</c:v>
                </c:pt>
                <c:pt idx="72">
                  <c:v>96.812240292957497</c:v>
                </c:pt>
                <c:pt idx="73">
                  <c:v>96.519595186045038</c:v>
                </c:pt>
                <c:pt idx="74">
                  <c:v>96.231614482083486</c:v>
                </c:pt>
                <c:pt idx="75">
                  <c:v>95.948227530246243</c:v>
                </c:pt>
                <c:pt idx="76">
                  <c:v>95.669364566356805</c:v>
                </c:pt>
                <c:pt idx="77">
                  <c:v>95.394956706921519</c:v>
                </c:pt>
                <c:pt idx="78">
                  <c:v>95.124935943191815</c:v>
                </c:pt>
                <c:pt idx="79">
                  <c:v>94.859235135228516</c:v>
                </c:pt>
                <c:pt idx="80">
                  <c:v>94.59778800597303</c:v>
                </c:pt>
                <c:pt idx="81">
                  <c:v>94.34052913531923</c:v>
                </c:pt>
                <c:pt idx="82">
                  <c:v>94.08739395415131</c:v>
                </c:pt>
                <c:pt idx="83">
                  <c:v>93.838318738376884</c:v>
                </c:pt>
                <c:pt idx="84">
                  <c:v>93.593240602914008</c:v>
                </c:pt>
                <c:pt idx="85">
                  <c:v>93.352097495649417</c:v>
                </c:pt>
                <c:pt idx="86">
                  <c:v>93.114828191352558</c:v>
                </c:pt>
                <c:pt idx="87">
                  <c:v>92.881372285536784</c:v>
                </c:pt>
                <c:pt idx="88">
                  <c:v>92.651670188273528</c:v>
                </c:pt>
                <c:pt idx="89">
                  <c:v>92.425663117947465</c:v>
                </c:pt>
                <c:pt idx="90">
                  <c:v>92.203293094954233</c:v>
                </c:pt>
                <c:pt idx="91">
                  <c:v>91.984502935331449</c:v>
                </c:pt>
                <c:pt idx="92">
                  <c:v>91.769236244337222</c:v>
                </c:pt>
                <c:pt idx="93">
                  <c:v>91.557437409947639</c:v>
                </c:pt>
                <c:pt idx="94">
                  <c:v>91.349051596302871</c:v>
                </c:pt>
                <c:pt idx="95">
                  <c:v>91.144024737077174</c:v>
                </c:pt>
                <c:pt idx="96">
                  <c:v>90.942303528786638</c:v>
                </c:pt>
                <c:pt idx="97">
                  <c:v>90.743835424029584</c:v>
                </c:pt>
                <c:pt idx="98">
                  <c:v>90.54856862466572</c:v>
                </c:pt>
                <c:pt idx="99">
                  <c:v>90.356452074918636</c:v>
                </c:pt>
                <c:pt idx="100">
                  <c:v>90.167435454435449</c:v>
                </c:pt>
                <c:pt idx="101">
                  <c:v>89.981469171263853</c:v>
                </c:pt>
                <c:pt idx="102">
                  <c:v>89.798504354791774</c:v>
                </c:pt>
                <c:pt idx="103">
                  <c:v>89.618492848611623</c:v>
                </c:pt>
                <c:pt idx="104">
                  <c:v>89.441387203341066</c:v>
                </c:pt>
                <c:pt idx="105">
                  <c:v>89.267140669397449</c:v>
                </c:pt>
                <c:pt idx="106">
                  <c:v>89.095707189708321</c:v>
                </c:pt>
                <c:pt idx="107">
                  <c:v>88.927041392391246</c:v>
                </c:pt>
                <c:pt idx="108">
                  <c:v>88.761098583390037</c:v>
                </c:pt>
                <c:pt idx="109">
                  <c:v>88.597834739063217</c:v>
                </c:pt>
                <c:pt idx="110">
                  <c:v>88.437206498754136</c:v>
                </c:pt>
                <c:pt idx="111">
                  <c:v>88.279171157312732</c:v>
                </c:pt>
                <c:pt idx="112">
                  <c:v>88.12368665760232</c:v>
                </c:pt>
                <c:pt idx="113">
                  <c:v>87.970711582977998</c:v>
                </c:pt>
                <c:pt idx="114">
                  <c:v>87.820205149746855</c:v>
                </c:pt>
                <c:pt idx="115">
                  <c:v>87.672127199613641</c:v>
                </c:pt>
                <c:pt idx="116">
                  <c:v>87.52643819210418</c:v>
                </c:pt>
                <c:pt idx="117">
                  <c:v>87.383099196998657</c:v>
                </c:pt>
                <c:pt idx="118">
                  <c:v>87.242071886746871</c:v>
                </c:pt>
                <c:pt idx="119">
                  <c:v>87.103318528881971</c:v>
                </c:pt>
                <c:pt idx="120">
                  <c:v>86.966801978448558</c:v>
                </c:pt>
                <c:pt idx="121">
                  <c:v>86.832485670425029</c:v>
                </c:pt>
                <c:pt idx="122">
                  <c:v>86.700333612164911</c:v>
                </c:pt>
                <c:pt idx="123">
                  <c:v>86.570310375846944</c:v>
                </c:pt>
                <c:pt idx="124">
                  <c:v>86.442381090946938</c:v>
                </c:pt>
                <c:pt idx="125">
                  <c:v>86.316511436724028</c:v>
                </c:pt>
                <c:pt idx="126">
                  <c:v>86.192667634740701</c:v>
                </c:pt>
                <c:pt idx="127">
                  <c:v>86.070816441399217</c:v>
                </c:pt>
                <c:pt idx="128">
                  <c:v>85.950925140520425</c:v>
                </c:pt>
                <c:pt idx="129">
                  <c:v>85.83296153594155</c:v>
                </c:pt>
                <c:pt idx="130">
                  <c:v>85.716893944167211</c:v>
                </c:pt>
                <c:pt idx="131">
                  <c:v>85.602691187045906</c:v>
                </c:pt>
                <c:pt idx="132">
                  <c:v>85.490322584499381</c:v>
                </c:pt>
                <c:pt idx="133">
                  <c:v>85.37975794728635</c:v>
                </c:pt>
                <c:pt idx="134">
                  <c:v>85.270967569825245</c:v>
                </c:pt>
                <c:pt idx="135">
                  <c:v>85.163922223058023</c:v>
                </c:pt>
                <c:pt idx="136">
                  <c:v>85.058593147369592</c:v>
                </c:pt>
                <c:pt idx="137">
                  <c:v>84.954952045560276</c:v>
                </c:pt>
                <c:pt idx="138">
                  <c:v>84.852971075878159</c:v>
                </c:pt>
                <c:pt idx="139">
                  <c:v>84.752622845106345</c:v>
                </c:pt>
                <c:pt idx="140">
                  <c:v>84.653880401713195</c:v>
                </c:pt>
                <c:pt idx="141">
                  <c:v>84.556717229060268</c:v>
                </c:pt>
                <c:pt idx="142">
                  <c:v>84.461107238682132</c:v>
                </c:pt>
                <c:pt idx="143">
                  <c:v>84.367024763624812</c:v>
                </c:pt>
                <c:pt idx="144">
                  <c:v>84.274444551853563</c:v>
                </c:pt>
                <c:pt idx="145">
                  <c:v>84.183341759728265</c:v>
                </c:pt>
                <c:pt idx="146">
                  <c:v>84.093691945552678</c:v>
                </c:pt>
                <c:pt idx="147">
                  <c:v>84.005471063186562</c:v>
                </c:pt>
                <c:pt idx="148">
                  <c:v>83.91865545573566</c:v>
                </c:pt>
                <c:pt idx="149">
                  <c:v>83.833221849317127</c:v>
                </c:pt>
                <c:pt idx="150">
                  <c:v>83.749147346887</c:v>
                </c:pt>
                <c:pt idx="151">
                  <c:v>83.66640942215524</c:v>
                </c:pt>
                <c:pt idx="152">
                  <c:v>83.584985913572979</c:v>
                </c:pt>
                <c:pt idx="153">
                  <c:v>83.504855018384973</c:v>
                </c:pt>
                <c:pt idx="154">
                  <c:v>83.425995286777422</c:v>
                </c:pt>
                <c:pt idx="155">
                  <c:v>83.348385616081757</c:v>
                </c:pt>
                <c:pt idx="156">
                  <c:v>83.272005245076329</c:v>
                </c:pt>
                <c:pt idx="157">
                  <c:v>83.196833748351352</c:v>
                </c:pt>
                <c:pt idx="158">
                  <c:v>83.122851030753978</c:v>
                </c:pt>
                <c:pt idx="159">
                  <c:v>83.050037321917245</c:v>
                </c:pt>
                <c:pt idx="160">
                  <c:v>82.978373170864316</c:v>
                </c:pt>
                <c:pt idx="161">
                  <c:v>82.907839440686175</c:v>
                </c:pt>
                <c:pt idx="162">
                  <c:v>82.838417303305661</c:v>
                </c:pt>
                <c:pt idx="163">
                  <c:v>82.77008823431305</c:v>
                </c:pt>
                <c:pt idx="164">
                  <c:v>82.702834007884178</c:v>
                </c:pt>
                <c:pt idx="165">
                  <c:v>82.636636691770363</c:v>
                </c:pt>
                <c:pt idx="166">
                  <c:v>82.571478642370622</c:v>
                </c:pt>
                <c:pt idx="167">
                  <c:v>82.507342499884203</c:v>
                </c:pt>
                <c:pt idx="168">
                  <c:v>82.444211183527301</c:v>
                </c:pt>
                <c:pt idx="169">
                  <c:v>82.382067886835557</c:v>
                </c:pt>
                <c:pt idx="170">
                  <c:v>82.320896073042775</c:v>
                </c:pt>
                <c:pt idx="171">
                  <c:v>82.260679470531571</c:v>
                </c:pt>
                <c:pt idx="172">
                  <c:v>82.201402068351101</c:v>
                </c:pt>
                <c:pt idx="173">
                  <c:v>82.143048111826261</c:v>
                </c:pt>
                <c:pt idx="174">
                  <c:v>82.085602098221756</c:v>
                </c:pt>
                <c:pt idx="175">
                  <c:v>82.029048772486306</c:v>
                </c:pt>
                <c:pt idx="176">
                  <c:v>81.973373123068257</c:v>
                </c:pt>
                <c:pt idx="177">
                  <c:v>81.918560377801299</c:v>
                </c:pt>
                <c:pt idx="178">
                  <c:v>81.864595999856562</c:v>
                </c:pt>
                <c:pt idx="179">
                  <c:v>81.811465683763117</c:v>
                </c:pt>
              </c:numCache>
            </c:numRef>
          </c:yVal>
          <c:smooth val="0"/>
          <c:extLst>
            <c:ext xmlns:c16="http://schemas.microsoft.com/office/drawing/2014/chart" uri="{C3380CC4-5D6E-409C-BE32-E72D297353CC}">
              <c16:uniqueId val="{00000005-5A1F-44BD-8E40-5DD6ED427E24}"/>
            </c:ext>
          </c:extLst>
        </c:ser>
        <c:dLbls>
          <c:showLegendKey val="0"/>
          <c:showVal val="0"/>
          <c:showCatName val="0"/>
          <c:showSerName val="0"/>
          <c:showPercent val="0"/>
          <c:showBubbleSize val="0"/>
        </c:dLbls>
        <c:axId val="10"/>
        <c:axId val="20"/>
      </c:scatterChart>
      <c:valAx>
        <c:axId val="10"/>
        <c:scaling>
          <c:orientation val="minMax"/>
          <c:max val="55"/>
          <c:min val="0"/>
        </c:scaling>
        <c:delete val="0"/>
        <c:axPos val="b"/>
        <c:majorGridlines>
          <c:spPr>
            <a:ln>
              <a:solidFill>
                <a:srgbClr val="E0E0E0"/>
              </a:solidFill>
              <a:prstDash val="solid"/>
            </a:ln>
          </c:spPr>
        </c:majorGridlines>
        <c:title>
          <c:tx>
            <c:rich>
              <a:bodyPr/>
              <a:lstStyle/>
              <a:p>
                <a:pPr>
                  <a:defRPr/>
                </a:pPr>
                <a:r>
                  <a:rPr lang="de-DE"/>
                  <a:t>Temperatur des Inhalts [°C]</a:t>
                </a:r>
              </a:p>
            </c:rich>
          </c:tx>
          <c:overlay val="0"/>
        </c:title>
        <c:numFmt formatCode="0" sourceLinked="0"/>
        <c:majorTickMark val="none"/>
        <c:minorTickMark val="none"/>
        <c:tickLblPos val="nextTo"/>
        <c:crossAx val="20"/>
        <c:crosses val="min"/>
        <c:crossBetween val="midCat"/>
      </c:valAx>
      <c:valAx>
        <c:axId val="20"/>
        <c:scaling>
          <c:orientation val="minMax"/>
          <c:max val="240"/>
          <c:min val="20"/>
        </c:scaling>
        <c:delete val="0"/>
        <c:axPos val="l"/>
        <c:majorGridlines>
          <c:spPr>
            <a:ln>
              <a:solidFill>
                <a:srgbClr val="E0E0E0"/>
              </a:solidFill>
              <a:prstDash val="solid"/>
            </a:ln>
          </c:spPr>
        </c:majorGridlines>
        <c:title>
          <c:tx>
            <c:rich>
              <a:bodyPr/>
              <a:lstStyle/>
              <a:p>
                <a:pPr>
                  <a:defRPr/>
                </a:pPr>
                <a:r>
                  <a:rPr lang="de-DE"/>
                  <a:t>Druck in der Bezugsteufe [bar]</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Wassersättigung von CO₂ (Spycher et al. 2003)</a:t>
            </a:r>
          </a:p>
        </c:rich>
      </c:tx>
      <c:overlay val="0"/>
    </c:title>
    <c:autoTitleDeleted val="0"/>
    <c:plotArea>
      <c:layout/>
      <c:scatterChart>
        <c:scatterStyle val="lineMarker"/>
        <c:varyColors val="1"/>
        <c:ser>
          <c:idx val="0"/>
          <c:order val="0"/>
          <c:tx>
            <c:v>Sättigung 12 °C</c:v>
          </c:tx>
          <c:spPr>
            <a:ln w="22225">
              <a:solidFill>
                <a:srgbClr val="BDD7EE"/>
              </a:solidFill>
              <a:prstDash val="solid"/>
            </a:ln>
          </c:spPr>
          <c:marker>
            <c:symbol val="none"/>
          </c:marker>
          <c:xVal>
            <c:numRef>
              <c:f>Diagrammdaten!$BH$5:$BH$76</c:f>
              <c:numCache>
                <c:formatCode>0</c:formatCode>
                <c:ptCount val="72"/>
                <c:pt idx="0">
                  <c:v>15</c:v>
                </c:pt>
                <c:pt idx="1">
                  <c:v>18</c:v>
                </c:pt>
                <c:pt idx="2">
                  <c:v>21</c:v>
                </c:pt>
                <c:pt idx="3">
                  <c:v>24</c:v>
                </c:pt>
                <c:pt idx="4">
                  <c:v>27</c:v>
                </c:pt>
                <c:pt idx="5">
                  <c:v>30</c:v>
                </c:pt>
                <c:pt idx="6">
                  <c:v>33</c:v>
                </c:pt>
                <c:pt idx="7">
                  <c:v>36</c:v>
                </c:pt>
                <c:pt idx="8">
                  <c:v>39</c:v>
                </c:pt>
                <c:pt idx="9">
                  <c:v>42</c:v>
                </c:pt>
                <c:pt idx="10">
                  <c:v>45</c:v>
                </c:pt>
                <c:pt idx="11">
                  <c:v>48</c:v>
                </c:pt>
                <c:pt idx="12">
                  <c:v>51</c:v>
                </c:pt>
                <c:pt idx="13">
                  <c:v>54</c:v>
                </c:pt>
                <c:pt idx="14">
                  <c:v>57</c:v>
                </c:pt>
                <c:pt idx="15">
                  <c:v>60</c:v>
                </c:pt>
                <c:pt idx="16">
                  <c:v>63</c:v>
                </c:pt>
                <c:pt idx="17">
                  <c:v>66</c:v>
                </c:pt>
                <c:pt idx="18">
                  <c:v>69</c:v>
                </c:pt>
                <c:pt idx="19">
                  <c:v>72</c:v>
                </c:pt>
                <c:pt idx="20">
                  <c:v>75</c:v>
                </c:pt>
                <c:pt idx="21">
                  <c:v>78</c:v>
                </c:pt>
                <c:pt idx="22">
                  <c:v>81</c:v>
                </c:pt>
                <c:pt idx="23">
                  <c:v>84</c:v>
                </c:pt>
                <c:pt idx="24">
                  <c:v>87</c:v>
                </c:pt>
                <c:pt idx="25">
                  <c:v>90</c:v>
                </c:pt>
                <c:pt idx="26">
                  <c:v>93</c:v>
                </c:pt>
                <c:pt idx="27">
                  <c:v>96</c:v>
                </c:pt>
                <c:pt idx="28">
                  <c:v>99</c:v>
                </c:pt>
                <c:pt idx="29">
                  <c:v>102</c:v>
                </c:pt>
                <c:pt idx="30">
                  <c:v>105</c:v>
                </c:pt>
                <c:pt idx="31">
                  <c:v>108</c:v>
                </c:pt>
                <c:pt idx="32">
                  <c:v>111</c:v>
                </c:pt>
                <c:pt idx="33">
                  <c:v>114</c:v>
                </c:pt>
                <c:pt idx="34">
                  <c:v>117</c:v>
                </c:pt>
                <c:pt idx="35">
                  <c:v>120</c:v>
                </c:pt>
                <c:pt idx="36">
                  <c:v>123</c:v>
                </c:pt>
                <c:pt idx="37">
                  <c:v>126</c:v>
                </c:pt>
                <c:pt idx="38">
                  <c:v>129</c:v>
                </c:pt>
                <c:pt idx="39">
                  <c:v>132</c:v>
                </c:pt>
                <c:pt idx="40">
                  <c:v>135</c:v>
                </c:pt>
                <c:pt idx="41">
                  <c:v>138</c:v>
                </c:pt>
                <c:pt idx="42">
                  <c:v>141</c:v>
                </c:pt>
                <c:pt idx="43">
                  <c:v>144</c:v>
                </c:pt>
                <c:pt idx="44">
                  <c:v>147</c:v>
                </c:pt>
                <c:pt idx="45">
                  <c:v>150</c:v>
                </c:pt>
                <c:pt idx="46">
                  <c:v>153</c:v>
                </c:pt>
                <c:pt idx="47">
                  <c:v>156</c:v>
                </c:pt>
                <c:pt idx="48">
                  <c:v>159</c:v>
                </c:pt>
                <c:pt idx="49">
                  <c:v>162</c:v>
                </c:pt>
                <c:pt idx="50">
                  <c:v>165</c:v>
                </c:pt>
                <c:pt idx="51">
                  <c:v>168</c:v>
                </c:pt>
                <c:pt idx="52">
                  <c:v>171</c:v>
                </c:pt>
                <c:pt idx="53">
                  <c:v>174</c:v>
                </c:pt>
                <c:pt idx="54">
                  <c:v>177</c:v>
                </c:pt>
                <c:pt idx="55">
                  <c:v>180</c:v>
                </c:pt>
                <c:pt idx="56">
                  <c:v>183</c:v>
                </c:pt>
                <c:pt idx="57">
                  <c:v>186</c:v>
                </c:pt>
                <c:pt idx="58">
                  <c:v>189</c:v>
                </c:pt>
                <c:pt idx="59">
                  <c:v>192</c:v>
                </c:pt>
                <c:pt idx="60">
                  <c:v>195</c:v>
                </c:pt>
                <c:pt idx="61">
                  <c:v>198</c:v>
                </c:pt>
                <c:pt idx="62">
                  <c:v>201</c:v>
                </c:pt>
                <c:pt idx="63">
                  <c:v>204</c:v>
                </c:pt>
                <c:pt idx="64">
                  <c:v>207</c:v>
                </c:pt>
                <c:pt idx="65">
                  <c:v>210</c:v>
                </c:pt>
                <c:pt idx="66">
                  <c:v>213</c:v>
                </c:pt>
                <c:pt idx="67">
                  <c:v>216</c:v>
                </c:pt>
                <c:pt idx="68">
                  <c:v>219</c:v>
                </c:pt>
                <c:pt idx="69">
                  <c:v>222</c:v>
                </c:pt>
                <c:pt idx="70">
                  <c:v>225</c:v>
                </c:pt>
                <c:pt idx="71">
                  <c:v>228</c:v>
                </c:pt>
              </c:numCache>
            </c:numRef>
          </c:xVal>
          <c:yVal>
            <c:numRef>
              <c:f>Diagrammdaten!$BI$5:$BI$76</c:f>
              <c:numCache>
                <c:formatCode>0</c:formatCode>
                <c:ptCount val="72"/>
                <c:pt idx="0">
                  <c:v>1081.267428817906</c:v>
                </c:pt>
                <c:pt idx="1">
                  <c:v>930.02128928174659</c:v>
                </c:pt>
                <c:pt idx="2">
                  <c:v>823.64169344457036</c:v>
                </c:pt>
                <c:pt idx="3">
                  <c:v>745.48675846210483</c:v>
                </c:pt>
                <c:pt idx="4">
                  <c:v>686.34798749055676</c:v>
                </c:pt>
                <c:pt idx="5">
                  <c:v>640.7456553381096</c:v>
                </c:pt>
                <c:pt idx="6">
                  <c:v>605.25077059701289</c:v>
                </c:pt>
                <c:pt idx="7">
                  <c:v>577.65552709800386</c:v>
                </c:pt>
                <c:pt idx="8">
                  <c:v>556.54311012689823</c:v>
                </c:pt>
                <c:pt idx="9">
                  <c:v>541.07350491480156</c:v>
                </c:pt>
                <c:pt idx="10">
                  <c:v>530.92406791572182</c:v>
                </c:pt>
                <c:pt idx="11">
                  <c:v>2107.3274428333589</c:v>
                </c:pt>
                <c:pt idx="12">
                  <c:v>2125.5980003987879</c:v>
                </c:pt>
                <c:pt idx="13">
                  <c:v>2142.8989517516502</c:v>
                </c:pt>
                <c:pt idx="14">
                  <c:v>2159.3318564610881</c:v>
                </c:pt>
                <c:pt idx="15">
                  <c:v>2174.9818323361592</c:v>
                </c:pt>
                <c:pt idx="16">
                  <c:v>2189.9210579914629</c:v>
                </c:pt>
                <c:pt idx="17">
                  <c:v>2204.211370593192</c:v>
                </c:pt>
                <c:pt idx="18">
                  <c:v>2217.9062290740808</c:v>
                </c:pt>
                <c:pt idx="19">
                  <c:v>2231.0522225693771</c:v>
                </c:pt>
                <c:pt idx="20">
                  <c:v>2243.6902465767748</c:v>
                </c:pt>
                <c:pt idx="21">
                  <c:v>2255.8564321548361</c:v>
                </c:pt>
                <c:pt idx="22">
                  <c:v>2267.582888734451</c:v>
                </c:pt>
                <c:pt idx="23">
                  <c:v>2278.898304303822</c:v>
                </c:pt>
                <c:pt idx="24">
                  <c:v>2289.828435079522</c:v>
                </c:pt>
                <c:pt idx="25">
                  <c:v>2300.3965085653331</c:v>
                </c:pt>
                <c:pt idx="26">
                  <c:v>2310.623558021065</c:v>
                </c:pt>
                <c:pt idx="27">
                  <c:v>2320.528702092312</c:v>
                </c:pt>
                <c:pt idx="28">
                  <c:v>2330.1293802078012</c:v>
                </c:pt>
                <c:pt idx="29">
                  <c:v>2339.441552008444</c:v>
                </c:pt>
                <c:pt idx="30">
                  <c:v>2348.479867306959</c:v>
                </c:pt>
                <c:pt idx="31">
                  <c:v>2357.257811733145</c:v>
                </c:pt>
                <c:pt idx="32">
                  <c:v>2365.7878321865069</c:v>
                </c:pt>
                <c:pt idx="33">
                  <c:v>2374.0814454170791</c:v>
                </c:pt>
                <c:pt idx="34">
                  <c:v>2382.14933242807</c:v>
                </c:pt>
                <c:pt idx="35">
                  <c:v>2390.0014209002452</c:v>
                </c:pt>
                <c:pt idx="36">
                  <c:v>2397.646957445349</c:v>
                </c:pt>
                <c:pt idx="37">
                  <c:v>2405.0945711821792</c:v>
                </c:pt>
                <c:pt idx="38">
                  <c:v>2412.352329876453</c:v>
                </c:pt>
                <c:pt idx="39">
                  <c:v>2419.4277896809658</c:v>
                </c:pt>
                <c:pt idx="40">
                  <c:v>2426.3280393460309</c:v>
                </c:pt>
                <c:pt idx="41">
                  <c:v>2433.0597396338289</c:v>
                </c:pt>
                <c:pt idx="42">
                  <c:v>2439.6291585577551</c:v>
                </c:pt>
                <c:pt idx="43">
                  <c:v>2446.0422029752071</c:v>
                </c:pt>
                <c:pt idx="44">
                  <c:v>2452.3044469847432</c:v>
                </c:pt>
                <c:pt idx="45">
                  <c:v>2458.4211575142108</c:v>
                </c:pt>
                <c:pt idx="46">
                  <c:v>2464.3973174323401</c:v>
                </c:pt>
                <c:pt idx="47">
                  <c:v>2470.237646470604</c:v>
                </c:pt>
                <c:pt idx="48">
                  <c:v>2475.9466202039639</c:v>
                </c:pt>
                <c:pt idx="49">
                  <c:v>2481.5284873061141</c:v>
                </c:pt>
                <c:pt idx="50">
                  <c:v>2486.987285267347</c:v>
                </c:pt>
                <c:pt idx="51">
                  <c:v>2492.3268547392131</c:v>
                </c:pt>
                <c:pt idx="52">
                  <c:v>2497.5508526499179</c:v>
                </c:pt>
                <c:pt idx="53">
                  <c:v>2502.662764216841</c:v>
                </c:pt>
                <c:pt idx="54">
                  <c:v>2507.6659139675221</c:v>
                </c:pt>
                <c:pt idx="55">
                  <c:v>2512.5634758673341</c:v>
                </c:pt>
                <c:pt idx="56">
                  <c:v>2517.3584826409369</c:v>
                </c:pt>
                <c:pt idx="57">
                  <c:v>2522.0538343644471</c:v>
                </c:pt>
                <c:pt idx="58">
                  <c:v>2526.652306397074</c:v>
                </c:pt>
                <c:pt idx="59">
                  <c:v>2531.156556713177</c:v>
                </c:pt>
                <c:pt idx="60">
                  <c:v>2535.5691326892638</c:v>
                </c:pt>
                <c:pt idx="61">
                  <c:v>2539.8924773946969</c:v>
                </c:pt>
                <c:pt idx="62">
                  <c:v>2544.1289354297328</c:v>
                </c:pt>
                <c:pt idx="63">
                  <c:v>2548.2807583501549</c:v>
                </c:pt>
                <c:pt idx="64">
                  <c:v>2552.3501097136709</c:v>
                </c:pt>
                <c:pt idx="65">
                  <c:v>2556.3390697799182</c:v>
                </c:pt>
                <c:pt idx="66">
                  <c:v>2560.2496398926078</c:v>
                </c:pt>
                <c:pt idx="67">
                  <c:v>2564.0837465697959</c:v>
                </c:pt>
                <c:pt idx="68">
                  <c:v>2567.8432453256619</c:v>
                </c:pt>
                <c:pt idx="69">
                  <c:v>2571.529924245056</c:v>
                </c:pt>
                <c:pt idx="70">
                  <c:v>2575.1455073300458</c:v>
                </c:pt>
                <c:pt idx="71">
                  <c:v>2578.69165763606</c:v>
                </c:pt>
              </c:numCache>
            </c:numRef>
          </c:yVal>
          <c:smooth val="0"/>
          <c:extLst>
            <c:ext xmlns:c16="http://schemas.microsoft.com/office/drawing/2014/chart" uri="{C3380CC4-5D6E-409C-BE32-E72D297353CC}">
              <c16:uniqueId val="{00000000-948C-420C-B5EA-0208FFF66CBC}"/>
            </c:ext>
          </c:extLst>
        </c:ser>
        <c:ser>
          <c:idx val="1"/>
          <c:order val="1"/>
          <c:tx>
            <c:v>Sättigung 20 °C</c:v>
          </c:tx>
          <c:spPr>
            <a:ln w="22225">
              <a:solidFill>
                <a:srgbClr val="9DC3E6"/>
              </a:solidFill>
              <a:prstDash val="solid"/>
            </a:ln>
          </c:spPr>
          <c:marker>
            <c:symbol val="none"/>
          </c:marker>
          <c:xVal>
            <c:numRef>
              <c:f>Diagrammdaten!$BH$5:$BH$76</c:f>
              <c:numCache>
                <c:formatCode>0</c:formatCode>
                <c:ptCount val="72"/>
                <c:pt idx="0">
                  <c:v>15</c:v>
                </c:pt>
                <c:pt idx="1">
                  <c:v>18</c:v>
                </c:pt>
                <c:pt idx="2">
                  <c:v>21</c:v>
                </c:pt>
                <c:pt idx="3">
                  <c:v>24</c:v>
                </c:pt>
                <c:pt idx="4">
                  <c:v>27</c:v>
                </c:pt>
                <c:pt idx="5">
                  <c:v>30</c:v>
                </c:pt>
                <c:pt idx="6">
                  <c:v>33</c:v>
                </c:pt>
                <c:pt idx="7">
                  <c:v>36</c:v>
                </c:pt>
                <c:pt idx="8">
                  <c:v>39</c:v>
                </c:pt>
                <c:pt idx="9">
                  <c:v>42</c:v>
                </c:pt>
                <c:pt idx="10">
                  <c:v>45</c:v>
                </c:pt>
                <c:pt idx="11">
                  <c:v>48</c:v>
                </c:pt>
                <c:pt idx="12">
                  <c:v>51</c:v>
                </c:pt>
                <c:pt idx="13">
                  <c:v>54</c:v>
                </c:pt>
                <c:pt idx="14">
                  <c:v>57</c:v>
                </c:pt>
                <c:pt idx="15">
                  <c:v>60</c:v>
                </c:pt>
                <c:pt idx="16">
                  <c:v>63</c:v>
                </c:pt>
                <c:pt idx="17">
                  <c:v>66</c:v>
                </c:pt>
                <c:pt idx="18">
                  <c:v>69</c:v>
                </c:pt>
                <c:pt idx="19">
                  <c:v>72</c:v>
                </c:pt>
                <c:pt idx="20">
                  <c:v>75</c:v>
                </c:pt>
                <c:pt idx="21">
                  <c:v>78</c:v>
                </c:pt>
                <c:pt idx="22">
                  <c:v>81</c:v>
                </c:pt>
                <c:pt idx="23">
                  <c:v>84</c:v>
                </c:pt>
                <c:pt idx="24">
                  <c:v>87</c:v>
                </c:pt>
                <c:pt idx="25">
                  <c:v>90</c:v>
                </c:pt>
                <c:pt idx="26">
                  <c:v>93</c:v>
                </c:pt>
                <c:pt idx="27">
                  <c:v>96</c:v>
                </c:pt>
                <c:pt idx="28">
                  <c:v>99</c:v>
                </c:pt>
                <c:pt idx="29">
                  <c:v>102</c:v>
                </c:pt>
                <c:pt idx="30">
                  <c:v>105</c:v>
                </c:pt>
                <c:pt idx="31">
                  <c:v>108</c:v>
                </c:pt>
                <c:pt idx="32">
                  <c:v>111</c:v>
                </c:pt>
                <c:pt idx="33">
                  <c:v>114</c:v>
                </c:pt>
                <c:pt idx="34">
                  <c:v>117</c:v>
                </c:pt>
                <c:pt idx="35">
                  <c:v>120</c:v>
                </c:pt>
                <c:pt idx="36">
                  <c:v>123</c:v>
                </c:pt>
                <c:pt idx="37">
                  <c:v>126</c:v>
                </c:pt>
                <c:pt idx="38">
                  <c:v>129</c:v>
                </c:pt>
                <c:pt idx="39">
                  <c:v>132</c:v>
                </c:pt>
                <c:pt idx="40">
                  <c:v>135</c:v>
                </c:pt>
                <c:pt idx="41">
                  <c:v>138</c:v>
                </c:pt>
                <c:pt idx="42">
                  <c:v>141</c:v>
                </c:pt>
                <c:pt idx="43">
                  <c:v>144</c:v>
                </c:pt>
                <c:pt idx="44">
                  <c:v>147</c:v>
                </c:pt>
                <c:pt idx="45">
                  <c:v>150</c:v>
                </c:pt>
                <c:pt idx="46">
                  <c:v>153</c:v>
                </c:pt>
                <c:pt idx="47">
                  <c:v>156</c:v>
                </c:pt>
                <c:pt idx="48">
                  <c:v>159</c:v>
                </c:pt>
                <c:pt idx="49">
                  <c:v>162</c:v>
                </c:pt>
                <c:pt idx="50">
                  <c:v>165</c:v>
                </c:pt>
                <c:pt idx="51">
                  <c:v>168</c:v>
                </c:pt>
                <c:pt idx="52">
                  <c:v>171</c:v>
                </c:pt>
                <c:pt idx="53">
                  <c:v>174</c:v>
                </c:pt>
                <c:pt idx="54">
                  <c:v>177</c:v>
                </c:pt>
                <c:pt idx="55">
                  <c:v>180</c:v>
                </c:pt>
                <c:pt idx="56">
                  <c:v>183</c:v>
                </c:pt>
                <c:pt idx="57">
                  <c:v>186</c:v>
                </c:pt>
                <c:pt idx="58">
                  <c:v>189</c:v>
                </c:pt>
                <c:pt idx="59">
                  <c:v>192</c:v>
                </c:pt>
                <c:pt idx="60">
                  <c:v>195</c:v>
                </c:pt>
                <c:pt idx="61">
                  <c:v>198</c:v>
                </c:pt>
                <c:pt idx="62">
                  <c:v>201</c:v>
                </c:pt>
                <c:pt idx="63">
                  <c:v>204</c:v>
                </c:pt>
                <c:pt idx="64">
                  <c:v>207</c:v>
                </c:pt>
                <c:pt idx="65">
                  <c:v>210</c:v>
                </c:pt>
                <c:pt idx="66">
                  <c:v>213</c:v>
                </c:pt>
                <c:pt idx="67">
                  <c:v>216</c:v>
                </c:pt>
                <c:pt idx="68">
                  <c:v>219</c:v>
                </c:pt>
                <c:pt idx="69">
                  <c:v>222</c:v>
                </c:pt>
                <c:pt idx="70">
                  <c:v>225</c:v>
                </c:pt>
                <c:pt idx="71">
                  <c:v>228</c:v>
                </c:pt>
              </c:numCache>
            </c:numRef>
          </c:xVal>
          <c:yVal>
            <c:numRef>
              <c:f>Diagrammdaten!$BJ$5:$BJ$76</c:f>
              <c:numCache>
                <c:formatCode>0</c:formatCode>
                <c:ptCount val="72"/>
                <c:pt idx="0">
                  <c:v>1782.8953302624359</c:v>
                </c:pt>
                <c:pt idx="1">
                  <c:v>1530.1555677029769</c:v>
                </c:pt>
                <c:pt idx="2">
                  <c:v>1351.8901168680709</c:v>
                </c:pt>
                <c:pt idx="3">
                  <c:v>1220.388313628765</c:v>
                </c:pt>
                <c:pt idx="4">
                  <c:v>1120.292269155128</c:v>
                </c:pt>
                <c:pt idx="5">
                  <c:v>1042.43036098977</c:v>
                </c:pt>
                <c:pt idx="6">
                  <c:v>981.01810699173427</c:v>
                </c:pt>
                <c:pt idx="7">
                  <c:v>932.26417064214195</c:v>
                </c:pt>
                <c:pt idx="8">
                  <c:v>893.6282696501878</c:v>
                </c:pt>
                <c:pt idx="9">
                  <c:v>863.41098084983889</c:v>
                </c:pt>
                <c:pt idx="10">
                  <c:v>840.5318831595041</c:v>
                </c:pt>
                <c:pt idx="11">
                  <c:v>824.4375184988869</c:v>
                </c:pt>
                <c:pt idx="12">
                  <c:v>815.14324337806352</c:v>
                </c:pt>
                <c:pt idx="13">
                  <c:v>813.52433342200061</c:v>
                </c:pt>
                <c:pt idx="14">
                  <c:v>822.42278030183354</c:v>
                </c:pt>
                <c:pt idx="15">
                  <c:v>2568.85221910878</c:v>
                </c:pt>
                <c:pt idx="16">
                  <c:v>2601.299768448444</c:v>
                </c:pt>
                <c:pt idx="17">
                  <c:v>2631.3071927602718</c:v>
                </c:pt>
                <c:pt idx="18">
                  <c:v>2659.2471714780609</c:v>
                </c:pt>
                <c:pt idx="19">
                  <c:v>2685.406816336385</c:v>
                </c:pt>
                <c:pt idx="20">
                  <c:v>2710.012863351883</c:v>
                </c:pt>
                <c:pt idx="21">
                  <c:v>2733.2480659723351</c:v>
                </c:pt>
                <c:pt idx="22">
                  <c:v>2755.2622763135291</c:v>
                </c:pt>
                <c:pt idx="23">
                  <c:v>2776.180177478424</c:v>
                </c:pt>
                <c:pt idx="24">
                  <c:v>2796.1068263649931</c:v>
                </c:pt>
                <c:pt idx="25">
                  <c:v>2815.1317199779542</c:v>
                </c:pt>
                <c:pt idx="26">
                  <c:v>2833.3318391365119</c:v>
                </c:pt>
                <c:pt idx="27">
                  <c:v>2850.7739672742682</c:v>
                </c:pt>
                <c:pt idx="28">
                  <c:v>2867.51648474379</c:v>
                </c:pt>
                <c:pt idx="29">
                  <c:v>2883.6107766857499</c:v>
                </c:pt>
                <c:pt idx="30">
                  <c:v>2899.1023515339421</c:v>
                </c:pt>
                <c:pt idx="31">
                  <c:v>2914.031739667711</c:v>
                </c:pt>
                <c:pt idx="32">
                  <c:v>2928.4352228149942</c:v>
                </c:pt>
                <c:pt idx="33">
                  <c:v>2942.3454315970348</c:v>
                </c:pt>
                <c:pt idx="34">
                  <c:v>2955.7918392207371</c:v>
                </c:pt>
                <c:pt idx="35">
                  <c:v>2968.801172556372</c:v>
                </c:pt>
                <c:pt idx="36">
                  <c:v>2981.397756889879</c:v>
                </c:pt>
                <c:pt idx="37">
                  <c:v>2993.6038069747378</c:v>
                </c:pt>
                <c:pt idx="38">
                  <c:v>3005.4396742637132</c:v>
                </c:pt>
                <c:pt idx="39">
                  <c:v>3016.92405812179</c:v>
                </c:pt>
                <c:pt idx="40">
                  <c:v>3028.0741872321</c:v>
                </c:pt>
                <c:pt idx="41">
                  <c:v>3038.905976178884</c:v>
                </c:pt>
                <c:pt idx="42">
                  <c:v>3049.4341612360622</c:v>
                </c:pt>
                <c:pt idx="43">
                  <c:v>3059.6724186392389</c:v>
                </c:pt>
                <c:pt idx="44">
                  <c:v>3069.6334680256641</c:v>
                </c:pt>
                <c:pt idx="45">
                  <c:v>3079.3291632534501</c:v>
                </c:pt>
                <c:pt idx="46">
                  <c:v>3088.7705724322032</c:v>
                </c:pt>
                <c:pt idx="47">
                  <c:v>3097.968048690972</c:v>
                </c:pt>
                <c:pt idx="48">
                  <c:v>3106.9312929606699</c:v>
                </c:pt>
                <c:pt idx="49">
                  <c:v>3115.6694098453249</c:v>
                </c:pt>
                <c:pt idx="50">
                  <c:v>3124.1909574895308</c:v>
                </c:pt>
                <c:pt idx="51">
                  <c:v>3132.5039922122728</c:v>
                </c:pt>
                <c:pt idx="52">
                  <c:v>3140.6161085628728</c:v>
                </c:pt>
                <c:pt idx="53">
                  <c:v>3148.5344753602972</c:v>
                </c:pt>
                <c:pt idx="54">
                  <c:v>3156.2658681970111</c:v>
                </c:pt>
                <c:pt idx="55">
                  <c:v>3163.816698822402</c:v>
                </c:pt>
                <c:pt idx="56">
                  <c:v>3171.1930417640888</c:v>
                </c:pt>
                <c:pt idx="57">
                  <c:v>3178.4006584979502</c:v>
                </c:pt>
                <c:pt idx="58">
                  <c:v>3185.4450194371602</c:v>
                </c:pt>
                <c:pt idx="59">
                  <c:v>3192.331323976</c:v>
                </c:pt>
                <c:pt idx="60">
                  <c:v>3199.0645187946702</c:v>
                </c:pt>
                <c:pt idx="61">
                  <c:v>3205.6493146060329</c:v>
                </c:pt>
                <c:pt idx="62">
                  <c:v>3212.090201503217</c:v>
                </c:pt>
                <c:pt idx="63">
                  <c:v>3218.3914630485301</c:v>
                </c:pt>
                <c:pt idx="64">
                  <c:v>3224.5571892273192</c:v>
                </c:pt>
                <c:pt idx="65">
                  <c:v>3230.591288376766</c:v>
                </c:pt>
                <c:pt idx="66">
                  <c:v>3236.4974981868841</c:v>
                </c:pt>
                <c:pt idx="67">
                  <c:v>3242.2793958605089</c:v>
                </c:pt>
                <c:pt idx="68">
                  <c:v>3247.940407509418</c:v>
                </c:pt>
                <c:pt idx="69">
                  <c:v>3253.4838168557239</c:v>
                </c:pt>
                <c:pt idx="70">
                  <c:v>3258.9127733001842</c:v>
                </c:pt>
                <c:pt idx="71">
                  <c:v>3264.23029941292</c:v>
                </c:pt>
              </c:numCache>
            </c:numRef>
          </c:yVal>
          <c:smooth val="0"/>
          <c:extLst>
            <c:ext xmlns:c16="http://schemas.microsoft.com/office/drawing/2014/chart" uri="{C3380CC4-5D6E-409C-BE32-E72D297353CC}">
              <c16:uniqueId val="{00000001-948C-420C-B5EA-0208FFF66CBC}"/>
            </c:ext>
          </c:extLst>
        </c:ser>
        <c:ser>
          <c:idx val="2"/>
          <c:order val="2"/>
          <c:tx>
            <c:v>Sättigung 31 °C</c:v>
          </c:tx>
          <c:spPr>
            <a:ln w="22225">
              <a:solidFill>
                <a:srgbClr val="5B9BD5"/>
              </a:solidFill>
              <a:prstDash val="solid"/>
            </a:ln>
          </c:spPr>
          <c:marker>
            <c:symbol val="none"/>
          </c:marker>
          <c:xVal>
            <c:numRef>
              <c:f>Diagrammdaten!$BH$5:$BH$76</c:f>
              <c:numCache>
                <c:formatCode>0</c:formatCode>
                <c:ptCount val="72"/>
                <c:pt idx="0">
                  <c:v>15</c:v>
                </c:pt>
                <c:pt idx="1">
                  <c:v>18</c:v>
                </c:pt>
                <c:pt idx="2">
                  <c:v>21</c:v>
                </c:pt>
                <c:pt idx="3">
                  <c:v>24</c:v>
                </c:pt>
                <c:pt idx="4">
                  <c:v>27</c:v>
                </c:pt>
                <c:pt idx="5">
                  <c:v>30</c:v>
                </c:pt>
                <c:pt idx="6">
                  <c:v>33</c:v>
                </c:pt>
                <c:pt idx="7">
                  <c:v>36</c:v>
                </c:pt>
                <c:pt idx="8">
                  <c:v>39</c:v>
                </c:pt>
                <c:pt idx="9">
                  <c:v>42</c:v>
                </c:pt>
                <c:pt idx="10">
                  <c:v>45</c:v>
                </c:pt>
                <c:pt idx="11">
                  <c:v>48</c:v>
                </c:pt>
                <c:pt idx="12">
                  <c:v>51</c:v>
                </c:pt>
                <c:pt idx="13">
                  <c:v>54</c:v>
                </c:pt>
                <c:pt idx="14">
                  <c:v>57</c:v>
                </c:pt>
                <c:pt idx="15">
                  <c:v>60</c:v>
                </c:pt>
                <c:pt idx="16">
                  <c:v>63</c:v>
                </c:pt>
                <c:pt idx="17">
                  <c:v>66</c:v>
                </c:pt>
                <c:pt idx="18">
                  <c:v>69</c:v>
                </c:pt>
                <c:pt idx="19">
                  <c:v>72</c:v>
                </c:pt>
                <c:pt idx="20">
                  <c:v>75</c:v>
                </c:pt>
                <c:pt idx="21">
                  <c:v>78</c:v>
                </c:pt>
                <c:pt idx="22">
                  <c:v>81</c:v>
                </c:pt>
                <c:pt idx="23">
                  <c:v>84</c:v>
                </c:pt>
                <c:pt idx="24">
                  <c:v>87</c:v>
                </c:pt>
                <c:pt idx="25">
                  <c:v>90</c:v>
                </c:pt>
                <c:pt idx="26">
                  <c:v>93</c:v>
                </c:pt>
                <c:pt idx="27">
                  <c:v>96</c:v>
                </c:pt>
                <c:pt idx="28">
                  <c:v>99</c:v>
                </c:pt>
                <c:pt idx="29">
                  <c:v>102</c:v>
                </c:pt>
                <c:pt idx="30">
                  <c:v>105</c:v>
                </c:pt>
                <c:pt idx="31">
                  <c:v>108</c:v>
                </c:pt>
                <c:pt idx="32">
                  <c:v>111</c:v>
                </c:pt>
                <c:pt idx="33">
                  <c:v>114</c:v>
                </c:pt>
                <c:pt idx="34">
                  <c:v>117</c:v>
                </c:pt>
                <c:pt idx="35">
                  <c:v>120</c:v>
                </c:pt>
                <c:pt idx="36">
                  <c:v>123</c:v>
                </c:pt>
                <c:pt idx="37">
                  <c:v>126</c:v>
                </c:pt>
                <c:pt idx="38">
                  <c:v>129</c:v>
                </c:pt>
                <c:pt idx="39">
                  <c:v>132</c:v>
                </c:pt>
                <c:pt idx="40">
                  <c:v>135</c:v>
                </c:pt>
                <c:pt idx="41">
                  <c:v>138</c:v>
                </c:pt>
                <c:pt idx="42">
                  <c:v>141</c:v>
                </c:pt>
                <c:pt idx="43">
                  <c:v>144</c:v>
                </c:pt>
                <c:pt idx="44">
                  <c:v>147</c:v>
                </c:pt>
                <c:pt idx="45">
                  <c:v>150</c:v>
                </c:pt>
                <c:pt idx="46">
                  <c:v>153</c:v>
                </c:pt>
                <c:pt idx="47">
                  <c:v>156</c:v>
                </c:pt>
                <c:pt idx="48">
                  <c:v>159</c:v>
                </c:pt>
                <c:pt idx="49">
                  <c:v>162</c:v>
                </c:pt>
                <c:pt idx="50">
                  <c:v>165</c:v>
                </c:pt>
                <c:pt idx="51">
                  <c:v>168</c:v>
                </c:pt>
                <c:pt idx="52">
                  <c:v>171</c:v>
                </c:pt>
                <c:pt idx="53">
                  <c:v>174</c:v>
                </c:pt>
                <c:pt idx="54">
                  <c:v>177</c:v>
                </c:pt>
                <c:pt idx="55">
                  <c:v>180</c:v>
                </c:pt>
                <c:pt idx="56">
                  <c:v>183</c:v>
                </c:pt>
                <c:pt idx="57">
                  <c:v>186</c:v>
                </c:pt>
                <c:pt idx="58">
                  <c:v>189</c:v>
                </c:pt>
                <c:pt idx="59">
                  <c:v>192</c:v>
                </c:pt>
                <c:pt idx="60">
                  <c:v>195</c:v>
                </c:pt>
                <c:pt idx="61">
                  <c:v>198</c:v>
                </c:pt>
                <c:pt idx="62">
                  <c:v>201</c:v>
                </c:pt>
                <c:pt idx="63">
                  <c:v>204</c:v>
                </c:pt>
                <c:pt idx="64">
                  <c:v>207</c:v>
                </c:pt>
                <c:pt idx="65">
                  <c:v>210</c:v>
                </c:pt>
                <c:pt idx="66">
                  <c:v>213</c:v>
                </c:pt>
                <c:pt idx="67">
                  <c:v>216</c:v>
                </c:pt>
                <c:pt idx="68">
                  <c:v>219</c:v>
                </c:pt>
                <c:pt idx="69">
                  <c:v>222</c:v>
                </c:pt>
                <c:pt idx="70">
                  <c:v>225</c:v>
                </c:pt>
                <c:pt idx="71">
                  <c:v>228</c:v>
                </c:pt>
              </c:numCache>
            </c:numRef>
          </c:xVal>
          <c:yVal>
            <c:numRef>
              <c:f>Diagrammdaten!$BK$5:$BK$76</c:f>
              <c:numCache>
                <c:formatCode>0</c:formatCode>
                <c:ptCount val="72"/>
                <c:pt idx="0">
                  <c:v>3387.793711234066</c:v>
                </c:pt>
                <c:pt idx="1">
                  <c:v>2899.7971853624399</c:v>
                </c:pt>
                <c:pt idx="2">
                  <c:v>2554.6091463749372</c:v>
                </c:pt>
                <c:pt idx="3">
                  <c:v>2298.9472018410388</c:v>
                </c:pt>
                <c:pt idx="4">
                  <c:v>2103.2470604343061</c:v>
                </c:pt>
                <c:pt idx="5">
                  <c:v>1949.8112116604109</c:v>
                </c:pt>
                <c:pt idx="6">
                  <c:v>1827.4242330754521</c:v>
                </c:pt>
                <c:pt idx="7">
                  <c:v>1728.6634186411079</c:v>
                </c:pt>
                <c:pt idx="8">
                  <c:v>1648.4546814965399</c:v>
                </c:pt>
                <c:pt idx="9">
                  <c:v>1583.2530019178971</c:v>
                </c:pt>
                <c:pt idx="10">
                  <c:v>1530.558937308301</c:v>
                </c:pt>
                <c:pt idx="11">
                  <c:v>1488.629032340056</c:v>
                </c:pt>
                <c:pt idx="12">
                  <c:v>1456.3087379953729</c:v>
                </c:pt>
                <c:pt idx="13">
                  <c:v>1432.955953031458</c:v>
                </c:pt>
                <c:pt idx="14">
                  <c:v>1418.453891208962</c:v>
                </c:pt>
                <c:pt idx="15">
                  <c:v>1413.3552817134309</c:v>
                </c:pt>
                <c:pt idx="16">
                  <c:v>1419.30971057595</c:v>
                </c:pt>
                <c:pt idx="17">
                  <c:v>1440.3429013813391</c:v>
                </c:pt>
                <c:pt idx="18">
                  <c:v>1488.0714114084451</c:v>
                </c:pt>
                <c:pt idx="19">
                  <c:v>1681.873803465289</c:v>
                </c:pt>
                <c:pt idx="20">
                  <c:v>3200.059946921067</c:v>
                </c:pt>
                <c:pt idx="21">
                  <c:v>3285.5362942163092</c:v>
                </c:pt>
                <c:pt idx="22">
                  <c:v>3357.958655394028</c:v>
                </c:pt>
                <c:pt idx="23">
                  <c:v>3421.266921348808</c:v>
                </c:pt>
                <c:pt idx="24">
                  <c:v>3477.758842526574</c:v>
                </c:pt>
                <c:pt idx="25">
                  <c:v>3528.9113041025771</c:v>
                </c:pt>
                <c:pt idx="26">
                  <c:v>3575.7392138920668</c:v>
                </c:pt>
                <c:pt idx="27">
                  <c:v>3618.9750317581129</c:v>
                </c:pt>
                <c:pt idx="28">
                  <c:v>3659.16758780802</c:v>
                </c:pt>
                <c:pt idx="29">
                  <c:v>3696.740515205739</c:v>
                </c:pt>
                <c:pt idx="30">
                  <c:v>3732.02878863964</c:v>
                </c:pt>
                <c:pt idx="31">
                  <c:v>3765.3026216241792</c:v>
                </c:pt>
                <c:pt idx="32">
                  <c:v>3796.7836840547661</c:v>
                </c:pt>
                <c:pt idx="33">
                  <c:v>3826.656453736382</c:v>
                </c:pt>
                <c:pt idx="34">
                  <c:v>3855.0763736572289</c:v>
                </c:pt>
                <c:pt idx="35">
                  <c:v>3882.175848124059</c:v>
                </c:pt>
                <c:pt idx="36">
                  <c:v>3908.0687380705481</c:v>
                </c:pt>
                <c:pt idx="37">
                  <c:v>3932.8537900746592</c:v>
                </c:pt>
                <c:pt idx="38">
                  <c:v>3956.6172924463622</c:v>
                </c:pt>
                <c:pt idx="39">
                  <c:v>3979.4351609588721</c:v>
                </c:pt>
                <c:pt idx="40">
                  <c:v>4001.3745969440379</c:v>
                </c:pt>
                <c:pt idx="41">
                  <c:v>4022.4954201294208</c:v>
                </c:pt>
                <c:pt idx="42">
                  <c:v>4042.8511508564688</c:v>
                </c:pt>
                <c:pt idx="43">
                  <c:v>4062.4898969017509</c:v>
                </c:pt>
                <c:pt idx="44">
                  <c:v>4081.4550863074778</c:v>
                </c:pt>
                <c:pt idx="45">
                  <c:v>4099.786077650102</c:v>
                </c:pt>
                <c:pt idx="46">
                  <c:v>4117.5186718724399</c:v>
                </c:pt>
                <c:pt idx="47">
                  <c:v>4134.6855443903341</c:v>
                </c:pt>
                <c:pt idx="48">
                  <c:v>4151.3166121256563</c:v>
                </c:pt>
                <c:pt idx="49">
                  <c:v>4167.4393470402847</c:v>
                </c:pt>
                <c:pt idx="50">
                  <c:v>4183.0790453913669</c:v>
                </c:pt>
                <c:pt idx="51">
                  <c:v>4198.259060108242</c:v>
                </c:pt>
                <c:pt idx="52">
                  <c:v>4213.0010022743136</c:v>
                </c:pt>
                <c:pt idx="53">
                  <c:v>4227.3249165838379</c:v>
                </c:pt>
                <c:pt idx="54">
                  <c:v>4241.2494347621441</c:v>
                </c:pt>
                <c:pt idx="55">
                  <c:v>4254.7919102359074</c:v>
                </c:pt>
                <c:pt idx="56">
                  <c:v>4267.9685367763777</c:v>
                </c:pt>
                <c:pt idx="57">
                  <c:v>4280.7944533836817</c:v>
                </c:pt>
                <c:pt idx="58">
                  <c:v>4293.2838373108316</c:v>
                </c:pt>
                <c:pt idx="59">
                  <c:v>4305.449986824241</c:v>
                </c:pt>
                <c:pt idx="60">
                  <c:v>4317.3053950498288</c:v>
                </c:pt>
                <c:pt idx="61">
                  <c:v>4328.8618160492679</c:v>
                </c:pt>
                <c:pt idx="62">
                  <c:v>4340.1303241013584</c:v>
                </c:pt>
                <c:pt idx="63">
                  <c:v>4351.1213670223933</c:v>
                </c:pt>
                <c:pt idx="64">
                  <c:v>4361.8448142409716</c:v>
                </c:pt>
                <c:pt idx="65">
                  <c:v>4372.310000243825</c:v>
                </c:pt>
                <c:pt idx="66">
                  <c:v>4382.5257639249694</c:v>
                </c:pt>
                <c:pt idx="67">
                  <c:v>4392.5004843003126</c:v>
                </c:pt>
                <c:pt idx="68">
                  <c:v>4402.2421129889062</c:v>
                </c:pt>
                <c:pt idx="69">
                  <c:v>4411.7582038112268</c:v>
                </c:pt>
                <c:pt idx="70">
                  <c:v>4421.0559398106789</c:v>
                </c:pt>
                <c:pt idx="71">
                  <c:v>4430.1421579669804</c:v>
                </c:pt>
              </c:numCache>
            </c:numRef>
          </c:yVal>
          <c:smooth val="0"/>
          <c:extLst>
            <c:ext xmlns:c16="http://schemas.microsoft.com/office/drawing/2014/chart" uri="{C3380CC4-5D6E-409C-BE32-E72D297353CC}">
              <c16:uniqueId val="{00000002-948C-420C-B5EA-0208FFF66CBC}"/>
            </c:ext>
          </c:extLst>
        </c:ser>
        <c:ser>
          <c:idx val="3"/>
          <c:order val="3"/>
          <c:tx>
            <c:v>Sättigung 40 °C</c:v>
          </c:tx>
          <c:spPr>
            <a:ln w="22225">
              <a:solidFill>
                <a:srgbClr val="2E75B6"/>
              </a:solidFill>
              <a:prstDash val="solid"/>
            </a:ln>
          </c:spPr>
          <c:marker>
            <c:symbol val="none"/>
          </c:marker>
          <c:xVal>
            <c:numRef>
              <c:f>Diagrammdaten!$BH$5:$BH$76</c:f>
              <c:numCache>
                <c:formatCode>0</c:formatCode>
                <c:ptCount val="72"/>
                <c:pt idx="0">
                  <c:v>15</c:v>
                </c:pt>
                <c:pt idx="1">
                  <c:v>18</c:v>
                </c:pt>
                <c:pt idx="2">
                  <c:v>21</c:v>
                </c:pt>
                <c:pt idx="3">
                  <c:v>24</c:v>
                </c:pt>
                <c:pt idx="4">
                  <c:v>27</c:v>
                </c:pt>
                <c:pt idx="5">
                  <c:v>30</c:v>
                </c:pt>
                <c:pt idx="6">
                  <c:v>33</c:v>
                </c:pt>
                <c:pt idx="7">
                  <c:v>36</c:v>
                </c:pt>
                <c:pt idx="8">
                  <c:v>39</c:v>
                </c:pt>
                <c:pt idx="9">
                  <c:v>42</c:v>
                </c:pt>
                <c:pt idx="10">
                  <c:v>45</c:v>
                </c:pt>
                <c:pt idx="11">
                  <c:v>48</c:v>
                </c:pt>
                <c:pt idx="12">
                  <c:v>51</c:v>
                </c:pt>
                <c:pt idx="13">
                  <c:v>54</c:v>
                </c:pt>
                <c:pt idx="14">
                  <c:v>57</c:v>
                </c:pt>
                <c:pt idx="15">
                  <c:v>60</c:v>
                </c:pt>
                <c:pt idx="16">
                  <c:v>63</c:v>
                </c:pt>
                <c:pt idx="17">
                  <c:v>66</c:v>
                </c:pt>
                <c:pt idx="18">
                  <c:v>69</c:v>
                </c:pt>
                <c:pt idx="19">
                  <c:v>72</c:v>
                </c:pt>
                <c:pt idx="20">
                  <c:v>75</c:v>
                </c:pt>
                <c:pt idx="21">
                  <c:v>78</c:v>
                </c:pt>
                <c:pt idx="22">
                  <c:v>81</c:v>
                </c:pt>
                <c:pt idx="23">
                  <c:v>84</c:v>
                </c:pt>
                <c:pt idx="24">
                  <c:v>87</c:v>
                </c:pt>
                <c:pt idx="25">
                  <c:v>90</c:v>
                </c:pt>
                <c:pt idx="26">
                  <c:v>93</c:v>
                </c:pt>
                <c:pt idx="27">
                  <c:v>96</c:v>
                </c:pt>
                <c:pt idx="28">
                  <c:v>99</c:v>
                </c:pt>
                <c:pt idx="29">
                  <c:v>102</c:v>
                </c:pt>
                <c:pt idx="30">
                  <c:v>105</c:v>
                </c:pt>
                <c:pt idx="31">
                  <c:v>108</c:v>
                </c:pt>
                <c:pt idx="32">
                  <c:v>111</c:v>
                </c:pt>
                <c:pt idx="33">
                  <c:v>114</c:v>
                </c:pt>
                <c:pt idx="34">
                  <c:v>117</c:v>
                </c:pt>
                <c:pt idx="35">
                  <c:v>120</c:v>
                </c:pt>
                <c:pt idx="36">
                  <c:v>123</c:v>
                </c:pt>
                <c:pt idx="37">
                  <c:v>126</c:v>
                </c:pt>
                <c:pt idx="38">
                  <c:v>129</c:v>
                </c:pt>
                <c:pt idx="39">
                  <c:v>132</c:v>
                </c:pt>
                <c:pt idx="40">
                  <c:v>135</c:v>
                </c:pt>
                <c:pt idx="41">
                  <c:v>138</c:v>
                </c:pt>
                <c:pt idx="42">
                  <c:v>141</c:v>
                </c:pt>
                <c:pt idx="43">
                  <c:v>144</c:v>
                </c:pt>
                <c:pt idx="44">
                  <c:v>147</c:v>
                </c:pt>
                <c:pt idx="45">
                  <c:v>150</c:v>
                </c:pt>
                <c:pt idx="46">
                  <c:v>153</c:v>
                </c:pt>
                <c:pt idx="47">
                  <c:v>156</c:v>
                </c:pt>
                <c:pt idx="48">
                  <c:v>159</c:v>
                </c:pt>
                <c:pt idx="49">
                  <c:v>162</c:v>
                </c:pt>
                <c:pt idx="50">
                  <c:v>165</c:v>
                </c:pt>
                <c:pt idx="51">
                  <c:v>168</c:v>
                </c:pt>
                <c:pt idx="52">
                  <c:v>171</c:v>
                </c:pt>
                <c:pt idx="53">
                  <c:v>174</c:v>
                </c:pt>
                <c:pt idx="54">
                  <c:v>177</c:v>
                </c:pt>
                <c:pt idx="55">
                  <c:v>180</c:v>
                </c:pt>
                <c:pt idx="56">
                  <c:v>183</c:v>
                </c:pt>
                <c:pt idx="57">
                  <c:v>186</c:v>
                </c:pt>
                <c:pt idx="58">
                  <c:v>189</c:v>
                </c:pt>
                <c:pt idx="59">
                  <c:v>192</c:v>
                </c:pt>
                <c:pt idx="60">
                  <c:v>195</c:v>
                </c:pt>
                <c:pt idx="61">
                  <c:v>198</c:v>
                </c:pt>
                <c:pt idx="62">
                  <c:v>201</c:v>
                </c:pt>
                <c:pt idx="63">
                  <c:v>204</c:v>
                </c:pt>
                <c:pt idx="64">
                  <c:v>207</c:v>
                </c:pt>
                <c:pt idx="65">
                  <c:v>210</c:v>
                </c:pt>
                <c:pt idx="66">
                  <c:v>213</c:v>
                </c:pt>
                <c:pt idx="67">
                  <c:v>216</c:v>
                </c:pt>
                <c:pt idx="68">
                  <c:v>219</c:v>
                </c:pt>
                <c:pt idx="69">
                  <c:v>222</c:v>
                </c:pt>
                <c:pt idx="70">
                  <c:v>225</c:v>
                </c:pt>
                <c:pt idx="71">
                  <c:v>228</c:v>
                </c:pt>
              </c:numCache>
            </c:numRef>
          </c:xVal>
          <c:yVal>
            <c:numRef>
              <c:f>Diagrammdaten!$BL$5:$BL$76</c:f>
              <c:numCache>
                <c:formatCode>0</c:formatCode>
                <c:ptCount val="72"/>
                <c:pt idx="0">
                  <c:v>5520.0930470129897</c:v>
                </c:pt>
                <c:pt idx="1">
                  <c:v>4715.8230617343042</c:v>
                </c:pt>
                <c:pt idx="2">
                  <c:v>4145.9207920816871</c:v>
                </c:pt>
                <c:pt idx="3">
                  <c:v>3722.817727253439</c:v>
                </c:pt>
                <c:pt idx="4">
                  <c:v>3397.9017218538511</c:v>
                </c:pt>
                <c:pt idx="5">
                  <c:v>3142.045213781978</c:v>
                </c:pt>
                <c:pt idx="6">
                  <c:v>2936.7559385778541</c:v>
                </c:pt>
                <c:pt idx="7">
                  <c:v>2769.7541594971481</c:v>
                </c:pt>
                <c:pt idx="8">
                  <c:v>2632.5935318906718</c:v>
                </c:pt>
                <c:pt idx="9">
                  <c:v>2519.3046339681391</c:v>
                </c:pt>
                <c:pt idx="10">
                  <c:v>2425.585103035839</c:v>
                </c:pt>
                <c:pt idx="11">
                  <c:v>2348.2989382151941</c:v>
                </c:pt>
                <c:pt idx="12">
                  <c:v>2285.1601955150159</c:v>
                </c:pt>
                <c:pt idx="13">
                  <c:v>2234.5332768131402</c:v>
                </c:pt>
                <c:pt idx="14">
                  <c:v>2195.3131706464678</c:v>
                </c:pt>
                <c:pt idx="15">
                  <c:v>2166.8683915052061</c:v>
                </c:pt>
                <c:pt idx="16">
                  <c:v>2149.045094787848</c:v>
                </c:pt>
                <c:pt idx="17">
                  <c:v>2142.2505783587171</c:v>
                </c:pt>
                <c:pt idx="18">
                  <c:v>2147.6723823158718</c:v>
                </c:pt>
                <c:pt idx="19">
                  <c:v>2167.786927734905</c:v>
                </c:pt>
                <c:pt idx="20">
                  <c:v>2207.6268818402441</c:v>
                </c:pt>
                <c:pt idx="21">
                  <c:v>2278.613373851997</c:v>
                </c:pt>
                <c:pt idx="22">
                  <c:v>2415.7656583795151</c:v>
                </c:pt>
                <c:pt idx="23">
                  <c:v>2932.4983618358769</c:v>
                </c:pt>
                <c:pt idx="24">
                  <c:v>3553.7173028818861</c:v>
                </c:pt>
                <c:pt idx="25">
                  <c:v>3794.7846926667712</c:v>
                </c:pt>
                <c:pt idx="26">
                  <c:v>3959.4775750723311</c:v>
                </c:pt>
                <c:pt idx="27">
                  <c:v>4088.263938787502</c:v>
                </c:pt>
                <c:pt idx="28">
                  <c:v>4195.4208535265707</c:v>
                </c:pt>
                <c:pt idx="29">
                  <c:v>4287.8450276324256</c:v>
                </c:pt>
                <c:pt idx="30">
                  <c:v>4369.4593264955802</c:v>
                </c:pt>
                <c:pt idx="31">
                  <c:v>4442.7349762623153</c:v>
                </c:pt>
                <c:pt idx="32">
                  <c:v>4509.3422109760631</c:v>
                </c:pt>
                <c:pt idx="33">
                  <c:v>4570.4696538048247</c:v>
                </c:pt>
                <c:pt idx="34">
                  <c:v>4626.9972710947231</c:v>
                </c:pt>
                <c:pt idx="35">
                  <c:v>4679.5972000055444</c:v>
                </c:pt>
                <c:pt idx="36">
                  <c:v>4728.7960124029978</c:v>
                </c:pt>
                <c:pt idx="37">
                  <c:v>4775.0149864122304</c:v>
                </c:pt>
                <c:pt idx="38">
                  <c:v>4818.5971644379424</c:v>
                </c:pt>
                <c:pt idx="39">
                  <c:v>4859.8261222655674</c:v>
                </c:pt>
                <c:pt idx="40">
                  <c:v>4898.9393463059987</c:v>
                </c:pt>
                <c:pt idx="41">
                  <c:v>4936.1379931260581</c:v>
                </c:pt>
                <c:pt idx="42">
                  <c:v>4971.5941557774022</c:v>
                </c:pt>
                <c:pt idx="43">
                  <c:v>5005.4563712629642</c:v>
                </c:pt>
                <c:pt idx="44">
                  <c:v>5037.8538613755572</c:v>
                </c:pt>
                <c:pt idx="45">
                  <c:v>5068.8998445587249</c:v>
                </c:pt>
                <c:pt idx="46">
                  <c:v>5098.6941552061362</c:v>
                </c:pt>
                <c:pt idx="47">
                  <c:v>5127.3253390053342</c:v>
                </c:pt>
                <c:pt idx="48">
                  <c:v>5154.8723465814437</c:v>
                </c:pt>
                <c:pt idx="49">
                  <c:v>5181.4059154276438</c:v>
                </c:pt>
                <c:pt idx="50">
                  <c:v>5206.989707270046</c:v>
                </c:pt>
                <c:pt idx="51">
                  <c:v>5231.681251601266</c:v>
                </c:pt>
                <c:pt idx="52">
                  <c:v>5255.532734157985</c:v>
                </c:pt>
                <c:pt idx="53">
                  <c:v>5278.5916602925399</c:v>
                </c:pt>
                <c:pt idx="54">
                  <c:v>5300.9014165984217</c:v>
                </c:pt>
                <c:pt idx="55">
                  <c:v>5322.5017491752888</c:v>
                </c:pt>
                <c:pt idx="56">
                  <c:v>5343.4291731266612</c:v>
                </c:pt>
                <c:pt idx="57">
                  <c:v>5363.7173249633579</c:v>
                </c:pt>
                <c:pt idx="58">
                  <c:v>5383.3972673198996</c:v>
                </c:pt>
                <c:pt idx="59">
                  <c:v>5402.4977536161459</c:v>
                </c:pt>
                <c:pt idx="60">
                  <c:v>5421.0454588970179</c:v>
                </c:pt>
                <c:pt idx="61">
                  <c:v>5439.0651819707446</c:v>
                </c:pt>
                <c:pt idx="62">
                  <c:v>5456.5800230768273</c:v>
                </c:pt>
                <c:pt idx="63">
                  <c:v>5473.6115405981827</c:v>
                </c:pt>
                <c:pt idx="64">
                  <c:v>5490.1798897520594</c:v>
                </c:pt>
                <c:pt idx="65">
                  <c:v>5506.3039457219584</c:v>
                </c:pt>
                <c:pt idx="66">
                  <c:v>5522.0014133052364</c:v>
                </c:pt>
                <c:pt idx="67">
                  <c:v>5537.2889248331239</c:v>
                </c:pt>
                <c:pt idx="68">
                  <c:v>5552.1821278557391</c:v>
                </c:pt>
                <c:pt idx="69">
                  <c:v>5566.6957638662134</c:v>
                </c:pt>
                <c:pt idx="70">
                  <c:v>5580.843739154654</c:v>
                </c:pt>
                <c:pt idx="71">
                  <c:v>5594.6391887300542</c:v>
                </c:pt>
              </c:numCache>
            </c:numRef>
          </c:yVal>
          <c:smooth val="0"/>
          <c:extLst>
            <c:ext xmlns:c16="http://schemas.microsoft.com/office/drawing/2014/chart" uri="{C3380CC4-5D6E-409C-BE32-E72D297353CC}">
              <c16:uniqueId val="{00000003-948C-420C-B5EA-0208FFF66CBC}"/>
            </c:ext>
          </c:extLst>
        </c:ser>
        <c:ser>
          <c:idx val="4"/>
          <c:order val="4"/>
          <c:tx>
            <c:v>Sättigung 50 °C</c:v>
          </c:tx>
          <c:spPr>
            <a:ln w="22225">
              <a:solidFill>
                <a:srgbClr val="1F4E79"/>
              </a:solidFill>
              <a:prstDash val="solid"/>
            </a:ln>
          </c:spPr>
          <c:marker>
            <c:symbol val="none"/>
          </c:marker>
          <c:xVal>
            <c:numRef>
              <c:f>Diagrammdaten!$BH$5:$BH$76</c:f>
              <c:numCache>
                <c:formatCode>0</c:formatCode>
                <c:ptCount val="72"/>
                <c:pt idx="0">
                  <c:v>15</c:v>
                </c:pt>
                <c:pt idx="1">
                  <c:v>18</c:v>
                </c:pt>
                <c:pt idx="2">
                  <c:v>21</c:v>
                </c:pt>
                <c:pt idx="3">
                  <c:v>24</c:v>
                </c:pt>
                <c:pt idx="4">
                  <c:v>27</c:v>
                </c:pt>
                <c:pt idx="5">
                  <c:v>30</c:v>
                </c:pt>
                <c:pt idx="6">
                  <c:v>33</c:v>
                </c:pt>
                <c:pt idx="7">
                  <c:v>36</c:v>
                </c:pt>
                <c:pt idx="8">
                  <c:v>39</c:v>
                </c:pt>
                <c:pt idx="9">
                  <c:v>42</c:v>
                </c:pt>
                <c:pt idx="10">
                  <c:v>45</c:v>
                </c:pt>
                <c:pt idx="11">
                  <c:v>48</c:v>
                </c:pt>
                <c:pt idx="12">
                  <c:v>51</c:v>
                </c:pt>
                <c:pt idx="13">
                  <c:v>54</c:v>
                </c:pt>
                <c:pt idx="14">
                  <c:v>57</c:v>
                </c:pt>
                <c:pt idx="15">
                  <c:v>60</c:v>
                </c:pt>
                <c:pt idx="16">
                  <c:v>63</c:v>
                </c:pt>
                <c:pt idx="17">
                  <c:v>66</c:v>
                </c:pt>
                <c:pt idx="18">
                  <c:v>69</c:v>
                </c:pt>
                <c:pt idx="19">
                  <c:v>72</c:v>
                </c:pt>
                <c:pt idx="20">
                  <c:v>75</c:v>
                </c:pt>
                <c:pt idx="21">
                  <c:v>78</c:v>
                </c:pt>
                <c:pt idx="22">
                  <c:v>81</c:v>
                </c:pt>
                <c:pt idx="23">
                  <c:v>84</c:v>
                </c:pt>
                <c:pt idx="24">
                  <c:v>87</c:v>
                </c:pt>
                <c:pt idx="25">
                  <c:v>90</c:v>
                </c:pt>
                <c:pt idx="26">
                  <c:v>93</c:v>
                </c:pt>
                <c:pt idx="27">
                  <c:v>96</c:v>
                </c:pt>
                <c:pt idx="28">
                  <c:v>99</c:v>
                </c:pt>
                <c:pt idx="29">
                  <c:v>102</c:v>
                </c:pt>
                <c:pt idx="30">
                  <c:v>105</c:v>
                </c:pt>
                <c:pt idx="31">
                  <c:v>108</c:v>
                </c:pt>
                <c:pt idx="32">
                  <c:v>111</c:v>
                </c:pt>
                <c:pt idx="33">
                  <c:v>114</c:v>
                </c:pt>
                <c:pt idx="34">
                  <c:v>117</c:v>
                </c:pt>
                <c:pt idx="35">
                  <c:v>120</c:v>
                </c:pt>
                <c:pt idx="36">
                  <c:v>123</c:v>
                </c:pt>
                <c:pt idx="37">
                  <c:v>126</c:v>
                </c:pt>
                <c:pt idx="38">
                  <c:v>129</c:v>
                </c:pt>
                <c:pt idx="39">
                  <c:v>132</c:v>
                </c:pt>
                <c:pt idx="40">
                  <c:v>135</c:v>
                </c:pt>
                <c:pt idx="41">
                  <c:v>138</c:v>
                </c:pt>
                <c:pt idx="42">
                  <c:v>141</c:v>
                </c:pt>
                <c:pt idx="43">
                  <c:v>144</c:v>
                </c:pt>
                <c:pt idx="44">
                  <c:v>147</c:v>
                </c:pt>
                <c:pt idx="45">
                  <c:v>150</c:v>
                </c:pt>
                <c:pt idx="46">
                  <c:v>153</c:v>
                </c:pt>
                <c:pt idx="47">
                  <c:v>156</c:v>
                </c:pt>
                <c:pt idx="48">
                  <c:v>159</c:v>
                </c:pt>
                <c:pt idx="49">
                  <c:v>162</c:v>
                </c:pt>
                <c:pt idx="50">
                  <c:v>165</c:v>
                </c:pt>
                <c:pt idx="51">
                  <c:v>168</c:v>
                </c:pt>
                <c:pt idx="52">
                  <c:v>171</c:v>
                </c:pt>
                <c:pt idx="53">
                  <c:v>174</c:v>
                </c:pt>
                <c:pt idx="54">
                  <c:v>177</c:v>
                </c:pt>
                <c:pt idx="55">
                  <c:v>180</c:v>
                </c:pt>
                <c:pt idx="56">
                  <c:v>183</c:v>
                </c:pt>
                <c:pt idx="57">
                  <c:v>186</c:v>
                </c:pt>
                <c:pt idx="58">
                  <c:v>189</c:v>
                </c:pt>
                <c:pt idx="59">
                  <c:v>192</c:v>
                </c:pt>
                <c:pt idx="60">
                  <c:v>195</c:v>
                </c:pt>
                <c:pt idx="61">
                  <c:v>198</c:v>
                </c:pt>
                <c:pt idx="62">
                  <c:v>201</c:v>
                </c:pt>
                <c:pt idx="63">
                  <c:v>204</c:v>
                </c:pt>
                <c:pt idx="64">
                  <c:v>207</c:v>
                </c:pt>
                <c:pt idx="65">
                  <c:v>210</c:v>
                </c:pt>
                <c:pt idx="66">
                  <c:v>213</c:v>
                </c:pt>
                <c:pt idx="67">
                  <c:v>216</c:v>
                </c:pt>
                <c:pt idx="68">
                  <c:v>219</c:v>
                </c:pt>
                <c:pt idx="69">
                  <c:v>222</c:v>
                </c:pt>
                <c:pt idx="70">
                  <c:v>225</c:v>
                </c:pt>
                <c:pt idx="71">
                  <c:v>228</c:v>
                </c:pt>
              </c:numCache>
            </c:numRef>
          </c:xVal>
          <c:yVal>
            <c:numRef>
              <c:f>Diagrammdaten!$BM$5:$BM$76</c:f>
              <c:numCache>
                <c:formatCode>0</c:formatCode>
                <c:ptCount val="72"/>
                <c:pt idx="0">
                  <c:v>9156.1870553567587</c:v>
                </c:pt>
                <c:pt idx="1">
                  <c:v>7807.1214466880256</c:v>
                </c:pt>
                <c:pt idx="2">
                  <c:v>6849.7425577171507</c:v>
                </c:pt>
                <c:pt idx="3">
                  <c:v>6137.5447217989877</c:v>
                </c:pt>
                <c:pt idx="4">
                  <c:v>5589.1726024436557</c:v>
                </c:pt>
                <c:pt idx="5">
                  <c:v>5155.851222532051</c:v>
                </c:pt>
                <c:pt idx="6">
                  <c:v>4806.582421174151</c:v>
                </c:pt>
                <c:pt idx="7">
                  <c:v>4520.7442295838719</c:v>
                </c:pt>
                <c:pt idx="8">
                  <c:v>4284.1072736182323</c:v>
                </c:pt>
                <c:pt idx="9">
                  <c:v>4086.5600570839429</c:v>
                </c:pt>
                <c:pt idx="10">
                  <c:v>3920.746114466112</c:v>
                </c:pt>
                <c:pt idx="11">
                  <c:v>3781.2146932273222</c:v>
                </c:pt>
                <c:pt idx="12">
                  <c:v>3663.8743073260871</c:v>
                </c:pt>
                <c:pt idx="13">
                  <c:v>3565.6324483571511</c:v>
                </c:pt>
                <c:pt idx="14">
                  <c:v>3484.1543405269681</c:v>
                </c:pt>
                <c:pt idx="15">
                  <c:v>3417.7011431586038</c:v>
                </c:pt>
                <c:pt idx="16">
                  <c:v>3365.0241023737349</c:v>
                </c:pt>
                <c:pt idx="17">
                  <c:v>3325.3012709098271</c:v>
                </c:pt>
                <c:pt idx="18">
                  <c:v>3298.1105826887151</c:v>
                </c:pt>
                <c:pt idx="19">
                  <c:v>3283.4392862925279</c:v>
                </c:pt>
                <c:pt idx="20">
                  <c:v>3281.7368067500752</c:v>
                </c:pt>
                <c:pt idx="21">
                  <c:v>3294.0283542512789</c:v>
                </c:pt>
                <c:pt idx="22">
                  <c:v>3322.123837851344</c:v>
                </c:pt>
                <c:pt idx="23">
                  <c:v>3368.9870269014218</c:v>
                </c:pt>
                <c:pt idx="24">
                  <c:v>3439.378549063857</c:v>
                </c:pt>
                <c:pt idx="25">
                  <c:v>3540.9183955064359</c:v>
                </c:pt>
                <c:pt idx="26">
                  <c:v>3685.3840311826361</c:v>
                </c:pt>
                <c:pt idx="27">
                  <c:v>3887.3738056448769</c:v>
                </c:pt>
                <c:pt idx="28">
                  <c:v>4148.622906354617</c:v>
                </c:pt>
                <c:pt idx="29">
                  <c:v>4431.2472315322448</c:v>
                </c:pt>
                <c:pt idx="30">
                  <c:v>4687.5194807944627</c:v>
                </c:pt>
                <c:pt idx="31">
                  <c:v>4903.7401577042783</c:v>
                </c:pt>
                <c:pt idx="32">
                  <c:v>5085.5969617155224</c:v>
                </c:pt>
                <c:pt idx="33">
                  <c:v>5241.1260288979011</c:v>
                </c:pt>
                <c:pt idx="34">
                  <c:v>5376.6197209732181</c:v>
                </c:pt>
                <c:pt idx="35">
                  <c:v>5496.5690849387702</c:v>
                </c:pt>
                <c:pt idx="36">
                  <c:v>5604.1688788628499</c:v>
                </c:pt>
                <c:pt idx="37">
                  <c:v>5701.73587439928</c:v>
                </c:pt>
                <c:pt idx="38">
                  <c:v>5790.9910808300356</c:v>
                </c:pt>
                <c:pt idx="39">
                  <c:v>5873.2434253041793</c:v>
                </c:pt>
                <c:pt idx="40">
                  <c:v>5949.5100456326891</c:v>
                </c:pt>
                <c:pt idx="41">
                  <c:v>6020.596591810242</c:v>
                </c:pt>
                <c:pt idx="42">
                  <c:v>6087.1520567152538</c:v>
                </c:pt>
                <c:pt idx="43">
                  <c:v>6149.7070726165593</c:v>
                </c:pt>
                <c:pt idx="44">
                  <c:v>6208.7012384391446</c:v>
                </c:pt>
                <c:pt idx="45">
                  <c:v>6264.5030090598193</c:v>
                </c:pt>
                <c:pt idx="46">
                  <c:v>6317.4244349016026</c:v>
                </c:pt>
                <c:pt idx="47">
                  <c:v>6367.7322661178869</c:v>
                </c:pt>
                <c:pt idx="48">
                  <c:v>6415.6564438836704</c:v>
                </c:pt>
                <c:pt idx="49">
                  <c:v>6461.3966824665258</c:v>
                </c:pt>
                <c:pt idx="50">
                  <c:v>6505.1276349559575</c:v>
                </c:pt>
                <c:pt idx="51">
                  <c:v>6547.0029935800112</c:v>
                </c:pt>
                <c:pt idx="52">
                  <c:v>6587.1587782810784</c:v>
                </c:pt>
                <c:pt idx="53">
                  <c:v>6625.715999505047</c:v>
                </c:pt>
                <c:pt idx="54">
                  <c:v>6662.7828332945028</c:v>
                </c:pt>
                <c:pt idx="55">
                  <c:v>6698.456412471679</c:v>
                </c:pt>
                <c:pt idx="56">
                  <c:v>6732.8243127872402</c:v>
                </c:pt>
                <c:pt idx="57">
                  <c:v>6765.9657946036496</c:v>
                </c:pt>
                <c:pt idx="58">
                  <c:v>6797.9528470746582</c:v>
                </c:pt>
                <c:pt idx="59">
                  <c:v>6828.8510715609082</c:v>
                </c:pt>
                <c:pt idx="60">
                  <c:v>6858.7204332673291</c:v>
                </c:pt>
                <c:pt idx="61">
                  <c:v>6887.6159041518558</c:v>
                </c:pt>
                <c:pt idx="62">
                  <c:v>6915.5880155693667</c:v>
                </c:pt>
                <c:pt idx="63">
                  <c:v>6942.68333554532</c:v>
                </c:pt>
                <c:pt idx="64">
                  <c:v>6968.9448827721462</c:v>
                </c:pt>
                <c:pt idx="65">
                  <c:v>6994.4124872081793</c:v>
                </c:pt>
                <c:pt idx="66">
                  <c:v>7019.123105397538</c:v>
                </c:pt>
                <c:pt idx="67">
                  <c:v>7043.1110972184551</c:v>
                </c:pt>
                <c:pt idx="68">
                  <c:v>7066.4084696314249</c:v>
                </c:pt>
                <c:pt idx="69">
                  <c:v>7089.045092077301</c:v>
                </c:pt>
                <c:pt idx="70">
                  <c:v>7111.0488874244593</c:v>
                </c:pt>
                <c:pt idx="71">
                  <c:v>7132.4460017502242</c:v>
                </c:pt>
              </c:numCache>
            </c:numRef>
          </c:yVal>
          <c:smooth val="0"/>
          <c:extLst>
            <c:ext xmlns:c16="http://schemas.microsoft.com/office/drawing/2014/chart" uri="{C3380CC4-5D6E-409C-BE32-E72D297353CC}">
              <c16:uniqueId val="{00000004-948C-420C-B5EA-0208FFF66CBC}"/>
            </c:ext>
          </c:extLst>
        </c:ser>
        <c:ser>
          <c:idx val="5"/>
          <c:order val="5"/>
          <c:tx>
            <c:v>Kaverne voll (tief / flach)</c:v>
          </c:tx>
          <c:spPr>
            <a:ln>
              <a:noFill/>
              <a:prstDash val="solid"/>
            </a:ln>
          </c:spPr>
          <c:marker>
            <c:symbol val="circle"/>
            <c:size val="8"/>
            <c:spPr>
              <a:solidFill>
                <a:srgbClr val="CA220E"/>
              </a:solidFill>
              <a:ln>
                <a:solidFill>
                  <a:srgbClr val="CA220E"/>
                </a:solidFill>
                <a:prstDash val="solid"/>
              </a:ln>
            </c:spPr>
          </c:marker>
          <c:xVal>
            <c:numRef>
              <c:f>'06 Ausspeichergas'!$C$18:$C$21</c:f>
              <c:numCache>
                <c:formatCode>0.0</c:formatCode>
                <c:ptCount val="4"/>
                <c:pt idx="0">
                  <c:v>225.94860339016461</c:v>
                </c:pt>
                <c:pt idx="1">
                  <c:v>224.7020850737461</c:v>
                </c:pt>
                <c:pt idx="2">
                  <c:v>137.95487170519621</c:v>
                </c:pt>
                <c:pt idx="3">
                  <c:v>135.96053205253219</c:v>
                </c:pt>
              </c:numCache>
            </c:numRef>
          </c:xVal>
          <c:yVal>
            <c:numRef>
              <c:f>'06 Ausspeichergas'!$E$18:$E$21</c:f>
              <c:numCache>
                <c:formatCode>0</c:formatCode>
                <c:ptCount val="4"/>
                <c:pt idx="0">
                  <c:v>7482.6288375520708</c:v>
                </c:pt>
                <c:pt idx="1">
                  <c:v>7472.789579584969</c:v>
                </c:pt>
                <c:pt idx="2">
                  <c:v>4637.699997743769</c:v>
                </c:pt>
                <c:pt idx="3">
                  <c:v>4617.2190142702684</c:v>
                </c:pt>
              </c:numCache>
            </c:numRef>
          </c:yVal>
          <c:smooth val="0"/>
          <c:extLst>
            <c:ext xmlns:c16="http://schemas.microsoft.com/office/drawing/2014/chart" uri="{C3380CC4-5D6E-409C-BE32-E72D297353CC}">
              <c16:uniqueId val="{00000005-948C-420C-B5EA-0208FFF66CBC}"/>
            </c:ext>
          </c:extLst>
        </c:ser>
        <c:ser>
          <c:idx val="6"/>
          <c:order val="6"/>
          <c:tx>
            <c:v>Kaverne leer</c:v>
          </c:tx>
          <c:spPr>
            <a:ln>
              <a:noFill/>
              <a:prstDash val="solid"/>
            </a:ln>
          </c:spPr>
          <c:marker>
            <c:symbol val="square"/>
            <c:size val="7"/>
            <c:spPr>
              <a:solidFill>
                <a:srgbClr val="FFFFFF"/>
              </a:solidFill>
              <a:ln>
                <a:solidFill>
                  <a:srgbClr val="CA220E"/>
                </a:solidFill>
                <a:prstDash val="solid"/>
              </a:ln>
            </c:spPr>
          </c:marker>
          <c:xVal>
            <c:numRef>
              <c:f>'06 Ausspeichergas'!$F$18:$F$21</c:f>
              <c:numCache>
                <c:formatCode>0.0</c:formatCode>
                <c:ptCount val="4"/>
                <c:pt idx="0">
                  <c:v>74.424525775107682</c:v>
                </c:pt>
                <c:pt idx="1">
                  <c:v>73.886759804809969</c:v>
                </c:pt>
                <c:pt idx="2">
                  <c:v>42.852753997619971</c:v>
                </c:pt>
                <c:pt idx="3">
                  <c:v>81.811465683763117</c:v>
                </c:pt>
              </c:numCache>
            </c:numRef>
          </c:xVal>
          <c:yVal>
            <c:numRef>
              <c:f>'06 Ausspeichergas'!$H$18:$H$21</c:f>
              <c:numCache>
                <c:formatCode>0</c:formatCode>
                <c:ptCount val="4"/>
                <c:pt idx="0">
                  <c:v>2389.3921707789818</c:v>
                </c:pt>
                <c:pt idx="1">
                  <c:v>2437.2639848666781</c:v>
                </c:pt>
                <c:pt idx="2">
                  <c:v>1429.778707703193</c:v>
                </c:pt>
                <c:pt idx="3">
                  <c:v>3132.454553702144</c:v>
                </c:pt>
              </c:numCache>
            </c:numRef>
          </c:yVal>
          <c:smooth val="0"/>
          <c:extLst>
            <c:ext xmlns:c16="http://schemas.microsoft.com/office/drawing/2014/chart" uri="{C3380CC4-5D6E-409C-BE32-E72D297353CC}">
              <c16:uniqueId val="{00000006-948C-420C-B5EA-0208FFF66CBC}"/>
            </c:ext>
          </c:extLst>
        </c:ser>
        <c:dLbls>
          <c:showLegendKey val="0"/>
          <c:showVal val="0"/>
          <c:showCatName val="0"/>
          <c:showSerName val="0"/>
          <c:showPercent val="0"/>
          <c:showBubbleSize val="0"/>
        </c:dLbls>
        <c:axId val="10"/>
        <c:axId val="20"/>
      </c:scatterChart>
      <c:valAx>
        <c:axId val="10"/>
        <c:scaling>
          <c:orientation val="minMax"/>
          <c:max val="240"/>
          <c:min val="0"/>
        </c:scaling>
        <c:delete val="0"/>
        <c:axPos val="b"/>
        <c:majorGridlines>
          <c:spPr>
            <a:ln>
              <a:solidFill>
                <a:srgbClr val="E0E0E0"/>
              </a:solidFill>
              <a:prstDash val="solid"/>
            </a:ln>
          </c:spPr>
        </c:majorGridlines>
        <c:title>
          <c:tx>
            <c:rich>
              <a:bodyPr/>
              <a:lstStyle/>
              <a:p>
                <a:pPr>
                  <a:defRPr/>
                </a:pPr>
                <a:r>
                  <a:rPr lang="de-DE"/>
                  <a:t>Druck [bar]</a:t>
                </a:r>
              </a:p>
            </c:rich>
          </c:tx>
          <c:overlay val="0"/>
        </c:title>
        <c:numFmt formatCode="0" sourceLinked="0"/>
        <c:majorTickMark val="none"/>
        <c:minorTickMark val="none"/>
        <c:tickLblPos val="nextTo"/>
        <c:crossAx val="20"/>
        <c:crosses val="min"/>
        <c:crossBetween val="midCat"/>
      </c:valAx>
      <c:valAx>
        <c:axId val="20"/>
        <c:scaling>
          <c:orientation val="minMax"/>
          <c:max val="9000"/>
          <c:min val="0"/>
        </c:scaling>
        <c:delete val="0"/>
        <c:axPos val="l"/>
        <c:majorGridlines>
          <c:spPr>
            <a:ln>
              <a:solidFill>
                <a:srgbClr val="E0E0E0"/>
              </a:solidFill>
              <a:prstDash val="solid"/>
            </a:ln>
          </c:spPr>
        </c:majorGridlines>
        <c:title>
          <c:tx>
            <c:rich>
              <a:bodyPr/>
              <a:lstStyle/>
              <a:p>
                <a:pPr>
                  <a:defRPr/>
                </a:pPr>
                <a:r>
                  <a:rPr lang="de-DE"/>
                  <a:t>Wasser in der CO₂-Phase [mol-ppm]</a:t>
                </a:r>
              </a:p>
            </c:rich>
          </c:tx>
          <c:overlay val="0"/>
        </c:title>
        <c:numFmt formatCode="0" sourceLinked="0"/>
        <c:majorTickMark val="none"/>
        <c:minorTickMark val="none"/>
        <c:tickLblPos val="nextTo"/>
        <c:crossAx val="10"/>
        <c:crosses val="min"/>
        <c:crossBetween val="midCat"/>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a:defRPr sz="1100" b="1">
                <a:solidFill>
                  <a:srgbClr val="00304F"/>
                </a:solidFill>
              </a:defRPr>
            </a:pPr>
            <a:r>
              <a:rPr lang="de-DE" sz="1100" b="1">
                <a:solidFill>
                  <a:srgbClr val="00304F"/>
                </a:solidFill>
              </a:rPr>
              <a:t>Einträge je Quelle (1. Zyklus)</a:t>
            </a:r>
          </a:p>
        </c:rich>
      </c:tx>
      <c:overlay val="0"/>
    </c:title>
    <c:autoTitleDeleted val="0"/>
    <c:plotArea>
      <c:layout/>
      <c:barChart>
        <c:barDir val="col"/>
        <c:grouping val="clustered"/>
        <c:varyColors val="1"/>
        <c:ser>
          <c:idx val="0"/>
          <c:order val="0"/>
          <c:tx>
            <c:v>tief rein</c:v>
          </c:tx>
          <c:spPr>
            <a:solidFill>
              <a:srgbClr val="00304F"/>
            </a:solidFill>
            <a:ln>
              <a:prstDash val="solid"/>
            </a:ln>
          </c:spPr>
          <c:invertIfNegative val="1"/>
          <c:cat>
            <c:strRef>
              <c:f>'06 Ausspeichergas'!$B$44:$B$49</c:f>
              <c:strCache>
                <c:ptCount val="6"/>
                <c:pt idx="0">
                  <c:v>Resterdgas CH₄</c:v>
                </c:pt>
                <c:pt idx="1">
                  <c:v>Diesel</c:v>
                </c:pt>
                <c:pt idx="2">
                  <c:v>Verdichteröl</c:v>
                </c:pt>
                <c:pt idx="3">
                  <c:v>H₂S</c:v>
                </c:pt>
                <c:pt idx="4">
                  <c:v>CH₄ Mikroben</c:v>
                </c:pt>
                <c:pt idx="5">
                  <c:v>Wasser</c:v>
                </c:pt>
              </c:strCache>
            </c:strRef>
          </c:cat>
          <c:val>
            <c:numRef>
              <c:f>'06 Ausspeichergas'!$C$44:$C$49</c:f>
              <c:numCache>
                <c:formatCode>#,##0.00</c:formatCode>
                <c:ptCount val="6"/>
                <c:pt idx="0">
                  <c:v>2053.2195855513542</c:v>
                </c:pt>
                <c:pt idx="1">
                  <c:v>0.53504360221295344</c:v>
                </c:pt>
                <c:pt idx="2">
                  <c:v>0.19425438828127314</c:v>
                </c:pt>
                <c:pt idx="3">
                  <c:v>10</c:v>
                </c:pt>
                <c:pt idx="4">
                  <c:v>1E-3</c:v>
                </c:pt>
                <c:pt idx="5">
                  <c:v>7482.6288375520708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959-4E4E-9C58-C8FF70F3CC5D}"/>
            </c:ext>
          </c:extLst>
        </c:ser>
        <c:ser>
          <c:idx val="1"/>
          <c:order val="1"/>
          <c:tx>
            <c:v>tief Gemisch</c:v>
          </c:tx>
          <c:spPr>
            <a:solidFill>
              <a:srgbClr val="CA220E"/>
            </a:solidFill>
            <a:ln>
              <a:prstDash val="solid"/>
            </a:ln>
          </c:spPr>
          <c:invertIfNegative val="1"/>
          <c:cat>
            <c:strRef>
              <c:f>'06 Ausspeichergas'!$B$44:$B$49</c:f>
              <c:strCache>
                <c:ptCount val="6"/>
                <c:pt idx="0">
                  <c:v>Resterdgas CH₄</c:v>
                </c:pt>
                <c:pt idx="1">
                  <c:v>Diesel</c:v>
                </c:pt>
                <c:pt idx="2">
                  <c:v>Verdichteröl</c:v>
                </c:pt>
                <c:pt idx="3">
                  <c:v>H₂S</c:v>
                </c:pt>
                <c:pt idx="4">
                  <c:v>CH₄ Mikroben</c:v>
                </c:pt>
                <c:pt idx="5">
                  <c:v>Wasser</c:v>
                </c:pt>
              </c:strCache>
            </c:strRef>
          </c:cat>
          <c:val>
            <c:numRef>
              <c:f>'06 Ausspeichergas'!$D$44:$D$49</c:f>
              <c:numCache>
                <c:formatCode>#,##0.00</c:formatCode>
                <c:ptCount val="6"/>
                <c:pt idx="0">
                  <c:v>2164.9021852996789</c:v>
                </c:pt>
                <c:pt idx="1">
                  <c:v>0.5668629816596169</c:v>
                </c:pt>
                <c:pt idx="2">
                  <c:v>0.19425438828127314</c:v>
                </c:pt>
                <c:pt idx="3">
                  <c:v>10</c:v>
                </c:pt>
                <c:pt idx="4">
                  <c:v>50</c:v>
                </c:pt>
                <c:pt idx="5">
                  <c:v>7472.789579584969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959-4E4E-9C58-C8FF70F3CC5D}"/>
            </c:ext>
          </c:extLst>
        </c:ser>
        <c:ser>
          <c:idx val="2"/>
          <c:order val="2"/>
          <c:tx>
            <c:v>flach rein</c:v>
          </c:tx>
          <c:spPr>
            <a:solidFill>
              <a:srgbClr val="EE7203"/>
            </a:solidFill>
            <a:ln>
              <a:prstDash val="solid"/>
            </a:ln>
          </c:spPr>
          <c:invertIfNegative val="1"/>
          <c:cat>
            <c:strRef>
              <c:f>'06 Ausspeichergas'!$B$44:$B$49</c:f>
              <c:strCache>
                <c:ptCount val="6"/>
                <c:pt idx="0">
                  <c:v>Resterdgas CH₄</c:v>
                </c:pt>
                <c:pt idx="1">
                  <c:v>Diesel</c:v>
                </c:pt>
                <c:pt idx="2">
                  <c:v>Verdichteröl</c:v>
                </c:pt>
                <c:pt idx="3">
                  <c:v>H₂S</c:v>
                </c:pt>
                <c:pt idx="4">
                  <c:v>CH₄ Mikroben</c:v>
                </c:pt>
                <c:pt idx="5">
                  <c:v>Wasser</c:v>
                </c:pt>
              </c:strCache>
            </c:strRef>
          </c:cat>
          <c:val>
            <c:numRef>
              <c:f>'06 Ausspeichergas'!$E$44:$E$49</c:f>
              <c:numCache>
                <c:formatCode>#,##0.00</c:formatCode>
                <c:ptCount val="6"/>
                <c:pt idx="0">
                  <c:v>1412.9211853077786</c:v>
                </c:pt>
                <c:pt idx="1">
                  <c:v>0.54825996895898743</c:v>
                </c:pt>
                <c:pt idx="2">
                  <c:v>0.19425438828127314</c:v>
                </c:pt>
                <c:pt idx="3">
                  <c:v>10</c:v>
                </c:pt>
                <c:pt idx="4">
                  <c:v>1E-3</c:v>
                </c:pt>
                <c:pt idx="5">
                  <c:v>4637.699997743769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7959-4E4E-9C58-C8FF70F3CC5D}"/>
            </c:ext>
          </c:extLst>
        </c:ser>
        <c:ser>
          <c:idx val="3"/>
          <c:order val="3"/>
          <c:tx>
            <c:v>flach Gemisch</c:v>
          </c:tx>
          <c:spPr>
            <a:solidFill>
              <a:srgbClr val="F4B183"/>
            </a:solidFill>
            <a:ln>
              <a:prstDash val="solid"/>
            </a:ln>
          </c:spPr>
          <c:invertIfNegative val="1"/>
          <c:cat>
            <c:strRef>
              <c:f>'06 Ausspeichergas'!$B$44:$B$49</c:f>
              <c:strCache>
                <c:ptCount val="6"/>
                <c:pt idx="0">
                  <c:v>Resterdgas CH₄</c:v>
                </c:pt>
                <c:pt idx="1">
                  <c:v>Diesel</c:v>
                </c:pt>
                <c:pt idx="2">
                  <c:v>Verdichteröl</c:v>
                </c:pt>
                <c:pt idx="3">
                  <c:v>H₂S</c:v>
                </c:pt>
                <c:pt idx="4">
                  <c:v>CH₄ Mikroben</c:v>
                </c:pt>
                <c:pt idx="5">
                  <c:v>Wasser</c:v>
                </c:pt>
              </c:strCache>
            </c:strRef>
          </c:cat>
          <c:val>
            <c:numRef>
              <c:f>'06 Ausspeichergas'!$F$44:$F$49</c:f>
              <c:numCache>
                <c:formatCode>#,##0.00</c:formatCode>
                <c:ptCount val="6"/>
                <c:pt idx="0">
                  <c:v>1546.1546396667995</c:v>
                </c:pt>
                <c:pt idx="1">
                  <c:v>0.60933153796538819</c:v>
                </c:pt>
                <c:pt idx="2">
                  <c:v>0.19425438828127314</c:v>
                </c:pt>
                <c:pt idx="3">
                  <c:v>10</c:v>
                </c:pt>
                <c:pt idx="4">
                  <c:v>50</c:v>
                </c:pt>
                <c:pt idx="5">
                  <c:v>4617.2190142702684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7959-4E4E-9C58-C8FF70F3CC5D}"/>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min"/>
        <c:auto val="1"/>
        <c:lblAlgn val="ctr"/>
        <c:lblOffset val="100"/>
        <c:noMultiLvlLbl val="1"/>
      </c:catAx>
      <c:valAx>
        <c:axId val="100"/>
        <c:scaling>
          <c:logBase val="10"/>
          <c:orientation val="minMax"/>
          <c:max val="100000"/>
          <c:min val="0.1"/>
        </c:scaling>
        <c:delete val="0"/>
        <c:axPos val="l"/>
        <c:majorGridlines>
          <c:spPr>
            <a:ln>
              <a:solidFill>
                <a:srgbClr val="E0E0E0"/>
              </a:solidFill>
              <a:prstDash val="solid"/>
            </a:ln>
          </c:spPr>
        </c:majorGridlines>
        <c:title>
          <c:tx>
            <c:rich>
              <a:bodyPr/>
              <a:lstStyle/>
              <a:p>
                <a:pPr>
                  <a:defRPr/>
                </a:pPr>
                <a:r>
                  <a:rPr lang="de-DE"/>
                  <a:t>Eintrag [mol-ppm, log]</a:t>
                </a:r>
              </a:p>
            </c:rich>
          </c:tx>
          <c:overlay val="0"/>
        </c:title>
        <c:numFmt formatCode="General" sourceLinked="0"/>
        <c:majorTickMark val="none"/>
        <c:minorTickMark val="none"/>
        <c:tickLblPos val="nextTo"/>
        <c:crossAx val="10"/>
        <c:crosses val="min"/>
        <c:crossBetween val="between"/>
      </c:valAx>
    </c:plotArea>
    <c:legend>
      <c:legendPos val="b"/>
      <c:overlay val="0"/>
    </c:legend>
    <c:plotVisOnly val="1"/>
    <c:dispBlanksAs val="gap"/>
    <c:showDLblsOverMax val="1"/>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0</xdr:colOff>
      <xdr:row>27</xdr:row>
      <xdr:rowOff>0</xdr:rowOff>
    </xdr:from>
    <xdr:ext cx="540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27</xdr:row>
      <xdr:rowOff>0</xdr:rowOff>
    </xdr:from>
    <xdr:ext cx="5400000" cy="36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44</xdr:row>
      <xdr:rowOff>0</xdr:rowOff>
    </xdr:from>
    <xdr:ext cx="5760000" cy="36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44</xdr:row>
      <xdr:rowOff>0</xdr:rowOff>
    </xdr:from>
    <xdr:ext cx="5760000" cy="36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48</xdr:row>
      <xdr:rowOff>0</xdr:rowOff>
    </xdr:from>
    <xdr:ext cx="6480000" cy="396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95</xdr:row>
      <xdr:rowOff>0</xdr:rowOff>
    </xdr:from>
    <xdr:ext cx="576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95</xdr:row>
      <xdr:rowOff>0</xdr:rowOff>
    </xdr:from>
    <xdr:ext cx="5760000" cy="36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171450</xdr:colOff>
      <xdr:row>85</xdr:row>
      <xdr:rowOff>47625</xdr:rowOff>
    </xdr:from>
    <xdr:ext cx="6480000" cy="396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40</xdr:row>
      <xdr:rowOff>0</xdr:rowOff>
    </xdr:from>
    <xdr:ext cx="6480000" cy="39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104</xdr:row>
      <xdr:rowOff>0</xdr:rowOff>
    </xdr:from>
    <xdr:ext cx="6120000" cy="37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104</xdr:row>
      <xdr:rowOff>0</xdr:rowOff>
    </xdr:from>
    <xdr:ext cx="6120000" cy="378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04F"/>
  </sheetPr>
  <dimension ref="B1:Q110"/>
  <sheetViews>
    <sheetView showGridLines="0" zoomScale="90" workbookViewId="0"/>
  </sheetViews>
  <sheetFormatPr baseColWidth="10" defaultColWidth="9.140625" defaultRowHeight="15" x14ac:dyDescent="0.25"/>
  <cols>
    <col min="1" max="1" width="2.7109375" customWidth="1"/>
    <col min="2" max="4" width="11" customWidth="1"/>
    <col min="5" max="6" width="12" customWidth="1"/>
    <col min="7" max="12" width="11" customWidth="1"/>
    <col min="13" max="13" width="12" customWidth="1"/>
    <col min="14" max="16" width="11" customWidth="1"/>
  </cols>
  <sheetData>
    <row r="1" spans="2:15" ht="21" x14ac:dyDescent="0.25">
      <c r="B1" s="1" t="s">
        <v>0</v>
      </c>
    </row>
    <row r="2" spans="2:15" x14ac:dyDescent="0.25">
      <c r="B2" s="2" t="s">
        <v>1</v>
      </c>
    </row>
    <row r="3" spans="2:15" x14ac:dyDescent="0.25">
      <c r="B3" s="2" t="s">
        <v>2</v>
      </c>
    </row>
    <row r="5" spans="2:15" x14ac:dyDescent="0.25">
      <c r="B5" s="3" t="s">
        <v>3</v>
      </c>
      <c r="J5" s="3" t="s">
        <v>4</v>
      </c>
    </row>
    <row r="6" spans="2:15" ht="26.1" customHeight="1" x14ac:dyDescent="0.25">
      <c r="B6" s="81" t="s">
        <v>5</v>
      </c>
      <c r="C6" s="70"/>
      <c r="D6" s="70"/>
      <c r="E6" s="70"/>
      <c r="F6" s="70"/>
      <c r="G6" s="70"/>
      <c r="H6" s="70"/>
      <c r="J6" s="4">
        <v>210</v>
      </c>
      <c r="K6" s="69" t="s">
        <v>6</v>
      </c>
      <c r="L6" s="70"/>
      <c r="M6" s="70"/>
      <c r="N6" s="70"/>
      <c r="O6" s="70"/>
    </row>
    <row r="7" spans="2:15" ht="26.1" customHeight="1" x14ac:dyDescent="0.25">
      <c r="B7" s="70"/>
      <c r="C7" s="70"/>
      <c r="D7" s="70"/>
      <c r="E7" s="70"/>
      <c r="F7" s="70"/>
      <c r="G7" s="70"/>
      <c r="H7" s="70"/>
      <c r="J7" s="5">
        <v>806.2</v>
      </c>
      <c r="K7" s="69" t="s">
        <v>7</v>
      </c>
      <c r="L7" s="70"/>
      <c r="M7" s="70"/>
      <c r="N7" s="70"/>
      <c r="O7" s="70"/>
    </row>
    <row r="8" spans="2:15" ht="26.1" customHeight="1" x14ac:dyDescent="0.25">
      <c r="B8" s="70"/>
      <c r="C8" s="70"/>
      <c r="D8" s="70"/>
      <c r="E8" s="70"/>
      <c r="F8" s="70"/>
      <c r="G8" s="70"/>
      <c r="H8" s="70"/>
      <c r="J8" s="6">
        <v>100</v>
      </c>
      <c r="K8" s="69" t="s">
        <v>8</v>
      </c>
      <c r="L8" s="70"/>
      <c r="M8" s="70"/>
      <c r="N8" s="70"/>
      <c r="O8" s="70"/>
    </row>
    <row r="9" spans="2:15" ht="26.1" customHeight="1" x14ac:dyDescent="0.25">
      <c r="B9" s="70"/>
      <c r="C9" s="70"/>
      <c r="D9" s="70"/>
      <c r="E9" s="70"/>
      <c r="F9" s="70"/>
      <c r="G9" s="70"/>
      <c r="H9" s="70"/>
      <c r="J9" s="7">
        <v>107.6</v>
      </c>
      <c r="K9" s="69" t="s">
        <v>9</v>
      </c>
      <c r="L9" s="70"/>
      <c r="M9" s="70"/>
      <c r="N9" s="70"/>
      <c r="O9" s="70"/>
    </row>
    <row r="10" spans="2:15" ht="26.1" customHeight="1" x14ac:dyDescent="0.25">
      <c r="B10" s="70"/>
      <c r="C10" s="70"/>
      <c r="D10" s="70"/>
      <c r="E10" s="70"/>
      <c r="F10" s="70"/>
      <c r="G10" s="70"/>
      <c r="H10" s="70"/>
      <c r="J10" s="8" t="s">
        <v>10</v>
      </c>
      <c r="K10" s="69" t="s">
        <v>11</v>
      </c>
      <c r="L10" s="70"/>
      <c r="M10" s="70"/>
      <c r="N10" s="70"/>
      <c r="O10" s="70"/>
    </row>
    <row r="11" spans="2:15" ht="26.1" customHeight="1" x14ac:dyDescent="0.25">
      <c r="B11" s="70"/>
      <c r="C11" s="70"/>
      <c r="D11" s="70"/>
      <c r="E11" s="70"/>
      <c r="F11" s="70"/>
      <c r="G11" s="70"/>
      <c r="H11" s="70"/>
    </row>
    <row r="13" spans="2:15" x14ac:dyDescent="0.25">
      <c r="B13" s="3" t="s">
        <v>12</v>
      </c>
    </row>
    <row r="14" spans="2:15" x14ac:dyDescent="0.25">
      <c r="B14" s="78" t="s">
        <v>13</v>
      </c>
      <c r="C14" s="70"/>
      <c r="D14" s="70"/>
      <c r="E14" s="69" t="s">
        <v>14</v>
      </c>
      <c r="F14" s="70"/>
      <c r="G14" s="70"/>
      <c r="H14" s="70"/>
      <c r="I14" s="70"/>
      <c r="J14" s="70"/>
      <c r="K14" s="70"/>
      <c r="L14" s="70"/>
      <c r="M14" s="70"/>
      <c r="N14" s="70"/>
      <c r="O14" s="70"/>
    </row>
    <row r="15" spans="2:15" x14ac:dyDescent="0.25">
      <c r="B15" s="78" t="s">
        <v>15</v>
      </c>
      <c r="C15" s="70"/>
      <c r="D15" s="70"/>
      <c r="E15" s="69" t="s">
        <v>16</v>
      </c>
      <c r="F15" s="70"/>
      <c r="G15" s="70"/>
      <c r="H15" s="70"/>
      <c r="I15" s="70"/>
      <c r="J15" s="70"/>
      <c r="K15" s="70"/>
      <c r="L15" s="70"/>
      <c r="M15" s="70"/>
      <c r="N15" s="70"/>
      <c r="O15" s="70"/>
    </row>
    <row r="16" spans="2:15" x14ac:dyDescent="0.25">
      <c r="B16" s="78" t="s">
        <v>17</v>
      </c>
      <c r="C16" s="70"/>
      <c r="D16" s="70"/>
      <c r="E16" s="69" t="s">
        <v>18</v>
      </c>
      <c r="F16" s="70"/>
      <c r="G16" s="70"/>
      <c r="H16" s="70"/>
      <c r="I16" s="70"/>
      <c r="J16" s="70"/>
      <c r="K16" s="70"/>
      <c r="L16" s="70"/>
      <c r="M16" s="70"/>
      <c r="N16" s="70"/>
      <c r="O16" s="70"/>
    </row>
    <row r="17" spans="2:16" x14ac:dyDescent="0.25">
      <c r="B17" s="78" t="s">
        <v>19</v>
      </c>
      <c r="C17" s="70"/>
      <c r="D17" s="70"/>
      <c r="E17" s="69" t="s">
        <v>20</v>
      </c>
      <c r="F17" s="70"/>
      <c r="G17" s="70"/>
      <c r="H17" s="70"/>
      <c r="I17" s="70"/>
      <c r="J17" s="70"/>
      <c r="K17" s="70"/>
      <c r="L17" s="70"/>
      <c r="M17" s="70"/>
      <c r="N17" s="70"/>
      <c r="O17" s="70"/>
    </row>
    <row r="18" spans="2:16" x14ac:dyDescent="0.25">
      <c r="B18" s="78" t="s">
        <v>21</v>
      </c>
      <c r="C18" s="70"/>
      <c r="D18" s="70"/>
      <c r="E18" s="69" t="s">
        <v>22</v>
      </c>
      <c r="F18" s="70"/>
      <c r="G18" s="70"/>
      <c r="H18" s="70"/>
      <c r="I18" s="70"/>
      <c r="J18" s="70"/>
      <c r="K18" s="70"/>
      <c r="L18" s="70"/>
      <c r="M18" s="70"/>
      <c r="N18" s="70"/>
      <c r="O18" s="70"/>
    </row>
    <row r="19" spans="2:16" x14ac:dyDescent="0.25">
      <c r="B19" s="78" t="s">
        <v>23</v>
      </c>
      <c r="C19" s="70"/>
      <c r="D19" s="70"/>
      <c r="E19" s="69" t="s">
        <v>24</v>
      </c>
      <c r="F19" s="70"/>
      <c r="G19" s="70"/>
      <c r="H19" s="70"/>
      <c r="I19" s="70"/>
      <c r="J19" s="70"/>
      <c r="K19" s="70"/>
      <c r="L19" s="70"/>
      <c r="M19" s="70"/>
      <c r="N19" s="70"/>
      <c r="O19" s="70"/>
    </row>
    <row r="20" spans="2:16" x14ac:dyDescent="0.25">
      <c r="B20" s="78" t="s">
        <v>25</v>
      </c>
      <c r="C20" s="70"/>
      <c r="D20" s="70"/>
      <c r="E20" s="69" t="s">
        <v>26</v>
      </c>
      <c r="F20" s="70"/>
      <c r="G20" s="70"/>
      <c r="H20" s="70"/>
      <c r="I20" s="70"/>
      <c r="J20" s="70"/>
      <c r="K20" s="70"/>
      <c r="L20" s="70"/>
      <c r="M20" s="70"/>
      <c r="N20" s="70"/>
      <c r="O20" s="70"/>
    </row>
    <row r="21" spans="2:16" x14ac:dyDescent="0.25">
      <c r="B21" s="78" t="s">
        <v>27</v>
      </c>
      <c r="C21" s="70"/>
      <c r="D21" s="70"/>
      <c r="E21" s="69" t="s">
        <v>28</v>
      </c>
      <c r="F21" s="70"/>
      <c r="G21" s="70"/>
      <c r="H21" s="70"/>
      <c r="I21" s="70"/>
      <c r="J21" s="70"/>
      <c r="K21" s="70"/>
      <c r="L21" s="70"/>
      <c r="M21" s="70"/>
      <c r="N21" s="70"/>
      <c r="O21" s="70"/>
    </row>
    <row r="23" spans="2:16" x14ac:dyDescent="0.25">
      <c r="B23" s="74" t="s">
        <v>29</v>
      </c>
      <c r="C23" s="75"/>
      <c r="D23" s="75"/>
      <c r="E23" s="75"/>
      <c r="F23" s="75"/>
      <c r="G23" s="75"/>
      <c r="H23" s="75"/>
      <c r="I23" s="75"/>
      <c r="J23" s="75"/>
      <c r="K23" s="75"/>
      <c r="L23" s="75"/>
      <c r="M23" s="75"/>
      <c r="N23" s="75"/>
      <c r="O23" s="72"/>
    </row>
    <row r="24" spans="2:16" x14ac:dyDescent="0.25">
      <c r="B24" s="82" t="s">
        <v>30</v>
      </c>
      <c r="C24" s="83"/>
      <c r="D24" s="83"/>
      <c r="F24" s="76" t="s">
        <v>31</v>
      </c>
      <c r="G24" s="77"/>
      <c r="H24" s="77"/>
      <c r="J24" s="76" t="s">
        <v>32</v>
      </c>
      <c r="K24" s="77"/>
      <c r="L24" s="77"/>
      <c r="N24" s="76" t="s">
        <v>33</v>
      </c>
      <c r="O24" s="77"/>
      <c r="P24" s="77"/>
    </row>
    <row r="25" spans="2:16" ht="21" x14ac:dyDescent="0.25">
      <c r="B25" s="83"/>
      <c r="C25" s="83"/>
      <c r="D25" s="83"/>
      <c r="E25" s="10" t="s">
        <v>34</v>
      </c>
      <c r="F25" s="77"/>
      <c r="G25" s="77"/>
      <c r="H25" s="77"/>
      <c r="I25" s="10" t="s">
        <v>34</v>
      </c>
      <c r="J25" s="77"/>
      <c r="K25" s="77"/>
      <c r="L25" s="77"/>
      <c r="M25" s="10" t="s">
        <v>34</v>
      </c>
      <c r="N25" s="77"/>
      <c r="O25" s="77"/>
      <c r="P25" s="77"/>
    </row>
    <row r="26" spans="2:16" x14ac:dyDescent="0.25">
      <c r="B26" s="83"/>
      <c r="C26" s="83"/>
      <c r="D26" s="83"/>
      <c r="F26" s="77"/>
      <c r="G26" s="77"/>
      <c r="H26" s="77"/>
      <c r="J26" s="77"/>
      <c r="K26" s="77"/>
      <c r="L26" s="77"/>
      <c r="N26" s="77"/>
      <c r="O26" s="77"/>
      <c r="P26" s="77"/>
    </row>
    <row r="27" spans="2:16" x14ac:dyDescent="0.25">
      <c r="B27" s="11" t="s">
        <v>35</v>
      </c>
    </row>
    <row r="28" spans="2:16" x14ac:dyDescent="0.25">
      <c r="B28" s="76" t="s">
        <v>36</v>
      </c>
      <c r="C28" s="77"/>
      <c r="D28" s="77"/>
      <c r="F28" s="76" t="s">
        <v>37</v>
      </c>
      <c r="G28" s="77"/>
      <c r="H28" s="77"/>
      <c r="J28" s="76" t="s">
        <v>38</v>
      </c>
      <c r="K28" s="77"/>
      <c r="L28" s="77"/>
      <c r="N28" s="84" t="s">
        <v>39</v>
      </c>
      <c r="O28" s="85"/>
      <c r="P28" s="85"/>
    </row>
    <row r="29" spans="2:16" ht="21" x14ac:dyDescent="0.25">
      <c r="B29" s="77"/>
      <c r="C29" s="77"/>
      <c r="D29" s="77"/>
      <c r="E29" s="10" t="s">
        <v>34</v>
      </c>
      <c r="F29" s="77"/>
      <c r="G29" s="77"/>
      <c r="H29" s="77"/>
      <c r="I29" s="10" t="s">
        <v>34</v>
      </c>
      <c r="J29" s="77"/>
      <c r="K29" s="77"/>
      <c r="L29" s="77"/>
      <c r="M29" s="10" t="s">
        <v>34</v>
      </c>
      <c r="N29" s="85"/>
      <c r="O29" s="85"/>
      <c r="P29" s="85"/>
    </row>
    <row r="30" spans="2:16" x14ac:dyDescent="0.25">
      <c r="B30" s="77"/>
      <c r="C30" s="77"/>
      <c r="D30" s="77"/>
      <c r="F30" s="77"/>
      <c r="G30" s="77"/>
      <c r="H30" s="77"/>
      <c r="J30" s="77"/>
      <c r="K30" s="77"/>
      <c r="L30" s="77"/>
      <c r="N30" s="85"/>
      <c r="O30" s="85"/>
      <c r="P30" s="85"/>
    </row>
    <row r="32" spans="2:16" x14ac:dyDescent="0.25">
      <c r="B32" s="74" t="s">
        <v>40</v>
      </c>
      <c r="C32" s="75"/>
      <c r="D32" s="75"/>
      <c r="E32" s="75"/>
      <c r="F32" s="75"/>
      <c r="G32" s="75"/>
      <c r="H32" s="75"/>
      <c r="I32" s="75"/>
      <c r="J32" s="75"/>
      <c r="K32" s="75"/>
      <c r="L32" s="75"/>
      <c r="M32" s="75"/>
      <c r="N32" s="75"/>
      <c r="O32" s="72"/>
    </row>
    <row r="33" spans="2:17" ht="27.95" customHeight="1" x14ac:dyDescent="0.25">
      <c r="B33" s="80" t="s">
        <v>41</v>
      </c>
      <c r="C33" s="70"/>
      <c r="D33" s="70"/>
      <c r="E33" s="70"/>
      <c r="F33" s="70"/>
      <c r="G33" s="70"/>
      <c r="H33" s="70"/>
      <c r="I33" s="70"/>
      <c r="J33" s="70"/>
      <c r="K33" s="70"/>
      <c r="L33" s="70"/>
      <c r="M33" s="70"/>
      <c r="N33" s="70"/>
      <c r="O33" s="70"/>
    </row>
    <row r="34" spans="2:17" x14ac:dyDescent="0.25">
      <c r="B34" s="12" t="s">
        <v>42</v>
      </c>
      <c r="E34" s="86" t="str">
        <f>IF(Stand_ok,"✔ Alle grauen Werte passen zu den Annahmen.","⚠ Mindestens eine Annahme wurde geändert – rote Werte mit den Python-Skripten neu rechnen.")</f>
        <v>✔ Alle grauen Werte passen zu den Annahmen.</v>
      </c>
      <c r="F34" s="70"/>
      <c r="G34" s="70"/>
      <c r="H34" s="70"/>
      <c r="I34" s="70"/>
      <c r="J34" s="70"/>
      <c r="K34" s="70"/>
      <c r="L34" s="70"/>
      <c r="M34" s="70"/>
      <c r="N34" s="70"/>
      <c r="O34" s="70"/>
      <c r="Q34" s="13" t="b">
        <f>COUNTIF($N$37:$N$76,"⚠*")=0</f>
        <v>1</v>
      </c>
    </row>
    <row r="36" spans="2:17" ht="30" customHeight="1" x14ac:dyDescent="0.25">
      <c r="B36" s="73" t="s">
        <v>43</v>
      </c>
      <c r="C36" s="75"/>
      <c r="D36" s="72"/>
      <c r="E36" s="14" t="s">
        <v>44</v>
      </c>
      <c r="F36" s="14" t="s">
        <v>45</v>
      </c>
      <c r="G36" s="14" t="s">
        <v>46</v>
      </c>
      <c r="H36" s="73" t="s">
        <v>47</v>
      </c>
      <c r="I36" s="75"/>
      <c r="J36" s="75"/>
      <c r="K36" s="75"/>
      <c r="L36" s="72"/>
      <c r="M36" s="14" t="s">
        <v>48</v>
      </c>
      <c r="N36" s="73" t="s">
        <v>42</v>
      </c>
      <c r="O36" s="72"/>
    </row>
    <row r="37" spans="2:17" x14ac:dyDescent="0.25">
      <c r="B37" s="15" t="s">
        <v>49</v>
      </c>
      <c r="C37" s="16"/>
      <c r="D37" s="16"/>
      <c r="E37" s="16"/>
      <c r="F37" s="16"/>
      <c r="G37" s="16"/>
      <c r="H37" s="16"/>
      <c r="I37" s="16"/>
      <c r="J37" s="16"/>
      <c r="K37" s="16"/>
      <c r="L37" s="16"/>
      <c r="M37" s="16"/>
      <c r="N37" s="16"/>
      <c r="O37" s="16"/>
    </row>
    <row r="38" spans="2:17" x14ac:dyDescent="0.25">
      <c r="B38" s="79" t="s">
        <v>50</v>
      </c>
      <c r="C38" s="75"/>
      <c r="D38" s="72"/>
      <c r="E38" s="18" t="s">
        <v>51</v>
      </c>
      <c r="F38" s="19">
        <v>1200</v>
      </c>
      <c r="G38" s="18" t="s">
        <v>52</v>
      </c>
      <c r="H38" s="79" t="s">
        <v>53</v>
      </c>
      <c r="I38" s="75"/>
      <c r="J38" s="75"/>
      <c r="K38" s="75"/>
      <c r="L38" s="72"/>
      <c r="M38" s="20">
        <v>1200</v>
      </c>
      <c r="N38" s="71" t="str">
        <f t="shared" ref="N38:N43" si="0">IF(ABS(F38-M38)&lt;0.000000001,"✔ passt","⚠ geändert – neu rechnen")</f>
        <v>✔ passt</v>
      </c>
      <c r="O38" s="72"/>
    </row>
    <row r="39" spans="2:17" x14ac:dyDescent="0.25">
      <c r="B39" s="79" t="s">
        <v>54</v>
      </c>
      <c r="C39" s="75"/>
      <c r="D39" s="72"/>
      <c r="E39" s="18" t="s">
        <v>55</v>
      </c>
      <c r="F39" s="19">
        <v>700</v>
      </c>
      <c r="G39" s="18" t="s">
        <v>52</v>
      </c>
      <c r="H39" s="79" t="s">
        <v>56</v>
      </c>
      <c r="I39" s="75"/>
      <c r="J39" s="75"/>
      <c r="K39" s="75"/>
      <c r="L39" s="72"/>
      <c r="M39" s="20">
        <v>700</v>
      </c>
      <c r="N39" s="71" t="str">
        <f t="shared" si="0"/>
        <v>✔ passt</v>
      </c>
      <c r="O39" s="72"/>
    </row>
    <row r="40" spans="2:17" ht="27" customHeight="1" x14ac:dyDescent="0.25">
      <c r="B40" s="79" t="s">
        <v>57</v>
      </c>
      <c r="C40" s="75"/>
      <c r="D40" s="72"/>
      <c r="E40" s="18" t="s">
        <v>58</v>
      </c>
      <c r="F40" s="19">
        <v>205</v>
      </c>
      <c r="G40" s="18" t="s">
        <v>52</v>
      </c>
      <c r="H40" s="79" t="s">
        <v>59</v>
      </c>
      <c r="I40" s="75"/>
      <c r="J40" s="75"/>
      <c r="K40" s="75"/>
      <c r="L40" s="72"/>
      <c r="M40" s="20">
        <v>205</v>
      </c>
      <c r="N40" s="71" t="str">
        <f t="shared" si="0"/>
        <v>✔ passt</v>
      </c>
      <c r="O40" s="72"/>
    </row>
    <row r="41" spans="2:17" ht="27" customHeight="1" x14ac:dyDescent="0.25">
      <c r="B41" s="79" t="s">
        <v>60</v>
      </c>
      <c r="C41" s="75"/>
      <c r="D41" s="72"/>
      <c r="E41" s="18" t="s">
        <v>61</v>
      </c>
      <c r="F41" s="19">
        <v>650000</v>
      </c>
      <c r="G41" s="18" t="s">
        <v>62</v>
      </c>
      <c r="H41" s="79" t="s">
        <v>63</v>
      </c>
      <c r="I41" s="75"/>
      <c r="J41" s="75"/>
      <c r="K41" s="75"/>
      <c r="L41" s="72"/>
      <c r="M41" s="20">
        <v>650000</v>
      </c>
      <c r="N41" s="71" t="str">
        <f t="shared" si="0"/>
        <v>✔ passt</v>
      </c>
      <c r="O41" s="72"/>
    </row>
    <row r="42" spans="2:17" ht="27" customHeight="1" x14ac:dyDescent="0.25">
      <c r="B42" s="79" t="s">
        <v>64</v>
      </c>
      <c r="C42" s="75"/>
      <c r="D42" s="72"/>
      <c r="E42" s="18" t="s">
        <v>65</v>
      </c>
      <c r="F42" s="21">
        <v>210</v>
      </c>
      <c r="G42" s="18" t="s">
        <v>66</v>
      </c>
      <c r="H42" s="79" t="s">
        <v>67</v>
      </c>
      <c r="I42" s="75"/>
      <c r="J42" s="75"/>
      <c r="K42" s="75"/>
      <c r="L42" s="72"/>
      <c r="M42" s="22">
        <v>210</v>
      </c>
      <c r="N42" s="71" t="str">
        <f t="shared" si="0"/>
        <v>✔ passt</v>
      </c>
      <c r="O42" s="72"/>
    </row>
    <row r="43" spans="2:17" ht="27" customHeight="1" x14ac:dyDescent="0.25">
      <c r="B43" s="79" t="s">
        <v>68</v>
      </c>
      <c r="C43" s="75"/>
      <c r="D43" s="72"/>
      <c r="E43" s="18" t="s">
        <v>69</v>
      </c>
      <c r="F43" s="21">
        <v>70</v>
      </c>
      <c r="G43" s="18" t="s">
        <v>66</v>
      </c>
      <c r="H43" s="79" t="s">
        <v>70</v>
      </c>
      <c r="I43" s="75"/>
      <c r="J43" s="75"/>
      <c r="K43" s="75"/>
      <c r="L43" s="72"/>
      <c r="M43" s="22">
        <v>70</v>
      </c>
      <c r="N43" s="71" t="str">
        <f t="shared" si="0"/>
        <v>✔ passt</v>
      </c>
      <c r="O43" s="72"/>
    </row>
    <row r="44" spans="2:17" x14ac:dyDescent="0.25">
      <c r="B44" s="79" t="s">
        <v>71</v>
      </c>
      <c r="C44" s="75"/>
      <c r="D44" s="72"/>
      <c r="E44" s="18" t="s">
        <v>72</v>
      </c>
      <c r="F44" s="19">
        <v>2200</v>
      </c>
      <c r="G44" s="18" t="s">
        <v>73</v>
      </c>
      <c r="H44" s="79" t="s">
        <v>74</v>
      </c>
      <c r="I44" s="75"/>
      <c r="J44" s="75"/>
      <c r="K44" s="75"/>
      <c r="L44" s="72"/>
      <c r="M44" s="23" t="s">
        <v>75</v>
      </c>
      <c r="N44" s="71" t="s">
        <v>76</v>
      </c>
      <c r="O44" s="72"/>
    </row>
    <row r="45" spans="2:17" x14ac:dyDescent="0.25">
      <c r="B45" s="15" t="s">
        <v>77</v>
      </c>
      <c r="C45" s="16"/>
      <c r="D45" s="16"/>
      <c r="E45" s="16"/>
      <c r="F45" s="16"/>
      <c r="G45" s="16"/>
      <c r="H45" s="16"/>
      <c r="I45" s="16"/>
      <c r="J45" s="16"/>
      <c r="K45" s="16"/>
      <c r="L45" s="16"/>
      <c r="M45" s="16"/>
      <c r="N45" s="16"/>
      <c r="O45" s="16"/>
    </row>
    <row r="46" spans="2:17" x14ac:dyDescent="0.25">
      <c r="B46" s="79" t="s">
        <v>78</v>
      </c>
      <c r="C46" s="75"/>
      <c r="D46" s="72"/>
      <c r="E46" s="18" t="s">
        <v>79</v>
      </c>
      <c r="F46" s="21">
        <v>10</v>
      </c>
      <c r="G46" s="18" t="s">
        <v>80</v>
      </c>
      <c r="H46" s="79" t="s">
        <v>81</v>
      </c>
      <c r="I46" s="75"/>
      <c r="J46" s="75"/>
      <c r="K46" s="75"/>
      <c r="L46" s="72"/>
      <c r="M46" s="22">
        <v>10</v>
      </c>
      <c r="N46" s="71" t="str">
        <f>IF(ABS(F46-M46)&lt;0.000000001,"✔ passt","⚠ geändert – neu rechnen")</f>
        <v>✔ passt</v>
      </c>
      <c r="O46" s="72"/>
    </row>
    <row r="47" spans="2:17" x14ac:dyDescent="0.25">
      <c r="B47" s="79" t="s">
        <v>82</v>
      </c>
      <c r="C47" s="75"/>
      <c r="D47" s="72"/>
      <c r="E47" s="18" t="s">
        <v>83</v>
      </c>
      <c r="F47" s="24">
        <v>0.03</v>
      </c>
      <c r="G47" s="18" t="s">
        <v>84</v>
      </c>
      <c r="H47" s="79" t="s">
        <v>85</v>
      </c>
      <c r="I47" s="75"/>
      <c r="J47" s="75"/>
      <c r="K47" s="75"/>
      <c r="L47" s="72"/>
      <c r="M47" s="25">
        <v>0.03</v>
      </c>
      <c r="N47" s="71" t="str">
        <f>IF(ABS(F47-M47)&lt;0.000000001,"✔ passt","⚠ geändert – neu rechnen")</f>
        <v>✔ passt</v>
      </c>
      <c r="O47" s="72"/>
    </row>
    <row r="48" spans="2:17" x14ac:dyDescent="0.25">
      <c r="B48" s="15" t="s">
        <v>86</v>
      </c>
      <c r="C48" s="16"/>
      <c r="D48" s="16"/>
      <c r="E48" s="16"/>
      <c r="F48" s="16"/>
      <c r="G48" s="16"/>
      <c r="H48" s="16"/>
      <c r="I48" s="16"/>
      <c r="J48" s="16"/>
      <c r="K48" s="16"/>
      <c r="L48" s="16"/>
      <c r="M48" s="16"/>
      <c r="N48" s="16"/>
      <c r="O48" s="16"/>
    </row>
    <row r="49" spans="2:15" x14ac:dyDescent="0.25">
      <c r="B49" s="79" t="s">
        <v>87</v>
      </c>
      <c r="C49" s="75"/>
      <c r="D49" s="72"/>
      <c r="E49" s="18" t="s">
        <v>88</v>
      </c>
      <c r="F49" s="19">
        <v>50000</v>
      </c>
      <c r="G49" s="18" t="s">
        <v>89</v>
      </c>
      <c r="H49" s="79" t="s">
        <v>90</v>
      </c>
      <c r="I49" s="75"/>
      <c r="J49" s="75"/>
      <c r="K49" s="75"/>
      <c r="L49" s="72"/>
      <c r="M49" s="20">
        <v>50000</v>
      </c>
      <c r="N49" s="71" t="str">
        <f t="shared" ref="N49:N56" si="1">IF(ABS(F49-M49)&lt;0.000000001,"✔ passt","⚠ geändert – neu rechnen")</f>
        <v>✔ passt</v>
      </c>
      <c r="O49" s="72"/>
    </row>
    <row r="50" spans="2:15" x14ac:dyDescent="0.25">
      <c r="B50" s="79" t="s">
        <v>91</v>
      </c>
      <c r="C50" s="75"/>
      <c r="D50" s="72"/>
      <c r="E50" s="18" t="s">
        <v>92</v>
      </c>
      <c r="F50" s="19">
        <v>100000</v>
      </c>
      <c r="G50" s="18" t="s">
        <v>89</v>
      </c>
      <c r="H50" s="79" t="s">
        <v>93</v>
      </c>
      <c r="I50" s="75"/>
      <c r="J50" s="75"/>
      <c r="K50" s="75"/>
      <c r="L50" s="72"/>
      <c r="M50" s="20">
        <v>100000</v>
      </c>
      <c r="N50" s="71" t="str">
        <f t="shared" si="1"/>
        <v>✔ passt</v>
      </c>
      <c r="O50" s="72"/>
    </row>
    <row r="51" spans="2:15" x14ac:dyDescent="0.25">
      <c r="B51" s="79" t="s">
        <v>94</v>
      </c>
      <c r="C51" s="75"/>
      <c r="D51" s="72"/>
      <c r="E51" s="18" t="s">
        <v>95</v>
      </c>
      <c r="F51" s="21">
        <v>10</v>
      </c>
      <c r="G51" s="18" t="s">
        <v>96</v>
      </c>
      <c r="H51" s="79" t="s">
        <v>97</v>
      </c>
      <c r="I51" s="75"/>
      <c r="J51" s="75"/>
      <c r="K51" s="75"/>
      <c r="L51" s="72"/>
      <c r="M51" s="22">
        <v>10</v>
      </c>
      <c r="N51" s="71" t="str">
        <f t="shared" si="1"/>
        <v>✔ passt</v>
      </c>
      <c r="O51" s="72"/>
    </row>
    <row r="52" spans="2:15" x14ac:dyDescent="0.25">
      <c r="B52" s="79" t="s">
        <v>98</v>
      </c>
      <c r="C52" s="75"/>
      <c r="D52" s="72"/>
      <c r="E52" s="18" t="s">
        <v>99</v>
      </c>
      <c r="F52" s="21">
        <v>6</v>
      </c>
      <c r="G52" s="18" t="s">
        <v>96</v>
      </c>
      <c r="H52" s="79" t="s">
        <v>100</v>
      </c>
      <c r="I52" s="75"/>
      <c r="J52" s="75"/>
      <c r="K52" s="75"/>
      <c r="L52" s="72"/>
      <c r="M52" s="22">
        <v>6</v>
      </c>
      <c r="N52" s="71" t="str">
        <f t="shared" si="1"/>
        <v>✔ passt</v>
      </c>
      <c r="O52" s="72"/>
    </row>
    <row r="53" spans="2:15" x14ac:dyDescent="0.25">
      <c r="B53" s="79" t="s">
        <v>101</v>
      </c>
      <c r="C53" s="75"/>
      <c r="D53" s="72"/>
      <c r="E53" s="18" t="s">
        <v>102</v>
      </c>
      <c r="F53" s="21">
        <v>30</v>
      </c>
      <c r="G53" s="18" t="s">
        <v>80</v>
      </c>
      <c r="H53" s="79" t="s">
        <v>103</v>
      </c>
      <c r="I53" s="75"/>
      <c r="J53" s="75"/>
      <c r="K53" s="75"/>
      <c r="L53" s="72"/>
      <c r="M53" s="22">
        <v>30</v>
      </c>
      <c r="N53" s="71" t="str">
        <f t="shared" si="1"/>
        <v>✔ passt</v>
      </c>
      <c r="O53" s="72"/>
    </row>
    <row r="54" spans="2:15" ht="27" customHeight="1" x14ac:dyDescent="0.25">
      <c r="B54" s="79" t="s">
        <v>104</v>
      </c>
      <c r="C54" s="75"/>
      <c r="D54" s="72"/>
      <c r="E54" s="18" t="s">
        <v>105</v>
      </c>
      <c r="F54" s="26">
        <v>21.67</v>
      </c>
      <c r="G54" s="18" t="s">
        <v>106</v>
      </c>
      <c r="H54" s="79" t="s">
        <v>107</v>
      </c>
      <c r="I54" s="75"/>
      <c r="J54" s="75"/>
      <c r="K54" s="75"/>
      <c r="L54" s="72"/>
      <c r="M54" s="27">
        <v>21.67</v>
      </c>
      <c r="N54" s="71" t="str">
        <f t="shared" si="1"/>
        <v>✔ passt</v>
      </c>
      <c r="O54" s="72"/>
    </row>
    <row r="55" spans="2:15" ht="27" customHeight="1" x14ac:dyDescent="0.25">
      <c r="B55" s="79" t="s">
        <v>108</v>
      </c>
      <c r="C55" s="75"/>
      <c r="D55" s="72"/>
      <c r="E55" s="18" t="s">
        <v>109</v>
      </c>
      <c r="F55" s="28">
        <v>546</v>
      </c>
      <c r="G55" s="18" t="s">
        <v>110</v>
      </c>
      <c r="H55" s="79" t="s">
        <v>111</v>
      </c>
      <c r="I55" s="75"/>
      <c r="J55" s="75"/>
      <c r="K55" s="75"/>
      <c r="L55" s="72"/>
      <c r="M55" s="29">
        <v>546</v>
      </c>
      <c r="N55" s="71" t="str">
        <f t="shared" si="1"/>
        <v>✔ passt</v>
      </c>
      <c r="O55" s="72"/>
    </row>
    <row r="56" spans="2:15" x14ac:dyDescent="0.25">
      <c r="B56" s="79" t="s">
        <v>112</v>
      </c>
      <c r="C56" s="75"/>
      <c r="D56" s="72"/>
      <c r="E56" s="18" t="s">
        <v>113</v>
      </c>
      <c r="F56" s="19">
        <v>650000</v>
      </c>
      <c r="G56" s="18" t="s">
        <v>62</v>
      </c>
      <c r="H56" s="79" t="s">
        <v>81</v>
      </c>
      <c r="I56" s="75"/>
      <c r="J56" s="75"/>
      <c r="K56" s="75"/>
      <c r="L56" s="72"/>
      <c r="M56" s="20">
        <v>650000</v>
      </c>
      <c r="N56" s="71" t="str">
        <f t="shared" si="1"/>
        <v>✔ passt</v>
      </c>
      <c r="O56" s="72"/>
    </row>
    <row r="57" spans="2:15" x14ac:dyDescent="0.25">
      <c r="B57" s="15" t="s">
        <v>114</v>
      </c>
      <c r="C57" s="16"/>
      <c r="D57" s="16"/>
      <c r="E57" s="16"/>
      <c r="F57" s="16"/>
      <c r="G57" s="16"/>
      <c r="H57" s="16"/>
      <c r="I57" s="16"/>
      <c r="J57" s="16"/>
      <c r="K57" s="16"/>
      <c r="L57" s="16"/>
      <c r="M57" s="16"/>
      <c r="N57" s="16"/>
      <c r="O57" s="16"/>
    </row>
    <row r="58" spans="2:15" x14ac:dyDescent="0.25">
      <c r="B58" s="79" t="s">
        <v>115</v>
      </c>
      <c r="C58" s="75"/>
      <c r="D58" s="72"/>
      <c r="E58" s="18" t="s">
        <v>116</v>
      </c>
      <c r="F58" s="30">
        <v>0.19875999999999999</v>
      </c>
      <c r="G58" s="18" t="s">
        <v>52</v>
      </c>
      <c r="H58" s="79" t="s">
        <v>117</v>
      </c>
      <c r="I58" s="75"/>
      <c r="J58" s="75"/>
      <c r="K58" s="75"/>
      <c r="L58" s="72"/>
      <c r="M58" s="31">
        <v>0.19875999999999999</v>
      </c>
      <c r="N58" s="71" t="str">
        <f>IF(ABS(F58-M58)&lt;0.000000001,"✔ passt","⚠ geändert – neu rechnen")</f>
        <v>✔ passt</v>
      </c>
      <c r="O58" s="72"/>
    </row>
    <row r="59" spans="2:15" x14ac:dyDescent="0.25">
      <c r="B59" s="79" t="s">
        <v>118</v>
      </c>
      <c r="C59" s="75"/>
      <c r="D59" s="72"/>
      <c r="E59" s="18" t="s">
        <v>119</v>
      </c>
      <c r="F59" s="21">
        <v>20</v>
      </c>
      <c r="G59" s="18" t="s">
        <v>120</v>
      </c>
      <c r="H59" s="79" t="s">
        <v>121</v>
      </c>
      <c r="I59" s="75"/>
      <c r="J59" s="75"/>
      <c r="K59" s="75"/>
      <c r="L59" s="72"/>
      <c r="M59" s="23" t="s">
        <v>75</v>
      </c>
      <c r="N59" s="71" t="s">
        <v>76</v>
      </c>
      <c r="O59" s="72"/>
    </row>
    <row r="60" spans="2:15" x14ac:dyDescent="0.25">
      <c r="B60" s="79" t="s">
        <v>122</v>
      </c>
      <c r="C60" s="75"/>
      <c r="D60" s="72"/>
      <c r="E60" s="18" t="s">
        <v>123</v>
      </c>
      <c r="F60" s="24">
        <v>1.6E-2</v>
      </c>
      <c r="G60" s="18" t="s">
        <v>75</v>
      </c>
      <c r="H60" s="79" t="s">
        <v>124</v>
      </c>
      <c r="I60" s="75"/>
      <c r="J60" s="75"/>
      <c r="K60" s="75"/>
      <c r="L60" s="72"/>
      <c r="M60" s="25">
        <v>1.6E-2</v>
      </c>
      <c r="N60" s="71" t="str">
        <f>IF(ABS(F60-M60)&lt;0.000000001,"✔ passt","⚠ geändert – neu rechnen")</f>
        <v>✔ passt</v>
      </c>
      <c r="O60" s="72"/>
    </row>
    <row r="61" spans="2:15" x14ac:dyDescent="0.25">
      <c r="B61" s="79" t="s">
        <v>125</v>
      </c>
      <c r="C61" s="75"/>
      <c r="D61" s="72"/>
      <c r="E61" s="18" t="s">
        <v>126</v>
      </c>
      <c r="F61" s="21">
        <v>91</v>
      </c>
      <c r="G61" s="18" t="s">
        <v>66</v>
      </c>
      <c r="H61" s="79" t="s">
        <v>127</v>
      </c>
      <c r="I61" s="75"/>
      <c r="J61" s="75"/>
      <c r="K61" s="75"/>
      <c r="L61" s="72"/>
      <c r="M61" s="23" t="s">
        <v>75</v>
      </c>
      <c r="N61" s="71" t="s">
        <v>76</v>
      </c>
      <c r="O61" s="72"/>
    </row>
    <row r="62" spans="2:15" x14ac:dyDescent="0.25">
      <c r="B62" s="79" t="s">
        <v>128</v>
      </c>
      <c r="C62" s="75"/>
      <c r="D62" s="72"/>
      <c r="E62" s="18" t="s">
        <v>129</v>
      </c>
      <c r="F62" s="21">
        <v>30</v>
      </c>
      <c r="G62" s="18" t="s">
        <v>66</v>
      </c>
      <c r="H62" s="79" t="s">
        <v>130</v>
      </c>
      <c r="I62" s="75"/>
      <c r="J62" s="75"/>
      <c r="K62" s="75"/>
      <c r="L62" s="72"/>
      <c r="M62" s="22">
        <v>30</v>
      </c>
      <c r="N62" s="71" t="str">
        <f>IF(ABS(F62-M62)&lt;0.000000001,"✔ passt","⚠ geändert – neu rechnen")</f>
        <v>✔ passt</v>
      </c>
      <c r="O62" s="72"/>
    </row>
    <row r="63" spans="2:15" x14ac:dyDescent="0.25">
      <c r="B63" s="15" t="s">
        <v>131</v>
      </c>
      <c r="C63" s="16"/>
      <c r="D63" s="16"/>
      <c r="E63" s="16"/>
      <c r="F63" s="16"/>
      <c r="G63" s="16"/>
      <c r="H63" s="16"/>
      <c r="I63" s="16"/>
      <c r="J63" s="16"/>
      <c r="K63" s="16"/>
      <c r="L63" s="16"/>
      <c r="M63" s="16"/>
      <c r="N63" s="16"/>
      <c r="O63" s="16"/>
    </row>
    <row r="64" spans="2:15" ht="27" customHeight="1" x14ac:dyDescent="0.25">
      <c r="B64" s="79" t="s">
        <v>132</v>
      </c>
      <c r="C64" s="75"/>
      <c r="D64" s="72"/>
      <c r="E64" s="18" t="s">
        <v>133</v>
      </c>
      <c r="F64" s="21">
        <v>3</v>
      </c>
      <c r="G64" s="18" t="s">
        <v>134</v>
      </c>
      <c r="H64" s="79" t="s">
        <v>135</v>
      </c>
      <c r="I64" s="75"/>
      <c r="J64" s="75"/>
      <c r="K64" s="75"/>
      <c r="L64" s="72"/>
      <c r="M64" s="23" t="s">
        <v>75</v>
      </c>
      <c r="N64" s="71" t="s">
        <v>76</v>
      </c>
      <c r="O64" s="72"/>
    </row>
    <row r="65" spans="2:15" x14ac:dyDescent="0.25">
      <c r="B65" s="15" t="s">
        <v>136</v>
      </c>
      <c r="C65" s="16"/>
      <c r="D65" s="16"/>
      <c r="E65" s="16"/>
      <c r="F65" s="16"/>
      <c r="G65" s="16"/>
      <c r="H65" s="16"/>
      <c r="I65" s="16"/>
      <c r="J65" s="16"/>
      <c r="K65" s="16"/>
      <c r="L65" s="16"/>
      <c r="M65" s="16"/>
      <c r="N65" s="16"/>
      <c r="O65" s="16"/>
    </row>
    <row r="66" spans="2:15" ht="27" customHeight="1" x14ac:dyDescent="0.25">
      <c r="B66" s="79" t="s">
        <v>137</v>
      </c>
      <c r="C66" s="75"/>
      <c r="D66" s="72"/>
      <c r="E66" s="18" t="s">
        <v>138</v>
      </c>
      <c r="F66" s="26">
        <v>1</v>
      </c>
      <c r="G66" s="18" t="s">
        <v>75</v>
      </c>
      <c r="H66" s="79" t="s">
        <v>139</v>
      </c>
      <c r="I66" s="75"/>
      <c r="J66" s="75"/>
      <c r="K66" s="75"/>
      <c r="L66" s="72"/>
      <c r="M66" s="23" t="s">
        <v>75</v>
      </c>
      <c r="N66" s="71" t="s">
        <v>76</v>
      </c>
      <c r="O66" s="72"/>
    </row>
    <row r="67" spans="2:15" ht="27" customHeight="1" x14ac:dyDescent="0.25">
      <c r="B67" s="79" t="s">
        <v>140</v>
      </c>
      <c r="C67" s="75"/>
      <c r="D67" s="72"/>
      <c r="E67" s="18" t="s">
        <v>141</v>
      </c>
      <c r="F67" s="26">
        <v>0.75</v>
      </c>
      <c r="G67" s="18" t="s">
        <v>75</v>
      </c>
      <c r="H67" s="79" t="s">
        <v>142</v>
      </c>
      <c r="I67" s="75"/>
      <c r="J67" s="75"/>
      <c r="K67" s="75"/>
      <c r="L67" s="72"/>
      <c r="M67" s="23" t="s">
        <v>75</v>
      </c>
      <c r="N67" s="71" t="s">
        <v>76</v>
      </c>
      <c r="O67" s="72"/>
    </row>
    <row r="68" spans="2:15" ht="27" customHeight="1" x14ac:dyDescent="0.25">
      <c r="B68" s="79" t="s">
        <v>143</v>
      </c>
      <c r="C68" s="75"/>
      <c r="D68" s="72"/>
      <c r="E68" s="18" t="s">
        <v>144</v>
      </c>
      <c r="F68" s="32">
        <v>4.0000000000000001E-3</v>
      </c>
      <c r="G68" s="18" t="s">
        <v>75</v>
      </c>
      <c r="H68" s="79" t="s">
        <v>145</v>
      </c>
      <c r="I68" s="75"/>
      <c r="J68" s="75"/>
      <c r="K68" s="75"/>
      <c r="L68" s="72"/>
      <c r="M68" s="23" t="s">
        <v>75</v>
      </c>
      <c r="N68" s="71" t="s">
        <v>76</v>
      </c>
      <c r="O68" s="72"/>
    </row>
    <row r="69" spans="2:15" x14ac:dyDescent="0.25">
      <c r="B69" s="79" t="s">
        <v>146</v>
      </c>
      <c r="C69" s="75"/>
      <c r="D69" s="72"/>
      <c r="E69" s="18" t="s">
        <v>147</v>
      </c>
      <c r="F69" s="26">
        <v>1.76</v>
      </c>
      <c r="G69" s="18" t="s">
        <v>62</v>
      </c>
      <c r="H69" s="79" t="s">
        <v>148</v>
      </c>
      <c r="I69" s="75"/>
      <c r="J69" s="75"/>
      <c r="K69" s="75"/>
      <c r="L69" s="72"/>
      <c r="M69" s="23" t="s">
        <v>75</v>
      </c>
      <c r="N69" s="71" t="s">
        <v>76</v>
      </c>
      <c r="O69" s="72"/>
    </row>
    <row r="70" spans="2:15" x14ac:dyDescent="0.25">
      <c r="B70" s="79" t="s">
        <v>149</v>
      </c>
      <c r="C70" s="75"/>
      <c r="D70" s="72"/>
      <c r="E70" s="18" t="s">
        <v>150</v>
      </c>
      <c r="F70" s="21">
        <v>827.7</v>
      </c>
      <c r="G70" s="18" t="s">
        <v>73</v>
      </c>
      <c r="H70" s="79" t="s">
        <v>151</v>
      </c>
      <c r="I70" s="75"/>
      <c r="J70" s="75"/>
      <c r="K70" s="75"/>
      <c r="L70" s="72"/>
      <c r="M70" s="23" t="s">
        <v>75</v>
      </c>
      <c r="N70" s="71" t="s">
        <v>76</v>
      </c>
      <c r="O70" s="72"/>
    </row>
    <row r="71" spans="2:15" x14ac:dyDescent="0.25">
      <c r="B71" s="79" t="s">
        <v>152</v>
      </c>
      <c r="C71" s="75"/>
      <c r="D71" s="72"/>
      <c r="E71" s="18" t="s">
        <v>153</v>
      </c>
      <c r="F71" s="28">
        <v>230</v>
      </c>
      <c r="G71" s="18" t="s">
        <v>154</v>
      </c>
      <c r="H71" s="79" t="s">
        <v>155</v>
      </c>
      <c r="I71" s="75"/>
      <c r="J71" s="75"/>
      <c r="K71" s="75"/>
      <c r="L71" s="72"/>
      <c r="M71" s="23" t="s">
        <v>75</v>
      </c>
      <c r="N71" s="71" t="s">
        <v>76</v>
      </c>
      <c r="O71" s="72"/>
    </row>
    <row r="72" spans="2:15" x14ac:dyDescent="0.25">
      <c r="B72" s="79" t="s">
        <v>156</v>
      </c>
      <c r="C72" s="75"/>
      <c r="D72" s="72"/>
      <c r="E72" s="18" t="s">
        <v>157</v>
      </c>
      <c r="F72" s="24">
        <v>0.26</v>
      </c>
      <c r="G72" s="18" t="s">
        <v>158</v>
      </c>
      <c r="H72" s="79" t="s">
        <v>159</v>
      </c>
      <c r="I72" s="75"/>
      <c r="J72" s="75"/>
      <c r="K72" s="75"/>
      <c r="L72" s="72"/>
      <c r="M72" s="23" t="s">
        <v>75</v>
      </c>
      <c r="N72" s="71" t="s">
        <v>76</v>
      </c>
      <c r="O72" s="72"/>
    </row>
    <row r="73" spans="2:15" x14ac:dyDescent="0.25">
      <c r="B73" s="79" t="s">
        <v>160</v>
      </c>
      <c r="C73" s="75"/>
      <c r="D73" s="72"/>
      <c r="E73" s="18" t="s">
        <v>161</v>
      </c>
      <c r="F73" s="28">
        <v>300</v>
      </c>
      <c r="G73" s="18" t="s">
        <v>154</v>
      </c>
      <c r="H73" s="79" t="s">
        <v>162</v>
      </c>
      <c r="I73" s="75"/>
      <c r="J73" s="75"/>
      <c r="K73" s="75"/>
      <c r="L73" s="72"/>
      <c r="M73" s="23" t="s">
        <v>75</v>
      </c>
      <c r="N73" s="71" t="s">
        <v>76</v>
      </c>
      <c r="O73" s="72"/>
    </row>
    <row r="74" spans="2:15" ht="27" customHeight="1" x14ac:dyDescent="0.25">
      <c r="B74" s="79" t="s">
        <v>163</v>
      </c>
      <c r="C74" s="75"/>
      <c r="D74" s="72"/>
      <c r="E74" s="18" t="s">
        <v>164</v>
      </c>
      <c r="F74" s="28">
        <v>10</v>
      </c>
      <c r="G74" s="18" t="s">
        <v>165</v>
      </c>
      <c r="H74" s="79" t="s">
        <v>166</v>
      </c>
      <c r="I74" s="75"/>
      <c r="J74" s="75"/>
      <c r="K74" s="75"/>
      <c r="L74" s="72"/>
      <c r="M74" s="23" t="s">
        <v>75</v>
      </c>
      <c r="N74" s="71" t="s">
        <v>76</v>
      </c>
      <c r="O74" s="72"/>
    </row>
    <row r="75" spans="2:15" ht="27" customHeight="1" x14ac:dyDescent="0.25">
      <c r="B75" s="79" t="s">
        <v>167</v>
      </c>
      <c r="C75" s="75"/>
      <c r="D75" s="72"/>
      <c r="E75" s="18" t="s">
        <v>168</v>
      </c>
      <c r="F75" s="28">
        <v>50</v>
      </c>
      <c r="G75" s="18" t="s">
        <v>165</v>
      </c>
      <c r="H75" s="79" t="s">
        <v>169</v>
      </c>
      <c r="I75" s="75"/>
      <c r="J75" s="75"/>
      <c r="K75" s="75"/>
      <c r="L75" s="72"/>
      <c r="M75" s="23" t="s">
        <v>75</v>
      </c>
      <c r="N75" s="71" t="s">
        <v>76</v>
      </c>
      <c r="O75" s="72"/>
    </row>
    <row r="76" spans="2:15" x14ac:dyDescent="0.25">
      <c r="B76" s="79" t="s">
        <v>170</v>
      </c>
      <c r="C76" s="75"/>
      <c r="D76" s="72"/>
      <c r="E76" s="18" t="s">
        <v>171</v>
      </c>
      <c r="F76" s="32">
        <v>0.01</v>
      </c>
      <c r="G76" s="18" t="s">
        <v>75</v>
      </c>
      <c r="H76" s="79" t="s">
        <v>172</v>
      </c>
      <c r="I76" s="75"/>
      <c r="J76" s="75"/>
      <c r="K76" s="75"/>
      <c r="L76" s="72"/>
      <c r="M76" s="23" t="s">
        <v>75</v>
      </c>
      <c r="N76" s="71" t="s">
        <v>76</v>
      </c>
      <c r="O76" s="72"/>
    </row>
    <row r="78" spans="2:15" x14ac:dyDescent="0.25">
      <c r="B78" s="15" t="s">
        <v>173</v>
      </c>
      <c r="C78" s="16"/>
      <c r="D78" s="16"/>
      <c r="E78" s="16"/>
      <c r="F78" s="16"/>
      <c r="G78" s="16"/>
      <c r="H78" s="16"/>
      <c r="I78" s="16"/>
      <c r="J78" s="16"/>
      <c r="K78" s="16"/>
      <c r="L78" s="16"/>
      <c r="M78" s="16"/>
      <c r="N78" s="16"/>
      <c r="O78" s="16"/>
    </row>
    <row r="79" spans="2:15" x14ac:dyDescent="0.25">
      <c r="B79" s="79" t="s">
        <v>174</v>
      </c>
      <c r="C79" s="75"/>
      <c r="D79" s="72"/>
      <c r="E79" s="18" t="s">
        <v>175</v>
      </c>
      <c r="F79" s="26">
        <v>9.81</v>
      </c>
      <c r="G79" s="18" t="s">
        <v>176</v>
      </c>
      <c r="H79" s="71" t="s">
        <v>177</v>
      </c>
      <c r="I79" s="75"/>
      <c r="J79" s="75"/>
      <c r="K79" s="75"/>
      <c r="L79" s="75"/>
      <c r="M79" s="75"/>
      <c r="N79" s="75"/>
      <c r="O79" s="72"/>
    </row>
    <row r="80" spans="2:15" x14ac:dyDescent="0.25">
      <c r="B80" s="79" t="s">
        <v>178</v>
      </c>
      <c r="C80" s="75"/>
      <c r="D80" s="72"/>
      <c r="E80" s="18" t="s">
        <v>179</v>
      </c>
      <c r="F80" s="33">
        <f>pmax_tief/z_tief</f>
        <v>0.17499999999999999</v>
      </c>
      <c r="G80" s="18" t="s">
        <v>180</v>
      </c>
      <c r="H80" s="71" t="s">
        <v>181</v>
      </c>
      <c r="I80" s="75"/>
      <c r="J80" s="75"/>
      <c r="K80" s="75"/>
      <c r="L80" s="75"/>
      <c r="M80" s="75"/>
      <c r="N80" s="75"/>
      <c r="O80" s="72"/>
    </row>
    <row r="81" spans="2:15" x14ac:dyDescent="0.25">
      <c r="B81" s="79" t="s">
        <v>182</v>
      </c>
      <c r="C81" s="75"/>
      <c r="D81" s="72"/>
      <c r="E81" s="18" t="s">
        <v>183</v>
      </c>
      <c r="F81" s="33">
        <f>pmin_tief/z_tief</f>
        <v>5.8333333333333334E-2</v>
      </c>
      <c r="G81" s="18" t="s">
        <v>180</v>
      </c>
      <c r="H81" s="71" t="s">
        <v>184</v>
      </c>
      <c r="I81" s="75"/>
      <c r="J81" s="75"/>
      <c r="K81" s="75"/>
      <c r="L81" s="75"/>
      <c r="M81" s="75"/>
      <c r="N81" s="75"/>
      <c r="O81" s="72"/>
    </row>
    <row r="82" spans="2:15" x14ac:dyDescent="0.25">
      <c r="B82" s="79" t="s">
        <v>185</v>
      </c>
      <c r="C82" s="75"/>
      <c r="D82" s="72"/>
      <c r="E82" s="18" t="s">
        <v>186</v>
      </c>
      <c r="F82" s="34">
        <f>grad_pmax*z_flach</f>
        <v>122.49999999999999</v>
      </c>
      <c r="G82" s="18" t="s">
        <v>66</v>
      </c>
      <c r="H82" s="71" t="s">
        <v>187</v>
      </c>
      <c r="I82" s="75"/>
      <c r="J82" s="75"/>
      <c r="K82" s="75"/>
      <c r="L82" s="75"/>
      <c r="M82" s="75"/>
      <c r="N82" s="75"/>
      <c r="O82" s="72"/>
    </row>
    <row r="83" spans="2:15" x14ac:dyDescent="0.25">
      <c r="B83" s="79" t="s">
        <v>188</v>
      </c>
      <c r="C83" s="75"/>
      <c r="D83" s="72"/>
      <c r="E83" s="18" t="s">
        <v>189</v>
      </c>
      <c r="F83" s="34">
        <f>grad_pmin*z_flach</f>
        <v>40.833333333333336</v>
      </c>
      <c r="G83" s="18" t="s">
        <v>66</v>
      </c>
      <c r="H83" s="71" t="s">
        <v>190</v>
      </c>
      <c r="I83" s="75"/>
      <c r="J83" s="75"/>
      <c r="K83" s="75"/>
      <c r="L83" s="75"/>
      <c r="M83" s="75"/>
      <c r="N83" s="75"/>
      <c r="O83" s="72"/>
    </row>
    <row r="84" spans="2:15" x14ac:dyDescent="0.25">
      <c r="B84" s="79" t="s">
        <v>191</v>
      </c>
      <c r="C84" s="75"/>
      <c r="D84" s="72"/>
      <c r="E84" s="18" t="s">
        <v>192</v>
      </c>
      <c r="F84" s="35">
        <f>z_tief+dz_bezug</f>
        <v>1405</v>
      </c>
      <c r="G84" s="18" t="s">
        <v>52</v>
      </c>
      <c r="H84" s="71" t="s">
        <v>193</v>
      </c>
      <c r="I84" s="75"/>
      <c r="J84" s="75"/>
      <c r="K84" s="75"/>
      <c r="L84" s="75"/>
      <c r="M84" s="75"/>
      <c r="N84" s="75"/>
      <c r="O84" s="72"/>
    </row>
    <row r="85" spans="2:15" x14ac:dyDescent="0.25">
      <c r="B85" s="79" t="s">
        <v>194</v>
      </c>
      <c r="C85" s="75"/>
      <c r="D85" s="72"/>
      <c r="E85" s="18" t="s">
        <v>195</v>
      </c>
      <c r="F85" s="35">
        <f>z_flach+dz_bezug</f>
        <v>905</v>
      </c>
      <c r="G85" s="18" t="s">
        <v>52</v>
      </c>
      <c r="H85" s="71" t="s">
        <v>193</v>
      </c>
      <c r="I85" s="75"/>
      <c r="J85" s="75"/>
      <c r="K85" s="75"/>
      <c r="L85" s="75"/>
      <c r="M85" s="75"/>
      <c r="N85" s="75"/>
      <c r="O85" s="72"/>
    </row>
    <row r="86" spans="2:15" ht="27" customHeight="1" x14ac:dyDescent="0.25">
      <c r="B86" s="79" t="s">
        <v>196</v>
      </c>
      <c r="C86" s="75"/>
      <c r="D86" s="72"/>
      <c r="E86" s="18" t="s">
        <v>197</v>
      </c>
      <c r="F86" s="34">
        <f>T0+gradT*zb_tief</f>
        <v>52.15</v>
      </c>
      <c r="G86" s="18" t="s">
        <v>80</v>
      </c>
      <c r="H86" s="71" t="s">
        <v>198</v>
      </c>
      <c r="I86" s="75"/>
      <c r="J86" s="75"/>
      <c r="K86" s="75"/>
      <c r="L86" s="75"/>
      <c r="M86" s="75"/>
      <c r="N86" s="75"/>
      <c r="O86" s="72"/>
    </row>
    <row r="87" spans="2:15" ht="27" customHeight="1" x14ac:dyDescent="0.25">
      <c r="B87" s="79" t="s">
        <v>199</v>
      </c>
      <c r="C87" s="75"/>
      <c r="D87" s="72"/>
      <c r="E87" s="18" t="s">
        <v>200</v>
      </c>
      <c r="F87" s="34">
        <f>T0+gradT*zb_flach</f>
        <v>37.15</v>
      </c>
      <c r="G87" s="18" t="s">
        <v>80</v>
      </c>
      <c r="H87" s="71" t="s">
        <v>198</v>
      </c>
      <c r="I87" s="75"/>
      <c r="J87" s="75"/>
      <c r="K87" s="75"/>
      <c r="L87" s="75"/>
      <c r="M87" s="75"/>
      <c r="N87" s="75"/>
      <c r="O87" s="72"/>
    </row>
    <row r="88" spans="2:15" x14ac:dyDescent="0.25">
      <c r="B88" s="79" t="s">
        <v>201</v>
      </c>
      <c r="C88" s="75"/>
      <c r="D88" s="72"/>
      <c r="E88" s="18" t="s">
        <v>202</v>
      </c>
      <c r="F88" s="36">
        <f>UA_ref*(V_kav/V_ref)^(2/3)</f>
        <v>546</v>
      </c>
      <c r="G88" s="18" t="s">
        <v>110</v>
      </c>
      <c r="H88" s="71" t="s">
        <v>203</v>
      </c>
      <c r="I88" s="75"/>
      <c r="J88" s="75"/>
      <c r="K88" s="75"/>
      <c r="L88" s="75"/>
      <c r="M88" s="75"/>
      <c r="N88" s="75"/>
      <c r="O88" s="72"/>
    </row>
    <row r="89" spans="2:15" x14ac:dyDescent="0.25">
      <c r="B89" s="79" t="s">
        <v>204</v>
      </c>
      <c r="C89" s="75"/>
      <c r="D89" s="72"/>
      <c r="E89" s="18" t="s">
        <v>205</v>
      </c>
      <c r="F89" s="33">
        <f>PI()*D_strang^2/4</f>
        <v>3.1027576675068832E-2</v>
      </c>
      <c r="G89" s="18" t="s">
        <v>206</v>
      </c>
      <c r="H89" s="71" t="s">
        <v>207</v>
      </c>
      <c r="I89" s="75"/>
      <c r="J89" s="75"/>
      <c r="K89" s="75"/>
      <c r="L89" s="75"/>
      <c r="M89" s="75"/>
      <c r="N89" s="75"/>
      <c r="O89" s="72"/>
    </row>
    <row r="90" spans="2:15" x14ac:dyDescent="0.25">
      <c r="B90" s="79" t="s">
        <v>208</v>
      </c>
      <c r="C90" s="75"/>
      <c r="D90" s="72"/>
      <c r="E90" s="18" t="s">
        <v>209</v>
      </c>
      <c r="F90" s="37">
        <f>101325/(8.314462*273.15)</f>
        <v>44.615036722453112</v>
      </c>
      <c r="G90" s="18" t="s">
        <v>210</v>
      </c>
      <c r="H90" s="71" t="s">
        <v>211</v>
      </c>
      <c r="I90" s="75"/>
      <c r="J90" s="75"/>
      <c r="K90" s="75"/>
      <c r="L90" s="75"/>
      <c r="M90" s="75"/>
      <c r="N90" s="75"/>
      <c r="O90" s="72"/>
    </row>
    <row r="91" spans="2:15" x14ac:dyDescent="0.25">
      <c r="B91" s="79" t="s">
        <v>212</v>
      </c>
      <c r="C91" s="75"/>
      <c r="D91" s="72"/>
      <c r="E91" s="18" t="s">
        <v>213</v>
      </c>
      <c r="F91" s="24">
        <v>18.015000000000001</v>
      </c>
      <c r="G91" s="18" t="s">
        <v>154</v>
      </c>
      <c r="H91" s="71" t="s">
        <v>177</v>
      </c>
      <c r="I91" s="75"/>
      <c r="J91" s="75"/>
      <c r="K91" s="75"/>
      <c r="L91" s="75"/>
      <c r="M91" s="75"/>
      <c r="N91" s="75"/>
      <c r="O91" s="72"/>
    </row>
    <row r="92" spans="2:15" x14ac:dyDescent="0.25">
      <c r="B92" s="15" t="s">
        <v>214</v>
      </c>
      <c r="C92" s="16"/>
      <c r="D92" s="16"/>
      <c r="E92" s="16"/>
      <c r="F92" s="16"/>
      <c r="G92" s="16"/>
      <c r="H92" s="16"/>
      <c r="I92" s="16"/>
      <c r="J92" s="16"/>
      <c r="K92" s="16"/>
      <c r="L92" s="16"/>
      <c r="M92" s="16"/>
      <c r="N92" s="16"/>
      <c r="O92" s="16"/>
    </row>
    <row r="93" spans="2:15" x14ac:dyDescent="0.25">
      <c r="B93" s="79" t="s">
        <v>215</v>
      </c>
      <c r="C93" s="75"/>
      <c r="D93" s="72"/>
      <c r="E93" s="18" t="s">
        <v>216</v>
      </c>
      <c r="F93" s="27">
        <v>30.97820000298071</v>
      </c>
      <c r="G93" s="18" t="s">
        <v>80</v>
      </c>
      <c r="H93" s="71" t="s">
        <v>217</v>
      </c>
      <c r="I93" s="75"/>
      <c r="J93" s="75"/>
      <c r="K93" s="75"/>
      <c r="L93" s="75"/>
      <c r="M93" s="75"/>
      <c r="N93" s="75"/>
      <c r="O93" s="72"/>
    </row>
    <row r="94" spans="2:15" x14ac:dyDescent="0.25">
      <c r="B94" s="79" t="s">
        <v>218</v>
      </c>
      <c r="C94" s="75"/>
      <c r="D94" s="72"/>
      <c r="E94" s="18" t="s">
        <v>219</v>
      </c>
      <c r="F94" s="27">
        <v>73.772983734467516</v>
      </c>
      <c r="G94" s="18" t="s">
        <v>66</v>
      </c>
      <c r="H94" s="71" t="s">
        <v>220</v>
      </c>
      <c r="I94" s="75"/>
      <c r="J94" s="75"/>
      <c r="K94" s="75"/>
      <c r="L94" s="75"/>
      <c r="M94" s="75"/>
      <c r="N94" s="75"/>
      <c r="O94" s="72"/>
    </row>
    <row r="95" spans="2:15" ht="27" customHeight="1" x14ac:dyDescent="0.25">
      <c r="B95" s="79" t="s">
        <v>221</v>
      </c>
      <c r="C95" s="75"/>
      <c r="D95" s="72"/>
      <c r="E95" s="18" t="s">
        <v>222</v>
      </c>
      <c r="F95" s="31">
        <v>1.9768127414715699</v>
      </c>
      <c r="G95" s="18" t="s">
        <v>223</v>
      </c>
      <c r="H95" s="71" t="s">
        <v>220</v>
      </c>
      <c r="I95" s="75"/>
      <c r="J95" s="75"/>
      <c r="K95" s="75"/>
      <c r="L95" s="75"/>
      <c r="M95" s="75"/>
      <c r="N95" s="75"/>
      <c r="O95" s="72"/>
    </row>
    <row r="96" spans="2:15" x14ac:dyDescent="0.25">
      <c r="B96" s="79" t="s">
        <v>224</v>
      </c>
      <c r="C96" s="75"/>
      <c r="D96" s="72"/>
      <c r="E96" s="18" t="s">
        <v>225</v>
      </c>
      <c r="F96" s="31">
        <v>1.9342849983910619</v>
      </c>
      <c r="G96" s="18" t="s">
        <v>223</v>
      </c>
      <c r="H96" s="71" t="s">
        <v>226</v>
      </c>
      <c r="I96" s="75"/>
      <c r="J96" s="75"/>
      <c r="K96" s="75"/>
      <c r="L96" s="75"/>
      <c r="M96" s="75"/>
      <c r="N96" s="75"/>
      <c r="O96" s="72"/>
    </row>
    <row r="97" spans="2:15" x14ac:dyDescent="0.25">
      <c r="B97" s="79" t="s">
        <v>227</v>
      </c>
      <c r="C97" s="75"/>
      <c r="D97" s="72"/>
      <c r="E97" s="18" t="s">
        <v>228</v>
      </c>
      <c r="F97" s="27">
        <v>44.009799999999998</v>
      </c>
      <c r="G97" s="18" t="s">
        <v>154</v>
      </c>
      <c r="H97" s="71" t="s">
        <v>220</v>
      </c>
      <c r="I97" s="75"/>
      <c r="J97" s="75"/>
      <c r="K97" s="75"/>
      <c r="L97" s="75"/>
      <c r="M97" s="75"/>
      <c r="N97" s="75"/>
      <c r="O97" s="72"/>
    </row>
    <row r="98" spans="2:15" x14ac:dyDescent="0.25">
      <c r="B98" s="79" t="s">
        <v>229</v>
      </c>
      <c r="C98" s="75"/>
      <c r="D98" s="72"/>
      <c r="E98" s="18" t="s">
        <v>230</v>
      </c>
      <c r="F98" s="27">
        <v>43.079631020000001</v>
      </c>
      <c r="G98" s="18" t="s">
        <v>154</v>
      </c>
      <c r="H98" s="71" t="s">
        <v>220</v>
      </c>
      <c r="I98" s="75"/>
      <c r="J98" s="75"/>
      <c r="K98" s="75"/>
      <c r="L98" s="75"/>
      <c r="M98" s="75"/>
      <c r="N98" s="75"/>
      <c r="O98" s="72"/>
    </row>
    <row r="99" spans="2:15" x14ac:dyDescent="0.25">
      <c r="B99" s="79" t="s">
        <v>231</v>
      </c>
      <c r="C99" s="75"/>
      <c r="D99" s="72"/>
      <c r="E99" s="18" t="s">
        <v>232</v>
      </c>
      <c r="F99" s="27">
        <v>16.0428</v>
      </c>
      <c r="G99" s="18" t="s">
        <v>154</v>
      </c>
      <c r="H99" s="71" t="s">
        <v>220</v>
      </c>
      <c r="I99" s="75"/>
      <c r="J99" s="75"/>
      <c r="K99" s="75"/>
      <c r="L99" s="75"/>
      <c r="M99" s="75"/>
      <c r="N99" s="75"/>
      <c r="O99" s="72"/>
    </row>
    <row r="100" spans="2:15" ht="27" customHeight="1" x14ac:dyDescent="0.25">
      <c r="B100" s="79" t="s">
        <v>233</v>
      </c>
      <c r="C100" s="75"/>
      <c r="D100" s="72"/>
      <c r="E100" s="18" t="s">
        <v>234</v>
      </c>
      <c r="F100" s="35">
        <f>(T_krit-T0)/gradT</f>
        <v>699.27333343269038</v>
      </c>
      <c r="G100" s="18" t="s">
        <v>52</v>
      </c>
      <c r="H100" s="71" t="s">
        <v>235</v>
      </c>
      <c r="I100" s="75"/>
      <c r="J100" s="75"/>
      <c r="K100" s="75"/>
      <c r="L100" s="75"/>
      <c r="M100" s="75"/>
      <c r="N100" s="75"/>
      <c r="O100" s="72"/>
    </row>
    <row r="102" spans="2:15" x14ac:dyDescent="0.25">
      <c r="B102" s="74" t="s">
        <v>236</v>
      </c>
      <c r="C102" s="75"/>
      <c r="D102" s="75"/>
      <c r="E102" s="75"/>
      <c r="F102" s="75"/>
      <c r="G102" s="75"/>
      <c r="H102" s="75"/>
      <c r="I102" s="75"/>
      <c r="J102" s="75"/>
      <c r="K102" s="75"/>
      <c r="L102" s="75"/>
      <c r="M102" s="75"/>
      <c r="N102" s="75"/>
      <c r="O102" s="72"/>
    </row>
    <row r="103" spans="2:15" x14ac:dyDescent="0.25">
      <c r="B103" s="71" t="s">
        <v>237</v>
      </c>
      <c r="C103" s="75"/>
      <c r="D103" s="75"/>
      <c r="E103" s="72"/>
      <c r="F103" s="38">
        <f>Kopf_voll_tief</f>
        <v>107.603219569636</v>
      </c>
      <c r="G103" s="18" t="s">
        <v>66</v>
      </c>
      <c r="H103" s="71" t="str">
        <f>"Gemisch: "&amp;TEXT(Kopf_voll_tief_gem,"0.0")&amp;" bar – Zieldruck der Einspeicherung (Blatt 01, 05)"</f>
        <v>Gemisch: 115 bar – Zieldruck der Einspeicherung (Blatt 01, 05)</v>
      </c>
      <c r="I103" s="75"/>
      <c r="J103" s="75"/>
      <c r="K103" s="75"/>
      <c r="L103" s="75"/>
      <c r="M103" s="75"/>
      <c r="N103" s="75"/>
      <c r="O103" s="72"/>
    </row>
    <row r="104" spans="2:15" x14ac:dyDescent="0.25">
      <c r="B104" s="71" t="s">
        <v>238</v>
      </c>
      <c r="C104" s="75"/>
      <c r="D104" s="75"/>
      <c r="E104" s="72"/>
      <c r="F104" s="38">
        <f>Kopf_leer_tief</f>
        <v>44.992994186969852</v>
      </c>
      <c r="G104" s="18" t="s">
        <v>66</v>
      </c>
      <c r="H104" s="71" t="s">
        <v>239</v>
      </c>
      <c r="I104" s="75"/>
      <c r="J104" s="75"/>
      <c r="K104" s="75"/>
      <c r="L104" s="75"/>
      <c r="M104" s="75"/>
      <c r="N104" s="75"/>
      <c r="O104" s="72"/>
    </row>
    <row r="105" spans="2:15" x14ac:dyDescent="0.25">
      <c r="B105" s="71" t="s">
        <v>240</v>
      </c>
      <c r="C105" s="75"/>
      <c r="D105" s="75"/>
      <c r="E105" s="72"/>
      <c r="F105" s="39">
        <f>AG_lang_tief</f>
        <v>0.77269440982048454</v>
      </c>
      <c r="G105" s="18" t="s">
        <v>75</v>
      </c>
      <c r="H105" s="71" t="str">
        <f>"schnell nur "&amp;TEXT(AG_schnell_tief,"0%")&amp;" – die Rate entscheidet (Blatt 02)"</f>
        <v>schnell nur 11% – die Rate entscheidet (Blatt 02)</v>
      </c>
      <c r="I105" s="75"/>
      <c r="J105" s="75"/>
      <c r="K105" s="75"/>
      <c r="L105" s="75"/>
      <c r="M105" s="75"/>
      <c r="N105" s="75"/>
      <c r="O105" s="72"/>
    </row>
    <row r="106" spans="2:15" x14ac:dyDescent="0.25">
      <c r="B106" s="71" t="s">
        <v>241</v>
      </c>
      <c r="C106" s="75"/>
      <c r="D106" s="75"/>
      <c r="E106" s="72"/>
      <c r="F106" s="39">
        <f>AG_zyk_tief_100</f>
        <v>0.73000538489773847</v>
      </c>
      <c r="G106" s="18" t="s">
        <v>75</v>
      </c>
      <c r="H106" s="71" t="s">
        <v>242</v>
      </c>
      <c r="I106" s="75"/>
      <c r="J106" s="75"/>
      <c r="K106" s="75"/>
      <c r="L106" s="75"/>
      <c r="M106" s="75"/>
      <c r="N106" s="75"/>
      <c r="O106" s="72"/>
    </row>
    <row r="107" spans="2:15" x14ac:dyDescent="0.25">
      <c r="B107" s="71" t="s">
        <v>243</v>
      </c>
      <c r="C107" s="75"/>
      <c r="D107" s="75"/>
      <c r="E107" s="72"/>
      <c r="F107" s="40">
        <f>Grenzrate_flach</f>
        <v>54967.744400064483</v>
      </c>
      <c r="G107" s="18" t="s">
        <v>89</v>
      </c>
      <c r="H107" s="71" t="s">
        <v>244</v>
      </c>
      <c r="I107" s="75"/>
      <c r="J107" s="75"/>
      <c r="K107" s="75"/>
      <c r="L107" s="75"/>
      <c r="M107" s="75"/>
      <c r="N107" s="75"/>
      <c r="O107" s="72"/>
    </row>
    <row r="108" spans="2:15" x14ac:dyDescent="0.25">
      <c r="B108" s="71" t="s">
        <v>245</v>
      </c>
      <c r="C108" s="75"/>
      <c r="D108" s="75"/>
      <c r="E108" s="72"/>
      <c r="F108" s="41">
        <f>Schwelle_tief</f>
        <v>152.9777001394649</v>
      </c>
      <c r="G108" s="18" t="s">
        <v>66</v>
      </c>
      <c r="H108" s="71" t="s">
        <v>246</v>
      </c>
      <c r="I108" s="75"/>
      <c r="J108" s="75"/>
      <c r="K108" s="75"/>
      <c r="L108" s="75"/>
      <c r="M108" s="75"/>
      <c r="N108" s="75"/>
      <c r="O108" s="72"/>
    </row>
    <row r="109" spans="2:15" x14ac:dyDescent="0.25">
      <c r="B109" s="71" t="s">
        <v>247</v>
      </c>
      <c r="C109" s="75"/>
      <c r="D109" s="75"/>
      <c r="E109" s="72"/>
      <c r="F109" s="42">
        <f>Wasser_gNm3</f>
        <v>6.051399886962149</v>
      </c>
      <c r="G109" s="18" t="s">
        <v>248</v>
      </c>
      <c r="H109" s="71" t="s">
        <v>249</v>
      </c>
      <c r="I109" s="75"/>
      <c r="J109" s="75"/>
      <c r="K109" s="75"/>
      <c r="L109" s="75"/>
      <c r="M109" s="75"/>
      <c r="N109" s="75"/>
      <c r="O109" s="72"/>
    </row>
    <row r="110" spans="2:15" x14ac:dyDescent="0.25">
      <c r="B110" s="71" t="s">
        <v>250</v>
      </c>
      <c r="C110" s="75"/>
      <c r="D110" s="75"/>
      <c r="E110" s="72"/>
      <c r="F110" s="43">
        <f>CO2_aus_tief_gem</f>
        <v>0.94099471144441527</v>
      </c>
      <c r="G110" s="18" t="s">
        <v>251</v>
      </c>
      <c r="H110" s="71" t="s">
        <v>252</v>
      </c>
      <c r="I110" s="75"/>
      <c r="J110" s="75"/>
      <c r="K110" s="75"/>
      <c r="L110" s="75"/>
      <c r="M110" s="75"/>
      <c r="N110" s="75"/>
      <c r="O110" s="72"/>
    </row>
  </sheetData>
  <mergeCells count="198">
    <mergeCell ref="B110:E110"/>
    <mergeCell ref="H56:L56"/>
    <mergeCell ref="H68:L68"/>
    <mergeCell ref="N68:O68"/>
    <mergeCell ref="N46:O46"/>
    <mergeCell ref="B84:D84"/>
    <mergeCell ref="B109:E109"/>
    <mergeCell ref="H49:L49"/>
    <mergeCell ref="N61:O61"/>
    <mergeCell ref="B106:E106"/>
    <mergeCell ref="H108:O108"/>
    <mergeCell ref="B107:E107"/>
    <mergeCell ref="H104:O104"/>
    <mergeCell ref="B89:D89"/>
    <mergeCell ref="H110:O110"/>
    <mergeCell ref="N64:O64"/>
    <mergeCell ref="N73:O73"/>
    <mergeCell ref="B79:D79"/>
    <mergeCell ref="H100:O100"/>
    <mergeCell ref="H109:O109"/>
    <mergeCell ref="H72:L72"/>
    <mergeCell ref="B97:D97"/>
    <mergeCell ref="H84:O84"/>
    <mergeCell ref="H97:O97"/>
    <mergeCell ref="B94:D94"/>
    <mergeCell ref="N38:O38"/>
    <mergeCell ref="H99:O99"/>
    <mergeCell ref="H66:L66"/>
    <mergeCell ref="B62:D62"/>
    <mergeCell ref="H75:L75"/>
    <mergeCell ref="B54:D54"/>
    <mergeCell ref="N40:O40"/>
    <mergeCell ref="B72:D72"/>
    <mergeCell ref="B56:D56"/>
    <mergeCell ref="B66:D66"/>
    <mergeCell ref="H96:O96"/>
    <mergeCell ref="B93:D93"/>
    <mergeCell ref="B55:D55"/>
    <mergeCell ref="B64:D64"/>
    <mergeCell ref="H52:L52"/>
    <mergeCell ref="B95:D95"/>
    <mergeCell ref="B42:D42"/>
    <mergeCell ref="B60:D60"/>
    <mergeCell ref="N76:O76"/>
    <mergeCell ref="H43:L43"/>
    <mergeCell ref="H54:L54"/>
    <mergeCell ref="B44:D44"/>
    <mergeCell ref="H41:L41"/>
    <mergeCell ref="E15:O15"/>
    <mergeCell ref="B50:D50"/>
    <mergeCell ref="N59:O59"/>
    <mergeCell ref="B91:D91"/>
    <mergeCell ref="H80:O80"/>
    <mergeCell ref="H47:L47"/>
    <mergeCell ref="N60:O60"/>
    <mergeCell ref="N39:O39"/>
    <mergeCell ref="B20:D20"/>
    <mergeCell ref="N28:P30"/>
    <mergeCell ref="B80:D80"/>
    <mergeCell ref="E34:O34"/>
    <mergeCell ref="H69:L69"/>
    <mergeCell ref="F28:H30"/>
    <mergeCell ref="B53:D53"/>
    <mergeCell ref="N66:O66"/>
    <mergeCell ref="N75:O75"/>
    <mergeCell ref="N53:O53"/>
    <mergeCell ref="H74:L74"/>
    <mergeCell ref="E21:O21"/>
    <mergeCell ref="H38:L38"/>
    <mergeCell ref="B17:D17"/>
    <mergeCell ref="N50:O50"/>
    <mergeCell ref="B73:D73"/>
    <mergeCell ref="B88:D88"/>
    <mergeCell ref="B36:D36"/>
    <mergeCell ref="N44:O44"/>
    <mergeCell ref="B76:D76"/>
    <mergeCell ref="N67:O67"/>
    <mergeCell ref="B85:D85"/>
    <mergeCell ref="B104:E104"/>
    <mergeCell ref="E14:O14"/>
    <mergeCell ref="J24:L26"/>
    <mergeCell ref="H58:L58"/>
    <mergeCell ref="H40:L40"/>
    <mergeCell ref="B19:D19"/>
    <mergeCell ref="B99:D99"/>
    <mergeCell ref="H73:L73"/>
    <mergeCell ref="H51:L51"/>
    <mergeCell ref="N42:O42"/>
    <mergeCell ref="H60:L60"/>
    <mergeCell ref="B74:D74"/>
    <mergeCell ref="B68:D68"/>
    <mergeCell ref="B83:D83"/>
    <mergeCell ref="H89:O89"/>
    <mergeCell ref="H98:O98"/>
    <mergeCell ref="N52:O52"/>
    <mergeCell ref="H79:O79"/>
    <mergeCell ref="H88:O88"/>
    <mergeCell ref="B96:D96"/>
    <mergeCell ref="B70:D70"/>
    <mergeCell ref="B43:D43"/>
    <mergeCell ref="F24:H26"/>
    <mergeCell ref="B98:D98"/>
    <mergeCell ref="B100:D100"/>
    <mergeCell ref="B47:D47"/>
    <mergeCell ref="N69:O69"/>
    <mergeCell ref="H105:O105"/>
    <mergeCell ref="B59:D59"/>
    <mergeCell ref="H87:O87"/>
    <mergeCell ref="E20:O20"/>
    <mergeCell ref="B49:D49"/>
    <mergeCell ref="H46:L46"/>
    <mergeCell ref="H64:L64"/>
    <mergeCell ref="N58:O58"/>
    <mergeCell ref="H85:O85"/>
    <mergeCell ref="B23:O23"/>
    <mergeCell ref="H94:O94"/>
    <mergeCell ref="H61:L61"/>
    <mergeCell ref="B51:D51"/>
    <mergeCell ref="H70:L70"/>
    <mergeCell ref="B24:D26"/>
    <mergeCell ref="B105:E105"/>
    <mergeCell ref="B41:D41"/>
    <mergeCell ref="H44:L44"/>
    <mergeCell ref="B82:D82"/>
    <mergeCell ref="N51:O51"/>
    <mergeCell ref="H103:O103"/>
    <mergeCell ref="H106:O106"/>
    <mergeCell ref="B108:E108"/>
    <mergeCell ref="H53:L53"/>
    <mergeCell ref="B67:D67"/>
    <mergeCell ref="B61:D61"/>
    <mergeCell ref="N47:O47"/>
    <mergeCell ref="H50:L50"/>
    <mergeCell ref="H55:L55"/>
    <mergeCell ref="B69:D69"/>
    <mergeCell ref="B102:O102"/>
    <mergeCell ref="N72:O72"/>
    <mergeCell ref="N62:O62"/>
    <mergeCell ref="N71:O71"/>
    <mergeCell ref="B103:E103"/>
    <mergeCell ref="H107:O107"/>
    <mergeCell ref="N55:O55"/>
    <mergeCell ref="N70:O70"/>
    <mergeCell ref="H91:O91"/>
    <mergeCell ref="H67:L67"/>
    <mergeCell ref="H82:O82"/>
    <mergeCell ref="N54:O54"/>
    <mergeCell ref="H93:O93"/>
    <mergeCell ref="B87:D87"/>
    <mergeCell ref="N56:O56"/>
    <mergeCell ref="H95:O95"/>
    <mergeCell ref="H62:L62"/>
    <mergeCell ref="B33:O33"/>
    <mergeCell ref="B18:D18"/>
    <mergeCell ref="B58:D58"/>
    <mergeCell ref="H71:L71"/>
    <mergeCell ref="B52:D52"/>
    <mergeCell ref="B6:H11"/>
    <mergeCell ref="H76:L76"/>
    <mergeCell ref="B86:D86"/>
    <mergeCell ref="B38:D38"/>
    <mergeCell ref="E17:O17"/>
    <mergeCell ref="H39:L39"/>
    <mergeCell ref="B28:D30"/>
    <mergeCell ref="B40:D40"/>
    <mergeCell ref="E19:O19"/>
    <mergeCell ref="H36:L36"/>
    <mergeCell ref="B15:D15"/>
    <mergeCell ref="K7:O7"/>
    <mergeCell ref="B46:D46"/>
    <mergeCell ref="E16:O16"/>
    <mergeCell ref="H42:L42"/>
    <mergeCell ref="B21:D21"/>
    <mergeCell ref="B39:D39"/>
    <mergeCell ref="K6:O6"/>
    <mergeCell ref="N49:O49"/>
    <mergeCell ref="N74:O74"/>
    <mergeCell ref="N36:O36"/>
    <mergeCell ref="B32:O32"/>
    <mergeCell ref="N24:P26"/>
    <mergeCell ref="B16:D16"/>
    <mergeCell ref="B81:D81"/>
    <mergeCell ref="B90:D90"/>
    <mergeCell ref="H86:O86"/>
    <mergeCell ref="B71:D71"/>
    <mergeCell ref="J28:L30"/>
    <mergeCell ref="E18:O18"/>
    <mergeCell ref="B14:D14"/>
    <mergeCell ref="N41:O41"/>
    <mergeCell ref="H83:O83"/>
    <mergeCell ref="N43:O43"/>
    <mergeCell ref="H59:L59"/>
    <mergeCell ref="K8:O8"/>
    <mergeCell ref="H81:O81"/>
    <mergeCell ref="H90:O90"/>
    <mergeCell ref="B75:D75"/>
    <mergeCell ref="K9:O9"/>
    <mergeCell ref="K10:O10"/>
  </mergeCells>
  <conditionalFormatting sqref="M38:M43 M46:M47 M49:M56 M58 M60 M62 F93:F99">
    <cfRule type="expression" dxfId="7" priority="1">
      <formula>NOT(Stand_ok)</formula>
    </cfRule>
  </conditionalFormatting>
  <hyperlinks>
    <hyperlink ref="B14" location="'01 Stillstand'!A1" display="→ 01 Stillstand" xr:uid="{00000000-0004-0000-0000-000000000000}"/>
    <hyperlink ref="B15" location="'02 Arbeitsgas &amp; Teufe'!A1" display="→ 02 Arbeitsgas &amp; Teufe" xr:uid="{00000000-0004-0000-0000-000001000000}"/>
    <hyperlink ref="B16" location="'03 Raten'!A1" display="→ 03 Raten" xr:uid="{00000000-0004-0000-0000-000002000000}"/>
    <hyperlink ref="B17" location="'04 Bohrlochkopf'!A1" display="→ 04 Bohrlochkopf" xr:uid="{00000000-0004-0000-0000-000003000000}"/>
    <hyperlink ref="B18" location="'05 Gemisch vs rein'!A1" display="→ 05 Gemisch vs rein" xr:uid="{00000000-0004-0000-0000-000004000000}"/>
    <hyperlink ref="B19" location="'06 Ausspeichergas'!A1" display="→ 06 Ausspeichergas" xr:uid="{00000000-0004-0000-0000-000005000000}"/>
    <hyperlink ref="B20" location="'Quellen'!A1" display="→ Quellen" xr:uid="{00000000-0004-0000-0000-000006000000}"/>
    <hyperlink ref="B21" location="'Diagrammdaten'!A1" display="→ Diagrammdaten" xr:uid="{00000000-0004-0000-0000-00000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B1:L81"/>
  <sheetViews>
    <sheetView showGridLines="0" topLeftCell="A49" workbookViewId="0"/>
  </sheetViews>
  <sheetFormatPr baseColWidth="10" defaultColWidth="9.140625" defaultRowHeight="15" x14ac:dyDescent="0.25"/>
  <cols>
    <col min="1" max="1" width="2.7109375" customWidth="1"/>
    <col min="2" max="2" width="38" customWidth="1"/>
    <col min="3" max="7" width="13" customWidth="1"/>
    <col min="8" max="8" width="26" customWidth="1"/>
    <col min="9" max="12" width="13" customWidth="1"/>
  </cols>
  <sheetData>
    <row r="1" spans="2:12" ht="21" x14ac:dyDescent="0.25">
      <c r="B1" s="1" t="s">
        <v>253</v>
      </c>
    </row>
    <row r="2" spans="2:12" x14ac:dyDescent="0.25">
      <c r="B2" s="2" t="s">
        <v>254</v>
      </c>
    </row>
    <row r="3" spans="2:12" x14ac:dyDescent="0.25">
      <c r="B3" s="9" t="s">
        <v>255</v>
      </c>
    </row>
    <row r="4" spans="2:12" ht="179.65" customHeight="1" x14ac:dyDescent="0.25">
      <c r="B4" s="87" t="s">
        <v>256</v>
      </c>
      <c r="C4" s="88"/>
      <c r="D4" s="88"/>
      <c r="E4" s="88"/>
      <c r="F4" s="88"/>
      <c r="G4" s="88"/>
      <c r="H4" s="88"/>
      <c r="I4" s="88"/>
      <c r="J4" s="88"/>
      <c r="K4" s="88"/>
      <c r="L4" s="88"/>
    </row>
    <row r="6" spans="2:12" x14ac:dyDescent="0.25">
      <c r="B6" s="3" t="s">
        <v>257</v>
      </c>
    </row>
    <row r="7" spans="2:12" ht="30" customHeight="1" x14ac:dyDescent="0.25">
      <c r="B7" s="14" t="s">
        <v>43</v>
      </c>
      <c r="C7" s="14" t="s">
        <v>258</v>
      </c>
      <c r="D7" s="14" t="s">
        <v>259</v>
      </c>
      <c r="E7" s="14" t="s">
        <v>46</v>
      </c>
      <c r="F7" s="73" t="s">
        <v>260</v>
      </c>
      <c r="G7" s="75"/>
      <c r="H7" s="75"/>
      <c r="I7" s="75"/>
      <c r="J7" s="72"/>
    </row>
    <row r="8" spans="2:12" x14ac:dyDescent="0.25">
      <c r="B8" s="18" t="s">
        <v>261</v>
      </c>
      <c r="C8" s="35">
        <f>z_tief</f>
        <v>1200</v>
      </c>
      <c r="D8" s="35">
        <f>z_flach</f>
        <v>700</v>
      </c>
      <c r="E8" s="18" t="s">
        <v>52</v>
      </c>
      <c r="F8" s="71" t="s">
        <v>262</v>
      </c>
      <c r="G8" s="75"/>
      <c r="H8" s="75"/>
      <c r="I8" s="75"/>
      <c r="J8" s="72"/>
    </row>
    <row r="9" spans="2:12" x14ac:dyDescent="0.25">
      <c r="B9" s="18" t="s">
        <v>263</v>
      </c>
      <c r="C9" s="35">
        <f>zb_tief</f>
        <v>1405</v>
      </c>
      <c r="D9" s="35">
        <f>zb_flach</f>
        <v>905</v>
      </c>
      <c r="E9" s="18" t="s">
        <v>52</v>
      </c>
      <c r="F9" s="71" t="s">
        <v>264</v>
      </c>
      <c r="G9" s="75"/>
      <c r="H9" s="75"/>
      <c r="I9" s="75"/>
      <c r="J9" s="72"/>
    </row>
    <row r="10" spans="2:12" x14ac:dyDescent="0.25">
      <c r="B10" s="18" t="s">
        <v>265</v>
      </c>
      <c r="C10" s="34">
        <f>T0+gradT*z_tief</f>
        <v>46</v>
      </c>
      <c r="D10" s="34">
        <f>T0+gradT*z_flach</f>
        <v>31</v>
      </c>
      <c r="E10" s="18" t="s">
        <v>80</v>
      </c>
      <c r="F10" s="71" t="s">
        <v>198</v>
      </c>
      <c r="G10" s="75"/>
      <c r="H10" s="75"/>
      <c r="I10" s="75"/>
      <c r="J10" s="72"/>
    </row>
    <row r="11" spans="2:12" x14ac:dyDescent="0.25">
      <c r="B11" s="18" t="s">
        <v>266</v>
      </c>
      <c r="C11" s="34">
        <f>Tb_tief</f>
        <v>52.15</v>
      </c>
      <c r="D11" s="34">
        <f>Tb_flach</f>
        <v>37.15</v>
      </c>
      <c r="E11" s="18" t="s">
        <v>80</v>
      </c>
      <c r="F11" s="71" t="s">
        <v>267</v>
      </c>
      <c r="G11" s="75"/>
      <c r="H11" s="75"/>
      <c r="I11" s="75"/>
      <c r="J11" s="72"/>
    </row>
    <row r="12" spans="2:12" x14ac:dyDescent="0.25">
      <c r="B12" s="18" t="s">
        <v>268</v>
      </c>
      <c r="C12" s="44">
        <f>Tb_tief-T_krit</f>
        <v>21.171799997019288</v>
      </c>
      <c r="D12" s="44">
        <f>Tb_flach-T_krit</f>
        <v>6.1717999970192885</v>
      </c>
      <c r="E12" s="18" t="s">
        <v>134</v>
      </c>
      <c r="F12" s="71" t="s">
        <v>269</v>
      </c>
      <c r="G12" s="75"/>
      <c r="H12" s="75"/>
      <c r="I12" s="75"/>
      <c r="J12" s="72"/>
    </row>
    <row r="13" spans="2:12" x14ac:dyDescent="0.25">
      <c r="B13" s="18" t="s">
        <v>270</v>
      </c>
      <c r="C13" s="34">
        <f>pmax_tief</f>
        <v>210</v>
      </c>
      <c r="D13" s="34">
        <f>pmax_flach</f>
        <v>122.49999999999999</v>
      </c>
      <c r="E13" s="18" t="s">
        <v>66</v>
      </c>
      <c r="F13" s="71" t="s">
        <v>271</v>
      </c>
      <c r="G13" s="75"/>
      <c r="H13" s="75"/>
      <c r="I13" s="75"/>
      <c r="J13" s="72"/>
    </row>
    <row r="14" spans="2:12" x14ac:dyDescent="0.25">
      <c r="B14" s="18" t="s">
        <v>272</v>
      </c>
      <c r="C14" s="34">
        <f>pmin_tief</f>
        <v>70</v>
      </c>
      <c r="D14" s="34">
        <f>pmin_flach</f>
        <v>40.833333333333336</v>
      </c>
      <c r="E14" s="18" t="s">
        <v>66</v>
      </c>
      <c r="F14" s="71" t="s">
        <v>271</v>
      </c>
      <c r="G14" s="75"/>
      <c r="H14" s="75"/>
      <c r="I14" s="75"/>
      <c r="J14" s="72"/>
    </row>
    <row r="15" spans="2:12" x14ac:dyDescent="0.25">
      <c r="B15" s="18" t="s">
        <v>273</v>
      </c>
      <c r="C15" s="36">
        <f>rho_salz*g*z_tief/100000</f>
        <v>258.98399999999998</v>
      </c>
      <c r="D15" s="36">
        <f>rho_salz*g*z_flach/100000</f>
        <v>151.07400000000001</v>
      </c>
      <c r="E15" s="18" t="s">
        <v>66</v>
      </c>
      <c r="F15" s="71" t="s">
        <v>274</v>
      </c>
      <c r="G15" s="75"/>
      <c r="H15" s="75"/>
      <c r="I15" s="75"/>
      <c r="J15" s="72"/>
    </row>
    <row r="16" spans="2:12" x14ac:dyDescent="0.25">
      <c r="B16" s="18" t="s">
        <v>275</v>
      </c>
      <c r="C16" s="37">
        <f>C13/C15</f>
        <v>0.81086090260402188</v>
      </c>
      <c r="D16" s="37">
        <f>D13/D15</f>
        <v>0.81086090260402166</v>
      </c>
      <c r="E16" s="18" t="s">
        <v>75</v>
      </c>
      <c r="F16" s="71" t="s">
        <v>276</v>
      </c>
      <c r="G16" s="75"/>
      <c r="H16" s="75"/>
      <c r="I16" s="75"/>
      <c r="J16" s="72"/>
    </row>
    <row r="17" spans="2:12" x14ac:dyDescent="0.25">
      <c r="B17" s="18" t="s">
        <v>233</v>
      </c>
      <c r="C17" s="35">
        <f>z_Tkrit</f>
        <v>699.27333343269038</v>
      </c>
      <c r="D17" s="35">
        <f>z_Tkrit</f>
        <v>699.27333343269038</v>
      </c>
      <c r="E17" s="18" t="s">
        <v>52</v>
      </c>
      <c r="F17" s="71" t="s">
        <v>277</v>
      </c>
      <c r="G17" s="75"/>
      <c r="H17" s="75"/>
      <c r="I17" s="75"/>
      <c r="J17" s="72"/>
    </row>
    <row r="19" spans="2:12" x14ac:dyDescent="0.25">
      <c r="B19" s="3" t="s">
        <v>278</v>
      </c>
    </row>
    <row r="20" spans="2:12" ht="32.1" customHeight="1" x14ac:dyDescent="0.25">
      <c r="B20" s="14" t="s">
        <v>279</v>
      </c>
      <c r="C20" s="14" t="s">
        <v>280</v>
      </c>
      <c r="D20" s="14" t="s">
        <v>281</v>
      </c>
      <c r="E20" s="14" t="s">
        <v>282</v>
      </c>
      <c r="F20" s="14" t="s">
        <v>283</v>
      </c>
      <c r="G20" s="14" t="s">
        <v>284</v>
      </c>
      <c r="H20" s="14" t="s">
        <v>285</v>
      </c>
      <c r="I20" s="73" t="s">
        <v>286</v>
      </c>
      <c r="J20" s="75"/>
      <c r="K20" s="75"/>
      <c r="L20" s="72"/>
    </row>
    <row r="21" spans="2:12" x14ac:dyDescent="0.25">
      <c r="B21" s="45" t="s">
        <v>287</v>
      </c>
      <c r="C21" s="34">
        <f>pmax_tief</f>
        <v>210</v>
      </c>
      <c r="D21" s="46">
        <v>107.603219569636</v>
      </c>
      <c r="E21" s="34">
        <f>C21-D21</f>
        <v>102.396780430364</v>
      </c>
      <c r="F21" s="29">
        <v>926.32203680404973</v>
      </c>
      <c r="G21" s="29">
        <v>817.60426652443198</v>
      </c>
      <c r="H21" s="5" t="s">
        <v>288</v>
      </c>
      <c r="I21" s="71" t="s">
        <v>289</v>
      </c>
      <c r="J21" s="75"/>
      <c r="K21" s="75"/>
      <c r="L21" s="72"/>
    </row>
    <row r="22" spans="2:12" x14ac:dyDescent="0.25">
      <c r="B22" s="45" t="s">
        <v>290</v>
      </c>
      <c r="C22" s="22">
        <v>171.65227723953399</v>
      </c>
      <c r="D22" s="46">
        <v>73.772983734405997</v>
      </c>
      <c r="E22" s="34">
        <f>C22-D22</f>
        <v>97.87929350512799</v>
      </c>
      <c r="F22" s="29">
        <v>897.02184237551046</v>
      </c>
      <c r="G22" s="29">
        <v>771.25519736750493</v>
      </c>
      <c r="H22" s="5" t="s">
        <v>291</v>
      </c>
      <c r="I22" s="71" t="s">
        <v>292</v>
      </c>
      <c r="J22" s="75"/>
      <c r="K22" s="75"/>
      <c r="L22" s="72"/>
    </row>
    <row r="23" spans="2:12" x14ac:dyDescent="0.25">
      <c r="B23" s="45" t="s">
        <v>293</v>
      </c>
      <c r="C23" s="34">
        <f>pmin_tief</f>
        <v>70</v>
      </c>
      <c r="D23" s="46">
        <v>44.992994186969852</v>
      </c>
      <c r="E23" s="34">
        <f>C23-D23</f>
        <v>25.007005813030148</v>
      </c>
      <c r="F23" s="29" t="s">
        <v>294</v>
      </c>
      <c r="G23" s="29">
        <v>180.73731839070081</v>
      </c>
      <c r="H23" s="5" t="s">
        <v>295</v>
      </c>
      <c r="I23" s="71" t="s">
        <v>296</v>
      </c>
      <c r="J23" s="75"/>
      <c r="K23" s="75"/>
      <c r="L23" s="72"/>
    </row>
    <row r="24" spans="2:12" x14ac:dyDescent="0.25">
      <c r="B24" s="45" t="s">
        <v>297</v>
      </c>
      <c r="C24" s="34">
        <f>pmax_flach</f>
        <v>122.49999999999999</v>
      </c>
      <c r="D24" s="46">
        <v>64.451601415047293</v>
      </c>
      <c r="E24" s="34">
        <f>C24-D24</f>
        <v>58.048398584952693</v>
      </c>
      <c r="F24" s="29">
        <v>887.0117119116203</v>
      </c>
      <c r="G24" s="29">
        <v>805.01931822061511</v>
      </c>
      <c r="H24" s="5" t="s">
        <v>291</v>
      </c>
      <c r="I24" s="71" t="s">
        <v>298</v>
      </c>
      <c r="J24" s="75"/>
      <c r="K24" s="75"/>
      <c r="L24" s="72"/>
    </row>
    <row r="25" spans="2:12" x14ac:dyDescent="0.25">
      <c r="B25" s="45" t="s">
        <v>299</v>
      </c>
      <c r="C25" s="34">
        <f>pmin_flach</f>
        <v>40.833333333333336</v>
      </c>
      <c r="D25" s="46">
        <v>34.702663420089401</v>
      </c>
      <c r="E25" s="34">
        <f>C25-D25</f>
        <v>6.1306699132439348</v>
      </c>
      <c r="F25" s="29">
        <v>86.927627812342095</v>
      </c>
      <c r="G25" s="29">
        <v>91.608461624269168</v>
      </c>
      <c r="H25" s="5" t="s">
        <v>295</v>
      </c>
      <c r="I25" s="71" t="s">
        <v>300</v>
      </c>
      <c r="J25" s="75"/>
      <c r="K25" s="75"/>
      <c r="L25" s="72"/>
    </row>
    <row r="27" spans="2:12" x14ac:dyDescent="0.25">
      <c r="B27" s="3" t="s">
        <v>301</v>
      </c>
    </row>
    <row r="49" spans="2:10" ht="74.099999999999994" customHeight="1" x14ac:dyDescent="0.25">
      <c r="B49" s="87" t="s">
        <v>302</v>
      </c>
      <c r="C49" s="88"/>
      <c r="D49" s="88"/>
      <c r="E49" s="88"/>
      <c r="F49" s="88"/>
      <c r="G49" s="88"/>
      <c r="H49" s="88"/>
      <c r="I49" s="88"/>
      <c r="J49" s="88"/>
    </row>
    <row r="51" spans="2:10" x14ac:dyDescent="0.25">
      <c r="B51" s="3" t="s">
        <v>303</v>
      </c>
    </row>
    <row r="52" spans="2:10" x14ac:dyDescent="0.25">
      <c r="B52" s="47" t="s">
        <v>304</v>
      </c>
    </row>
    <row r="53" spans="2:10" ht="44.1" customHeight="1" x14ac:dyDescent="0.25">
      <c r="B53" s="14" t="s">
        <v>305</v>
      </c>
      <c r="C53" s="14" t="s">
        <v>306</v>
      </c>
      <c r="D53" s="14" t="s">
        <v>307</v>
      </c>
      <c r="E53" s="14" t="s">
        <v>308</v>
      </c>
      <c r="F53" s="14" t="s">
        <v>309</v>
      </c>
    </row>
    <row r="54" spans="2:10" x14ac:dyDescent="0.25">
      <c r="B54" s="35">
        <v>0</v>
      </c>
      <c r="C54" s="34">
        <f t="shared" ref="C54:C78" si="0">T0+gradT*B54</f>
        <v>10</v>
      </c>
      <c r="D54" s="22">
        <v>926.32203680404973</v>
      </c>
      <c r="E54" s="37">
        <f t="shared" ref="E54:E77" si="1">(D54+D55)/2*g*(B55-B54)/100000</f>
        <v>4.5314561034314877</v>
      </c>
      <c r="F54" s="37">
        <f t="shared" ref="F54:F77" si="2">F55-E54</f>
        <v>107.59214293471646</v>
      </c>
    </row>
    <row r="55" spans="2:10" x14ac:dyDescent="0.25">
      <c r="B55" s="35">
        <v>50</v>
      </c>
      <c r="C55" s="34">
        <f t="shared" si="0"/>
        <v>11.5</v>
      </c>
      <c r="D55" s="22">
        <v>921.36648651154132</v>
      </c>
      <c r="E55" s="37">
        <f t="shared" si="1"/>
        <v>4.5072100899635812</v>
      </c>
      <c r="F55" s="37">
        <f t="shared" si="2"/>
        <v>112.12359903814794</v>
      </c>
    </row>
    <row r="56" spans="2:10" x14ac:dyDescent="0.25">
      <c r="B56" s="35">
        <v>100</v>
      </c>
      <c r="C56" s="34">
        <f t="shared" si="0"/>
        <v>13</v>
      </c>
      <c r="D56" s="22">
        <v>916.43579278043876</v>
      </c>
      <c r="E56" s="37">
        <f t="shared" si="1"/>
        <v>4.4830908301609611</v>
      </c>
      <c r="F56" s="37">
        <f t="shared" si="2"/>
        <v>116.63080912811152</v>
      </c>
    </row>
    <row r="57" spans="2:10" x14ac:dyDescent="0.25">
      <c r="B57" s="35">
        <v>150</v>
      </c>
      <c r="C57" s="34">
        <f t="shared" si="0"/>
        <v>14.5</v>
      </c>
      <c r="D57" s="22">
        <v>911.53192593962683</v>
      </c>
      <c r="E57" s="37">
        <f t="shared" si="1"/>
        <v>4.4591078669687816</v>
      </c>
      <c r="F57" s="37">
        <f t="shared" si="2"/>
        <v>121.11389995827248</v>
      </c>
    </row>
    <row r="58" spans="2:10" x14ac:dyDescent="0.25">
      <c r="B58" s="35">
        <v>200</v>
      </c>
      <c r="C58" s="34">
        <f t="shared" si="0"/>
        <v>16</v>
      </c>
      <c r="D58" s="22">
        <v>906.65680676935619</v>
      </c>
      <c r="E58" s="37">
        <f t="shared" si="1"/>
        <v>4.435270458767441</v>
      </c>
      <c r="F58" s="37">
        <f t="shared" si="2"/>
        <v>125.57300782524126</v>
      </c>
    </row>
    <row r="59" spans="2:10" x14ac:dyDescent="0.25">
      <c r="B59" s="35">
        <v>250</v>
      </c>
      <c r="C59" s="34">
        <f t="shared" si="0"/>
        <v>17.5</v>
      </c>
      <c r="D59" s="22">
        <v>901.81228956803022</v>
      </c>
      <c r="E59" s="37">
        <f t="shared" si="1"/>
        <v>4.4115875108625735</v>
      </c>
      <c r="F59" s="37">
        <f t="shared" si="2"/>
        <v>130.0082782840087</v>
      </c>
    </row>
    <row r="60" spans="2:10" x14ac:dyDescent="0.25">
      <c r="B60" s="35">
        <v>300</v>
      </c>
      <c r="C60" s="34">
        <f t="shared" si="0"/>
        <v>19</v>
      </c>
      <c r="D60" s="22">
        <v>897.00015115065389</v>
      </c>
      <c r="E60" s="37">
        <f t="shared" si="1"/>
        <v>4.3880675381577232</v>
      </c>
      <c r="F60" s="37">
        <f t="shared" si="2"/>
        <v>134.41986579487127</v>
      </c>
    </row>
    <row r="61" spans="2:10" x14ac:dyDescent="0.25">
      <c r="B61" s="35">
        <v>350</v>
      </c>
      <c r="C61" s="34">
        <f t="shared" si="0"/>
        <v>20.5</v>
      </c>
      <c r="D61" s="22">
        <v>892.22208663027288</v>
      </c>
      <c r="E61" s="37">
        <f t="shared" si="1"/>
        <v>4.3647186611879789</v>
      </c>
      <c r="F61" s="37">
        <f t="shared" si="2"/>
        <v>138.80793333302898</v>
      </c>
    </row>
    <row r="62" spans="2:10" x14ac:dyDescent="0.25">
      <c r="B62" s="35">
        <v>400</v>
      </c>
      <c r="C62" s="34">
        <f t="shared" si="0"/>
        <v>22</v>
      </c>
      <c r="D62" s="22">
        <v>887.47971201925975</v>
      </c>
      <c r="E62" s="37">
        <f t="shared" si="1"/>
        <v>4.341548633500067</v>
      </c>
      <c r="F62" s="37">
        <f t="shared" si="2"/>
        <v>143.17265199421698</v>
      </c>
    </row>
    <row r="63" spans="2:10" x14ac:dyDescent="0.25">
      <c r="B63" s="35">
        <v>450</v>
      </c>
      <c r="C63" s="34">
        <f t="shared" si="0"/>
        <v>23.5</v>
      </c>
      <c r="D63" s="22">
        <v>882.77457279218447</v>
      </c>
      <c r="E63" s="37">
        <f t="shared" si="1"/>
        <v>4.318564894107495</v>
      </c>
      <c r="F63" s="37">
        <f t="shared" si="2"/>
        <v>147.51420062771703</v>
      </c>
    </row>
    <row r="64" spans="2:10" x14ac:dyDescent="0.25">
      <c r="B64" s="35">
        <v>500</v>
      </c>
      <c r="C64" s="34">
        <f t="shared" si="0"/>
        <v>25</v>
      </c>
      <c r="D64" s="22">
        <v>878.10815671138118</v>
      </c>
      <c r="E64" s="37">
        <f t="shared" si="1"/>
        <v>4.2957746351456754</v>
      </c>
      <c r="F64" s="37">
        <f t="shared" si="2"/>
        <v>151.83276552182451</v>
      </c>
    </row>
    <row r="65" spans="2:6" x14ac:dyDescent="0.25">
      <c r="B65" s="35">
        <v>550</v>
      </c>
      <c r="C65" s="34">
        <f t="shared" si="0"/>
        <v>26.5</v>
      </c>
      <c r="D65" s="22">
        <v>873.48190858756891</v>
      </c>
      <c r="E65" s="37">
        <f t="shared" si="1"/>
        <v>4.2731848726001402</v>
      </c>
      <c r="F65" s="37">
        <f t="shared" si="2"/>
        <v>156.12854015697019</v>
      </c>
    </row>
    <row r="66" spans="2:6" x14ac:dyDescent="0.25">
      <c r="B66" s="35">
        <v>600</v>
      </c>
      <c r="C66" s="34">
        <f t="shared" si="0"/>
        <v>28</v>
      </c>
      <c r="D66" s="22">
        <v>868.89724435846188</v>
      </c>
      <c r="E66" s="37">
        <f t="shared" si="1"/>
        <v>4.2508025075243303</v>
      </c>
      <c r="F66" s="37">
        <f t="shared" si="2"/>
        <v>160.40172502957034</v>
      </c>
    </row>
    <row r="67" spans="2:6" x14ac:dyDescent="0.25">
      <c r="B67" s="35">
        <v>650</v>
      </c>
      <c r="C67" s="34">
        <f t="shared" si="0"/>
        <v>29.5</v>
      </c>
      <c r="D67" s="22">
        <v>864.35556197154017</v>
      </c>
      <c r="E67" s="37">
        <f t="shared" si="1"/>
        <v>4.2286343666356538</v>
      </c>
      <c r="F67" s="37">
        <f t="shared" si="2"/>
        <v>164.65252753709467</v>
      </c>
    </row>
    <row r="68" spans="2:6" x14ac:dyDescent="0.25">
      <c r="B68" s="35">
        <v>700</v>
      </c>
      <c r="C68" s="34">
        <f t="shared" si="0"/>
        <v>31</v>
      </c>
      <c r="D68" s="22">
        <v>859.8582470542101</v>
      </c>
      <c r="E68" s="37">
        <f t="shared" si="1"/>
        <v>4.2066872144268448</v>
      </c>
      <c r="F68" s="37">
        <f t="shared" si="2"/>
        <v>168.88116190373032</v>
      </c>
    </row>
    <row r="69" spans="2:6" x14ac:dyDescent="0.25">
      <c r="B69" s="35">
        <v>750</v>
      </c>
      <c r="C69" s="34">
        <f t="shared" si="0"/>
        <v>32.5</v>
      </c>
      <c r="D69" s="22">
        <v>855.40667218201588</v>
      </c>
      <c r="E69" s="37">
        <f t="shared" si="1"/>
        <v>4.1849677332286115</v>
      </c>
      <c r="F69" s="37">
        <f t="shared" si="2"/>
        <v>173.08784911815715</v>
      </c>
    </row>
    <row r="70" spans="2:6" x14ac:dyDescent="0.25">
      <c r="B70" s="35">
        <v>800</v>
      </c>
      <c r="C70" s="34">
        <f t="shared" si="0"/>
        <v>34</v>
      </c>
      <c r="D70" s="22">
        <v>851.00218948102633</v>
      </c>
      <c r="E70" s="37">
        <f t="shared" si="1"/>
        <v>4.1634824724650406</v>
      </c>
      <c r="F70" s="37">
        <f t="shared" si="2"/>
        <v>177.27281685138576</v>
      </c>
    </row>
    <row r="71" spans="2:6" x14ac:dyDescent="0.25">
      <c r="B71" s="35">
        <v>850</v>
      </c>
      <c r="C71" s="34">
        <f t="shared" si="0"/>
        <v>35.5</v>
      </c>
      <c r="D71" s="22">
        <v>846.64611733448464</v>
      </c>
      <c r="E71" s="37">
        <f t="shared" si="1"/>
        <v>4.1422377727490653</v>
      </c>
      <c r="F71" s="37">
        <f t="shared" si="2"/>
        <v>181.43629932385079</v>
      </c>
    </row>
    <row r="72" spans="2:6" x14ac:dyDescent="0.25">
      <c r="B72" s="35">
        <v>900</v>
      </c>
      <c r="C72" s="34">
        <f t="shared" si="0"/>
        <v>37</v>
      </c>
      <c r="D72" s="22">
        <v>842.33972272629626</v>
      </c>
      <c r="E72" s="37">
        <f t="shared" si="1"/>
        <v>4.1212396736964454</v>
      </c>
      <c r="F72" s="37">
        <f t="shared" si="2"/>
        <v>185.57853709659986</v>
      </c>
    </row>
    <row r="73" spans="2:6" x14ac:dyDescent="0.25">
      <c r="B73" s="35">
        <v>950</v>
      </c>
      <c r="C73" s="34">
        <f t="shared" si="0"/>
        <v>38.5</v>
      </c>
      <c r="D73" s="22">
        <v>838.08420130895161</v>
      </c>
      <c r="E73" s="37">
        <f t="shared" si="1"/>
        <v>4.1004938161383837</v>
      </c>
      <c r="F73" s="37">
        <f t="shared" si="2"/>
        <v>189.6997767702963</v>
      </c>
    </row>
    <row r="74" spans="2:6" x14ac:dyDescent="0.25">
      <c r="B74" s="35">
        <v>1000</v>
      </c>
      <c r="C74" s="34">
        <f t="shared" si="0"/>
        <v>40</v>
      </c>
      <c r="D74" s="22">
        <v>833.88065746306995</v>
      </c>
      <c r="E74" s="37">
        <f t="shared" si="1"/>
        <v>4.0800053494825619</v>
      </c>
      <c r="F74" s="37">
        <f t="shared" si="2"/>
        <v>193.80027058643469</v>
      </c>
    </row>
    <row r="75" spans="2:6" x14ac:dyDescent="0.25">
      <c r="B75" s="35">
        <v>1050</v>
      </c>
      <c r="C75" s="34">
        <f t="shared" si="0"/>
        <v>41.5</v>
      </c>
      <c r="D75" s="22">
        <v>829.73008646458027</v>
      </c>
      <c r="E75" s="37">
        <f t="shared" si="1"/>
        <v>4.0597788535505357</v>
      </c>
      <c r="F75" s="37">
        <f t="shared" si="2"/>
        <v>197.88027593591724</v>
      </c>
    </row>
    <row r="76" spans="2:6" x14ac:dyDescent="0.25">
      <c r="B76" s="35">
        <v>1100</v>
      </c>
      <c r="C76" s="34">
        <f t="shared" si="0"/>
        <v>43</v>
      </c>
      <c r="D76" s="22">
        <v>825.63336044695302</v>
      </c>
      <c r="E76" s="37">
        <f t="shared" si="1"/>
        <v>4.0398182816886017</v>
      </c>
      <c r="F76" s="37">
        <f t="shared" si="2"/>
        <v>201.94005478946778</v>
      </c>
    </row>
    <row r="77" spans="2:6" x14ac:dyDescent="0.25">
      <c r="B77" s="35">
        <v>1150</v>
      </c>
      <c r="C77" s="34">
        <f t="shared" si="0"/>
        <v>44.5</v>
      </c>
      <c r="D77" s="22">
        <v>821.59121924258886</v>
      </c>
      <c r="E77" s="37">
        <f t="shared" si="1"/>
        <v>4.0201269288436183</v>
      </c>
      <c r="F77" s="37">
        <f t="shared" si="2"/>
        <v>205.97987307115639</v>
      </c>
    </row>
    <row r="78" spans="2:6" x14ac:dyDescent="0.25">
      <c r="B78" s="35">
        <v>1200</v>
      </c>
      <c r="C78" s="34">
        <f t="shared" si="0"/>
        <v>46</v>
      </c>
      <c r="D78" s="22">
        <v>817.60426652443198</v>
      </c>
      <c r="E78" s="23" t="s">
        <v>75</v>
      </c>
      <c r="F78" s="37">
        <f>pmax_tief</f>
        <v>210</v>
      </c>
    </row>
    <row r="79" spans="2:6" x14ac:dyDescent="0.25">
      <c r="B79" s="45" t="s">
        <v>310</v>
      </c>
      <c r="F79" s="42">
        <f>F54</f>
        <v>107.59214293471646</v>
      </c>
    </row>
    <row r="80" spans="2:6" x14ac:dyDescent="0.25">
      <c r="B80" s="45" t="s">
        <v>311</v>
      </c>
      <c r="F80" s="37">
        <f>Kopf_voll_tief</f>
        <v>107.603219569636</v>
      </c>
    </row>
    <row r="81" spans="2:7" x14ac:dyDescent="0.25">
      <c r="B81" s="45" t="s">
        <v>312</v>
      </c>
      <c r="F81" s="48">
        <f>F79-F80</f>
        <v>-1.1076634919533035E-2</v>
      </c>
      <c r="G81" s="11" t="s">
        <v>313</v>
      </c>
    </row>
  </sheetData>
  <mergeCells count="19">
    <mergeCell ref="B4:L4"/>
    <mergeCell ref="F11:J11"/>
    <mergeCell ref="F10:J10"/>
    <mergeCell ref="F16:J16"/>
    <mergeCell ref="I20:L20"/>
    <mergeCell ref="F7:J7"/>
    <mergeCell ref="F15:J15"/>
    <mergeCell ref="F12:J12"/>
    <mergeCell ref="B49:J49"/>
    <mergeCell ref="F8:J8"/>
    <mergeCell ref="F17:J17"/>
    <mergeCell ref="I25:L25"/>
    <mergeCell ref="F13:J13"/>
    <mergeCell ref="F9:J9"/>
    <mergeCell ref="I22:L22"/>
    <mergeCell ref="I21:L21"/>
    <mergeCell ref="I24:L24"/>
    <mergeCell ref="F14:J14"/>
    <mergeCell ref="I23:L23"/>
  </mergeCells>
  <conditionalFormatting sqref="D21:D25 F21:H25 C22 D54:D78">
    <cfRule type="expression" dxfId="6" priority="1">
      <formula>NOT(Stand_ok)</formula>
    </cfRule>
  </conditionalFormatting>
  <hyperlinks>
    <hyperlink ref="B3" location="'Übersicht'!A1" display="← zur Übersicht" xr:uid="{00000000-0004-0000-0100-000000000000}"/>
  </hyperlink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335"/>
  </sheetPr>
  <dimension ref="B1:M66"/>
  <sheetViews>
    <sheetView showGridLines="0" workbookViewId="0">
      <selection activeCell="B4" sqref="B4:M4"/>
    </sheetView>
  </sheetViews>
  <sheetFormatPr baseColWidth="10" defaultColWidth="9.140625" defaultRowHeight="15" x14ac:dyDescent="0.25"/>
  <cols>
    <col min="1" max="1" width="2.7109375" customWidth="1"/>
    <col min="2" max="2" width="24" customWidth="1"/>
    <col min="3" max="10" width="13" customWidth="1"/>
    <col min="11" max="11" width="20" customWidth="1"/>
    <col min="12" max="15" width="13" customWidth="1"/>
  </cols>
  <sheetData>
    <row r="1" spans="2:13" ht="21" x14ac:dyDescent="0.25">
      <c r="B1" s="1" t="s">
        <v>314</v>
      </c>
    </row>
    <row r="2" spans="2:13" x14ac:dyDescent="0.25">
      <c r="B2" s="2" t="s">
        <v>315</v>
      </c>
    </row>
    <row r="3" spans="2:13" x14ac:dyDescent="0.25">
      <c r="B3" s="9" t="s">
        <v>255</v>
      </c>
    </row>
    <row r="4" spans="2:13" ht="166.35" customHeight="1" x14ac:dyDescent="0.25">
      <c r="B4" s="87" t="s">
        <v>316</v>
      </c>
      <c r="C4" s="88"/>
      <c r="D4" s="88"/>
      <c r="E4" s="88"/>
      <c r="F4" s="88"/>
      <c r="G4" s="88"/>
      <c r="H4" s="88"/>
      <c r="I4" s="88"/>
      <c r="J4" s="88"/>
      <c r="K4" s="88"/>
      <c r="L4" s="88"/>
      <c r="M4" s="88"/>
    </row>
    <row r="6" spans="2:13" x14ac:dyDescent="0.25">
      <c r="B6" s="3" t="s">
        <v>317</v>
      </c>
    </row>
    <row r="7" spans="2:13" ht="30" customHeight="1" x14ac:dyDescent="0.25">
      <c r="B7" s="14" t="s">
        <v>318</v>
      </c>
      <c r="C7" s="14" t="s">
        <v>319</v>
      </c>
      <c r="D7" s="14" t="s">
        <v>320</v>
      </c>
      <c r="E7" s="14" t="s">
        <v>321</v>
      </c>
      <c r="F7" s="14" t="s">
        <v>322</v>
      </c>
      <c r="G7" s="14" t="s">
        <v>312</v>
      </c>
    </row>
    <row r="8" spans="2:13" x14ac:dyDescent="0.25">
      <c r="B8" s="18" t="s">
        <v>323</v>
      </c>
      <c r="C8" s="36">
        <v>240</v>
      </c>
      <c r="D8" s="36">
        <v>50</v>
      </c>
      <c r="E8" s="34">
        <v>825.63699999999994</v>
      </c>
      <c r="F8" s="22">
        <v>825.6225446810123</v>
      </c>
      <c r="G8" s="49">
        <f t="shared" ref="G8:G15" si="0">F8/E8-1</f>
        <v>-1.750808041267593E-5</v>
      </c>
      <c r="H8" s="11" t="s">
        <v>324</v>
      </c>
    </row>
    <row r="9" spans="2:13" x14ac:dyDescent="0.25">
      <c r="B9" s="18" t="s">
        <v>323</v>
      </c>
      <c r="C9" s="36">
        <v>160</v>
      </c>
      <c r="D9" s="36">
        <v>50</v>
      </c>
      <c r="E9" s="34">
        <v>722.101</v>
      </c>
      <c r="F9" s="22">
        <v>722.08870410592726</v>
      </c>
      <c r="G9" s="49">
        <f t="shared" si="0"/>
        <v>-1.7027942175285027E-5</v>
      </c>
    </row>
    <row r="10" spans="2:13" x14ac:dyDescent="0.25">
      <c r="B10" s="18" t="s">
        <v>323</v>
      </c>
      <c r="C10" s="36">
        <v>100</v>
      </c>
      <c r="D10" s="36">
        <v>50</v>
      </c>
      <c r="E10" s="34">
        <v>384.334</v>
      </c>
      <c r="F10" s="22">
        <v>384.327151676668</v>
      </c>
      <c r="G10" s="49">
        <f t="shared" si="0"/>
        <v>-1.7818676807168643E-5</v>
      </c>
    </row>
    <row r="11" spans="2:13" x14ac:dyDescent="0.25">
      <c r="B11" s="18" t="s">
        <v>323</v>
      </c>
      <c r="C11" s="36">
        <v>55</v>
      </c>
      <c r="D11" s="36">
        <v>50</v>
      </c>
      <c r="E11" s="34">
        <v>119.482</v>
      </c>
      <c r="F11" s="22">
        <v>119.3780741875152</v>
      </c>
      <c r="G11" s="49">
        <f t="shared" si="0"/>
        <v>-8.6980308736717138E-4</v>
      </c>
    </row>
    <row r="12" spans="2:13" x14ac:dyDescent="0.25">
      <c r="B12" s="18" t="s">
        <v>325</v>
      </c>
      <c r="C12" s="36">
        <v>260</v>
      </c>
      <c r="D12" s="36">
        <v>84</v>
      </c>
      <c r="E12" s="34">
        <v>677.68399999999997</v>
      </c>
      <c r="F12" s="22">
        <v>680.49389886420101</v>
      </c>
      <c r="G12" s="49">
        <f t="shared" si="0"/>
        <v>4.1463261109913052E-3</v>
      </c>
    </row>
    <row r="13" spans="2:13" x14ac:dyDescent="0.25">
      <c r="B13" s="18" t="s">
        <v>325</v>
      </c>
      <c r="C13" s="36">
        <v>70</v>
      </c>
      <c r="D13" s="36">
        <v>84</v>
      </c>
      <c r="E13" s="34">
        <v>131.309</v>
      </c>
      <c r="F13" s="22">
        <v>130.79653927294439</v>
      </c>
      <c r="G13" s="49">
        <f t="shared" si="0"/>
        <v>-3.902708322016113E-3</v>
      </c>
    </row>
    <row r="14" spans="2:13" x14ac:dyDescent="0.25">
      <c r="B14" s="18" t="s">
        <v>326</v>
      </c>
      <c r="C14" s="36">
        <v>50</v>
      </c>
      <c r="D14" s="36">
        <v>33</v>
      </c>
      <c r="E14" s="34">
        <v>120.816</v>
      </c>
      <c r="F14" s="22">
        <v>120.3284174217837</v>
      </c>
      <c r="G14" s="49">
        <f t="shared" si="0"/>
        <v>-4.0357450852229748E-3</v>
      </c>
    </row>
    <row r="15" spans="2:13" x14ac:dyDescent="0.25">
      <c r="B15" s="18" t="s">
        <v>326</v>
      </c>
      <c r="C15" s="36">
        <v>40</v>
      </c>
      <c r="D15" s="36">
        <v>33</v>
      </c>
      <c r="E15" s="34">
        <v>87.986000000000004</v>
      </c>
      <c r="F15" s="22">
        <v>87.814402944406396</v>
      </c>
      <c r="G15" s="49">
        <f t="shared" si="0"/>
        <v>-1.9502768121474334E-3</v>
      </c>
    </row>
    <row r="17" spans="2:13" x14ac:dyDescent="0.25">
      <c r="B17" s="3" t="s">
        <v>327</v>
      </c>
    </row>
    <row r="18" spans="2:13" ht="30" customHeight="1" x14ac:dyDescent="0.25">
      <c r="B18" s="14" t="s">
        <v>43</v>
      </c>
      <c r="C18" s="14" t="s">
        <v>258</v>
      </c>
      <c r="D18" s="14" t="s">
        <v>259</v>
      </c>
      <c r="E18" s="14" t="s">
        <v>46</v>
      </c>
      <c r="F18" s="73" t="s">
        <v>260</v>
      </c>
      <c r="G18" s="75"/>
      <c r="H18" s="75"/>
      <c r="I18" s="75"/>
      <c r="J18" s="72"/>
    </row>
    <row r="19" spans="2:13" x14ac:dyDescent="0.25">
      <c r="B19" s="18" t="s">
        <v>328</v>
      </c>
      <c r="C19" s="35">
        <f>V_kav</f>
        <v>650000</v>
      </c>
      <c r="D19" s="35">
        <f>V_kav</f>
        <v>650000</v>
      </c>
      <c r="E19" s="18" t="s">
        <v>62</v>
      </c>
      <c r="F19" s="71" t="s">
        <v>262</v>
      </c>
      <c r="G19" s="75"/>
      <c r="H19" s="75"/>
      <c r="I19" s="75"/>
      <c r="J19" s="72"/>
    </row>
    <row r="20" spans="2:13" x14ac:dyDescent="0.25">
      <c r="B20" s="18" t="s">
        <v>329</v>
      </c>
      <c r="C20" s="34">
        <f>pmax_tief</f>
        <v>210</v>
      </c>
      <c r="D20" s="34">
        <f>pmax_flach</f>
        <v>122.49999999999999</v>
      </c>
      <c r="E20" s="18" t="s">
        <v>66</v>
      </c>
      <c r="F20" s="71" t="s">
        <v>330</v>
      </c>
      <c r="G20" s="75"/>
      <c r="H20" s="75"/>
      <c r="I20" s="75"/>
      <c r="J20" s="72"/>
    </row>
    <row r="21" spans="2:13" x14ac:dyDescent="0.25">
      <c r="B21" s="18" t="s">
        <v>331</v>
      </c>
      <c r="C21" s="22">
        <v>225.9486033901812</v>
      </c>
      <c r="D21" s="22">
        <v>137.95487173343719</v>
      </c>
      <c r="E21" s="18" t="s">
        <v>66</v>
      </c>
      <c r="F21" s="71" t="s">
        <v>332</v>
      </c>
      <c r="G21" s="75"/>
      <c r="H21" s="75"/>
      <c r="I21" s="75"/>
      <c r="J21" s="72"/>
    </row>
    <row r="22" spans="2:13" x14ac:dyDescent="0.25">
      <c r="B22" s="18" t="s">
        <v>266</v>
      </c>
      <c r="C22" s="34">
        <f>Tb_tief</f>
        <v>52.15</v>
      </c>
      <c r="D22" s="34">
        <f>Tb_flach</f>
        <v>37.15</v>
      </c>
      <c r="E22" s="18" t="s">
        <v>80</v>
      </c>
      <c r="F22" s="71" t="s">
        <v>333</v>
      </c>
      <c r="G22" s="75"/>
      <c r="H22" s="75"/>
      <c r="I22" s="75"/>
      <c r="J22" s="72"/>
    </row>
    <row r="23" spans="2:13" x14ac:dyDescent="0.25">
      <c r="B23" s="18" t="s">
        <v>334</v>
      </c>
      <c r="C23" s="22">
        <v>801.50207299873875</v>
      </c>
      <c r="D23" s="22">
        <v>782.18104658024731</v>
      </c>
      <c r="E23" s="18" t="s">
        <v>73</v>
      </c>
      <c r="F23" s="71" t="s">
        <v>335</v>
      </c>
      <c r="G23" s="75"/>
      <c r="H23" s="75"/>
      <c r="I23" s="75"/>
      <c r="J23" s="72"/>
    </row>
    <row r="24" spans="2:13" x14ac:dyDescent="0.25">
      <c r="B24" s="45" t="s">
        <v>336</v>
      </c>
      <c r="C24" s="40">
        <f>C23*C19/1000</f>
        <v>520976.3474491802</v>
      </c>
      <c r="D24" s="40">
        <f>D23*D19/1000</f>
        <v>508417.68027716078</v>
      </c>
      <c r="E24" s="18" t="s">
        <v>337</v>
      </c>
      <c r="F24" s="71" t="s">
        <v>338</v>
      </c>
      <c r="G24" s="75"/>
      <c r="H24" s="75"/>
      <c r="I24" s="75"/>
      <c r="J24" s="72"/>
    </row>
    <row r="26" spans="2:13" x14ac:dyDescent="0.25">
      <c r="B26" s="3" t="s">
        <v>339</v>
      </c>
    </row>
    <row r="27" spans="2:13" ht="44.1" customHeight="1" x14ac:dyDescent="0.25">
      <c r="B27" s="14" t="s">
        <v>340</v>
      </c>
      <c r="C27" s="14" t="s">
        <v>341</v>
      </c>
      <c r="D27" s="14" t="s">
        <v>342</v>
      </c>
      <c r="E27" s="14" t="s">
        <v>343</v>
      </c>
      <c r="F27" s="14" t="s">
        <v>344</v>
      </c>
      <c r="G27" s="14" t="s">
        <v>345</v>
      </c>
      <c r="H27" s="14" t="s">
        <v>346</v>
      </c>
      <c r="I27" s="14" t="s">
        <v>347</v>
      </c>
      <c r="J27" s="14" t="s">
        <v>348</v>
      </c>
      <c r="K27" s="14" t="s">
        <v>349</v>
      </c>
      <c r="L27" s="14" t="s">
        <v>350</v>
      </c>
      <c r="M27" s="14" t="s">
        <v>351</v>
      </c>
    </row>
    <row r="28" spans="2:13" x14ac:dyDescent="0.25">
      <c r="B28" s="45" t="s">
        <v>352</v>
      </c>
      <c r="C28" s="34">
        <f>pmin_tief</f>
        <v>70</v>
      </c>
      <c r="D28" s="22">
        <v>73.517619839942938</v>
      </c>
      <c r="E28" s="22">
        <v>182.1859017330834</v>
      </c>
      <c r="F28" s="35">
        <f>E28*V_kav/1000</f>
        <v>118420.83612650422</v>
      </c>
      <c r="G28" s="35">
        <f>TGV_tief-F28</f>
        <v>402555.51132267597</v>
      </c>
      <c r="H28" s="39">
        <f>G28/TGV_tief</f>
        <v>0.77269440982048454</v>
      </c>
      <c r="I28" s="22">
        <v>714.64530449966526</v>
      </c>
      <c r="J28" s="22">
        <v>30.545731338195761</v>
      </c>
      <c r="K28" s="5" t="s">
        <v>353</v>
      </c>
      <c r="L28" s="35">
        <f>TGV_tief-I28*V_kav/1000</f>
        <v>56456.899524397799</v>
      </c>
      <c r="M28" s="39">
        <f>L28/TGV_tief</f>
        <v>0.10836749077155564</v>
      </c>
    </row>
    <row r="29" spans="2:13" x14ac:dyDescent="0.25">
      <c r="B29" s="45" t="s">
        <v>354</v>
      </c>
      <c r="C29" s="34">
        <f>p_krit</f>
        <v>73.772983734467516</v>
      </c>
      <c r="D29" s="22">
        <v>77.627166559472116</v>
      </c>
      <c r="E29" s="22">
        <v>200.45601390455249</v>
      </c>
      <c r="F29" s="35">
        <f>E29*V_kav/1000</f>
        <v>130296.40903795911</v>
      </c>
      <c r="G29" s="35">
        <f>TGV_tief-F29</f>
        <v>390679.93841122108</v>
      </c>
      <c r="H29" s="39">
        <f>G29/TGV_tief</f>
        <v>0.74989956899978227</v>
      </c>
      <c r="I29" s="22">
        <v>718.52274626578651</v>
      </c>
      <c r="J29" s="22">
        <v>31.370077325328339</v>
      </c>
      <c r="K29" s="5" t="s">
        <v>353</v>
      </c>
      <c r="L29" s="35">
        <f>TGV_tief-I29*V_kav/1000</f>
        <v>53936.562376418966</v>
      </c>
      <c r="M29" s="39">
        <f>L29/TGV_tief</f>
        <v>0.1035297718226648</v>
      </c>
    </row>
    <row r="30" spans="2:13" x14ac:dyDescent="0.25">
      <c r="B30" s="45" t="s">
        <v>355</v>
      </c>
      <c r="C30" s="34">
        <f>pgrenz_tief</f>
        <v>171.65227723953399</v>
      </c>
      <c r="D30" s="22">
        <v>186.5592245718245</v>
      </c>
      <c r="E30" s="22">
        <v>752.97567667857038</v>
      </c>
      <c r="F30" s="35">
        <f>E30*V_kav/1000</f>
        <v>489434.18984107079</v>
      </c>
      <c r="G30" s="35">
        <f>TGV_tief-F30</f>
        <v>31542.15760810941</v>
      </c>
      <c r="H30" s="39">
        <f>G30/TGV_tief</f>
        <v>6.05443179187444E-2</v>
      </c>
      <c r="I30" s="22">
        <v>784.11084967367651</v>
      </c>
      <c r="J30" s="22">
        <v>47.384083541821269</v>
      </c>
      <c r="K30" s="5" t="s">
        <v>353</v>
      </c>
      <c r="L30" s="35">
        <f>TGV_tief-I30*V_kav/1000</f>
        <v>11304.295161290502</v>
      </c>
      <c r="M30" s="39">
        <f>L30/TGV_tief</f>
        <v>2.1698288639472648E-2</v>
      </c>
    </row>
    <row r="31" spans="2:13" x14ac:dyDescent="0.25">
      <c r="B31" s="45" t="s">
        <v>356</v>
      </c>
      <c r="C31" s="34">
        <f>pmin_flach</f>
        <v>40.833333333333336</v>
      </c>
      <c r="D31" s="22">
        <v>42.647858193038353</v>
      </c>
      <c r="E31" s="22">
        <v>92.839063987751601</v>
      </c>
      <c r="F31" s="35">
        <f>E31*V_kav/1000</f>
        <v>60345.391592038541</v>
      </c>
      <c r="G31" s="35">
        <f>TGV_flach-F31</f>
        <v>448072.28868512221</v>
      </c>
      <c r="H31" s="39">
        <f>G31/TGV_flach</f>
        <v>0.8813074487119692</v>
      </c>
      <c r="I31" s="22">
        <v>487.39408342121902</v>
      </c>
      <c r="J31" s="22">
        <v>14.80669098420765</v>
      </c>
      <c r="K31" s="5" t="s">
        <v>357</v>
      </c>
      <c r="L31" s="35">
        <f>TGV_flach-I31*V_kav/1000</f>
        <v>191611.5260533684</v>
      </c>
      <c r="M31" s="39">
        <f>L31/TGV_flach</f>
        <v>0.37687817219281705</v>
      </c>
    </row>
    <row r="32" spans="2:13" x14ac:dyDescent="0.25">
      <c r="B32" s="45" t="s">
        <v>358</v>
      </c>
      <c r="C32" s="34">
        <f>p_krit</f>
        <v>73.772983734467516</v>
      </c>
      <c r="D32" s="22">
        <v>79.13617838712851</v>
      </c>
      <c r="E32" s="22">
        <v>304.56189008369228</v>
      </c>
      <c r="F32" s="35">
        <f>E32*V_kav/1000</f>
        <v>197965.22855439998</v>
      </c>
      <c r="G32" s="35">
        <f>TGV_flach-F32</f>
        <v>310452.4517227608</v>
      </c>
      <c r="H32" s="39">
        <f>G32/TGV_flach</f>
        <v>0.61062481452950168</v>
      </c>
      <c r="I32" s="22">
        <v>749.30585684620553</v>
      </c>
      <c r="J32" s="22">
        <v>29.321275630839299</v>
      </c>
      <c r="K32" s="5" t="s">
        <v>353</v>
      </c>
      <c r="L32" s="35">
        <f>TGV_flach-I32*V_kav/1000</f>
        <v>21368.873327127192</v>
      </c>
      <c r="M32" s="39">
        <f>L32/TGV_flach</f>
        <v>4.2030153859869863E-2</v>
      </c>
    </row>
    <row r="34" spans="2:11" x14ac:dyDescent="0.25">
      <c r="B34" s="3" t="s">
        <v>359</v>
      </c>
    </row>
    <row r="35" spans="2:11" ht="30" customHeight="1" x14ac:dyDescent="0.25">
      <c r="B35" s="14" t="s">
        <v>43</v>
      </c>
      <c r="C35" s="14" t="s">
        <v>45</v>
      </c>
      <c r="D35" s="14" t="s">
        <v>46</v>
      </c>
      <c r="E35" s="73" t="s">
        <v>360</v>
      </c>
      <c r="F35" s="75"/>
      <c r="G35" s="75"/>
      <c r="H35" s="75"/>
      <c r="I35" s="75"/>
      <c r="J35" s="75"/>
      <c r="K35" s="72"/>
    </row>
    <row r="36" spans="2:11" x14ac:dyDescent="0.25">
      <c r="B36" s="18" t="s">
        <v>361</v>
      </c>
      <c r="C36" s="40">
        <f>(T_krit+T_marge-T0)/gradT</f>
        <v>799.27333343269049</v>
      </c>
      <c r="D36" s="18" t="s">
        <v>52</v>
      </c>
      <c r="E36" s="71" t="s">
        <v>362</v>
      </c>
      <c r="F36" s="75"/>
      <c r="G36" s="75"/>
      <c r="H36" s="75"/>
      <c r="I36" s="75"/>
      <c r="J36" s="75"/>
      <c r="K36" s="72"/>
    </row>
    <row r="37" spans="2:11" x14ac:dyDescent="0.25">
      <c r="B37" s="18" t="s">
        <v>363</v>
      </c>
      <c r="C37" s="40">
        <f>C36-dz_bezug</f>
        <v>594.27333343269049</v>
      </c>
      <c r="D37" s="18" t="s">
        <v>52</v>
      </c>
      <c r="E37" s="71" t="s">
        <v>364</v>
      </c>
      <c r="F37" s="75"/>
      <c r="G37" s="75"/>
      <c r="H37" s="75"/>
      <c r="I37" s="75"/>
      <c r="J37" s="75"/>
      <c r="K37" s="72"/>
    </row>
    <row r="38" spans="2:11" x14ac:dyDescent="0.25">
      <c r="B38" s="18" t="s">
        <v>365</v>
      </c>
      <c r="C38" s="40">
        <f>p_krit/grad_pmin</f>
        <v>1264.6797211623002</v>
      </c>
      <c r="D38" s="18" t="s">
        <v>52</v>
      </c>
      <c r="E38" s="71" t="s">
        <v>366</v>
      </c>
      <c r="F38" s="75"/>
      <c r="G38" s="75"/>
      <c r="H38" s="75"/>
      <c r="I38" s="75"/>
      <c r="J38" s="75"/>
      <c r="K38" s="72"/>
    </row>
    <row r="39" spans="2:11" x14ac:dyDescent="0.25">
      <c r="B39" s="18" t="s">
        <v>367</v>
      </c>
      <c r="C39" s="6" t="str">
        <f>IF(AND(z_tief&gt;=C37,z_tief&lt;=C38),"✔ ja","✘ nein")</f>
        <v>✔ ja</v>
      </c>
      <c r="D39" s="18"/>
      <c r="E39" s="71"/>
      <c r="F39" s="75"/>
      <c r="G39" s="75"/>
      <c r="H39" s="75"/>
      <c r="I39" s="75"/>
      <c r="J39" s="75"/>
      <c r="K39" s="72"/>
    </row>
    <row r="40" spans="2:11" x14ac:dyDescent="0.25">
      <c r="B40" s="18" t="s">
        <v>368</v>
      </c>
      <c r="C40" s="6" t="str">
        <f>TEXT(z_tief-C37,"0")&amp;" m / "&amp;TEXT(C38-z_tief,"0")&amp;" m"</f>
        <v>606 m / 65 m</v>
      </c>
      <c r="D40" s="18"/>
      <c r="E40" s="71" t="s">
        <v>369</v>
      </c>
      <c r="F40" s="75"/>
      <c r="G40" s="75"/>
      <c r="H40" s="75"/>
      <c r="I40" s="75"/>
      <c r="J40" s="75"/>
      <c r="K40" s="72"/>
    </row>
    <row r="41" spans="2:11" x14ac:dyDescent="0.25">
      <c r="B41" s="18" t="s">
        <v>370</v>
      </c>
      <c r="C41" s="6" t="str">
        <f>IF(AND(z_flach&gt;=C37,z_flach&lt;=C38),"✔ ja","✘ nein")</f>
        <v>✔ ja</v>
      </c>
      <c r="D41" s="18"/>
      <c r="E41" s="71"/>
      <c r="F41" s="75"/>
      <c r="G41" s="75"/>
      <c r="H41" s="75"/>
      <c r="I41" s="75"/>
      <c r="J41" s="75"/>
      <c r="K41" s="72"/>
    </row>
    <row r="42" spans="2:11" x14ac:dyDescent="0.25">
      <c r="B42" s="18" t="s">
        <v>368</v>
      </c>
      <c r="C42" s="6" t="str">
        <f>TEXT(z_flach-C37,"0")&amp;" m / "&amp;TEXT(C38-z_flach,"0")&amp;" m"</f>
        <v>106 m / 565 m</v>
      </c>
      <c r="D42" s="18"/>
      <c r="E42" s="71" t="s">
        <v>371</v>
      </c>
      <c r="F42" s="75"/>
      <c r="G42" s="75"/>
      <c r="H42" s="75"/>
      <c r="I42" s="75"/>
      <c r="J42" s="75"/>
      <c r="K42" s="72"/>
    </row>
    <row r="44" spans="2:11" x14ac:dyDescent="0.25">
      <c r="B44" s="3" t="s">
        <v>372</v>
      </c>
    </row>
    <row r="66" spans="2:13" ht="60.75" customHeight="1" x14ac:dyDescent="0.25">
      <c r="B66" s="87" t="s">
        <v>779</v>
      </c>
      <c r="C66" s="88"/>
      <c r="D66" s="88"/>
      <c r="E66" s="88"/>
      <c r="F66" s="88"/>
      <c r="G66" s="88"/>
      <c r="H66" s="88"/>
      <c r="I66" s="88"/>
      <c r="J66" s="88"/>
      <c r="K66" s="88"/>
      <c r="L66" s="88"/>
      <c r="M66" s="88"/>
    </row>
  </sheetData>
  <mergeCells count="17">
    <mergeCell ref="B66:M66"/>
    <mergeCell ref="E37:K37"/>
    <mergeCell ref="E36:K36"/>
    <mergeCell ref="E39:K39"/>
    <mergeCell ref="F21:J21"/>
    <mergeCell ref="E40:K40"/>
    <mergeCell ref="F24:J24"/>
    <mergeCell ref="F18:J18"/>
    <mergeCell ref="E38:K38"/>
    <mergeCell ref="F22:J22"/>
    <mergeCell ref="E42:K42"/>
    <mergeCell ref="B4:M4"/>
    <mergeCell ref="E41:K41"/>
    <mergeCell ref="F20:J20"/>
    <mergeCell ref="F23:J23"/>
    <mergeCell ref="E35:K35"/>
    <mergeCell ref="F19:J19"/>
  </mergeCells>
  <conditionalFormatting sqref="F8:F15 C21:D21 C23:D23 D28:E32 I28:K32">
    <cfRule type="expression" dxfId="5" priority="1">
      <formula>NOT(Stand_ok)</formula>
    </cfRule>
  </conditionalFormatting>
  <hyperlinks>
    <hyperlink ref="B3" location="'Übersicht'!A1" display="← zur Übersicht" xr:uid="{00000000-0004-0000-0200-000000000000}"/>
  </hyperlink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476D9"/>
  </sheetPr>
  <dimension ref="B1:N117"/>
  <sheetViews>
    <sheetView showGridLines="0" topLeftCell="A91" workbookViewId="0">
      <selection activeCell="B117" sqref="B117:N117"/>
    </sheetView>
  </sheetViews>
  <sheetFormatPr baseColWidth="10" defaultColWidth="9.140625" defaultRowHeight="15" x14ac:dyDescent="0.25"/>
  <cols>
    <col min="1" max="1" width="2.7109375" customWidth="1"/>
    <col min="2" max="2" width="30" customWidth="1"/>
    <col min="3" max="15" width="12.42578125" customWidth="1"/>
  </cols>
  <sheetData>
    <row r="1" spans="2:14" ht="21" x14ac:dyDescent="0.25">
      <c r="B1" s="1" t="s">
        <v>373</v>
      </c>
    </row>
    <row r="2" spans="2:14" x14ac:dyDescent="0.25">
      <c r="B2" s="2" t="s">
        <v>374</v>
      </c>
    </row>
    <row r="3" spans="2:14" x14ac:dyDescent="0.25">
      <c r="B3" s="9" t="s">
        <v>255</v>
      </c>
    </row>
    <row r="4" spans="2:14" ht="166.35" customHeight="1" x14ac:dyDescent="0.25">
      <c r="B4" s="87" t="s">
        <v>375</v>
      </c>
      <c r="C4" s="88"/>
      <c r="D4" s="88"/>
      <c r="E4" s="88"/>
      <c r="F4" s="88"/>
      <c r="G4" s="88"/>
      <c r="H4" s="88"/>
      <c r="I4" s="88"/>
      <c r="J4" s="88"/>
      <c r="K4" s="88"/>
      <c r="L4" s="88"/>
      <c r="M4" s="88"/>
      <c r="N4" s="88"/>
    </row>
    <row r="6" spans="2:14" x14ac:dyDescent="0.25">
      <c r="B6" s="3" t="s">
        <v>376</v>
      </c>
    </row>
    <row r="7" spans="2:14" ht="30" customHeight="1" x14ac:dyDescent="0.25">
      <c r="B7" s="14" t="s">
        <v>43</v>
      </c>
      <c r="C7" s="14" t="s">
        <v>377</v>
      </c>
      <c r="D7" s="14" t="s">
        <v>378</v>
      </c>
      <c r="E7" s="14" t="s">
        <v>46</v>
      </c>
      <c r="F7" s="73" t="s">
        <v>379</v>
      </c>
      <c r="G7" s="75"/>
      <c r="H7" s="75"/>
      <c r="I7" s="75"/>
      <c r="J7" s="72"/>
    </row>
    <row r="8" spans="2:14" x14ac:dyDescent="0.25">
      <c r="B8" s="18" t="s">
        <v>380</v>
      </c>
      <c r="C8" s="35">
        <f>Vn_min</f>
        <v>50000</v>
      </c>
      <c r="D8" s="35">
        <f>Vn_max</f>
        <v>100000</v>
      </c>
      <c r="E8" s="18" t="s">
        <v>89</v>
      </c>
      <c r="F8" s="71" t="s">
        <v>333</v>
      </c>
      <c r="G8" s="75"/>
      <c r="H8" s="75"/>
      <c r="I8" s="75"/>
      <c r="J8" s="72"/>
    </row>
    <row r="9" spans="2:14" x14ac:dyDescent="0.25">
      <c r="B9" s="45" t="s">
        <v>381</v>
      </c>
      <c r="C9" s="38">
        <f>Vn_min*rho_n_rein/3600</f>
        <v>27.455732520438474</v>
      </c>
      <c r="D9" s="38">
        <f>Vn_max*rho_n_rein/3600</f>
        <v>54.911465040876948</v>
      </c>
      <c r="E9" s="18" t="s">
        <v>382</v>
      </c>
      <c r="F9" s="71" t="s">
        <v>383</v>
      </c>
      <c r="G9" s="75"/>
      <c r="H9" s="75"/>
      <c r="I9" s="75"/>
      <c r="J9" s="72"/>
    </row>
    <row r="10" spans="2:14" x14ac:dyDescent="0.25">
      <c r="B10" s="18" t="s">
        <v>384</v>
      </c>
      <c r="C10" s="35">
        <f>C9*86.4</f>
        <v>2372.1752897658844</v>
      </c>
      <c r="D10" s="35">
        <f>D9*86.4</f>
        <v>4744.3505795317687</v>
      </c>
      <c r="E10" s="18" t="s">
        <v>385</v>
      </c>
      <c r="F10" s="71" t="s">
        <v>386</v>
      </c>
      <c r="G10" s="75"/>
      <c r="H10" s="75"/>
      <c r="I10" s="75"/>
      <c r="J10" s="72"/>
    </row>
    <row r="11" spans="2:14" x14ac:dyDescent="0.25">
      <c r="B11" s="18" t="s">
        <v>780</v>
      </c>
      <c r="C11" s="35">
        <f>C10*365</f>
        <v>865843.98076454783</v>
      </c>
      <c r="D11" s="35">
        <f>D10*365</f>
        <v>1731687.9615290957</v>
      </c>
      <c r="E11" s="18"/>
      <c r="F11" s="71"/>
      <c r="G11" s="75"/>
      <c r="H11" s="75"/>
      <c r="I11" s="75"/>
      <c r="J11" s="72"/>
    </row>
    <row r="12" spans="2:14" x14ac:dyDescent="0.25">
      <c r="B12" s="90"/>
      <c r="C12" s="91"/>
      <c r="D12" s="91"/>
      <c r="E12" s="90"/>
      <c r="F12" s="90"/>
      <c r="G12" s="92"/>
      <c r="H12" s="92"/>
      <c r="I12" s="92"/>
      <c r="J12" s="92"/>
    </row>
    <row r="13" spans="2:14" x14ac:dyDescent="0.25">
      <c r="B13" s="3" t="s">
        <v>387</v>
      </c>
    </row>
    <row r="14" spans="2:14" ht="57.95" customHeight="1" x14ac:dyDescent="0.25">
      <c r="B14" s="14" t="s">
        <v>280</v>
      </c>
      <c r="C14" s="14" t="s">
        <v>342</v>
      </c>
      <c r="D14" s="14" t="s">
        <v>388</v>
      </c>
      <c r="E14" s="14" t="s">
        <v>389</v>
      </c>
      <c r="F14" s="14" t="s">
        <v>390</v>
      </c>
      <c r="G14" s="14" t="s">
        <v>391</v>
      </c>
      <c r="H14" s="14" t="s">
        <v>392</v>
      </c>
      <c r="I14" s="14" t="s">
        <v>393</v>
      </c>
      <c r="J14" s="14" t="s">
        <v>394</v>
      </c>
      <c r="K14" s="14" t="s">
        <v>395</v>
      </c>
      <c r="L14" s="14" t="s">
        <v>396</v>
      </c>
    </row>
    <row r="15" spans="2:14" x14ac:dyDescent="0.25">
      <c r="B15" s="15" t="s">
        <v>397</v>
      </c>
      <c r="C15" s="16"/>
      <c r="D15" s="16"/>
      <c r="E15" s="16"/>
      <c r="F15" s="16"/>
      <c r="G15" s="16"/>
      <c r="H15" s="16"/>
      <c r="I15" s="16"/>
      <c r="J15" s="16"/>
      <c r="K15" s="16"/>
      <c r="L15" s="16"/>
    </row>
    <row r="16" spans="2:14" x14ac:dyDescent="0.25">
      <c r="B16" s="22">
        <v>70</v>
      </c>
      <c r="C16" s="22">
        <v>73.517619839942938</v>
      </c>
      <c r="D16" s="27">
        <v>180.08789006513931</v>
      </c>
      <c r="E16" s="27">
        <v>184.3093792614732</v>
      </c>
      <c r="F16" s="37">
        <f t="shared" ref="F16:F30" si="0">(E16-D16)/1</f>
        <v>4.2214891963338914</v>
      </c>
      <c r="G16" s="22">
        <v>232.1921884576139</v>
      </c>
      <c r="H16" s="37">
        <f t="shared" ref="H16:H30" si="1">100000/G16^2</f>
        <v>1.8548328987298732</v>
      </c>
      <c r="I16" s="34">
        <f t="shared" ref="I16:I30" si="2">V_kav*F16*dpdt_max/86400</f>
        <v>317.58888629826731</v>
      </c>
      <c r="J16" s="34">
        <f t="shared" ref="J16:J30" si="3">V_kav*H16*dpdt_max/86400</f>
        <v>139.54182687203908</v>
      </c>
      <c r="K16" s="34">
        <f t="shared" ref="K16:K30" si="4">V_kav*F16*dpdt_vors/86400</f>
        <v>190.5533317789604</v>
      </c>
      <c r="L16" s="6" t="str">
        <f t="shared" ref="L16:L30" si="5">IF(J16&gt;=mdot_100,"✔ auch schnell",IF(I16&gt;=mdot_100,"✔ nur langsam","✘ Rate wird gekürzt"))</f>
        <v>✔ auch schnell</v>
      </c>
    </row>
    <row r="17" spans="2:12" x14ac:dyDescent="0.25">
      <c r="B17" s="22">
        <v>80</v>
      </c>
      <c r="C17" s="22">
        <v>84.496184257507352</v>
      </c>
      <c r="D17" s="27">
        <v>233.1773876048758</v>
      </c>
      <c r="E17" s="27">
        <v>238.91379331991291</v>
      </c>
      <c r="F17" s="37">
        <f t="shared" si="0"/>
        <v>5.7364057150371082</v>
      </c>
      <c r="G17" s="22">
        <v>224.8844378930238</v>
      </c>
      <c r="H17" s="37">
        <f t="shared" si="1"/>
        <v>1.9773392803056045</v>
      </c>
      <c r="I17" s="34">
        <f t="shared" si="2"/>
        <v>431.55830032107866</v>
      </c>
      <c r="J17" s="34">
        <f t="shared" si="3"/>
        <v>148.758163448917</v>
      </c>
      <c r="K17" s="34">
        <f t="shared" si="4"/>
        <v>258.93498019264723</v>
      </c>
      <c r="L17" s="6" t="str">
        <f t="shared" si="5"/>
        <v>✔ auch schnell</v>
      </c>
    </row>
    <row r="18" spans="2:12" x14ac:dyDescent="0.25">
      <c r="B18" s="22">
        <v>90</v>
      </c>
      <c r="C18" s="22">
        <v>95.876161134571348</v>
      </c>
      <c r="D18" s="27">
        <v>311.90046221360461</v>
      </c>
      <c r="E18" s="27">
        <v>320.51123358210589</v>
      </c>
      <c r="F18" s="37">
        <f t="shared" si="0"/>
        <v>8.6107713685012754</v>
      </c>
      <c r="G18" s="22">
        <v>219.89010565071459</v>
      </c>
      <c r="H18" s="37">
        <f t="shared" si="1"/>
        <v>2.0681813814004766</v>
      </c>
      <c r="I18" s="34">
        <f t="shared" si="2"/>
        <v>647.8010867506747</v>
      </c>
      <c r="J18" s="34">
        <f t="shared" si="3"/>
        <v>155.59234929517473</v>
      </c>
      <c r="K18" s="34">
        <f t="shared" si="4"/>
        <v>388.68065205040472</v>
      </c>
      <c r="L18" s="6" t="str">
        <f t="shared" si="5"/>
        <v>✔ auch schnell</v>
      </c>
    </row>
    <row r="19" spans="2:12" x14ac:dyDescent="0.25">
      <c r="B19" s="22">
        <v>100</v>
      </c>
      <c r="C19" s="22">
        <v>107.9583417151475</v>
      </c>
      <c r="D19" s="27">
        <v>433.79686520554128</v>
      </c>
      <c r="E19" s="27">
        <v>444.67820439819042</v>
      </c>
      <c r="F19" s="37">
        <f t="shared" si="0"/>
        <v>10.881339192649136</v>
      </c>
      <c r="G19" s="22">
        <v>228.33396927690731</v>
      </c>
      <c r="H19" s="37">
        <f t="shared" si="1"/>
        <v>1.9180456854241241</v>
      </c>
      <c r="I19" s="34">
        <f t="shared" si="2"/>
        <v>818.6192679655021</v>
      </c>
      <c r="J19" s="34">
        <f t="shared" si="3"/>
        <v>144.29741846362046</v>
      </c>
      <c r="K19" s="34">
        <f t="shared" si="4"/>
        <v>491.17156077930127</v>
      </c>
      <c r="L19" s="6" t="str">
        <f t="shared" si="5"/>
        <v>✔ auch schnell</v>
      </c>
    </row>
    <row r="20" spans="2:12" x14ac:dyDescent="0.25">
      <c r="B20" s="22">
        <v>110</v>
      </c>
      <c r="C20" s="22">
        <v>120.28075776646951</v>
      </c>
      <c r="D20" s="27">
        <v>548.60610475031012</v>
      </c>
      <c r="E20" s="27">
        <v>555.7212485951984</v>
      </c>
      <c r="F20" s="37">
        <f t="shared" si="0"/>
        <v>7.11514384488828</v>
      </c>
      <c r="G20" s="22">
        <v>262.56727632099432</v>
      </c>
      <c r="H20" s="37">
        <f t="shared" si="1"/>
        <v>1.4505035689712242</v>
      </c>
      <c r="I20" s="34">
        <f t="shared" si="2"/>
        <v>535.28281240478964</v>
      </c>
      <c r="J20" s="34">
        <f t="shared" si="3"/>
        <v>109.12353238788144</v>
      </c>
      <c r="K20" s="34">
        <f t="shared" si="4"/>
        <v>321.16968744287379</v>
      </c>
      <c r="L20" s="6" t="str">
        <f t="shared" si="5"/>
        <v>✔ auch schnell</v>
      </c>
    </row>
    <row r="21" spans="2:12" x14ac:dyDescent="0.25">
      <c r="B21" s="22">
        <v>120</v>
      </c>
      <c r="C21" s="22">
        <v>131.8203076892508</v>
      </c>
      <c r="D21" s="27">
        <v>615.12617388054923</v>
      </c>
      <c r="E21" s="27">
        <v>619.61690633128103</v>
      </c>
      <c r="F21" s="37">
        <f t="shared" si="0"/>
        <v>4.4907324507317981</v>
      </c>
      <c r="G21" s="22">
        <v>299.52373660324503</v>
      </c>
      <c r="H21" s="37">
        <f t="shared" si="1"/>
        <v>1.1146474069355174</v>
      </c>
      <c r="I21" s="34">
        <f t="shared" si="2"/>
        <v>337.84445520551719</v>
      </c>
      <c r="J21" s="34">
        <f t="shared" si="3"/>
        <v>83.856575753250723</v>
      </c>
      <c r="K21" s="34">
        <f t="shared" si="4"/>
        <v>202.70667312331031</v>
      </c>
      <c r="L21" s="6" t="str">
        <f t="shared" si="5"/>
        <v>✔ auch schnell</v>
      </c>
    </row>
    <row r="22" spans="2:12" x14ac:dyDescent="0.25">
      <c r="B22" s="22">
        <v>130</v>
      </c>
      <c r="C22" s="22">
        <v>142.79961000434091</v>
      </c>
      <c r="D22" s="27">
        <v>657.42545314911365</v>
      </c>
      <c r="E22" s="27">
        <v>660.65268955065392</v>
      </c>
      <c r="F22" s="37">
        <f t="shared" si="0"/>
        <v>3.2272364015402673</v>
      </c>
      <c r="G22" s="22">
        <v>330.99250307077301</v>
      </c>
      <c r="H22" s="37">
        <f t="shared" si="1"/>
        <v>0.91277489271277867</v>
      </c>
      <c r="I22" s="34">
        <f t="shared" si="2"/>
        <v>242.78977557883957</v>
      </c>
      <c r="J22" s="34">
        <f t="shared" si="3"/>
        <v>68.669407437882654</v>
      </c>
      <c r="K22" s="34">
        <f t="shared" si="4"/>
        <v>145.67386534730375</v>
      </c>
      <c r="L22" s="6" t="str">
        <f t="shared" si="5"/>
        <v>✔ auch schnell</v>
      </c>
    </row>
    <row r="23" spans="2:12" x14ac:dyDescent="0.25">
      <c r="B23" s="22">
        <v>140</v>
      </c>
      <c r="C23" s="22">
        <v>153.497712351134</v>
      </c>
      <c r="D23" s="27">
        <v>688.20942933443484</v>
      </c>
      <c r="E23" s="27">
        <v>690.72747423000408</v>
      </c>
      <c r="F23" s="37">
        <f t="shared" si="0"/>
        <v>2.5180448955692327</v>
      </c>
      <c r="G23" s="22">
        <v>358.09087833483022</v>
      </c>
      <c r="H23" s="37">
        <f t="shared" si="1"/>
        <v>0.77985432185295545</v>
      </c>
      <c r="I23" s="34">
        <f t="shared" si="2"/>
        <v>189.43624793055568</v>
      </c>
      <c r="J23" s="34">
        <f t="shared" si="3"/>
        <v>58.669595972733923</v>
      </c>
      <c r="K23" s="34">
        <f t="shared" si="4"/>
        <v>113.66174875833342</v>
      </c>
      <c r="L23" s="6" t="str">
        <f t="shared" si="5"/>
        <v>✔ auch schnell</v>
      </c>
    </row>
    <row r="24" spans="2:12" x14ac:dyDescent="0.25">
      <c r="B24" s="22">
        <v>150</v>
      </c>
      <c r="C24" s="22">
        <v>164.03780650348369</v>
      </c>
      <c r="D24" s="27">
        <v>712.44888517448101</v>
      </c>
      <c r="E24" s="27">
        <v>714.51694464486752</v>
      </c>
      <c r="F24" s="37">
        <f t="shared" si="0"/>
        <v>2.0680594703865154</v>
      </c>
      <c r="G24" s="22">
        <v>381.99262323078972</v>
      </c>
      <c r="H24" s="37">
        <f t="shared" si="1"/>
        <v>0.68531470008161033</v>
      </c>
      <c r="I24" s="34">
        <f t="shared" si="2"/>
        <v>155.58317774898555</v>
      </c>
      <c r="J24" s="34">
        <f t="shared" si="3"/>
        <v>51.557240168176705</v>
      </c>
      <c r="K24" s="34">
        <f t="shared" si="4"/>
        <v>93.349906649391329</v>
      </c>
      <c r="L24" s="6" t="str">
        <f t="shared" si="5"/>
        <v>✔ nur langsam</v>
      </c>
    </row>
    <row r="25" spans="2:12" x14ac:dyDescent="0.25">
      <c r="B25" s="22">
        <v>160</v>
      </c>
      <c r="C25" s="22">
        <v>174.47824421395811</v>
      </c>
      <c r="D25" s="27">
        <v>732.4899269395537</v>
      </c>
      <c r="E25" s="27">
        <v>734.24831904858615</v>
      </c>
      <c r="F25" s="37">
        <f t="shared" si="0"/>
        <v>1.7583921090324566</v>
      </c>
      <c r="G25" s="22">
        <v>403.47435395247697</v>
      </c>
      <c r="H25" s="37">
        <f t="shared" si="1"/>
        <v>0.61428248186224466</v>
      </c>
      <c r="I25" s="34">
        <f t="shared" si="2"/>
        <v>132.28644338785844</v>
      </c>
      <c r="J25" s="34">
        <f t="shared" si="3"/>
        <v>46.213381158617942</v>
      </c>
      <c r="K25" s="34">
        <f t="shared" si="4"/>
        <v>79.371866032715062</v>
      </c>
      <c r="L25" s="6" t="str">
        <f t="shared" si="5"/>
        <v>✔ nur langsam</v>
      </c>
    </row>
    <row r="26" spans="2:12" x14ac:dyDescent="0.25">
      <c r="B26" s="22">
        <v>170</v>
      </c>
      <c r="C26" s="22">
        <v>184.85056378410431</v>
      </c>
      <c r="D26" s="27">
        <v>749.61538845701762</v>
      </c>
      <c r="E26" s="27">
        <v>751.14803566250953</v>
      </c>
      <c r="F26" s="37">
        <f t="shared" si="0"/>
        <v>1.5326472054919122</v>
      </c>
      <c r="G26" s="22">
        <v>423.05505557745221</v>
      </c>
      <c r="H26" s="37">
        <f t="shared" si="1"/>
        <v>0.55873544297084399</v>
      </c>
      <c r="I26" s="34">
        <f t="shared" si="2"/>
        <v>115.30331985760914</v>
      </c>
      <c r="J26" s="34">
        <f t="shared" si="3"/>
        <v>42.034495130908404</v>
      </c>
      <c r="K26" s="34">
        <f t="shared" si="4"/>
        <v>69.181991914565486</v>
      </c>
      <c r="L26" s="6" t="str">
        <f t="shared" si="5"/>
        <v>✔ nur langsam</v>
      </c>
    </row>
    <row r="27" spans="2:12" x14ac:dyDescent="0.25">
      <c r="B27" s="22">
        <v>180</v>
      </c>
      <c r="C27" s="22">
        <v>195.17354675573711</v>
      </c>
      <c r="D27" s="27">
        <v>764.5994061118372</v>
      </c>
      <c r="E27" s="27">
        <v>765.96025393161551</v>
      </c>
      <c r="F27" s="37">
        <f t="shared" si="0"/>
        <v>1.3608478197783143</v>
      </c>
      <c r="G27" s="22">
        <v>441.09535368286538</v>
      </c>
      <c r="H27" s="37">
        <f t="shared" si="1"/>
        <v>0.51396676138471065</v>
      </c>
      <c r="I27" s="34">
        <f t="shared" si="2"/>
        <v>102.37859755276671</v>
      </c>
      <c r="J27" s="34">
        <f t="shared" si="3"/>
        <v>38.666480891210874</v>
      </c>
      <c r="K27" s="34">
        <f t="shared" si="4"/>
        <v>61.427158531660012</v>
      </c>
      <c r="L27" s="6" t="str">
        <f t="shared" si="5"/>
        <v>✔ nur langsam</v>
      </c>
    </row>
    <row r="28" spans="2:12" x14ac:dyDescent="0.25">
      <c r="B28" s="22">
        <v>190</v>
      </c>
      <c r="C28" s="22">
        <v>205.45920237381739</v>
      </c>
      <c r="D28" s="27">
        <v>777.94365470914533</v>
      </c>
      <c r="E28" s="27">
        <v>779.16935306361847</v>
      </c>
      <c r="F28" s="37">
        <f t="shared" si="0"/>
        <v>1.2256983544731384</v>
      </c>
      <c r="G28" s="22">
        <v>457.85608118650248</v>
      </c>
      <c r="H28" s="37">
        <f t="shared" si="1"/>
        <v>0.47702597337302532</v>
      </c>
      <c r="I28" s="34">
        <f t="shared" si="2"/>
        <v>92.211103056428229</v>
      </c>
      <c r="J28" s="34">
        <f t="shared" si="3"/>
        <v>35.887370681998433</v>
      </c>
      <c r="K28" s="34">
        <f t="shared" si="4"/>
        <v>55.326661833856939</v>
      </c>
      <c r="L28" s="6" t="str">
        <f t="shared" si="5"/>
        <v>✔ nur langsam</v>
      </c>
    </row>
    <row r="29" spans="2:12" x14ac:dyDescent="0.25">
      <c r="B29" s="22">
        <v>200</v>
      </c>
      <c r="C29" s="22">
        <v>215.71564495522671</v>
      </c>
      <c r="D29" s="27">
        <v>789.99140977908405</v>
      </c>
      <c r="E29" s="27">
        <v>791.10796995976818</v>
      </c>
      <c r="F29" s="37">
        <f t="shared" si="0"/>
        <v>1.1165601806841323</v>
      </c>
      <c r="G29" s="22">
        <v>473.53341595354033</v>
      </c>
      <c r="H29" s="37">
        <f t="shared" si="1"/>
        <v>0.44596290646895126</v>
      </c>
      <c r="I29" s="34">
        <f t="shared" si="2"/>
        <v>84.000476556097922</v>
      </c>
      <c r="J29" s="34">
        <f t="shared" si="3"/>
        <v>33.550450139446561</v>
      </c>
      <c r="K29" s="34">
        <f t="shared" si="4"/>
        <v>50.400285933658751</v>
      </c>
      <c r="L29" s="6" t="str">
        <f t="shared" si="5"/>
        <v>✔ nur langsam</v>
      </c>
    </row>
    <row r="30" spans="2:12" x14ac:dyDescent="0.25">
      <c r="B30" s="22">
        <v>210</v>
      </c>
      <c r="C30" s="22">
        <v>225.9486033901812</v>
      </c>
      <c r="D30" s="27">
        <v>800.98779764353753</v>
      </c>
      <c r="E30" s="27">
        <v>802.01433941332516</v>
      </c>
      <c r="F30" s="37">
        <f t="shared" si="0"/>
        <v>1.0265417697876273</v>
      </c>
      <c r="G30" s="22">
        <v>488.28005398675259</v>
      </c>
      <c r="H30" s="37">
        <f t="shared" si="1"/>
        <v>0.41943245474266272</v>
      </c>
      <c r="I30" s="34">
        <f t="shared" si="2"/>
        <v>77.228258143745109</v>
      </c>
      <c r="J30" s="34">
        <f t="shared" si="3"/>
        <v>31.554524951704952</v>
      </c>
      <c r="K30" s="34">
        <f t="shared" si="4"/>
        <v>46.336954886247064</v>
      </c>
      <c r="L30" s="6" t="str">
        <f t="shared" si="5"/>
        <v>✔ nur langsam</v>
      </c>
    </row>
    <row r="31" spans="2:12" x14ac:dyDescent="0.25">
      <c r="B31" s="15" t="s">
        <v>398</v>
      </c>
      <c r="C31" s="16"/>
      <c r="D31" s="16"/>
      <c r="E31" s="16"/>
      <c r="F31" s="16"/>
      <c r="G31" s="16"/>
      <c r="H31" s="16"/>
      <c r="I31" s="16"/>
      <c r="J31" s="16"/>
      <c r="K31" s="16"/>
      <c r="L31" s="16"/>
    </row>
    <row r="32" spans="2:12" x14ac:dyDescent="0.25">
      <c r="B32" s="22">
        <v>40.833333333333343</v>
      </c>
      <c r="C32" s="22">
        <v>42.647858193038353</v>
      </c>
      <c r="D32" s="27">
        <v>91.394546197652247</v>
      </c>
      <c r="E32" s="27">
        <v>94.297100616799256</v>
      </c>
      <c r="F32" s="37">
        <f t="shared" ref="F32:F46" si="6">(E32-D32)/1</f>
        <v>2.902554419147009</v>
      </c>
      <c r="G32" s="22">
        <v>241.6991911531708</v>
      </c>
      <c r="H32" s="37">
        <f t="shared" ref="H32:H46" si="7">100000/G32^2</f>
        <v>1.7117865351690533</v>
      </c>
      <c r="I32" s="34">
        <f t="shared" ref="I32:I46" si="8">V_kav*F32*dpdt_max/86400</f>
        <v>218.36346903305045</v>
      </c>
      <c r="J32" s="34">
        <f t="shared" ref="J32:J46" si="9">V_kav*H32*dpdt_max/86400</f>
        <v>128.78023702082001</v>
      </c>
      <c r="K32" s="34">
        <f t="shared" ref="K32:K46" si="10">V_kav*F32*dpdt_vors/86400</f>
        <v>131.01808141983028</v>
      </c>
      <c r="L32" s="6" t="str">
        <f t="shared" ref="L32:L46" si="11">IF(J32&gt;=mdot_100,"✔ auch schnell",IF(I32&gt;=mdot_100,"✔ nur langsam","✘ Rate wird gekürzt"))</f>
        <v>✔ auch schnell</v>
      </c>
    </row>
    <row r="33" spans="2:12" x14ac:dyDescent="0.25">
      <c r="B33" s="22">
        <v>46.666666666666671</v>
      </c>
      <c r="C33" s="22">
        <v>48.847303419518433</v>
      </c>
      <c r="D33" s="27">
        <v>110.34246082787941</v>
      </c>
      <c r="E33" s="27">
        <v>113.634515926066</v>
      </c>
      <c r="F33" s="37">
        <f t="shared" si="6"/>
        <v>3.2920550981865944</v>
      </c>
      <c r="G33" s="22">
        <v>236.0516357927589</v>
      </c>
      <c r="H33" s="37">
        <f t="shared" si="7"/>
        <v>1.7946756537431299</v>
      </c>
      <c r="I33" s="34">
        <f t="shared" si="8"/>
        <v>247.66618215524147</v>
      </c>
      <c r="J33" s="34">
        <f t="shared" si="9"/>
        <v>135.01610820984197</v>
      </c>
      <c r="K33" s="34">
        <f t="shared" si="10"/>
        <v>148.59970929314491</v>
      </c>
      <c r="L33" s="6" t="str">
        <f t="shared" si="11"/>
        <v>✔ auch schnell</v>
      </c>
    </row>
    <row r="34" spans="2:12" x14ac:dyDescent="0.25">
      <c r="B34" s="22">
        <v>52.5</v>
      </c>
      <c r="C34" s="22">
        <v>55.099591047535696</v>
      </c>
      <c r="D34" s="27">
        <v>132.26290242726401</v>
      </c>
      <c r="E34" s="27">
        <v>136.10294010791529</v>
      </c>
      <c r="F34" s="37">
        <f t="shared" si="6"/>
        <v>3.8400376806512782</v>
      </c>
      <c r="G34" s="22">
        <v>229.96624018846421</v>
      </c>
      <c r="H34" s="37">
        <f t="shared" si="7"/>
        <v>1.8909142310508602</v>
      </c>
      <c r="I34" s="34">
        <f t="shared" si="8"/>
        <v>288.89172366010774</v>
      </c>
      <c r="J34" s="34">
        <f t="shared" si="9"/>
        <v>142.25627895637257</v>
      </c>
      <c r="K34" s="34">
        <f t="shared" si="10"/>
        <v>173.33503419606464</v>
      </c>
      <c r="L34" s="6" t="str">
        <f t="shared" si="11"/>
        <v>✔ auch schnell</v>
      </c>
    </row>
    <row r="35" spans="2:12" x14ac:dyDescent="0.25">
      <c r="B35" s="22">
        <v>58.333333333333343</v>
      </c>
      <c r="C35" s="22">
        <v>61.427774212536789</v>
      </c>
      <c r="D35" s="27">
        <v>158.60067381141459</v>
      </c>
      <c r="E35" s="27">
        <v>163.280789353416</v>
      </c>
      <c r="F35" s="37">
        <f t="shared" si="6"/>
        <v>4.6801155420014027</v>
      </c>
      <c r="G35" s="22">
        <v>223.28016997993359</v>
      </c>
      <c r="H35" s="37">
        <f t="shared" si="7"/>
        <v>2.0058557224410465</v>
      </c>
      <c r="I35" s="34">
        <f t="shared" si="8"/>
        <v>352.09202572927222</v>
      </c>
      <c r="J35" s="34">
        <f t="shared" si="9"/>
        <v>150.90349763734724</v>
      </c>
      <c r="K35" s="34">
        <f t="shared" si="10"/>
        <v>211.25521543756329</v>
      </c>
      <c r="L35" s="6" t="str">
        <f t="shared" si="11"/>
        <v>✔ auch schnell</v>
      </c>
    </row>
    <row r="36" spans="2:12" x14ac:dyDescent="0.25">
      <c r="B36" s="22">
        <v>64.166666666666671</v>
      </c>
      <c r="C36" s="22">
        <v>67.876093537889446</v>
      </c>
      <c r="D36" s="27">
        <v>192.33538951430259</v>
      </c>
      <c r="E36" s="27">
        <v>198.50399567331601</v>
      </c>
      <c r="F36" s="37">
        <f t="shared" si="6"/>
        <v>6.1686061590134216</v>
      </c>
      <c r="G36" s="22">
        <v>215.66252633483629</v>
      </c>
      <c r="H36" s="37">
        <f t="shared" si="7"/>
        <v>2.1500602163061111</v>
      </c>
      <c r="I36" s="34">
        <f t="shared" si="8"/>
        <v>464.07338001837081</v>
      </c>
      <c r="J36" s="34">
        <f t="shared" si="9"/>
        <v>161.75221534710329</v>
      </c>
      <c r="K36" s="34">
        <f t="shared" si="10"/>
        <v>278.44402801102251</v>
      </c>
      <c r="L36" s="6" t="str">
        <f t="shared" si="11"/>
        <v>✔ auch schnell</v>
      </c>
    </row>
    <row r="37" spans="2:12" x14ac:dyDescent="0.25">
      <c r="B37" s="22">
        <v>70</v>
      </c>
      <c r="C37" s="22">
        <v>74.550264703594891</v>
      </c>
      <c r="D37" s="27">
        <v>241.6083000778651</v>
      </c>
      <c r="E37" s="27">
        <v>251.3232886141414</v>
      </c>
      <c r="F37" s="37">
        <f t="shared" si="6"/>
        <v>9.7149885362763087</v>
      </c>
      <c r="G37" s="22">
        <v>206.20322802965839</v>
      </c>
      <c r="H37" s="37">
        <f t="shared" si="7"/>
        <v>2.3518470833812333</v>
      </c>
      <c r="I37" s="34">
        <f t="shared" si="8"/>
        <v>730.87298015967599</v>
      </c>
      <c r="J37" s="34">
        <f t="shared" si="9"/>
        <v>176.93294030067148</v>
      </c>
      <c r="K37" s="34">
        <f t="shared" si="10"/>
        <v>438.52378809580563</v>
      </c>
      <c r="L37" s="6" t="str">
        <f t="shared" si="11"/>
        <v>✔ auch schnell</v>
      </c>
    </row>
    <row r="38" spans="2:12" x14ac:dyDescent="0.25">
      <c r="B38" s="22">
        <v>75.833333333333343</v>
      </c>
      <c r="C38" s="22">
        <v>81.860911578316831</v>
      </c>
      <c r="D38" s="27">
        <v>352.11785323176628</v>
      </c>
      <c r="E38" s="27">
        <v>382.654898337166</v>
      </c>
      <c r="F38" s="37">
        <f t="shared" si="6"/>
        <v>30.537045105399727</v>
      </c>
      <c r="G38" s="22">
        <v>191.2164556386623</v>
      </c>
      <c r="H38" s="37">
        <f t="shared" si="7"/>
        <v>2.7349505110519265</v>
      </c>
      <c r="I38" s="34">
        <f t="shared" si="8"/>
        <v>2297.347143346044</v>
      </c>
      <c r="J38" s="34">
        <f t="shared" si="9"/>
        <v>205.75437872497133</v>
      </c>
      <c r="K38" s="34">
        <f t="shared" si="10"/>
        <v>1378.4082860076264</v>
      </c>
      <c r="L38" s="6" t="str">
        <f t="shared" si="11"/>
        <v>✔ auch schnell</v>
      </c>
    </row>
    <row r="39" spans="2:12" x14ac:dyDescent="0.25">
      <c r="B39" s="22">
        <v>81.666666666666657</v>
      </c>
      <c r="C39" s="22">
        <v>92.967715142624058</v>
      </c>
      <c r="D39" s="27">
        <v>631.74166337487998</v>
      </c>
      <c r="E39" s="27">
        <v>640.29317947549953</v>
      </c>
      <c r="F39" s="37">
        <f t="shared" si="6"/>
        <v>8.5515161006195513</v>
      </c>
      <c r="G39" s="22">
        <v>263.15221053623782</v>
      </c>
      <c r="H39" s="37">
        <f t="shared" si="7"/>
        <v>1.4440623827123007</v>
      </c>
      <c r="I39" s="34">
        <f t="shared" si="8"/>
        <v>643.34322516235045</v>
      </c>
      <c r="J39" s="34">
        <f t="shared" si="9"/>
        <v>108.63895240312446</v>
      </c>
      <c r="K39" s="34">
        <f t="shared" si="10"/>
        <v>386.00593509741032</v>
      </c>
      <c r="L39" s="6" t="str">
        <f t="shared" si="11"/>
        <v>✔ auch schnell</v>
      </c>
    </row>
    <row r="40" spans="2:12" x14ac:dyDescent="0.25">
      <c r="B40" s="22">
        <v>87.5</v>
      </c>
      <c r="C40" s="22">
        <v>100.4578641346441</v>
      </c>
      <c r="D40" s="27">
        <v>680.79463124975587</v>
      </c>
      <c r="E40" s="27">
        <v>685.58042514451222</v>
      </c>
      <c r="F40" s="37">
        <f t="shared" si="6"/>
        <v>4.7857938947563525</v>
      </c>
      <c r="G40" s="22">
        <v>305.72447948068208</v>
      </c>
      <c r="H40" s="37">
        <f t="shared" si="7"/>
        <v>1.069891091843262</v>
      </c>
      <c r="I40" s="34">
        <f t="shared" si="8"/>
        <v>360.04236476754966</v>
      </c>
      <c r="J40" s="34">
        <f t="shared" si="9"/>
        <v>80.489491863208372</v>
      </c>
      <c r="K40" s="34">
        <f t="shared" si="10"/>
        <v>216.02541886052978</v>
      </c>
      <c r="L40" s="6" t="str">
        <f t="shared" si="11"/>
        <v>✔ auch schnell</v>
      </c>
    </row>
    <row r="41" spans="2:12" x14ac:dyDescent="0.25">
      <c r="B41" s="22">
        <v>93.333333333333343</v>
      </c>
      <c r="C41" s="22">
        <v>107.04732093871441</v>
      </c>
      <c r="D41" s="27">
        <v>708.29372057975638</v>
      </c>
      <c r="E41" s="27">
        <v>711.80089872613019</v>
      </c>
      <c r="F41" s="37">
        <f t="shared" si="6"/>
        <v>3.5071781463738034</v>
      </c>
      <c r="G41" s="22">
        <v>333.75660164566779</v>
      </c>
      <c r="H41" s="37">
        <f t="shared" si="7"/>
        <v>0.89771869724665465</v>
      </c>
      <c r="I41" s="34">
        <f t="shared" si="8"/>
        <v>263.85020777117739</v>
      </c>
      <c r="J41" s="34">
        <f t="shared" si="9"/>
        <v>67.536707547491389</v>
      </c>
      <c r="K41" s="34">
        <f t="shared" si="10"/>
        <v>158.31012466270641</v>
      </c>
      <c r="L41" s="6" t="str">
        <f t="shared" si="11"/>
        <v>✔ auch schnell</v>
      </c>
    </row>
    <row r="42" spans="2:12" x14ac:dyDescent="0.25">
      <c r="B42" s="22">
        <v>99.166666666666657</v>
      </c>
      <c r="C42" s="22">
        <v>113.3914010414212</v>
      </c>
      <c r="D42" s="27">
        <v>728.53214520682786</v>
      </c>
      <c r="E42" s="27">
        <v>731.35058832140794</v>
      </c>
      <c r="F42" s="37">
        <f t="shared" si="6"/>
        <v>2.8184431145800772</v>
      </c>
      <c r="G42" s="22">
        <v>356.10237914272739</v>
      </c>
      <c r="H42" s="37">
        <f t="shared" si="7"/>
        <v>0.78858815513484093</v>
      </c>
      <c r="I42" s="34">
        <f t="shared" si="8"/>
        <v>212.03565098114007</v>
      </c>
      <c r="J42" s="34">
        <f t="shared" si="9"/>
        <v>59.326655189542429</v>
      </c>
      <c r="K42" s="34">
        <f t="shared" si="10"/>
        <v>127.22139058868405</v>
      </c>
      <c r="L42" s="6" t="str">
        <f t="shared" si="11"/>
        <v>✔ auch schnell</v>
      </c>
    </row>
    <row r="43" spans="2:12" x14ac:dyDescent="0.25">
      <c r="B43" s="22">
        <v>105</v>
      </c>
      <c r="C43" s="22">
        <v>119.6173042638782</v>
      </c>
      <c r="D43" s="27">
        <v>744.84612296989189</v>
      </c>
      <c r="E43" s="27">
        <v>747.22447272516365</v>
      </c>
      <c r="F43" s="37">
        <f t="shared" si="6"/>
        <v>2.3783497552717563</v>
      </c>
      <c r="G43" s="22">
        <v>375.1760315481273</v>
      </c>
      <c r="H43" s="37">
        <f t="shared" si="7"/>
        <v>0.71044396495744511</v>
      </c>
      <c r="I43" s="34">
        <f t="shared" si="8"/>
        <v>178.92677557021315</v>
      </c>
      <c r="J43" s="34">
        <f t="shared" si="9"/>
        <v>53.447751993326314</v>
      </c>
      <c r="K43" s="34">
        <f t="shared" si="10"/>
        <v>107.35606534212789</v>
      </c>
      <c r="L43" s="6" t="str">
        <f t="shared" si="11"/>
        <v>✔ nur langsam</v>
      </c>
    </row>
    <row r="44" spans="2:12" x14ac:dyDescent="0.25">
      <c r="B44" s="22">
        <v>110.8333333333333</v>
      </c>
      <c r="C44" s="22">
        <v>125.77272253556571</v>
      </c>
      <c r="D44" s="27">
        <v>758.64124624404803</v>
      </c>
      <c r="E44" s="27">
        <v>760.71035430564302</v>
      </c>
      <c r="F44" s="37">
        <f t="shared" si="6"/>
        <v>2.0691080615949886</v>
      </c>
      <c r="G44" s="22">
        <v>392.06927977897601</v>
      </c>
      <c r="H44" s="37">
        <f t="shared" si="7"/>
        <v>0.6505405465318489</v>
      </c>
      <c r="I44" s="34">
        <f t="shared" si="8"/>
        <v>155.66206481906744</v>
      </c>
      <c r="J44" s="34">
        <f t="shared" si="9"/>
        <v>48.941129079363634</v>
      </c>
      <c r="K44" s="34">
        <f t="shared" si="10"/>
        <v>93.397238891440452</v>
      </c>
      <c r="L44" s="6" t="str">
        <f t="shared" si="11"/>
        <v>✔ nur langsam</v>
      </c>
    </row>
    <row r="45" spans="2:12" x14ac:dyDescent="0.25">
      <c r="B45" s="22">
        <v>116.6666666666667</v>
      </c>
      <c r="C45" s="22">
        <v>131.8808685256987</v>
      </c>
      <c r="D45" s="27">
        <v>770.65999621453886</v>
      </c>
      <c r="E45" s="27">
        <v>772.49817552933575</v>
      </c>
      <c r="F45" s="37">
        <f t="shared" si="6"/>
        <v>1.8381793147968892</v>
      </c>
      <c r="G45" s="22">
        <v>407.37418682026771</v>
      </c>
      <c r="H45" s="37">
        <f t="shared" si="7"/>
        <v>0.60257760492906731</v>
      </c>
      <c r="I45" s="34">
        <f t="shared" si="8"/>
        <v>138.28895308078447</v>
      </c>
      <c r="J45" s="34">
        <f t="shared" si="9"/>
        <v>45.332805926376594</v>
      </c>
      <c r="K45" s="34">
        <f t="shared" si="10"/>
        <v>82.973371848470691</v>
      </c>
      <c r="L45" s="6" t="str">
        <f t="shared" si="11"/>
        <v>✔ nur langsam</v>
      </c>
    </row>
    <row r="46" spans="2:12" x14ac:dyDescent="0.25">
      <c r="B46" s="22">
        <v>122.5</v>
      </c>
      <c r="C46" s="22">
        <v>137.95487173343719</v>
      </c>
      <c r="D46" s="27">
        <v>781.34859646461814</v>
      </c>
      <c r="E46" s="27">
        <v>783.00688730632203</v>
      </c>
      <c r="F46" s="37">
        <f t="shared" si="6"/>
        <v>1.658290841703888</v>
      </c>
      <c r="G46" s="22">
        <v>421.44928171880991</v>
      </c>
      <c r="H46" s="37">
        <f t="shared" si="7"/>
        <v>0.56300125636256915</v>
      </c>
      <c r="I46" s="34">
        <f t="shared" si="8"/>
        <v>124.7556767485564</v>
      </c>
      <c r="J46" s="34">
        <f t="shared" si="9"/>
        <v>42.355418592091432</v>
      </c>
      <c r="K46" s="34">
        <f t="shared" si="10"/>
        <v>74.853406049133838</v>
      </c>
      <c r="L46" s="6" t="str">
        <f t="shared" si="11"/>
        <v>✔ nur langsam</v>
      </c>
    </row>
    <row r="48" spans="2:12" x14ac:dyDescent="0.25">
      <c r="B48" s="3" t="s">
        <v>399</v>
      </c>
    </row>
    <row r="49" spans="9:13" ht="153.19999999999999" customHeight="1" x14ac:dyDescent="0.25">
      <c r="I49" s="87" t="s">
        <v>400</v>
      </c>
      <c r="J49" s="88"/>
      <c r="K49" s="88"/>
      <c r="L49" s="88"/>
      <c r="M49" s="88"/>
    </row>
    <row r="66" spans="2:14" x14ac:dyDescent="0.25">
      <c r="B66" s="3" t="s">
        <v>401</v>
      </c>
    </row>
    <row r="67" spans="2:14" x14ac:dyDescent="0.25">
      <c r="B67" s="47" t="s">
        <v>402</v>
      </c>
    </row>
    <row r="68" spans="2:14" ht="30" customHeight="1" x14ac:dyDescent="0.25">
      <c r="B68" s="14" t="s">
        <v>43</v>
      </c>
      <c r="C68" s="14" t="s">
        <v>403</v>
      </c>
      <c r="D68" s="14" t="s">
        <v>85</v>
      </c>
      <c r="E68" s="14" t="s">
        <v>312</v>
      </c>
      <c r="F68" s="14" t="s">
        <v>46</v>
      </c>
    </row>
    <row r="69" spans="2:14" x14ac:dyDescent="0.25">
      <c r="B69" s="18" t="s">
        <v>404</v>
      </c>
      <c r="C69" s="22">
        <v>78.943955898786484</v>
      </c>
      <c r="D69" s="34">
        <v>77.599999999999994</v>
      </c>
      <c r="E69" s="44">
        <f>C69-D69</f>
        <v>1.3439558987864899</v>
      </c>
      <c r="F69" s="18" t="s">
        <v>66</v>
      </c>
    </row>
    <row r="70" spans="2:14" x14ac:dyDescent="0.25">
      <c r="B70" s="18" t="s">
        <v>405</v>
      </c>
      <c r="C70" s="22">
        <v>34.13062387519301</v>
      </c>
      <c r="D70" s="34">
        <v>33.1</v>
      </c>
      <c r="E70" s="44">
        <f>C70-D70</f>
        <v>1.0306238751930081</v>
      </c>
      <c r="F70" s="18" t="s">
        <v>80</v>
      </c>
    </row>
    <row r="71" spans="2:14" x14ac:dyDescent="0.25">
      <c r="B71" s="18" t="s">
        <v>406</v>
      </c>
      <c r="C71" s="22">
        <v>154.66589379683859</v>
      </c>
      <c r="D71" s="34">
        <v>90</v>
      </c>
      <c r="E71" s="44">
        <f>C71-D71</f>
        <v>64.665893796838589</v>
      </c>
      <c r="F71" s="18" t="s">
        <v>407</v>
      </c>
      <c r="G71" s="11" t="s">
        <v>408</v>
      </c>
    </row>
    <row r="72" spans="2:14" x14ac:dyDescent="0.25">
      <c r="B72" s="18" t="s">
        <v>409</v>
      </c>
      <c r="C72" s="22">
        <v>624.31442362710357</v>
      </c>
      <c r="D72" s="34">
        <v>600</v>
      </c>
      <c r="E72" s="44">
        <f>C72-D72</f>
        <v>24.314423627103565</v>
      </c>
      <c r="F72" s="18" t="s">
        <v>407</v>
      </c>
    </row>
    <row r="74" spans="2:14" x14ac:dyDescent="0.25">
      <c r="B74" s="3" t="s">
        <v>410</v>
      </c>
    </row>
    <row r="75" spans="2:14" ht="44.1" customHeight="1" x14ac:dyDescent="0.25">
      <c r="B75" s="14" t="s">
        <v>411</v>
      </c>
      <c r="C75" s="14" t="s">
        <v>412</v>
      </c>
      <c r="D75" s="14" t="s">
        <v>413</v>
      </c>
      <c r="E75" s="14" t="s">
        <v>414</v>
      </c>
      <c r="F75" s="14" t="s">
        <v>415</v>
      </c>
      <c r="G75" s="14" t="s">
        <v>416</v>
      </c>
      <c r="H75" s="14" t="s">
        <v>417</v>
      </c>
      <c r="I75" s="14" t="s">
        <v>418</v>
      </c>
      <c r="J75" s="14" t="s">
        <v>419</v>
      </c>
      <c r="K75" s="14" t="s">
        <v>420</v>
      </c>
      <c r="L75" s="14" t="s">
        <v>421</v>
      </c>
      <c r="M75" s="14" t="s">
        <v>422</v>
      </c>
      <c r="N75" s="14" t="s">
        <v>423</v>
      </c>
    </row>
    <row r="76" spans="2:14" x14ac:dyDescent="0.25">
      <c r="B76" s="45" t="s">
        <v>424</v>
      </c>
      <c r="C76" s="34">
        <f>mdot_50</f>
        <v>27.455732520438474</v>
      </c>
      <c r="D76" s="22">
        <v>165.90000000001109</v>
      </c>
      <c r="E76" s="22">
        <v>52.149999999996787</v>
      </c>
      <c r="F76" s="22">
        <v>43.99875122433815</v>
      </c>
      <c r="G76" s="20">
        <v>520976.3474491802</v>
      </c>
      <c r="H76" s="20">
        <v>127432.46687708019</v>
      </c>
      <c r="I76" s="35">
        <f>G76-H76</f>
        <v>393543.8805721</v>
      </c>
      <c r="J76" s="39">
        <f>I76/G76</f>
        <v>0.75539682847212009</v>
      </c>
      <c r="K76" s="50">
        <v>0</v>
      </c>
      <c r="L76" s="22">
        <v>27.45573252043846</v>
      </c>
      <c r="M76" s="35">
        <f>L76*D76*86.4</f>
        <v>393543.88057218626</v>
      </c>
      <c r="N76" s="5" t="s">
        <v>353</v>
      </c>
    </row>
    <row r="77" spans="2:14" x14ac:dyDescent="0.25">
      <c r="B77" s="45" t="s">
        <v>425</v>
      </c>
      <c r="C77" s="34">
        <f>mdot_100</f>
        <v>54.911465040876948</v>
      </c>
      <c r="D77" s="22">
        <v>81.680000000000888</v>
      </c>
      <c r="E77" s="22">
        <v>52.149999999996787</v>
      </c>
      <c r="F77" s="22">
        <v>38.082460588913079</v>
      </c>
      <c r="G77" s="20">
        <v>520976.3474491802</v>
      </c>
      <c r="H77" s="20">
        <v>140660.80840692349</v>
      </c>
      <c r="I77" s="35">
        <f>G77-H77</f>
        <v>380315.53904225671</v>
      </c>
      <c r="J77" s="39">
        <f>I77/G77</f>
        <v>0.73000538489773847</v>
      </c>
      <c r="K77" s="50">
        <v>7.4436826640548487E-2</v>
      </c>
      <c r="L77" s="22">
        <v>53.890796038147528</v>
      </c>
      <c r="M77" s="35">
        <f>L77*D77*86.4</f>
        <v>380315.53904220904</v>
      </c>
      <c r="N77" s="5" t="s">
        <v>353</v>
      </c>
    </row>
    <row r="78" spans="2:14" x14ac:dyDescent="0.25">
      <c r="B78" s="45" t="s">
        <v>426</v>
      </c>
      <c r="C78" s="34">
        <f>mdot_50</f>
        <v>27.455732520438474</v>
      </c>
      <c r="D78" s="22">
        <v>188.0600000000224</v>
      </c>
      <c r="E78" s="22">
        <v>37.149999993934053</v>
      </c>
      <c r="F78" s="22">
        <v>30.028672328597281</v>
      </c>
      <c r="G78" s="20">
        <v>508417.68027716078</v>
      </c>
      <c r="H78" s="20">
        <v>62306.395283847902</v>
      </c>
      <c r="I78" s="35">
        <f>G78-H78</f>
        <v>446111.2849933129</v>
      </c>
      <c r="J78" s="39">
        <f>I78/G78</f>
        <v>0.87745037652923097</v>
      </c>
      <c r="K78" s="50">
        <v>0</v>
      </c>
      <c r="L78" s="22">
        <v>27.45573252043847</v>
      </c>
      <c r="M78" s="35">
        <f>L78*D78*86.4</f>
        <v>446111.28499342524</v>
      </c>
      <c r="N78" s="5" t="s">
        <v>353</v>
      </c>
    </row>
    <row r="79" spans="2:14" x14ac:dyDescent="0.25">
      <c r="B79" s="45" t="s">
        <v>427</v>
      </c>
      <c r="C79" s="34">
        <f>mdot_100</f>
        <v>54.911465040876948</v>
      </c>
      <c r="D79" s="22">
        <v>93.819999999998473</v>
      </c>
      <c r="E79" s="22">
        <v>37.149999993934053</v>
      </c>
      <c r="F79" s="22">
        <v>22.874745829013531</v>
      </c>
      <c r="G79" s="20">
        <v>508417.68027716078</v>
      </c>
      <c r="H79" s="20">
        <v>64429.235478827621</v>
      </c>
      <c r="I79" s="35">
        <f>G79-H79</f>
        <v>443988.44479833316</v>
      </c>
      <c r="J79" s="39">
        <f>I79/G79</f>
        <v>0.87327499027235955</v>
      </c>
      <c r="K79" s="50">
        <v>2.11042421658495E-2</v>
      </c>
      <c r="L79" s="22">
        <v>54.772491453083639</v>
      </c>
      <c r="M79" s="35">
        <f>L79*D79*86.4</f>
        <v>443988.44479827856</v>
      </c>
      <c r="N79" s="5" t="s">
        <v>428</v>
      </c>
    </row>
    <row r="80" spans="2:14" x14ac:dyDescent="0.25">
      <c r="B80" s="47" t="s">
        <v>429</v>
      </c>
    </row>
    <row r="82" spans="2:11" x14ac:dyDescent="0.25">
      <c r="B82" s="3" t="s">
        <v>430</v>
      </c>
    </row>
    <row r="83" spans="2:11" ht="44.1" customHeight="1" x14ac:dyDescent="0.25">
      <c r="B83" s="14" t="s">
        <v>411</v>
      </c>
      <c r="C83" s="14" t="s">
        <v>431</v>
      </c>
      <c r="D83" s="14" t="s">
        <v>432</v>
      </c>
      <c r="E83" s="14" t="s">
        <v>433</v>
      </c>
      <c r="F83" s="14" t="s">
        <v>434</v>
      </c>
      <c r="G83" s="14" t="s">
        <v>435</v>
      </c>
      <c r="H83" s="14" t="s">
        <v>431</v>
      </c>
      <c r="I83" s="14" t="s">
        <v>432</v>
      </c>
      <c r="J83" s="14" t="s">
        <v>436</v>
      </c>
    </row>
    <row r="84" spans="2:11" x14ac:dyDescent="0.25">
      <c r="B84" s="45" t="s">
        <v>424</v>
      </c>
      <c r="C84" s="22">
        <v>69.991239970446742</v>
      </c>
      <c r="D84" s="22">
        <v>72.732101513879243</v>
      </c>
      <c r="E84" s="44">
        <f>D84-C84</f>
        <v>2.7408615434325014</v>
      </c>
      <c r="F84" s="22">
        <v>157.01999999995439</v>
      </c>
      <c r="G84" s="22">
        <v>58.190569423734587</v>
      </c>
      <c r="H84" s="22">
        <v>210.02698445785231</v>
      </c>
      <c r="I84" s="22">
        <v>185.49373206051641</v>
      </c>
      <c r="J84" s="44">
        <f>I84-H84</f>
        <v>-24.5332523973359</v>
      </c>
    </row>
    <row r="85" spans="2:11" x14ac:dyDescent="0.25">
      <c r="B85" s="45" t="s">
        <v>425</v>
      </c>
      <c r="C85" s="22">
        <v>69.987419832373789</v>
      </c>
      <c r="D85" s="22">
        <v>76.52497315004689</v>
      </c>
      <c r="E85" s="44">
        <f>D85-C85</f>
        <v>6.5375533176731011</v>
      </c>
      <c r="F85" s="22">
        <v>72.940000000019808</v>
      </c>
      <c r="G85" s="22">
        <v>61.830307469226909</v>
      </c>
      <c r="H85" s="22">
        <v>210.03667454906801</v>
      </c>
      <c r="I85" s="22">
        <v>172.9442740887927</v>
      </c>
      <c r="J85" s="44">
        <f>I85-H85</f>
        <v>-37.092400460275314</v>
      </c>
    </row>
    <row r="86" spans="2:11" x14ac:dyDescent="0.25">
      <c r="B86" s="45" t="s">
        <v>426</v>
      </c>
      <c r="C86" s="22">
        <v>40.825407279509463</v>
      </c>
      <c r="D86" s="22">
        <v>41.749562073122661</v>
      </c>
      <c r="E86" s="44">
        <f>D86-C86</f>
        <v>0.92415479361319797</v>
      </c>
      <c r="F86" s="22">
        <v>173.75999999990771</v>
      </c>
      <c r="G86" s="22">
        <v>43.226431035778937</v>
      </c>
      <c r="H86" s="22">
        <v>122.5131942504963</v>
      </c>
      <c r="I86" s="22">
        <v>101.195399595952</v>
      </c>
      <c r="J86" s="44">
        <f>I86-H86</f>
        <v>-21.317794654544301</v>
      </c>
    </row>
    <row r="87" spans="2:11" x14ac:dyDescent="0.25">
      <c r="B87" s="45" t="s">
        <v>427</v>
      </c>
      <c r="C87" s="22">
        <v>40.815434198243487</v>
      </c>
      <c r="D87" s="22">
        <v>42.77583771237915</v>
      </c>
      <c r="E87" s="44">
        <f>D87-C87</f>
        <v>1.9604035141356633</v>
      </c>
      <c r="F87" s="22">
        <v>81.860000000032997</v>
      </c>
      <c r="G87" s="22">
        <v>46.55996314151173</v>
      </c>
      <c r="H87" s="22">
        <v>122.5016918845557</v>
      </c>
      <c r="I87" s="22">
        <v>92.657698274972205</v>
      </c>
      <c r="J87" s="44">
        <f>I87-H87</f>
        <v>-29.843993609583492</v>
      </c>
    </row>
    <row r="88" spans="2:11" x14ac:dyDescent="0.25">
      <c r="B88" s="47" t="s">
        <v>437</v>
      </c>
    </row>
    <row r="90" spans="2:11" x14ac:dyDescent="0.25">
      <c r="B90" s="3" t="s">
        <v>438</v>
      </c>
    </row>
    <row r="91" spans="2:11" ht="30" customHeight="1" x14ac:dyDescent="0.25">
      <c r="B91" s="14" t="s">
        <v>439</v>
      </c>
      <c r="C91" s="14" t="s">
        <v>440</v>
      </c>
      <c r="D91" s="14" t="s">
        <v>441</v>
      </c>
      <c r="E91" s="73" t="s">
        <v>286</v>
      </c>
      <c r="F91" s="75"/>
      <c r="G91" s="75"/>
      <c r="H91" s="75"/>
      <c r="I91" s="75"/>
      <c r="J91" s="75"/>
      <c r="K91" s="72"/>
    </row>
    <row r="92" spans="2:11" x14ac:dyDescent="0.25">
      <c r="B92" s="45" t="s">
        <v>258</v>
      </c>
      <c r="C92" s="22">
        <v>150</v>
      </c>
      <c r="D92" s="40">
        <f>C92*3600/rho_n_rein</f>
        <v>273166.99688915181</v>
      </c>
      <c r="E92" s="71" t="s">
        <v>442</v>
      </c>
      <c r="F92" s="75"/>
      <c r="G92" s="75"/>
      <c r="H92" s="75"/>
      <c r="I92" s="75"/>
      <c r="J92" s="75"/>
      <c r="K92" s="72"/>
    </row>
    <row r="93" spans="2:11" x14ac:dyDescent="0.25">
      <c r="B93" s="45" t="s">
        <v>259</v>
      </c>
      <c r="C93" s="22">
        <v>30.18359375</v>
      </c>
      <c r="D93" s="40">
        <f>C93*3600/rho_n_rein</f>
        <v>54967.744400064483</v>
      </c>
      <c r="E93" s="71" t="s">
        <v>443</v>
      </c>
      <c r="F93" s="75"/>
      <c r="G93" s="75"/>
      <c r="H93" s="75"/>
      <c r="I93" s="75"/>
      <c r="J93" s="75"/>
      <c r="K93" s="72"/>
    </row>
    <row r="95" spans="2:11" x14ac:dyDescent="0.25">
      <c r="B95" s="3" t="s">
        <v>444</v>
      </c>
    </row>
    <row r="117" spans="2:14" ht="60.75" customHeight="1" x14ac:dyDescent="0.25">
      <c r="B117" s="87" t="s">
        <v>781</v>
      </c>
      <c r="C117" s="88"/>
      <c r="D117" s="88"/>
      <c r="E117" s="88"/>
      <c r="F117" s="88"/>
      <c r="G117" s="88"/>
      <c r="H117" s="88"/>
      <c r="I117" s="88"/>
      <c r="J117" s="88"/>
      <c r="K117" s="88"/>
      <c r="L117" s="88"/>
      <c r="M117" s="88"/>
      <c r="N117" s="88"/>
    </row>
  </sheetData>
  <mergeCells count="11">
    <mergeCell ref="B4:N4"/>
    <mergeCell ref="F10:J10"/>
    <mergeCell ref="E91:K91"/>
    <mergeCell ref="E92:K92"/>
    <mergeCell ref="F11:J11"/>
    <mergeCell ref="B117:N117"/>
    <mergeCell ref="F8:J8"/>
    <mergeCell ref="I49:M49"/>
    <mergeCell ref="F9:J9"/>
    <mergeCell ref="F7:J7"/>
    <mergeCell ref="E93:K93"/>
  </mergeCells>
  <conditionalFormatting sqref="B16:E30 G16:G30 B32:E46 G32:G46 C69:C72 D76:H79 K76:L79 N76:N79 C84:D87 F84:I87 C92:C93">
    <cfRule type="expression" dxfId="4" priority="1">
      <formula>NOT(Stand_ok)</formula>
    </cfRule>
  </conditionalFormatting>
  <hyperlinks>
    <hyperlink ref="B3" location="'Übersicht'!A1" display="← zur Übersicht" xr:uid="{00000000-0004-0000-0300-000000000000}"/>
  </hyperlink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E7203"/>
  </sheetPr>
  <dimension ref="B1:P100"/>
  <sheetViews>
    <sheetView showGridLines="0" topLeftCell="A65" workbookViewId="0">
      <selection activeCell="B100" sqref="B100:G100"/>
    </sheetView>
  </sheetViews>
  <sheetFormatPr baseColWidth="10" defaultColWidth="9.140625" defaultRowHeight="15" x14ac:dyDescent="0.25"/>
  <cols>
    <col min="1" max="1" width="2.7109375" customWidth="1"/>
    <col min="2" max="2" width="16" customWidth="1"/>
    <col min="3" max="16" width="11.42578125" customWidth="1"/>
  </cols>
  <sheetData>
    <row r="1" spans="2:16" ht="21" x14ac:dyDescent="0.25">
      <c r="B1" s="1" t="s">
        <v>445</v>
      </c>
    </row>
    <row r="2" spans="2:16" x14ac:dyDescent="0.25">
      <c r="B2" s="2" t="s">
        <v>446</v>
      </c>
    </row>
    <row r="3" spans="2:16" x14ac:dyDescent="0.25">
      <c r="B3" s="9" t="s">
        <v>255</v>
      </c>
    </row>
    <row r="4" spans="2:16" ht="179.65" customHeight="1" x14ac:dyDescent="0.25">
      <c r="B4" s="87" t="s">
        <v>447</v>
      </c>
      <c r="C4" s="88"/>
      <c r="D4" s="88"/>
      <c r="E4" s="88"/>
      <c r="F4" s="88"/>
      <c r="G4" s="88"/>
      <c r="H4" s="88"/>
      <c r="I4" s="88"/>
      <c r="J4" s="88"/>
      <c r="K4" s="88"/>
      <c r="L4" s="88"/>
      <c r="M4" s="88"/>
      <c r="N4" s="88"/>
      <c r="O4" s="88"/>
      <c r="P4" s="88"/>
    </row>
    <row r="6" spans="2:16" x14ac:dyDescent="0.25">
      <c r="B6" s="3" t="s">
        <v>448</v>
      </c>
    </row>
    <row r="7" spans="2:16" ht="30" customHeight="1" x14ac:dyDescent="0.25">
      <c r="B7" s="14" t="s">
        <v>43</v>
      </c>
      <c r="C7" s="14" t="s">
        <v>258</v>
      </c>
      <c r="D7" s="14" t="s">
        <v>259</v>
      </c>
      <c r="E7" s="14" t="s">
        <v>46</v>
      </c>
      <c r="F7" s="73" t="s">
        <v>379</v>
      </c>
      <c r="G7" s="75"/>
      <c r="H7" s="75"/>
      <c r="I7" s="75"/>
      <c r="J7" s="75"/>
      <c r="K7" s="72"/>
    </row>
    <row r="8" spans="2:16" x14ac:dyDescent="0.25">
      <c r="B8" s="18" t="s">
        <v>449</v>
      </c>
      <c r="C8" s="33">
        <f>D_strang</f>
        <v>0.19875999999999999</v>
      </c>
      <c r="D8" s="33">
        <f>D_strang</f>
        <v>0.19875999999999999</v>
      </c>
      <c r="E8" s="18" t="s">
        <v>52</v>
      </c>
      <c r="F8" s="71" t="s">
        <v>450</v>
      </c>
      <c r="G8" s="75"/>
      <c r="H8" s="75"/>
      <c r="I8" s="75"/>
      <c r="J8" s="75"/>
      <c r="K8" s="72"/>
    </row>
    <row r="9" spans="2:16" x14ac:dyDescent="0.25">
      <c r="B9" s="18" t="s">
        <v>451</v>
      </c>
      <c r="C9" s="33">
        <f>A_strang</f>
        <v>3.1027576675068832E-2</v>
      </c>
      <c r="D9" s="33">
        <f>A_strang</f>
        <v>3.1027576675068832E-2</v>
      </c>
      <c r="E9" s="18" t="s">
        <v>206</v>
      </c>
      <c r="F9" s="71" t="s">
        <v>207</v>
      </c>
      <c r="G9" s="75"/>
      <c r="H9" s="75"/>
      <c r="I9" s="75"/>
      <c r="J9" s="75"/>
      <c r="K9" s="72"/>
    </row>
    <row r="10" spans="2:16" x14ac:dyDescent="0.25">
      <c r="B10" s="18" t="s">
        <v>452</v>
      </c>
      <c r="C10" s="35">
        <f>z_tief</f>
        <v>1200</v>
      </c>
      <c r="D10" s="35">
        <f>z_flach</f>
        <v>700</v>
      </c>
      <c r="E10" s="18" t="s">
        <v>52</v>
      </c>
      <c r="F10" s="71"/>
      <c r="G10" s="75"/>
      <c r="H10" s="75"/>
      <c r="I10" s="75"/>
      <c r="J10" s="75"/>
      <c r="K10" s="72"/>
    </row>
    <row r="11" spans="2:16" x14ac:dyDescent="0.25">
      <c r="B11" s="18" t="s">
        <v>453</v>
      </c>
      <c r="C11" s="34">
        <f>g*z_tief/1000</f>
        <v>11.772</v>
      </c>
      <c r="D11" s="34">
        <f>g*z_flach/1000</f>
        <v>6.867</v>
      </c>
      <c r="E11" s="18" t="s">
        <v>454</v>
      </c>
      <c r="F11" s="71" t="s">
        <v>455</v>
      </c>
      <c r="G11" s="75"/>
      <c r="H11" s="75"/>
      <c r="I11" s="75"/>
      <c r="J11" s="75"/>
      <c r="K11" s="72"/>
    </row>
    <row r="12" spans="2:16" x14ac:dyDescent="0.25">
      <c r="B12" s="18" t="s">
        <v>118</v>
      </c>
      <c r="C12" s="34">
        <f>v_max</f>
        <v>20</v>
      </c>
      <c r="D12" s="34">
        <f>v_max</f>
        <v>20</v>
      </c>
      <c r="E12" s="18" t="s">
        <v>120</v>
      </c>
      <c r="F12" s="71" t="s">
        <v>456</v>
      </c>
      <c r="G12" s="75"/>
      <c r="H12" s="75"/>
      <c r="I12" s="75"/>
      <c r="J12" s="75"/>
      <c r="K12" s="72"/>
    </row>
    <row r="14" spans="2:16" x14ac:dyDescent="0.25">
      <c r="B14" s="3" t="s">
        <v>457</v>
      </c>
    </row>
    <row r="15" spans="2:16" ht="57.95" customHeight="1" x14ac:dyDescent="0.25">
      <c r="B15" s="14" t="s">
        <v>458</v>
      </c>
      <c r="C15" s="14" t="s">
        <v>280</v>
      </c>
      <c r="D15" s="14" t="s">
        <v>459</v>
      </c>
      <c r="E15" s="14" t="s">
        <v>412</v>
      </c>
      <c r="F15" s="14" t="s">
        <v>460</v>
      </c>
      <c r="G15" s="14" t="s">
        <v>461</v>
      </c>
      <c r="H15" s="14" t="s">
        <v>462</v>
      </c>
      <c r="I15" s="14" t="s">
        <v>463</v>
      </c>
      <c r="J15" s="14" t="s">
        <v>464</v>
      </c>
      <c r="K15" s="14" t="s">
        <v>465</v>
      </c>
      <c r="L15" s="14" t="s">
        <v>466</v>
      </c>
      <c r="M15" s="14" t="s">
        <v>467</v>
      </c>
      <c r="N15" s="14" t="s">
        <v>468</v>
      </c>
      <c r="O15" s="14" t="s">
        <v>469</v>
      </c>
      <c r="P15" s="14" t="s">
        <v>470</v>
      </c>
    </row>
    <row r="16" spans="2:16" x14ac:dyDescent="0.25">
      <c r="B16" s="15" t="s">
        <v>471</v>
      </c>
      <c r="C16" s="16"/>
      <c r="D16" s="16"/>
      <c r="E16" s="16"/>
      <c r="F16" s="16"/>
      <c r="G16" s="16"/>
      <c r="H16" s="16"/>
      <c r="I16" s="16"/>
      <c r="J16" s="16"/>
      <c r="K16" s="16"/>
      <c r="L16" s="16"/>
      <c r="M16" s="16"/>
      <c r="N16" s="16"/>
      <c r="O16" s="16"/>
      <c r="P16" s="16"/>
    </row>
    <row r="17" spans="2:16" x14ac:dyDescent="0.25">
      <c r="B17" s="22">
        <v>0</v>
      </c>
      <c r="C17" s="22">
        <v>209.82999595112349</v>
      </c>
      <c r="D17" s="22">
        <v>52.149999999996787</v>
      </c>
      <c r="E17" s="22">
        <v>27.45573252043847</v>
      </c>
      <c r="F17" s="22">
        <v>119.92542099025751</v>
      </c>
      <c r="G17" s="22">
        <v>38.697134096394848</v>
      </c>
      <c r="H17" s="22">
        <v>731.2983383502858</v>
      </c>
      <c r="I17" s="34">
        <f t="shared" ref="I17:I30" si="0">E17/(H17*A_strang)</f>
        <v>1.2100145457525904</v>
      </c>
      <c r="J17" s="23" t="str">
        <f t="shared" ref="J17:J30" si="1">IF(I17&lt;=v_max,"✔","✘ zu schnell")</f>
        <v>✔</v>
      </c>
      <c r="K17" s="5" t="s">
        <v>472</v>
      </c>
      <c r="L17" s="51" t="s">
        <v>473</v>
      </c>
      <c r="M17" s="6" t="str">
        <f t="shared" ref="M17:M30" si="2">IF(F17&gt;=p_dicht,"drosseln","Rückverdichtung")</f>
        <v>drosseln</v>
      </c>
      <c r="N17" s="22">
        <v>-5.5521296137208651</v>
      </c>
      <c r="O17" s="22">
        <v>107.0463949960001</v>
      </c>
      <c r="P17" s="22">
        <v>10</v>
      </c>
    </row>
    <row r="18" spans="2:16" x14ac:dyDescent="0.25">
      <c r="B18" s="22">
        <v>12.59999999999982</v>
      </c>
      <c r="C18" s="22">
        <v>143.35576498775919</v>
      </c>
      <c r="D18" s="22">
        <v>45.273800414379309</v>
      </c>
      <c r="E18" s="22">
        <v>27.45573252043847</v>
      </c>
      <c r="F18" s="22">
        <v>62.521221157265231</v>
      </c>
      <c r="G18" s="22">
        <v>23.753950878901829</v>
      </c>
      <c r="H18" s="22">
        <v>536.47118213450358</v>
      </c>
      <c r="I18" s="34">
        <f t="shared" si="0"/>
        <v>1.6494485746052403</v>
      </c>
      <c r="J18" s="23" t="str">
        <f t="shared" si="1"/>
        <v>✔</v>
      </c>
      <c r="K18" s="5" t="s">
        <v>474</v>
      </c>
      <c r="L18" s="51" t="s">
        <v>475</v>
      </c>
      <c r="M18" s="6" t="str">
        <f t="shared" si="2"/>
        <v>Rückverdichtung</v>
      </c>
      <c r="N18" s="22">
        <v>-5.5521296137208651</v>
      </c>
      <c r="O18" s="22">
        <v>49.85196122251412</v>
      </c>
      <c r="P18" s="22">
        <v>10</v>
      </c>
    </row>
    <row r="19" spans="2:16" x14ac:dyDescent="0.25">
      <c r="B19" s="22">
        <v>25.399999999999551</v>
      </c>
      <c r="C19" s="22">
        <v>117.4567030017774</v>
      </c>
      <c r="D19" s="22">
        <v>44.012393228034398</v>
      </c>
      <c r="E19" s="22">
        <v>27.45573252043847</v>
      </c>
      <c r="F19" s="22">
        <v>51.141158575661628</v>
      </c>
      <c r="G19" s="22">
        <v>15.219682181333379</v>
      </c>
      <c r="H19" s="22">
        <v>342.42591296978702</v>
      </c>
      <c r="I19" s="34">
        <f t="shared" si="0"/>
        <v>2.5841549753467992</v>
      </c>
      <c r="J19" s="23" t="str">
        <f t="shared" si="1"/>
        <v>✔</v>
      </c>
      <c r="K19" s="5" t="s">
        <v>476</v>
      </c>
      <c r="L19" s="51" t="s">
        <v>475</v>
      </c>
      <c r="M19" s="6" t="str">
        <f t="shared" si="2"/>
        <v>Rückverdichtung</v>
      </c>
      <c r="N19" s="22">
        <v>-5.5521296137208651</v>
      </c>
      <c r="O19" s="22">
        <v>44.970405998557439</v>
      </c>
      <c r="P19" s="22">
        <v>10</v>
      </c>
    </row>
    <row r="20" spans="2:16" x14ac:dyDescent="0.25">
      <c r="B20" s="22">
        <v>38.200000000000372</v>
      </c>
      <c r="C20" s="22">
        <v>105.3222281501436</v>
      </c>
      <c r="D20" s="22">
        <v>44.23782188822122</v>
      </c>
      <c r="E20" s="22">
        <v>27.45573252043847</v>
      </c>
      <c r="F20" s="22">
        <v>50.100521077659799</v>
      </c>
      <c r="G20" s="22">
        <v>14.36700748435527</v>
      </c>
      <c r="H20" s="22">
        <v>287.33770866781828</v>
      </c>
      <c r="I20" s="34">
        <f t="shared" si="0"/>
        <v>3.0795875375742199</v>
      </c>
      <c r="J20" s="23" t="str">
        <f t="shared" si="1"/>
        <v>✔</v>
      </c>
      <c r="K20" s="5" t="s">
        <v>477</v>
      </c>
      <c r="L20" s="51" t="s">
        <v>475</v>
      </c>
      <c r="M20" s="6" t="str">
        <f t="shared" si="2"/>
        <v>Rückverdichtung</v>
      </c>
      <c r="N20" s="22">
        <v>-5.5521296137208651</v>
      </c>
      <c r="O20" s="22">
        <v>44.841872973956328</v>
      </c>
      <c r="P20" s="22">
        <v>10</v>
      </c>
    </row>
    <row r="21" spans="2:16" x14ac:dyDescent="0.25">
      <c r="B21" s="22">
        <v>51.000000000002373</v>
      </c>
      <c r="C21" s="22">
        <v>98.787089178767943</v>
      </c>
      <c r="D21" s="22">
        <v>44.75655950791122</v>
      </c>
      <c r="E21" s="22">
        <v>27.45573252043847</v>
      </c>
      <c r="F21" s="22">
        <v>52.331367849303618</v>
      </c>
      <c r="G21" s="22">
        <v>16.178658339530671</v>
      </c>
      <c r="H21" s="22">
        <v>258.797881609282</v>
      </c>
      <c r="I21" s="34">
        <f t="shared" si="0"/>
        <v>3.4191996518135643</v>
      </c>
      <c r="J21" s="23" t="str">
        <f t="shared" si="1"/>
        <v>✔</v>
      </c>
      <c r="K21" s="5" t="s">
        <v>478</v>
      </c>
      <c r="L21" s="51" t="s">
        <v>475</v>
      </c>
      <c r="M21" s="6" t="str">
        <f t="shared" si="2"/>
        <v>Rückverdichtung</v>
      </c>
      <c r="N21" s="22">
        <v>-5.5521296137208651</v>
      </c>
      <c r="O21" s="22">
        <v>44.851861549960923</v>
      </c>
      <c r="P21" s="22">
        <v>10</v>
      </c>
    </row>
    <row r="22" spans="2:16" x14ac:dyDescent="0.25">
      <c r="B22" s="22">
        <v>63.600000000004343</v>
      </c>
      <c r="C22" s="22">
        <v>95.005104269388426</v>
      </c>
      <c r="D22" s="22">
        <v>45.2456786321506</v>
      </c>
      <c r="E22" s="22">
        <v>27.45573252043847</v>
      </c>
      <c r="F22" s="22">
        <v>54.632476661760158</v>
      </c>
      <c r="G22" s="22">
        <v>17.985657257520021</v>
      </c>
      <c r="H22" s="22">
        <v>239.57945613605321</v>
      </c>
      <c r="I22" s="34">
        <f t="shared" si="0"/>
        <v>3.6934787354473144</v>
      </c>
      <c r="J22" s="23" t="str">
        <f t="shared" si="1"/>
        <v>✔</v>
      </c>
      <c r="K22" s="5" t="s">
        <v>479</v>
      </c>
      <c r="L22" s="51" t="s">
        <v>475</v>
      </c>
      <c r="M22" s="6" t="str">
        <f t="shared" si="2"/>
        <v>Rückverdichtung</v>
      </c>
      <c r="N22" s="22">
        <v>-5.5521296137208651</v>
      </c>
      <c r="O22" s="22">
        <v>44.86442062976797</v>
      </c>
      <c r="P22" s="22">
        <v>10</v>
      </c>
    </row>
    <row r="23" spans="2:16" x14ac:dyDescent="0.25">
      <c r="B23" s="22">
        <v>76.400000000001938</v>
      </c>
      <c r="C23" s="22">
        <v>92.548680557505449</v>
      </c>
      <c r="D23" s="22">
        <v>45.649964738020337</v>
      </c>
      <c r="E23" s="22">
        <v>27.45573252043847</v>
      </c>
      <c r="F23" s="22">
        <v>55.789113747139638</v>
      </c>
      <c r="G23" s="22">
        <v>18.871507187011328</v>
      </c>
      <c r="H23" s="22">
        <v>226.79112379938479</v>
      </c>
      <c r="I23" s="34">
        <f t="shared" si="0"/>
        <v>3.9017471753934032</v>
      </c>
      <c r="J23" s="23" t="str">
        <f t="shared" si="1"/>
        <v>✔</v>
      </c>
      <c r="K23" s="5" t="s">
        <v>480</v>
      </c>
      <c r="L23" s="51" t="s">
        <v>475</v>
      </c>
      <c r="M23" s="6" t="str">
        <f t="shared" si="2"/>
        <v>Rückverdichtung</v>
      </c>
      <c r="N23" s="22">
        <v>-5.5521296137208651</v>
      </c>
      <c r="O23" s="22">
        <v>44.901610117545538</v>
      </c>
      <c r="P23" s="22">
        <v>10</v>
      </c>
    </row>
    <row r="24" spans="2:16" x14ac:dyDescent="0.25">
      <c r="B24" s="22">
        <v>89.199999999999392</v>
      </c>
      <c r="C24" s="22">
        <v>90.725155215034178</v>
      </c>
      <c r="D24" s="22">
        <v>45.958562094421609</v>
      </c>
      <c r="E24" s="22">
        <v>27.45573252043847</v>
      </c>
      <c r="F24" s="22">
        <v>56.267502102667088</v>
      </c>
      <c r="G24" s="22">
        <v>19.233663531007949</v>
      </c>
      <c r="H24" s="22">
        <v>217.80292142448741</v>
      </c>
      <c r="I24" s="34">
        <f t="shared" si="0"/>
        <v>4.0627628908794735</v>
      </c>
      <c r="J24" s="23" t="str">
        <f t="shared" si="1"/>
        <v>✔</v>
      </c>
      <c r="K24" s="5" t="s">
        <v>481</v>
      </c>
      <c r="L24" s="51" t="s">
        <v>475</v>
      </c>
      <c r="M24" s="6" t="str">
        <f t="shared" si="2"/>
        <v>Rückverdichtung</v>
      </c>
      <c r="N24" s="22">
        <v>-5.5521296137208651</v>
      </c>
      <c r="O24" s="22">
        <v>45.014608811554211</v>
      </c>
      <c r="P24" s="22">
        <v>10</v>
      </c>
    </row>
    <row r="25" spans="2:16" x14ac:dyDescent="0.25">
      <c r="B25" s="22">
        <v>101.9999999999968</v>
      </c>
      <c r="C25" s="22">
        <v>89.074754093333496</v>
      </c>
      <c r="D25" s="22">
        <v>46.189286185626258</v>
      </c>
      <c r="E25" s="22">
        <v>27.45573252043847</v>
      </c>
      <c r="F25" s="22">
        <v>56.409890420963762</v>
      </c>
      <c r="G25" s="22">
        <v>19.340985196277192</v>
      </c>
      <c r="H25" s="22">
        <v>210.19978551751231</v>
      </c>
      <c r="I25" s="34">
        <f t="shared" si="0"/>
        <v>4.2097170770653491</v>
      </c>
      <c r="J25" s="23" t="str">
        <f t="shared" si="1"/>
        <v>✔</v>
      </c>
      <c r="K25" s="5" t="s">
        <v>482</v>
      </c>
      <c r="L25" s="51" t="s">
        <v>475</v>
      </c>
      <c r="M25" s="6" t="str">
        <f t="shared" si="2"/>
        <v>Rückverdichtung</v>
      </c>
      <c r="N25" s="22">
        <v>-5.5521296137208651</v>
      </c>
      <c r="O25" s="22">
        <v>44.895593952355263</v>
      </c>
      <c r="P25" s="22">
        <v>10</v>
      </c>
    </row>
    <row r="26" spans="2:16" x14ac:dyDescent="0.25">
      <c r="B26" s="22">
        <v>114.5999999999943</v>
      </c>
      <c r="C26" s="22">
        <v>87.296135757510527</v>
      </c>
      <c r="D26" s="22">
        <v>46.378987984488049</v>
      </c>
      <c r="E26" s="22">
        <v>27.45573252043847</v>
      </c>
      <c r="F26" s="22">
        <v>56.315845537233798</v>
      </c>
      <c r="G26" s="22">
        <v>19.27012532299932</v>
      </c>
      <c r="H26" s="22">
        <v>202.5135637599316</v>
      </c>
      <c r="I26" s="34">
        <f t="shared" si="0"/>
        <v>4.3694931354697921</v>
      </c>
      <c r="J26" s="23" t="str">
        <f t="shared" si="1"/>
        <v>✔</v>
      </c>
      <c r="K26" s="5" t="s">
        <v>483</v>
      </c>
      <c r="L26" s="51" t="s">
        <v>475</v>
      </c>
      <c r="M26" s="6" t="str">
        <f t="shared" si="2"/>
        <v>Rückverdichtung</v>
      </c>
      <c r="N26" s="22">
        <v>-5.5521296137208651</v>
      </c>
      <c r="O26" s="22">
        <v>44.904289939153337</v>
      </c>
      <c r="P26" s="22">
        <v>10</v>
      </c>
    </row>
    <row r="27" spans="2:16" x14ac:dyDescent="0.25">
      <c r="B27" s="22">
        <v>127.39999999999181</v>
      </c>
      <c r="C27" s="22">
        <v>84.967953236181415</v>
      </c>
      <c r="D27" s="22">
        <v>46.565273459690218</v>
      </c>
      <c r="E27" s="22">
        <v>27.45573252043847</v>
      </c>
      <c r="F27" s="22">
        <v>55.912137883992763</v>
      </c>
      <c r="G27" s="22">
        <v>18.964874688080101</v>
      </c>
      <c r="H27" s="22">
        <v>193.0789928888654</v>
      </c>
      <c r="I27" s="34">
        <f t="shared" si="0"/>
        <v>4.58300311933922</v>
      </c>
      <c r="J27" s="23" t="str">
        <f t="shared" si="1"/>
        <v>✔</v>
      </c>
      <c r="K27" s="5" t="s">
        <v>484</v>
      </c>
      <c r="L27" s="51" t="s">
        <v>475</v>
      </c>
      <c r="M27" s="6" t="str">
        <f t="shared" si="2"/>
        <v>Rückverdichtung</v>
      </c>
      <c r="N27" s="22">
        <v>-5.5521296137208651</v>
      </c>
      <c r="O27" s="22">
        <v>45.054175152880269</v>
      </c>
      <c r="P27" s="22">
        <v>10</v>
      </c>
    </row>
    <row r="28" spans="2:16" x14ac:dyDescent="0.25">
      <c r="B28" s="22">
        <v>140.19999999999791</v>
      </c>
      <c r="C28" s="22">
        <v>81.705061953448379</v>
      </c>
      <c r="D28" s="22">
        <v>46.778107755952128</v>
      </c>
      <c r="E28" s="22">
        <v>27.45573252043847</v>
      </c>
      <c r="F28" s="22">
        <v>54.976628696079537</v>
      </c>
      <c r="G28" s="22">
        <v>18.411604577531421</v>
      </c>
      <c r="H28" s="22">
        <v>180.4065683982914</v>
      </c>
      <c r="I28" s="34">
        <f t="shared" si="0"/>
        <v>4.9049302059498947</v>
      </c>
      <c r="J28" s="23" t="str">
        <f t="shared" si="1"/>
        <v>✔</v>
      </c>
      <c r="K28" s="5" t="s">
        <v>295</v>
      </c>
      <c r="L28" s="51" t="s">
        <v>473</v>
      </c>
      <c r="M28" s="6" t="str">
        <f t="shared" si="2"/>
        <v>Rückverdichtung</v>
      </c>
      <c r="N28" s="22">
        <v>-5.5521296137208651</v>
      </c>
      <c r="O28" s="22">
        <v>45.101781166576941</v>
      </c>
      <c r="P28" s="22">
        <v>10</v>
      </c>
    </row>
    <row r="29" spans="2:16" x14ac:dyDescent="0.25">
      <c r="B29" s="22">
        <v>153.00000000000449</v>
      </c>
      <c r="C29" s="22">
        <v>76.957532335346528</v>
      </c>
      <c r="D29" s="22">
        <v>47.040424940733708</v>
      </c>
      <c r="E29" s="22">
        <v>27.45573252043847</v>
      </c>
      <c r="F29" s="22">
        <v>53.013650275760547</v>
      </c>
      <c r="G29" s="22">
        <v>19.703196733937322</v>
      </c>
      <c r="H29" s="22">
        <v>159.5074652704057</v>
      </c>
      <c r="I29" s="34">
        <f t="shared" si="0"/>
        <v>5.5475875388556011</v>
      </c>
      <c r="J29" s="23" t="str">
        <f t="shared" si="1"/>
        <v>✔</v>
      </c>
      <c r="K29" s="5" t="s">
        <v>295</v>
      </c>
      <c r="L29" s="51" t="s">
        <v>473</v>
      </c>
      <c r="M29" s="6" t="str">
        <f t="shared" si="2"/>
        <v>Rückverdichtung</v>
      </c>
      <c r="N29" s="22">
        <v>-5.5521296137208651</v>
      </c>
      <c r="O29" s="22">
        <v>45.024525559171643</v>
      </c>
      <c r="P29" s="22">
        <v>10</v>
      </c>
    </row>
    <row r="30" spans="2:16" x14ac:dyDescent="0.25">
      <c r="B30" s="22">
        <v>165.80000000001101</v>
      </c>
      <c r="C30" s="22">
        <v>70.055556500769569</v>
      </c>
      <c r="D30" s="22">
        <v>47.35582814492227</v>
      </c>
      <c r="E30" s="22">
        <v>27.45573252043847</v>
      </c>
      <c r="F30" s="22">
        <v>49.270620473464241</v>
      </c>
      <c r="G30" s="22">
        <v>21.313865571743349</v>
      </c>
      <c r="H30" s="22">
        <v>134.259084436807</v>
      </c>
      <c r="I30" s="34">
        <f t="shared" si="0"/>
        <v>6.5908510429701375</v>
      </c>
      <c r="J30" s="23" t="str">
        <f t="shared" si="1"/>
        <v>✔</v>
      </c>
      <c r="K30" s="5" t="s">
        <v>295</v>
      </c>
      <c r="L30" s="51" t="s">
        <v>473</v>
      </c>
      <c r="M30" s="6" t="str">
        <f t="shared" si="2"/>
        <v>Rückverdichtung</v>
      </c>
      <c r="N30" s="22">
        <v>-3.4930016141265701</v>
      </c>
      <c r="O30" s="22">
        <v>44.862153066476573</v>
      </c>
      <c r="P30" s="22">
        <v>10</v>
      </c>
    </row>
    <row r="31" spans="2:16" x14ac:dyDescent="0.25">
      <c r="B31" s="15" t="s">
        <v>485</v>
      </c>
      <c r="C31" s="16"/>
      <c r="D31" s="16"/>
      <c r="E31" s="16"/>
      <c r="F31" s="16"/>
      <c r="G31" s="16"/>
      <c r="H31" s="16"/>
      <c r="I31" s="16"/>
      <c r="J31" s="16"/>
      <c r="K31" s="16"/>
      <c r="L31" s="16"/>
      <c r="M31" s="16"/>
      <c r="N31" s="16"/>
      <c r="O31" s="16"/>
      <c r="P31" s="16"/>
    </row>
    <row r="32" spans="2:16" x14ac:dyDescent="0.25">
      <c r="B32" s="22">
        <v>0</v>
      </c>
      <c r="C32" s="22">
        <v>209.82999595112349</v>
      </c>
      <c r="D32" s="22">
        <v>52.149999999996787</v>
      </c>
      <c r="E32" s="22">
        <v>31.840553584966369</v>
      </c>
      <c r="F32" s="22">
        <v>119.7631876150266</v>
      </c>
      <c r="G32" s="22">
        <v>38.674396423065559</v>
      </c>
      <c r="H32" s="22">
        <v>731.10604366665564</v>
      </c>
      <c r="I32" s="34">
        <f t="shared" ref="I32:I45" si="3">E32/(H32*A_strang)</f>
        <v>1.4036291481944201</v>
      </c>
      <c r="J32" s="23" t="str">
        <f t="shared" ref="J32:J45" si="4">IF(I32&lt;=v_max,"✔","✘ zu schnell")</f>
        <v>✔</v>
      </c>
      <c r="K32" s="5" t="s">
        <v>472</v>
      </c>
      <c r="L32" s="51" t="s">
        <v>473</v>
      </c>
      <c r="M32" s="6" t="str">
        <f t="shared" ref="M32:M45" si="5">IF(F32&gt;=p_dicht,"drosseln","Rückverdichtung")</f>
        <v>drosseln</v>
      </c>
      <c r="N32" s="22">
        <v>-5.5521296137208651</v>
      </c>
      <c r="O32" s="22">
        <v>106.90355836737091</v>
      </c>
      <c r="P32" s="22">
        <v>10</v>
      </c>
    </row>
    <row r="33" spans="2:16" x14ac:dyDescent="0.25">
      <c r="B33" s="22">
        <v>6.1999999999999558</v>
      </c>
      <c r="C33" s="22">
        <v>149.65764358818981</v>
      </c>
      <c r="D33" s="22">
        <v>45.118737663491402</v>
      </c>
      <c r="E33" s="22">
        <v>54.911465040876948</v>
      </c>
      <c r="F33" s="22">
        <v>64.839142167053623</v>
      </c>
      <c r="G33" s="22">
        <v>25.334607894389141</v>
      </c>
      <c r="H33" s="22">
        <v>594.8327043850162</v>
      </c>
      <c r="I33" s="34">
        <f t="shared" si="3"/>
        <v>2.9752285648227899</v>
      </c>
      <c r="J33" s="23" t="str">
        <f t="shared" si="4"/>
        <v>✔</v>
      </c>
      <c r="K33" s="5" t="s">
        <v>486</v>
      </c>
      <c r="L33" s="51" t="s">
        <v>475</v>
      </c>
      <c r="M33" s="6" t="str">
        <f t="shared" si="5"/>
        <v>Rückverdichtung</v>
      </c>
      <c r="N33" s="22">
        <v>-5.5521296137208651</v>
      </c>
      <c r="O33" s="22">
        <v>53.621520985831367</v>
      </c>
      <c r="P33" s="22">
        <v>10</v>
      </c>
    </row>
    <row r="34" spans="2:16" x14ac:dyDescent="0.25">
      <c r="B34" s="22">
        <v>12.399999999999819</v>
      </c>
      <c r="C34" s="22">
        <v>107.6268736048581</v>
      </c>
      <c r="D34" s="22">
        <v>40.161671211395173</v>
      </c>
      <c r="E34" s="22">
        <v>54.911465040876948</v>
      </c>
      <c r="F34" s="22">
        <v>42.932304305840852</v>
      </c>
      <c r="G34" s="22">
        <v>8.0945406489933021</v>
      </c>
      <c r="H34" s="22">
        <v>282.3016118895801</v>
      </c>
      <c r="I34" s="34">
        <f t="shared" si="3"/>
        <v>6.2690511808672165</v>
      </c>
      <c r="J34" s="23" t="str">
        <f t="shared" si="4"/>
        <v>✔</v>
      </c>
      <c r="K34" s="5" t="s">
        <v>487</v>
      </c>
      <c r="L34" s="51" t="s">
        <v>475</v>
      </c>
      <c r="M34" s="6" t="str">
        <f t="shared" si="5"/>
        <v>Rückverdichtung</v>
      </c>
      <c r="N34" s="22">
        <v>-5.5521296137208651</v>
      </c>
      <c r="O34" s="22">
        <v>44.934614988058627</v>
      </c>
      <c r="P34" s="22">
        <v>10</v>
      </c>
    </row>
    <row r="35" spans="2:16" x14ac:dyDescent="0.25">
      <c r="B35" s="22">
        <v>18.799999999999692</v>
      </c>
      <c r="C35" s="22">
        <v>89.132525761666102</v>
      </c>
      <c r="D35" s="22">
        <v>38.336384032624267</v>
      </c>
      <c r="E35" s="22">
        <v>54.911465040876948</v>
      </c>
      <c r="F35" s="22">
        <v>40.496453708637439</v>
      </c>
      <c r="G35" s="22">
        <v>5.7834188827944217</v>
      </c>
      <c r="H35" s="22">
        <v>215.00787388522119</v>
      </c>
      <c r="I35" s="34">
        <f t="shared" si="3"/>
        <v>8.2311555451306546</v>
      </c>
      <c r="J35" s="23" t="str">
        <f t="shared" si="4"/>
        <v>✔</v>
      </c>
      <c r="K35" s="5" t="s">
        <v>488</v>
      </c>
      <c r="L35" s="51" t="s">
        <v>475</v>
      </c>
      <c r="M35" s="6" t="str">
        <f t="shared" si="5"/>
        <v>Rückverdichtung</v>
      </c>
      <c r="N35" s="22">
        <v>-5.5521296137208651</v>
      </c>
      <c r="O35" s="22">
        <v>44.953021523238711</v>
      </c>
      <c r="P35" s="22">
        <v>10</v>
      </c>
    </row>
    <row r="36" spans="2:16" x14ac:dyDescent="0.25">
      <c r="B36" s="22">
        <v>24.999999999999559</v>
      </c>
      <c r="C36" s="22">
        <v>82.270242875272018</v>
      </c>
      <c r="D36" s="22">
        <v>38.110641936124132</v>
      </c>
      <c r="E36" s="22">
        <v>54.911465040876948</v>
      </c>
      <c r="F36" s="22">
        <v>45.324756978043098</v>
      </c>
      <c r="G36" s="22">
        <v>10.270685101760479</v>
      </c>
      <c r="H36" s="22">
        <v>179.51237917026219</v>
      </c>
      <c r="I36" s="34">
        <f t="shared" si="3"/>
        <v>9.8587254068897519</v>
      </c>
      <c r="J36" s="23" t="str">
        <f t="shared" si="4"/>
        <v>✔</v>
      </c>
      <c r="K36" s="5" t="s">
        <v>489</v>
      </c>
      <c r="L36" s="51" t="s">
        <v>475</v>
      </c>
      <c r="M36" s="6" t="str">
        <f t="shared" si="5"/>
        <v>Rückverdichtung</v>
      </c>
      <c r="N36" s="22">
        <v>-5.5521296137208651</v>
      </c>
      <c r="O36" s="22">
        <v>44.850868760374979</v>
      </c>
      <c r="P36" s="22">
        <v>10</v>
      </c>
    </row>
    <row r="37" spans="2:16" x14ac:dyDescent="0.25">
      <c r="B37" s="22">
        <v>31.19999999999942</v>
      </c>
      <c r="C37" s="22">
        <v>80.043737485405828</v>
      </c>
      <c r="D37" s="22">
        <v>38.513257772685733</v>
      </c>
      <c r="E37" s="22">
        <v>54.911465040876948</v>
      </c>
      <c r="F37" s="22">
        <v>45.799522205095087</v>
      </c>
      <c r="G37" s="22">
        <v>10.69218298459532</v>
      </c>
      <c r="H37" s="22">
        <v>166.7013483240579</v>
      </c>
      <c r="I37" s="34">
        <f t="shared" si="3"/>
        <v>10.616370360345087</v>
      </c>
      <c r="J37" s="23" t="str">
        <f t="shared" si="4"/>
        <v>✔</v>
      </c>
      <c r="K37" s="5" t="s">
        <v>490</v>
      </c>
      <c r="L37" s="51" t="s">
        <v>475</v>
      </c>
      <c r="M37" s="6" t="str">
        <f t="shared" si="5"/>
        <v>Rückverdichtung</v>
      </c>
      <c r="N37" s="22">
        <v>-5.5521296137208651</v>
      </c>
      <c r="O37" s="22">
        <v>45.06343781800593</v>
      </c>
      <c r="P37" s="22">
        <v>10</v>
      </c>
    </row>
    <row r="38" spans="2:16" x14ac:dyDescent="0.25">
      <c r="B38" s="22">
        <v>37.600000000000279</v>
      </c>
      <c r="C38" s="22">
        <v>79.603271787124669</v>
      </c>
      <c r="D38" s="22">
        <v>39.104027670870153</v>
      </c>
      <c r="E38" s="22">
        <v>54.911465040876948</v>
      </c>
      <c r="F38" s="22">
        <v>46.087846251038847</v>
      </c>
      <c r="G38" s="22">
        <v>10.94654862450056</v>
      </c>
      <c r="H38" s="22">
        <v>163.3806881719932</v>
      </c>
      <c r="I38" s="34">
        <f t="shared" si="3"/>
        <v>10.83214468722298</v>
      </c>
      <c r="J38" s="23" t="str">
        <f t="shared" si="4"/>
        <v>✔</v>
      </c>
      <c r="K38" s="5" t="s">
        <v>491</v>
      </c>
      <c r="L38" s="51" t="s">
        <v>475</v>
      </c>
      <c r="M38" s="6" t="str">
        <f t="shared" si="5"/>
        <v>Rückverdichtung</v>
      </c>
      <c r="N38" s="22">
        <v>-5.5521296137208651</v>
      </c>
      <c r="O38" s="22">
        <v>45.008973460878913</v>
      </c>
      <c r="P38" s="22">
        <v>10</v>
      </c>
    </row>
    <row r="39" spans="2:16" x14ac:dyDescent="0.25">
      <c r="B39" s="22">
        <v>43.800000000001248</v>
      </c>
      <c r="C39" s="22">
        <v>79.704977931864988</v>
      </c>
      <c r="D39" s="22">
        <v>39.641606130600678</v>
      </c>
      <c r="E39" s="22">
        <v>54.911465040876948</v>
      </c>
      <c r="F39" s="22">
        <v>46.415458873743432</v>
      </c>
      <c r="G39" s="22">
        <v>11.234118270515919</v>
      </c>
      <c r="H39" s="22">
        <v>162.83652830841999</v>
      </c>
      <c r="I39" s="34">
        <f t="shared" si="3"/>
        <v>10.868343066274885</v>
      </c>
      <c r="J39" s="23" t="str">
        <f t="shared" si="4"/>
        <v>✔</v>
      </c>
      <c r="K39" s="5" t="s">
        <v>492</v>
      </c>
      <c r="L39" s="51" t="s">
        <v>475</v>
      </c>
      <c r="M39" s="6" t="str">
        <f t="shared" si="5"/>
        <v>Rückverdichtung</v>
      </c>
      <c r="N39" s="22">
        <v>-5.5521296137208651</v>
      </c>
      <c r="O39" s="22">
        <v>45.079116555622953</v>
      </c>
      <c r="P39" s="22">
        <v>10</v>
      </c>
    </row>
    <row r="40" spans="2:16" x14ac:dyDescent="0.25">
      <c r="B40" s="22">
        <v>50.200000000002248</v>
      </c>
      <c r="C40" s="22">
        <v>79.770270445369164</v>
      </c>
      <c r="D40" s="22">
        <v>40.094167247077792</v>
      </c>
      <c r="E40" s="22">
        <v>54.911465040876948</v>
      </c>
      <c r="F40" s="22">
        <v>46.671862133595504</v>
      </c>
      <c r="G40" s="22">
        <v>11.458111727316981</v>
      </c>
      <c r="H40" s="22">
        <v>162.3345181794279</v>
      </c>
      <c r="I40" s="34">
        <f t="shared" si="3"/>
        <v>10.901952789985037</v>
      </c>
      <c r="J40" s="23" t="str">
        <f t="shared" si="4"/>
        <v>✔</v>
      </c>
      <c r="K40" s="5" t="s">
        <v>493</v>
      </c>
      <c r="L40" s="51" t="s">
        <v>475</v>
      </c>
      <c r="M40" s="6" t="str">
        <f t="shared" si="5"/>
        <v>Rückverdichtung</v>
      </c>
      <c r="N40" s="22">
        <v>-5.5521296137208651</v>
      </c>
      <c r="O40" s="22">
        <v>44.872759494306507</v>
      </c>
      <c r="P40" s="22">
        <v>10</v>
      </c>
    </row>
    <row r="41" spans="2:16" x14ac:dyDescent="0.25">
      <c r="B41" s="22">
        <v>56.400000000003217</v>
      </c>
      <c r="C41" s="22">
        <v>79.573825721386001</v>
      </c>
      <c r="D41" s="22">
        <v>40.445390905974591</v>
      </c>
      <c r="E41" s="22">
        <v>54.911465040876948</v>
      </c>
      <c r="F41" s="22">
        <v>46.777529639989439</v>
      </c>
      <c r="G41" s="22">
        <v>11.55015133413502</v>
      </c>
      <c r="H41" s="22">
        <v>160.9013592050548</v>
      </c>
      <c r="I41" s="34">
        <f t="shared" si="3"/>
        <v>10.999057199521111</v>
      </c>
      <c r="J41" s="23" t="str">
        <f t="shared" si="4"/>
        <v>✔</v>
      </c>
      <c r="K41" s="5" t="s">
        <v>494</v>
      </c>
      <c r="L41" s="51" t="s">
        <v>475</v>
      </c>
      <c r="M41" s="6" t="str">
        <f t="shared" si="5"/>
        <v>Rückverdichtung</v>
      </c>
      <c r="N41" s="22">
        <v>-5.5521296137208651</v>
      </c>
      <c r="O41" s="22">
        <v>44.990487065511402</v>
      </c>
      <c r="P41" s="22">
        <v>10</v>
      </c>
    </row>
    <row r="42" spans="2:16" x14ac:dyDescent="0.25">
      <c r="B42" s="22">
        <v>62.600000000004187</v>
      </c>
      <c r="C42" s="22">
        <v>78.885693964683242</v>
      </c>
      <c r="D42" s="22">
        <v>40.760749204903448</v>
      </c>
      <c r="E42" s="22">
        <v>54.911465040876948</v>
      </c>
      <c r="F42" s="22">
        <v>46.65459665620083</v>
      </c>
      <c r="G42" s="22">
        <v>11.443057959832689</v>
      </c>
      <c r="H42" s="22">
        <v>157.50038777138101</v>
      </c>
      <c r="I42" s="34">
        <f t="shared" si="3"/>
        <v>11.236564420057064</v>
      </c>
      <c r="J42" s="23" t="str">
        <f t="shared" si="4"/>
        <v>✔</v>
      </c>
      <c r="K42" s="5" t="s">
        <v>495</v>
      </c>
      <c r="L42" s="51" t="s">
        <v>475</v>
      </c>
      <c r="M42" s="6" t="str">
        <f t="shared" si="5"/>
        <v>Rückverdichtung</v>
      </c>
      <c r="N42" s="22">
        <v>-5.5521296137208651</v>
      </c>
      <c r="O42" s="22">
        <v>45.01741562318297</v>
      </c>
      <c r="P42" s="22">
        <v>10</v>
      </c>
    </row>
    <row r="43" spans="2:16" x14ac:dyDescent="0.25">
      <c r="B43" s="22">
        <v>69.000000000003411</v>
      </c>
      <c r="C43" s="22">
        <v>77.375215457317779</v>
      </c>
      <c r="D43" s="22">
        <v>41.11688929969381</v>
      </c>
      <c r="E43" s="22">
        <v>54.911465040876948</v>
      </c>
      <c r="F43" s="22">
        <v>46.107168090852007</v>
      </c>
      <c r="G43" s="22">
        <v>10.96355168435497</v>
      </c>
      <c r="H43" s="22">
        <v>150.84628738760551</v>
      </c>
      <c r="I43" s="34">
        <f t="shared" si="3"/>
        <v>11.73222943717278</v>
      </c>
      <c r="J43" s="23" t="str">
        <f t="shared" si="4"/>
        <v>✔</v>
      </c>
      <c r="K43" s="5" t="s">
        <v>483</v>
      </c>
      <c r="L43" s="51" t="s">
        <v>475</v>
      </c>
      <c r="M43" s="6" t="str">
        <f t="shared" si="5"/>
        <v>Rückverdichtung</v>
      </c>
      <c r="N43" s="22">
        <v>-5.5521296137208651</v>
      </c>
      <c r="O43" s="22">
        <v>44.991334279143473</v>
      </c>
      <c r="P43" s="22">
        <v>10</v>
      </c>
    </row>
    <row r="44" spans="2:16" x14ac:dyDescent="0.25">
      <c r="B44" s="22">
        <v>75.200000000002177</v>
      </c>
      <c r="C44" s="22">
        <v>74.70659698189192</v>
      </c>
      <c r="D44" s="22">
        <v>41.55704895568033</v>
      </c>
      <c r="E44" s="22">
        <v>54.911465040876948</v>
      </c>
      <c r="F44" s="22">
        <v>44.775054509513723</v>
      </c>
      <c r="G44" s="22">
        <v>9.7784742458446772</v>
      </c>
      <c r="H44" s="22">
        <v>139.98947350492941</v>
      </c>
      <c r="I44" s="34">
        <f t="shared" si="3"/>
        <v>12.642116646826109</v>
      </c>
      <c r="J44" s="23" t="str">
        <f t="shared" si="4"/>
        <v>✔</v>
      </c>
      <c r="K44" s="5" t="s">
        <v>484</v>
      </c>
      <c r="L44" s="51" t="s">
        <v>475</v>
      </c>
      <c r="M44" s="6" t="str">
        <f t="shared" si="5"/>
        <v>Rückverdichtung</v>
      </c>
      <c r="N44" s="22">
        <v>-5.5521296137208651</v>
      </c>
      <c r="O44" s="22">
        <v>44.938384261300513</v>
      </c>
      <c r="P44" s="22">
        <v>10</v>
      </c>
    </row>
    <row r="45" spans="2:16" x14ac:dyDescent="0.25">
      <c r="B45" s="22">
        <v>81.600000000000904</v>
      </c>
      <c r="C45" s="22">
        <v>70.060845639024905</v>
      </c>
      <c r="D45" s="22">
        <v>42.145751409989657</v>
      </c>
      <c r="E45" s="22">
        <v>54.911465040876948</v>
      </c>
      <c r="F45" s="22">
        <v>41.761303724446563</v>
      </c>
      <c r="G45" s="22">
        <v>6.9960845573604047</v>
      </c>
      <c r="H45" s="22">
        <v>122.4777922204828</v>
      </c>
      <c r="I45" s="34">
        <f t="shared" si="3"/>
        <v>14.449666517430261</v>
      </c>
      <c r="J45" s="23" t="str">
        <f t="shared" si="4"/>
        <v>✔</v>
      </c>
      <c r="K45" s="5" t="s">
        <v>496</v>
      </c>
      <c r="L45" s="51" t="s">
        <v>475</v>
      </c>
      <c r="M45" s="6" t="str">
        <f t="shared" si="5"/>
        <v>Rückverdichtung</v>
      </c>
      <c r="N45" s="22">
        <v>-5.5521296137208651</v>
      </c>
      <c r="O45" s="22">
        <v>42.073705318827137</v>
      </c>
      <c r="P45" s="22">
        <v>10</v>
      </c>
    </row>
    <row r="46" spans="2:16" x14ac:dyDescent="0.25">
      <c r="B46" s="15" t="s">
        <v>497</v>
      </c>
      <c r="C46" s="16"/>
      <c r="D46" s="16"/>
      <c r="E46" s="16"/>
      <c r="F46" s="16"/>
      <c r="G46" s="16"/>
      <c r="H46" s="16"/>
      <c r="I46" s="16"/>
      <c r="J46" s="16"/>
      <c r="K46" s="16"/>
      <c r="L46" s="16"/>
      <c r="M46" s="16"/>
      <c r="N46" s="16"/>
      <c r="O46" s="16"/>
      <c r="P46" s="16"/>
    </row>
    <row r="47" spans="2:16" x14ac:dyDescent="0.25">
      <c r="B47" s="22">
        <v>0</v>
      </c>
      <c r="C47" s="22">
        <v>122.2248197679442</v>
      </c>
      <c r="D47" s="22">
        <v>37.149999993934053</v>
      </c>
      <c r="E47" s="22">
        <v>27.45573252043847</v>
      </c>
      <c r="F47" s="22">
        <v>71.682439019822837</v>
      </c>
      <c r="G47" s="22">
        <v>27.298562542792808</v>
      </c>
      <c r="H47" s="22">
        <v>707.1846197848829</v>
      </c>
      <c r="I47" s="34">
        <f t="shared" ref="I47:I60" si="6">E47/(H47*A_strang)</f>
        <v>1.251273856829233</v>
      </c>
      <c r="J47" s="23" t="str">
        <f t="shared" ref="J47:J60" si="7">IF(I47&lt;=v_max,"✔","✘ zu schnell")</f>
        <v>✔</v>
      </c>
      <c r="K47" s="5" t="s">
        <v>291</v>
      </c>
      <c r="L47" s="51" t="s">
        <v>473</v>
      </c>
      <c r="M47" s="6" t="str">
        <f t="shared" ref="M47:M60" si="8">IF(F47&gt;=p_dicht,"drosseln","Rückverdichtung")</f>
        <v>Rückverdichtung</v>
      </c>
      <c r="N47" s="22">
        <v>-5.5521296137208651</v>
      </c>
      <c r="O47" s="22">
        <v>63.955542740120812</v>
      </c>
      <c r="P47" s="22">
        <v>10</v>
      </c>
    </row>
    <row r="48" spans="2:16" x14ac:dyDescent="0.25">
      <c r="B48" s="22">
        <v>14.39999999999978</v>
      </c>
      <c r="C48" s="22">
        <v>73.975240854016178</v>
      </c>
      <c r="D48" s="22">
        <v>30.735496484534679</v>
      </c>
      <c r="E48" s="22">
        <v>27.45573252043847</v>
      </c>
      <c r="F48" s="22">
        <v>44.593542688573102</v>
      </c>
      <c r="G48" s="22">
        <v>9.6149459020144832</v>
      </c>
      <c r="H48" s="22">
        <v>287.61590981521829</v>
      </c>
      <c r="I48" s="34">
        <f t="shared" si="6"/>
        <v>3.0766087566471767</v>
      </c>
      <c r="J48" s="23" t="str">
        <f t="shared" si="7"/>
        <v>✔</v>
      </c>
      <c r="K48" s="5" t="s">
        <v>498</v>
      </c>
      <c r="L48" s="51" t="s">
        <v>475</v>
      </c>
      <c r="M48" s="6" t="str">
        <f t="shared" si="8"/>
        <v>Rückverdichtung</v>
      </c>
      <c r="N48" s="22">
        <v>-5.5521296137208651</v>
      </c>
      <c r="O48" s="22">
        <v>45.000369496498372</v>
      </c>
      <c r="P48" s="22">
        <v>10</v>
      </c>
    </row>
    <row r="49" spans="2:16" x14ac:dyDescent="0.25">
      <c r="B49" s="22">
        <v>28.799999999999471</v>
      </c>
      <c r="C49" s="22">
        <v>63.087878067977769</v>
      </c>
      <c r="D49" s="22">
        <v>30.04720089181075</v>
      </c>
      <c r="E49" s="22">
        <v>27.45573252043847</v>
      </c>
      <c r="F49" s="22">
        <v>49.817644749180452</v>
      </c>
      <c r="G49" s="22">
        <v>14.132873983684821</v>
      </c>
      <c r="H49" s="22">
        <v>157.47419698556169</v>
      </c>
      <c r="I49" s="34">
        <f t="shared" si="6"/>
        <v>5.6192166312153162</v>
      </c>
      <c r="J49" s="23" t="str">
        <f t="shared" si="7"/>
        <v>✔</v>
      </c>
      <c r="K49" s="5" t="s">
        <v>499</v>
      </c>
      <c r="L49" s="51" t="s">
        <v>475</v>
      </c>
      <c r="M49" s="6" t="str">
        <f t="shared" si="8"/>
        <v>Rückverdichtung</v>
      </c>
      <c r="N49" s="22">
        <v>-5.5521296137208651</v>
      </c>
      <c r="O49" s="22">
        <v>44.989026171010337</v>
      </c>
      <c r="P49" s="22">
        <v>10</v>
      </c>
    </row>
    <row r="50" spans="2:16" x14ac:dyDescent="0.25">
      <c r="B50" s="22">
        <v>43.200000000001147</v>
      </c>
      <c r="C50" s="22">
        <v>61.580929313771321</v>
      </c>
      <c r="D50" s="22">
        <v>30.498288456446179</v>
      </c>
      <c r="E50" s="22">
        <v>27.45573252043847</v>
      </c>
      <c r="F50" s="22">
        <v>48.948898579662469</v>
      </c>
      <c r="G50" s="22">
        <v>14.172446676615211</v>
      </c>
      <c r="H50" s="22">
        <v>149.39287412390939</v>
      </c>
      <c r="I50" s="34">
        <f t="shared" si="6"/>
        <v>5.923184970352783</v>
      </c>
      <c r="J50" s="23" t="str">
        <f t="shared" si="7"/>
        <v>✔</v>
      </c>
      <c r="K50" s="5" t="s">
        <v>295</v>
      </c>
      <c r="L50" s="51" t="s">
        <v>473</v>
      </c>
      <c r="M50" s="6" t="str">
        <f t="shared" si="8"/>
        <v>Rückverdichtung</v>
      </c>
      <c r="N50" s="22">
        <v>-5.5521296137208651</v>
      </c>
      <c r="O50" s="22">
        <v>45.011796141400808</v>
      </c>
      <c r="P50" s="22">
        <v>10</v>
      </c>
    </row>
    <row r="51" spans="2:16" x14ac:dyDescent="0.25">
      <c r="B51" s="22">
        <v>57.800000000003443</v>
      </c>
      <c r="C51" s="22">
        <v>62.695045801054441</v>
      </c>
      <c r="D51" s="22">
        <v>31.061335664997841</v>
      </c>
      <c r="E51" s="22">
        <v>27.45573252043847</v>
      </c>
      <c r="F51" s="22">
        <v>49.776328519614829</v>
      </c>
      <c r="G51" s="22">
        <v>14.65734302855628</v>
      </c>
      <c r="H51" s="22">
        <v>153.6713285987349</v>
      </c>
      <c r="I51" s="34">
        <f t="shared" si="6"/>
        <v>5.7582740694533827</v>
      </c>
      <c r="J51" s="23" t="str">
        <f t="shared" si="7"/>
        <v>✔</v>
      </c>
      <c r="K51" s="5" t="s">
        <v>295</v>
      </c>
      <c r="L51" s="51" t="s">
        <v>473</v>
      </c>
      <c r="M51" s="6" t="str">
        <f t="shared" si="8"/>
        <v>Rückverdichtung</v>
      </c>
      <c r="N51" s="22">
        <v>-5.5521296137208651</v>
      </c>
      <c r="O51" s="22">
        <v>44.976646918239268</v>
      </c>
      <c r="P51" s="22">
        <v>10</v>
      </c>
    </row>
    <row r="52" spans="2:16" x14ac:dyDescent="0.25">
      <c r="B52" s="22">
        <v>72.200000000002774</v>
      </c>
      <c r="C52" s="22">
        <v>64.210679730810512</v>
      </c>
      <c r="D52" s="22">
        <v>31.445494893536249</v>
      </c>
      <c r="E52" s="22">
        <v>27.45573252043847</v>
      </c>
      <c r="F52" s="22">
        <v>50.806379311481969</v>
      </c>
      <c r="G52" s="22">
        <v>14.94684058508545</v>
      </c>
      <c r="H52" s="22">
        <v>160.61041357670729</v>
      </c>
      <c r="I52" s="34">
        <f t="shared" si="6"/>
        <v>5.5094909911674383</v>
      </c>
      <c r="J52" s="23" t="str">
        <f t="shared" si="7"/>
        <v>✔</v>
      </c>
      <c r="K52" s="5" t="s">
        <v>496</v>
      </c>
      <c r="L52" s="51" t="s">
        <v>475</v>
      </c>
      <c r="M52" s="6" t="str">
        <f t="shared" si="8"/>
        <v>Rückverdichtung</v>
      </c>
      <c r="N52" s="22">
        <v>-5.5521296137208651</v>
      </c>
      <c r="O52" s="22">
        <v>45.002951256253937</v>
      </c>
      <c r="P52" s="22">
        <v>10</v>
      </c>
    </row>
    <row r="53" spans="2:16" x14ac:dyDescent="0.25">
      <c r="B53" s="22">
        <v>86.599999999999909</v>
      </c>
      <c r="C53" s="22">
        <v>65.387583215032848</v>
      </c>
      <c r="D53" s="22">
        <v>31.55967945835539</v>
      </c>
      <c r="E53" s="22">
        <v>27.45573252043847</v>
      </c>
      <c r="F53" s="22">
        <v>51.538314541463542</v>
      </c>
      <c r="G53" s="22">
        <v>15.54157933501574</v>
      </c>
      <c r="H53" s="22">
        <v>165.82652065269161</v>
      </c>
      <c r="I53" s="34">
        <f t="shared" si="6"/>
        <v>5.3361888267670299</v>
      </c>
      <c r="J53" s="23" t="str">
        <f t="shared" si="7"/>
        <v>✔</v>
      </c>
      <c r="K53" s="5" t="s">
        <v>499</v>
      </c>
      <c r="L53" s="51" t="s">
        <v>475</v>
      </c>
      <c r="M53" s="6" t="str">
        <f t="shared" si="8"/>
        <v>Rückverdichtung</v>
      </c>
      <c r="N53" s="22">
        <v>-5.5521296137208651</v>
      </c>
      <c r="O53" s="22">
        <v>44.948946920128193</v>
      </c>
      <c r="P53" s="22">
        <v>10</v>
      </c>
    </row>
    <row r="54" spans="2:16" x14ac:dyDescent="0.25">
      <c r="B54" s="22">
        <v>101.199999999997</v>
      </c>
      <c r="C54" s="22">
        <v>66.246192713854427</v>
      </c>
      <c r="D54" s="22">
        <v>31.4830296848213</v>
      </c>
      <c r="E54" s="22">
        <v>27.45573252043847</v>
      </c>
      <c r="F54" s="22">
        <v>52.011458501985381</v>
      </c>
      <c r="G54" s="22">
        <v>15.922572821511659</v>
      </c>
      <c r="H54" s="22">
        <v>170.06711038524759</v>
      </c>
      <c r="I54" s="34">
        <f t="shared" si="6"/>
        <v>5.2031320146738018</v>
      </c>
      <c r="J54" s="23" t="str">
        <f t="shared" si="7"/>
        <v>✔</v>
      </c>
      <c r="K54" s="5" t="s">
        <v>500</v>
      </c>
      <c r="L54" s="51" t="s">
        <v>475</v>
      </c>
      <c r="M54" s="6" t="str">
        <f t="shared" si="8"/>
        <v>Rückverdichtung</v>
      </c>
      <c r="N54" s="22">
        <v>-5.5521296137208651</v>
      </c>
      <c r="O54" s="22">
        <v>44.960114116627032</v>
      </c>
      <c r="P54" s="22">
        <v>10</v>
      </c>
    </row>
    <row r="55" spans="2:16" x14ac:dyDescent="0.25">
      <c r="B55" s="22">
        <v>115.5999999999941</v>
      </c>
      <c r="C55" s="22">
        <v>66.918620521489458</v>
      </c>
      <c r="D55" s="22">
        <v>31.42606911063876</v>
      </c>
      <c r="E55" s="22">
        <v>27.45573252043847</v>
      </c>
      <c r="F55" s="22">
        <v>52.36485344449757</v>
      </c>
      <c r="G55" s="22">
        <v>16.205393141686329</v>
      </c>
      <c r="H55" s="22">
        <v>173.53998227560481</v>
      </c>
      <c r="I55" s="34">
        <f t="shared" si="6"/>
        <v>5.0990072436635048</v>
      </c>
      <c r="J55" s="23" t="str">
        <f t="shared" si="7"/>
        <v>✔</v>
      </c>
      <c r="K55" s="5" t="s">
        <v>501</v>
      </c>
      <c r="L55" s="51" t="s">
        <v>475</v>
      </c>
      <c r="M55" s="6" t="str">
        <f t="shared" si="8"/>
        <v>Rückverdichtung</v>
      </c>
      <c r="N55" s="22">
        <v>-5.5521296137208651</v>
      </c>
      <c r="O55" s="22">
        <v>44.975536132151113</v>
      </c>
      <c r="P55" s="22">
        <v>10</v>
      </c>
    </row>
    <row r="56" spans="2:16" x14ac:dyDescent="0.25">
      <c r="B56" s="22">
        <v>129.9999999999927</v>
      </c>
      <c r="C56" s="22">
        <v>67.122118793746466</v>
      </c>
      <c r="D56" s="22">
        <v>31.582975537554201</v>
      </c>
      <c r="E56" s="22">
        <v>27.45573252043847</v>
      </c>
      <c r="F56" s="22">
        <v>52.518302123232729</v>
      </c>
      <c r="G56" s="22">
        <v>16.327736753615451</v>
      </c>
      <c r="H56" s="22">
        <v>174.27849859308901</v>
      </c>
      <c r="I56" s="34">
        <f t="shared" si="6"/>
        <v>5.0773998733750574</v>
      </c>
      <c r="J56" s="23" t="str">
        <f t="shared" si="7"/>
        <v>✔</v>
      </c>
      <c r="K56" s="5" t="s">
        <v>501</v>
      </c>
      <c r="L56" s="51" t="s">
        <v>475</v>
      </c>
      <c r="M56" s="6" t="str">
        <f t="shared" si="8"/>
        <v>Rückverdichtung</v>
      </c>
      <c r="N56" s="22">
        <v>-5.5521296137208651</v>
      </c>
      <c r="O56" s="22">
        <v>45.018356568822007</v>
      </c>
      <c r="P56" s="22">
        <v>10</v>
      </c>
    </row>
    <row r="57" spans="2:16" x14ac:dyDescent="0.25">
      <c r="B57" s="22">
        <v>144.60000000000019</v>
      </c>
      <c r="C57" s="22">
        <v>65.810260091900901</v>
      </c>
      <c r="D57" s="22">
        <v>31.900207091943059</v>
      </c>
      <c r="E57" s="22">
        <v>27.45573252043847</v>
      </c>
      <c r="F57" s="22">
        <v>51.868161168537043</v>
      </c>
      <c r="G57" s="22">
        <v>15.80746839581087</v>
      </c>
      <c r="H57" s="22">
        <v>167.28771428644191</v>
      </c>
      <c r="I57" s="34">
        <f t="shared" si="6"/>
        <v>5.2895792764158882</v>
      </c>
      <c r="J57" s="23" t="str">
        <f t="shared" si="7"/>
        <v>✔</v>
      </c>
      <c r="K57" s="5" t="s">
        <v>499</v>
      </c>
      <c r="L57" s="51" t="s">
        <v>475</v>
      </c>
      <c r="M57" s="6" t="str">
        <f t="shared" si="8"/>
        <v>Rückverdichtung</v>
      </c>
      <c r="N57" s="22">
        <v>-5.5521296137208651</v>
      </c>
      <c r="O57" s="22">
        <v>45.027206377133368</v>
      </c>
      <c r="P57" s="22">
        <v>10</v>
      </c>
    </row>
    <row r="58" spans="2:16" x14ac:dyDescent="0.25">
      <c r="B58" s="22">
        <v>159.0000000000075</v>
      </c>
      <c r="C58" s="22">
        <v>61.842431922374807</v>
      </c>
      <c r="D58" s="22">
        <v>32.306833906792583</v>
      </c>
      <c r="E58" s="22">
        <v>27.45573252043847</v>
      </c>
      <c r="F58" s="22">
        <v>49.423744410219882</v>
      </c>
      <c r="G58" s="22">
        <v>16.225108369349929</v>
      </c>
      <c r="H58" s="22">
        <v>146.50592493657169</v>
      </c>
      <c r="I58" s="34">
        <f t="shared" si="6"/>
        <v>6.0399033491078669</v>
      </c>
      <c r="J58" s="23" t="str">
        <f t="shared" si="7"/>
        <v>✔</v>
      </c>
      <c r="K58" s="5" t="s">
        <v>295</v>
      </c>
      <c r="L58" s="51" t="s">
        <v>473</v>
      </c>
      <c r="M58" s="6" t="str">
        <f t="shared" si="8"/>
        <v>Rückverdichtung</v>
      </c>
      <c r="N58" s="22">
        <v>-5.5521296137208651</v>
      </c>
      <c r="O58" s="22">
        <v>45.067211310129558</v>
      </c>
      <c r="P58" s="22">
        <v>10</v>
      </c>
    </row>
    <row r="59" spans="2:16" x14ac:dyDescent="0.25">
      <c r="B59" s="22">
        <v>173.4000000000149</v>
      </c>
      <c r="C59" s="22">
        <v>54.01354384509321</v>
      </c>
      <c r="D59" s="22">
        <v>32.768179570858763</v>
      </c>
      <c r="E59" s="22">
        <v>27.45573252043847</v>
      </c>
      <c r="F59" s="22">
        <v>43.648806692566623</v>
      </c>
      <c r="G59" s="22">
        <v>17.640920517548981</v>
      </c>
      <c r="H59" s="22">
        <v>114.2768219792935</v>
      </c>
      <c r="I59" s="34">
        <f t="shared" si="6"/>
        <v>7.7433167230436473</v>
      </c>
      <c r="J59" s="23" t="str">
        <f t="shared" si="7"/>
        <v>✔</v>
      </c>
      <c r="K59" s="5" t="s">
        <v>295</v>
      </c>
      <c r="L59" s="51" t="s">
        <v>473</v>
      </c>
      <c r="M59" s="6" t="str">
        <f t="shared" si="8"/>
        <v>Rückverdichtung</v>
      </c>
      <c r="N59" s="22">
        <v>1.627241412040803E-2</v>
      </c>
      <c r="O59" s="22">
        <v>43.269089825186697</v>
      </c>
      <c r="P59" s="22">
        <v>10</v>
      </c>
    </row>
    <row r="60" spans="2:16" x14ac:dyDescent="0.25">
      <c r="B60" s="22">
        <v>188.0000000000224</v>
      </c>
      <c r="C60" s="22">
        <v>40.891839634543082</v>
      </c>
      <c r="D60" s="22">
        <v>33.269268713532313</v>
      </c>
      <c r="E60" s="22">
        <v>27.45573252043847</v>
      </c>
      <c r="F60" s="22">
        <v>32.555655843152543</v>
      </c>
      <c r="G60" s="22">
        <v>18.897495650398639</v>
      </c>
      <c r="H60" s="22">
        <v>74.044908816760383</v>
      </c>
      <c r="I60" s="34">
        <f t="shared" si="6"/>
        <v>11.950607284538224</v>
      </c>
      <c r="J60" s="23" t="str">
        <f t="shared" si="7"/>
        <v>✔</v>
      </c>
      <c r="K60" s="5" t="s">
        <v>295</v>
      </c>
      <c r="L60" s="51" t="s">
        <v>473</v>
      </c>
      <c r="M60" s="6" t="str">
        <f t="shared" si="8"/>
        <v>Rückverdichtung</v>
      </c>
      <c r="N60" s="22">
        <v>15.86598024708519</v>
      </c>
      <c r="O60" s="22">
        <v>32.433411914471733</v>
      </c>
      <c r="P60" s="22">
        <v>10</v>
      </c>
    </row>
    <row r="61" spans="2:16" x14ac:dyDescent="0.25">
      <c r="B61" s="15" t="s">
        <v>502</v>
      </c>
      <c r="C61" s="16"/>
      <c r="D61" s="16"/>
      <c r="E61" s="16"/>
      <c r="F61" s="16"/>
      <c r="G61" s="16"/>
      <c r="H61" s="16"/>
      <c r="I61" s="16"/>
      <c r="J61" s="16"/>
      <c r="K61" s="16"/>
      <c r="L61" s="16"/>
      <c r="M61" s="16"/>
      <c r="N61" s="16"/>
      <c r="O61" s="16"/>
      <c r="P61" s="16"/>
    </row>
    <row r="62" spans="2:16" x14ac:dyDescent="0.25">
      <c r="B62" s="22">
        <v>0</v>
      </c>
      <c r="C62" s="22">
        <v>122.2248197679442</v>
      </c>
      <c r="D62" s="22">
        <v>37.149999993934053</v>
      </c>
      <c r="E62" s="22">
        <v>42.86977604408316</v>
      </c>
      <c r="F62" s="22">
        <v>71.269261481315581</v>
      </c>
      <c r="G62" s="22">
        <v>27.209099712997951</v>
      </c>
      <c r="H62" s="22">
        <v>706.43971429061173</v>
      </c>
      <c r="I62" s="34">
        <f t="shared" ref="I62:I75" si="9">E62/(H62*A_strang)</f>
        <v>1.9558171544034131</v>
      </c>
      <c r="J62" s="23" t="str">
        <f t="shared" ref="J62:J75" si="10">IF(I62&lt;=v_max,"✔","✘ zu schnell")</f>
        <v>✔</v>
      </c>
      <c r="K62" s="5" t="s">
        <v>291</v>
      </c>
      <c r="L62" s="51" t="s">
        <v>473</v>
      </c>
      <c r="M62" s="6" t="str">
        <f t="shared" ref="M62:M75" si="11">IF(F62&gt;=p_dicht,"drosseln","Rückverdichtung")</f>
        <v>Rückverdichtung</v>
      </c>
      <c r="N62" s="22">
        <v>-5.5521296137208651</v>
      </c>
      <c r="O62" s="22">
        <v>63.59596105634504</v>
      </c>
      <c r="P62" s="22">
        <v>10</v>
      </c>
    </row>
    <row r="63" spans="2:16" x14ac:dyDescent="0.25">
      <c r="B63" s="22">
        <v>7.1999999999999336</v>
      </c>
      <c r="C63" s="22">
        <v>66.734860373609308</v>
      </c>
      <c r="D63" s="22">
        <v>28.714080166649811</v>
      </c>
      <c r="E63" s="22">
        <v>54.911465040876948</v>
      </c>
      <c r="F63" s="22">
        <v>48.481898442631589</v>
      </c>
      <c r="G63" s="22">
        <v>13.013331913470781</v>
      </c>
      <c r="H63" s="22">
        <v>166.53785300829429</v>
      </c>
      <c r="I63" s="34">
        <f t="shared" si="9"/>
        <v>10.626792776588449</v>
      </c>
      <c r="J63" s="23" t="str">
        <f t="shared" si="10"/>
        <v>✔</v>
      </c>
      <c r="K63" s="5" t="s">
        <v>495</v>
      </c>
      <c r="L63" s="51" t="s">
        <v>475</v>
      </c>
      <c r="M63" s="6" t="str">
        <f t="shared" si="11"/>
        <v>Rückverdichtung</v>
      </c>
      <c r="N63" s="22">
        <v>-5.5521296137208651</v>
      </c>
      <c r="O63" s="22">
        <v>45.002422846531303</v>
      </c>
      <c r="P63" s="22">
        <v>10</v>
      </c>
    </row>
    <row r="64" spans="2:16" x14ac:dyDescent="0.25">
      <c r="B64" s="22">
        <v>14.39999999999978</v>
      </c>
      <c r="C64" s="22">
        <v>52.84582687314051</v>
      </c>
      <c r="D64" s="22">
        <v>26.435535529350432</v>
      </c>
      <c r="E64" s="22">
        <v>54.911465040876948</v>
      </c>
      <c r="F64" s="22">
        <v>36.805969972101281</v>
      </c>
      <c r="G64" s="22">
        <v>2.0761744440481489</v>
      </c>
      <c r="H64" s="22">
        <v>114.38801276812779</v>
      </c>
      <c r="I64" s="34">
        <f t="shared" si="9"/>
        <v>15.47157967473847</v>
      </c>
      <c r="J64" s="23" t="str">
        <f t="shared" si="10"/>
        <v>✔</v>
      </c>
      <c r="K64" s="5" t="s">
        <v>503</v>
      </c>
      <c r="L64" s="51" t="s">
        <v>475</v>
      </c>
      <c r="M64" s="6" t="str">
        <f t="shared" si="11"/>
        <v>Rückverdichtung</v>
      </c>
      <c r="N64" s="22">
        <v>-5.5521296137208651</v>
      </c>
      <c r="O64" s="22">
        <v>37.203653417545652</v>
      </c>
      <c r="P64" s="22">
        <v>10</v>
      </c>
    </row>
    <row r="65" spans="2:16" x14ac:dyDescent="0.25">
      <c r="B65" s="22">
        <v>21.599999999999628</v>
      </c>
      <c r="C65" s="22">
        <v>55.194325390818371</v>
      </c>
      <c r="D65" s="22">
        <v>27.276502416713871</v>
      </c>
      <c r="E65" s="22">
        <v>54.911465040876948</v>
      </c>
      <c r="F65" s="22">
        <v>38.872887337610301</v>
      </c>
      <c r="G65" s="22">
        <v>4.1847622938277027</v>
      </c>
      <c r="H65" s="22">
        <v>123.5644219599794</v>
      </c>
      <c r="I65" s="34">
        <f t="shared" si="9"/>
        <v>14.322595657431954</v>
      </c>
      <c r="J65" s="23" t="str">
        <f t="shared" si="10"/>
        <v>✔</v>
      </c>
      <c r="K65" s="5" t="s">
        <v>504</v>
      </c>
      <c r="L65" s="51" t="s">
        <v>475</v>
      </c>
      <c r="M65" s="6" t="str">
        <f t="shared" si="11"/>
        <v>Rückverdichtung</v>
      </c>
      <c r="N65" s="22">
        <v>-5.5521296137208651</v>
      </c>
      <c r="O65" s="22">
        <v>39.483217455039778</v>
      </c>
      <c r="P65" s="22">
        <v>10</v>
      </c>
    </row>
    <row r="66" spans="2:16" x14ac:dyDescent="0.25">
      <c r="B66" s="22">
        <v>28.799999999999471</v>
      </c>
      <c r="C66" s="22">
        <v>56.995100597328722</v>
      </c>
      <c r="D66" s="22">
        <v>27.754250452721749</v>
      </c>
      <c r="E66" s="22">
        <v>54.911465040876948</v>
      </c>
      <c r="F66" s="22">
        <v>40.403175033540741</v>
      </c>
      <c r="G66" s="22">
        <v>5.6928757941528261</v>
      </c>
      <c r="H66" s="22">
        <v>130.83849066099251</v>
      </c>
      <c r="I66" s="34">
        <f t="shared" si="9"/>
        <v>13.526319697180048</v>
      </c>
      <c r="J66" s="23" t="str">
        <f t="shared" si="10"/>
        <v>✔</v>
      </c>
      <c r="K66" s="5" t="s">
        <v>495</v>
      </c>
      <c r="L66" s="51" t="s">
        <v>475</v>
      </c>
      <c r="M66" s="6" t="str">
        <f t="shared" si="11"/>
        <v>Rückverdichtung</v>
      </c>
      <c r="N66" s="22">
        <v>-5.5521296137208651</v>
      </c>
      <c r="O66" s="22">
        <v>41.158007646310452</v>
      </c>
      <c r="P66" s="22">
        <v>10</v>
      </c>
    </row>
    <row r="67" spans="2:16" x14ac:dyDescent="0.25">
      <c r="B67" s="22">
        <v>36.000000000000028</v>
      </c>
      <c r="C67" s="22">
        <v>58.318927294556403</v>
      </c>
      <c r="D67" s="22">
        <v>27.92452260981025</v>
      </c>
      <c r="E67" s="22">
        <v>54.911465040876948</v>
      </c>
      <c r="F67" s="22">
        <v>41.497033555691822</v>
      </c>
      <c r="G67" s="22">
        <v>6.745006406333232</v>
      </c>
      <c r="H67" s="22">
        <v>136.34570634706</v>
      </c>
      <c r="I67" s="34">
        <f t="shared" si="9"/>
        <v>12.979970552737919</v>
      </c>
      <c r="J67" s="23" t="str">
        <f t="shared" si="10"/>
        <v>✔</v>
      </c>
      <c r="K67" s="5" t="s">
        <v>482</v>
      </c>
      <c r="L67" s="51" t="s">
        <v>475</v>
      </c>
      <c r="M67" s="6" t="str">
        <f t="shared" si="11"/>
        <v>Rückverdichtung</v>
      </c>
      <c r="N67" s="22">
        <v>-5.5521296137208651</v>
      </c>
      <c r="O67" s="22">
        <v>42.348151558391187</v>
      </c>
      <c r="P67" s="22">
        <v>10</v>
      </c>
    </row>
    <row r="68" spans="2:16" x14ac:dyDescent="0.25">
      <c r="B68" s="22">
        <v>43.200000000001147</v>
      </c>
      <c r="C68" s="22">
        <v>59.209908451394682</v>
      </c>
      <c r="D68" s="22">
        <v>27.818794262029311</v>
      </c>
      <c r="E68" s="22">
        <v>54.911465040876948</v>
      </c>
      <c r="F68" s="22">
        <v>42.217752747665983</v>
      </c>
      <c r="G68" s="22">
        <v>7.4269648184737207</v>
      </c>
      <c r="H68" s="22">
        <v>140.14007805263921</v>
      </c>
      <c r="I68" s="34">
        <f t="shared" si="9"/>
        <v>12.62853052438243</v>
      </c>
      <c r="J68" s="23" t="str">
        <f t="shared" si="10"/>
        <v>✔</v>
      </c>
      <c r="K68" s="5" t="s">
        <v>482</v>
      </c>
      <c r="L68" s="51" t="s">
        <v>475</v>
      </c>
      <c r="M68" s="6" t="str">
        <f t="shared" si="11"/>
        <v>Rückverdichtung</v>
      </c>
      <c r="N68" s="22">
        <v>-5.5521296137208651</v>
      </c>
      <c r="O68" s="22">
        <v>43.128852626368023</v>
      </c>
      <c r="P68" s="22">
        <v>10</v>
      </c>
    </row>
    <row r="69" spans="2:16" x14ac:dyDescent="0.25">
      <c r="B69" s="22">
        <v>50.400000000002279</v>
      </c>
      <c r="C69" s="22">
        <v>59.682533035644873</v>
      </c>
      <c r="D69" s="22">
        <v>27.444510227868651</v>
      </c>
      <c r="E69" s="22">
        <v>54.911465040876948</v>
      </c>
      <c r="F69" s="22">
        <v>42.594805530435401</v>
      </c>
      <c r="G69" s="22">
        <v>7.7802750504455389</v>
      </c>
      <c r="H69" s="22">
        <v>142.18441939992579</v>
      </c>
      <c r="I69" s="34">
        <f t="shared" si="9"/>
        <v>12.446956289909879</v>
      </c>
      <c r="J69" s="23" t="str">
        <f t="shared" si="10"/>
        <v>✔</v>
      </c>
      <c r="K69" s="5" t="s">
        <v>494</v>
      </c>
      <c r="L69" s="51" t="s">
        <v>475</v>
      </c>
      <c r="M69" s="6" t="str">
        <f t="shared" si="11"/>
        <v>Rückverdichtung</v>
      </c>
      <c r="N69" s="22">
        <v>-5.5521296137208651</v>
      </c>
      <c r="O69" s="22">
        <v>43.536097464414027</v>
      </c>
      <c r="P69" s="22">
        <v>10</v>
      </c>
    </row>
    <row r="70" spans="2:16" x14ac:dyDescent="0.25">
      <c r="B70" s="22">
        <v>57.600000000003398</v>
      </c>
      <c r="C70" s="22">
        <v>59.718323047068729</v>
      </c>
      <c r="D70" s="22">
        <v>26.783235001588309</v>
      </c>
      <c r="E70" s="22">
        <v>54.911465040876948</v>
      </c>
      <c r="F70" s="22">
        <v>42.623206353997247</v>
      </c>
      <c r="G70" s="22">
        <v>7.8067925288838182</v>
      </c>
      <c r="H70" s="22">
        <v>142.34016871722389</v>
      </c>
      <c r="I70" s="34">
        <f t="shared" si="9"/>
        <v>12.433336768715943</v>
      </c>
      <c r="J70" s="23" t="str">
        <f t="shared" si="10"/>
        <v>✔</v>
      </c>
      <c r="K70" s="5" t="s">
        <v>494</v>
      </c>
      <c r="L70" s="51" t="s">
        <v>475</v>
      </c>
      <c r="M70" s="6" t="str">
        <f t="shared" si="11"/>
        <v>Rückverdichtung</v>
      </c>
      <c r="N70" s="22">
        <v>-5.5521296137208651</v>
      </c>
      <c r="O70" s="22">
        <v>43.566737617200459</v>
      </c>
      <c r="P70" s="22">
        <v>10</v>
      </c>
    </row>
    <row r="71" spans="2:16" x14ac:dyDescent="0.25">
      <c r="B71" s="22">
        <v>64.800000000004246</v>
      </c>
      <c r="C71" s="22">
        <v>59.257705661767233</v>
      </c>
      <c r="D71" s="22">
        <v>25.783596519747618</v>
      </c>
      <c r="E71" s="22">
        <v>54.911465040876948</v>
      </c>
      <c r="F71" s="22">
        <v>42.256052786125373</v>
      </c>
      <c r="G71" s="22">
        <v>7.4629606725085296</v>
      </c>
      <c r="H71" s="22">
        <v>140.34579491884421</v>
      </c>
      <c r="I71" s="34">
        <f t="shared" si="9"/>
        <v>12.610019804301702</v>
      </c>
      <c r="J71" s="23" t="str">
        <f t="shared" si="10"/>
        <v>✔</v>
      </c>
      <c r="K71" s="5" t="s">
        <v>482</v>
      </c>
      <c r="L71" s="51" t="s">
        <v>475</v>
      </c>
      <c r="M71" s="6" t="str">
        <f t="shared" si="11"/>
        <v>Rückverdichtung</v>
      </c>
      <c r="N71" s="22">
        <v>-5.5521296137208651</v>
      </c>
      <c r="O71" s="22">
        <v>43.170258023646731</v>
      </c>
      <c r="P71" s="22">
        <v>10</v>
      </c>
    </row>
    <row r="72" spans="2:16" x14ac:dyDescent="0.25">
      <c r="B72" s="22">
        <v>72.000000000002814</v>
      </c>
      <c r="C72" s="22">
        <v>58.179305081557636</v>
      </c>
      <c r="D72" s="22">
        <v>24.342265940667058</v>
      </c>
      <c r="E72" s="22">
        <v>54.911465040876948</v>
      </c>
      <c r="F72" s="22">
        <v>41.382945859392571</v>
      </c>
      <c r="G72" s="22">
        <v>6.636244562637728</v>
      </c>
      <c r="H72" s="22">
        <v>135.75778199307891</v>
      </c>
      <c r="I72" s="34">
        <f t="shared" si="9"/>
        <v>13.036182732178958</v>
      </c>
      <c r="J72" s="23" t="str">
        <f t="shared" si="10"/>
        <v>✔</v>
      </c>
      <c r="K72" s="5" t="s">
        <v>482</v>
      </c>
      <c r="L72" s="51" t="s">
        <v>475</v>
      </c>
      <c r="M72" s="6" t="str">
        <f t="shared" si="11"/>
        <v>Rückverdichtung</v>
      </c>
      <c r="N72" s="22">
        <v>-5.5521296137208651</v>
      </c>
      <c r="O72" s="22">
        <v>42.224308967157867</v>
      </c>
      <c r="P72" s="22">
        <v>10</v>
      </c>
    </row>
    <row r="73" spans="2:16" x14ac:dyDescent="0.25">
      <c r="B73" s="22">
        <v>79.200000000001381</v>
      </c>
      <c r="C73" s="22">
        <v>57.384746618054777</v>
      </c>
      <c r="D73" s="22">
        <v>24.82735165684295</v>
      </c>
      <c r="E73" s="22">
        <v>54.911465040876948</v>
      </c>
      <c r="F73" s="22">
        <v>41.167787821224607</v>
      </c>
      <c r="G73" s="22">
        <v>6.4305197839991592</v>
      </c>
      <c r="H73" s="22">
        <v>124.6850345626239</v>
      </c>
      <c r="I73" s="34">
        <f t="shared" si="9"/>
        <v>14.193870656451677</v>
      </c>
      <c r="J73" s="23" t="str">
        <f t="shared" si="10"/>
        <v>✔</v>
      </c>
      <c r="K73" s="5" t="s">
        <v>501</v>
      </c>
      <c r="L73" s="51" t="s">
        <v>475</v>
      </c>
      <c r="M73" s="6" t="str">
        <f t="shared" si="11"/>
        <v>Rückverdichtung</v>
      </c>
      <c r="N73" s="22">
        <v>-5.5521296137208651</v>
      </c>
      <c r="O73" s="22">
        <v>41.511975963213352</v>
      </c>
      <c r="P73" s="22">
        <v>10</v>
      </c>
    </row>
    <row r="74" spans="2:16" x14ac:dyDescent="0.25">
      <c r="B74" s="22">
        <v>86.399999999999949</v>
      </c>
      <c r="C74" s="22">
        <v>52.710071413129413</v>
      </c>
      <c r="D74" s="22">
        <v>28.049776854885351</v>
      </c>
      <c r="E74" s="22">
        <v>54.911465040876948</v>
      </c>
      <c r="F74" s="22">
        <v>37.054677689987308</v>
      </c>
      <c r="G74" s="22">
        <v>5.8243006316321271</v>
      </c>
      <c r="H74" s="22">
        <v>100.5070703473076</v>
      </c>
      <c r="I74" s="34">
        <f t="shared" si="9"/>
        <v>17.608345833398371</v>
      </c>
      <c r="J74" s="23" t="str">
        <f t="shared" si="10"/>
        <v>✔</v>
      </c>
      <c r="K74" s="5" t="s">
        <v>295</v>
      </c>
      <c r="L74" s="51" t="s">
        <v>473</v>
      </c>
      <c r="M74" s="6" t="str">
        <f t="shared" si="11"/>
        <v>Rückverdichtung</v>
      </c>
      <c r="N74" s="22">
        <v>-4.0983846929173069</v>
      </c>
      <c r="O74" s="22">
        <v>37.068544430503209</v>
      </c>
      <c r="P74" s="22">
        <v>10</v>
      </c>
    </row>
    <row r="75" spans="2:16" x14ac:dyDescent="0.25">
      <c r="B75" s="22">
        <v>93.799999999998477</v>
      </c>
      <c r="C75" s="22">
        <v>40.856427281706807</v>
      </c>
      <c r="D75" s="22">
        <v>29.280881520231219</v>
      </c>
      <c r="E75" s="22">
        <v>54.911465040876948</v>
      </c>
      <c r="F75" s="22">
        <v>23.660742433570778</v>
      </c>
      <c r="G75" s="22">
        <v>3.354751058202623</v>
      </c>
      <c r="H75" s="22">
        <v>54.849809035264173</v>
      </c>
      <c r="I75" s="34">
        <f t="shared" si="9"/>
        <v>32.265622880095542</v>
      </c>
      <c r="J75" s="23" t="str">
        <f t="shared" si="10"/>
        <v>✘ zu schnell</v>
      </c>
      <c r="K75" s="5" t="s">
        <v>295</v>
      </c>
      <c r="L75" s="51" t="s">
        <v>473</v>
      </c>
      <c r="M75" s="6" t="str">
        <f t="shared" si="11"/>
        <v>Rückverdichtung</v>
      </c>
      <c r="N75" s="22">
        <v>3.354751058202623</v>
      </c>
      <c r="O75" s="22">
        <v>23.443281976764169</v>
      </c>
      <c r="P75" s="22">
        <v>10</v>
      </c>
    </row>
    <row r="76" spans="2:16" x14ac:dyDescent="0.25">
      <c r="B76" s="47" t="s">
        <v>505</v>
      </c>
    </row>
    <row r="78" spans="2:16" x14ac:dyDescent="0.25">
      <c r="B78" s="3" t="s">
        <v>506</v>
      </c>
    </row>
    <row r="79" spans="2:16" ht="44.1" customHeight="1" x14ac:dyDescent="0.25">
      <c r="B79" s="73" t="s">
        <v>411</v>
      </c>
      <c r="C79" s="72"/>
      <c r="D79" s="14" t="s">
        <v>280</v>
      </c>
      <c r="E79" s="14" t="s">
        <v>507</v>
      </c>
      <c r="F79" s="14" t="s">
        <v>508</v>
      </c>
    </row>
    <row r="80" spans="2:16" x14ac:dyDescent="0.25">
      <c r="B80" s="89" t="s">
        <v>424</v>
      </c>
      <c r="C80" s="72"/>
      <c r="D80" s="29">
        <v>150.91850708466549</v>
      </c>
      <c r="E80" s="36">
        <v>160</v>
      </c>
      <c r="F80" s="52">
        <f>D80-E80</f>
        <v>-9.0814929153345076</v>
      </c>
      <c r="G80" s="11" t="s">
        <v>509</v>
      </c>
    </row>
    <row r="81" spans="2:6" x14ac:dyDescent="0.25">
      <c r="B81" s="89" t="s">
        <v>425</v>
      </c>
      <c r="C81" s="72"/>
      <c r="D81" s="29">
        <v>152.9777001394649</v>
      </c>
      <c r="E81" s="36">
        <v>160</v>
      </c>
      <c r="F81" s="52">
        <f>D81-E81</f>
        <v>-7.0222998605350995</v>
      </c>
    </row>
    <row r="82" spans="2:6" x14ac:dyDescent="0.25">
      <c r="B82" s="89" t="s">
        <v>426</v>
      </c>
      <c r="C82" s="72"/>
      <c r="D82" s="29">
        <v>114.75650115675511</v>
      </c>
      <c r="E82" s="23" t="s">
        <v>75</v>
      </c>
    </row>
    <row r="83" spans="2:6" x14ac:dyDescent="0.25">
      <c r="B83" s="89" t="s">
        <v>427</v>
      </c>
      <c r="C83" s="72"/>
      <c r="D83" s="29">
        <v>115.20729072344579</v>
      </c>
      <c r="E83" s="23" t="s">
        <v>75</v>
      </c>
    </row>
    <row r="85" spans="2:6" x14ac:dyDescent="0.25">
      <c r="B85" s="3" t="s">
        <v>510</v>
      </c>
    </row>
    <row r="86" spans="2:6" ht="126.75" customHeight="1" x14ac:dyDescent="0.25"/>
    <row r="100" spans="2:7" ht="114.75" customHeight="1" x14ac:dyDescent="0.25">
      <c r="B100" s="87" t="s">
        <v>511</v>
      </c>
      <c r="C100" s="88"/>
      <c r="D100" s="88"/>
      <c r="E100" s="88"/>
      <c r="F100" s="88"/>
      <c r="G100" s="88"/>
    </row>
  </sheetData>
  <mergeCells count="13">
    <mergeCell ref="B100:G100"/>
    <mergeCell ref="B80:C80"/>
    <mergeCell ref="B81:C81"/>
    <mergeCell ref="B82:C82"/>
    <mergeCell ref="B83:C83"/>
    <mergeCell ref="F9:K9"/>
    <mergeCell ref="F7:K7"/>
    <mergeCell ref="F8:K8"/>
    <mergeCell ref="B4:P4"/>
    <mergeCell ref="B79:C79"/>
    <mergeCell ref="F12:K12"/>
    <mergeCell ref="F11:K11"/>
    <mergeCell ref="F10:K10"/>
  </mergeCells>
  <conditionalFormatting sqref="B17:H30 K17:L30 N17:P30 B32:H45 K32:L45 N32:P45 B47:H60 K47:L60 N47:P60 B62:H75 K62:L75 N62:P75 D80:D83">
    <cfRule type="expression" dxfId="3" priority="1">
      <formula>NOT(Stand_ok)</formula>
    </cfRule>
  </conditionalFormatting>
  <hyperlinks>
    <hyperlink ref="B3" location="'Übersicht'!A1" display="← zur Übersicht" xr:uid="{00000000-0004-0000-0400-000000000000}"/>
  </hyperlink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A220E"/>
  </sheetPr>
  <dimension ref="B1:L41"/>
  <sheetViews>
    <sheetView showGridLines="0" topLeftCell="A31" workbookViewId="0">
      <selection activeCell="L45" sqref="L45"/>
    </sheetView>
  </sheetViews>
  <sheetFormatPr baseColWidth="10" defaultColWidth="9.140625" defaultRowHeight="15" x14ac:dyDescent="0.25"/>
  <cols>
    <col min="1" max="1" width="2.7109375" customWidth="1"/>
    <col min="2" max="2" width="40" customWidth="1"/>
    <col min="3" max="4" width="24" customWidth="1"/>
    <col min="5" max="12" width="13" customWidth="1"/>
  </cols>
  <sheetData>
    <row r="1" spans="2:12" ht="21" x14ac:dyDescent="0.25">
      <c r="B1" s="1" t="s">
        <v>512</v>
      </c>
    </row>
    <row r="2" spans="2:12" x14ac:dyDescent="0.25">
      <c r="B2" s="2" t="s">
        <v>513</v>
      </c>
    </row>
    <row r="3" spans="2:12" x14ac:dyDescent="0.25">
      <c r="B3" s="9" t="s">
        <v>255</v>
      </c>
    </row>
    <row r="4" spans="2:12" ht="113.65" customHeight="1" x14ac:dyDescent="0.25">
      <c r="B4" s="87" t="s">
        <v>514</v>
      </c>
      <c r="C4" s="88"/>
      <c r="D4" s="88"/>
      <c r="E4" s="88"/>
      <c r="F4" s="88"/>
      <c r="G4" s="88"/>
      <c r="H4" s="88"/>
      <c r="I4" s="88"/>
      <c r="J4" s="88"/>
      <c r="K4" s="88"/>
      <c r="L4" s="88"/>
    </row>
    <row r="6" spans="2:12" x14ac:dyDescent="0.25">
      <c r="B6" s="3" t="s">
        <v>515</v>
      </c>
    </row>
    <row r="7" spans="2:12" ht="30" customHeight="1" x14ac:dyDescent="0.25">
      <c r="B7" s="14" t="s">
        <v>43</v>
      </c>
      <c r="C7" s="14" t="s">
        <v>516</v>
      </c>
      <c r="D7" s="14" t="s">
        <v>517</v>
      </c>
      <c r="E7" s="73" t="s">
        <v>286</v>
      </c>
      <c r="F7" s="75"/>
      <c r="G7" s="75"/>
      <c r="H7" s="75"/>
      <c r="I7" s="75"/>
      <c r="J7" s="75"/>
      <c r="K7" s="72"/>
    </row>
    <row r="8" spans="2:12" x14ac:dyDescent="0.25">
      <c r="B8" s="18" t="s">
        <v>518</v>
      </c>
      <c r="C8" s="34">
        <f>T_krit</f>
        <v>30.97820000298071</v>
      </c>
      <c r="D8" s="34">
        <f>p_krit</f>
        <v>73.772983734467516</v>
      </c>
      <c r="E8" s="71" t="s">
        <v>519</v>
      </c>
      <c r="F8" s="75"/>
      <c r="G8" s="75"/>
      <c r="H8" s="75"/>
      <c r="I8" s="75"/>
      <c r="J8" s="75"/>
      <c r="K8" s="72"/>
    </row>
    <row r="9" spans="2:12" x14ac:dyDescent="0.25">
      <c r="B9" s="18" t="s">
        <v>520</v>
      </c>
      <c r="C9" s="22">
        <v>27.954721350120511</v>
      </c>
      <c r="D9" s="22">
        <v>81.455056138190969</v>
      </c>
      <c r="E9" s="71" t="s">
        <v>521</v>
      </c>
      <c r="F9" s="75"/>
      <c r="G9" s="75"/>
      <c r="H9" s="75"/>
      <c r="I9" s="75"/>
      <c r="J9" s="75"/>
      <c r="K9" s="72"/>
    </row>
    <row r="10" spans="2:12" x14ac:dyDescent="0.25">
      <c r="B10" s="18" t="s">
        <v>522</v>
      </c>
      <c r="C10" s="22">
        <v>27.213117696898792</v>
      </c>
      <c r="D10" s="22">
        <v>82.177594329289022</v>
      </c>
      <c r="E10" s="71" t="s">
        <v>523</v>
      </c>
      <c r="F10" s="75"/>
      <c r="G10" s="75"/>
      <c r="H10" s="75"/>
      <c r="I10" s="75"/>
      <c r="J10" s="75"/>
      <c r="K10" s="72"/>
    </row>
    <row r="11" spans="2:12" x14ac:dyDescent="0.25">
      <c r="B11" s="18" t="s">
        <v>524</v>
      </c>
      <c r="C11" s="22">
        <v>28.093324343344879</v>
      </c>
      <c r="D11" s="22">
        <v>80.896474126453512</v>
      </c>
      <c r="E11" s="71" t="s">
        <v>525</v>
      </c>
      <c r="F11" s="75"/>
      <c r="G11" s="75"/>
      <c r="H11" s="75"/>
      <c r="I11" s="75"/>
      <c r="J11" s="75"/>
      <c r="K11" s="72"/>
    </row>
    <row r="13" spans="2:12" x14ac:dyDescent="0.25">
      <c r="B13" s="3" t="s">
        <v>526</v>
      </c>
    </row>
    <row r="14" spans="2:12" ht="30" customHeight="1" x14ac:dyDescent="0.25">
      <c r="B14" s="14" t="s">
        <v>527</v>
      </c>
      <c r="C14" s="14" t="s">
        <v>528</v>
      </c>
      <c r="D14" s="14" t="s">
        <v>529</v>
      </c>
      <c r="E14" s="14" t="s">
        <v>530</v>
      </c>
      <c r="F14" s="14" t="s">
        <v>531</v>
      </c>
      <c r="G14" s="14" t="s">
        <v>46</v>
      </c>
    </row>
    <row r="15" spans="2:12" x14ac:dyDescent="0.25">
      <c r="B15" s="15" t="s">
        <v>397</v>
      </c>
      <c r="C15" s="16"/>
      <c r="D15" s="16"/>
      <c r="E15" s="16"/>
      <c r="F15" s="16"/>
      <c r="G15" s="16"/>
    </row>
    <row r="16" spans="2:12" x14ac:dyDescent="0.25">
      <c r="B16" s="18" t="s">
        <v>532</v>
      </c>
      <c r="C16" s="37">
        <f>Kopf_voll_tief</f>
        <v>107.603219569636</v>
      </c>
      <c r="D16" s="27">
        <v>114.93130198208929</v>
      </c>
      <c r="E16" s="44">
        <f t="shared" ref="E16:E24" si="0">D16-C16</f>
        <v>7.3280824124532984</v>
      </c>
      <c r="F16" s="53">
        <f t="shared" ref="F16:F24" si="1">D16/C16-1</f>
        <v>6.8102817385597758E-2</v>
      </c>
      <c r="G16" s="18" t="s">
        <v>66</v>
      </c>
    </row>
    <row r="17" spans="2:7" x14ac:dyDescent="0.25">
      <c r="B17" s="18" t="s">
        <v>533</v>
      </c>
      <c r="C17" s="37">
        <f>Kopf_leer_tief</f>
        <v>44.992994186969852</v>
      </c>
      <c r="D17" s="27">
        <v>50.705458672726493</v>
      </c>
      <c r="E17" s="44">
        <f t="shared" si="0"/>
        <v>5.7124644857566409</v>
      </c>
      <c r="F17" s="53">
        <f t="shared" si="1"/>
        <v>0.12696342150554174</v>
      </c>
      <c r="G17" s="18" t="s">
        <v>66</v>
      </c>
    </row>
    <row r="18" spans="2:7" x14ac:dyDescent="0.25">
      <c r="B18" s="18" t="s">
        <v>334</v>
      </c>
      <c r="C18" s="22">
        <v>801.50207299873875</v>
      </c>
      <c r="D18" s="22">
        <v>740.5225848819847</v>
      </c>
      <c r="E18" s="44">
        <f t="shared" si="0"/>
        <v>-60.979488116754055</v>
      </c>
      <c r="F18" s="53">
        <f t="shared" si="1"/>
        <v>-7.6081510168283795E-2</v>
      </c>
      <c r="G18" s="18" t="s">
        <v>73</v>
      </c>
    </row>
    <row r="19" spans="2:7" x14ac:dyDescent="0.25">
      <c r="B19" s="18" t="s">
        <v>534</v>
      </c>
      <c r="C19" s="35">
        <f>C18*V_kav/1000</f>
        <v>520976.3474491802</v>
      </c>
      <c r="D19" s="35">
        <f>D18*V_kav/1000</f>
        <v>481339.68017329008</v>
      </c>
      <c r="E19" s="44">
        <f t="shared" si="0"/>
        <v>-39636.667275890126</v>
      </c>
      <c r="F19" s="53">
        <f t="shared" si="1"/>
        <v>-7.6081510168283684E-2</v>
      </c>
      <c r="G19" s="18" t="s">
        <v>337</v>
      </c>
    </row>
    <row r="20" spans="2:7" x14ac:dyDescent="0.25">
      <c r="B20" s="18" t="s">
        <v>535</v>
      </c>
      <c r="C20" s="22">
        <v>182.1859017330834</v>
      </c>
      <c r="D20" s="22">
        <v>168.2569358065202</v>
      </c>
      <c r="E20" s="44">
        <f t="shared" si="0"/>
        <v>-13.928965926563194</v>
      </c>
      <c r="F20" s="53">
        <f t="shared" si="1"/>
        <v>-7.6454686087457091E-2</v>
      </c>
      <c r="G20" s="18" t="s">
        <v>73</v>
      </c>
    </row>
    <row r="21" spans="2:7" x14ac:dyDescent="0.25">
      <c r="B21" s="18" t="s">
        <v>536</v>
      </c>
      <c r="C21" s="35">
        <f>C19-C20*V_kav/1000</f>
        <v>402555.51132267597</v>
      </c>
      <c r="D21" s="35">
        <f>D19-D20*V_kav/1000</f>
        <v>371972.67189905193</v>
      </c>
      <c r="E21" s="44">
        <f t="shared" si="0"/>
        <v>-30582.839423624042</v>
      </c>
      <c r="F21" s="53">
        <f t="shared" si="1"/>
        <v>-7.5971732005700399E-2</v>
      </c>
      <c r="G21" s="18" t="s">
        <v>337</v>
      </c>
    </row>
    <row r="22" spans="2:7" x14ac:dyDescent="0.25">
      <c r="B22" s="18" t="s">
        <v>537</v>
      </c>
      <c r="C22" s="22">
        <v>77.228258143745109</v>
      </c>
      <c r="D22" s="22">
        <v>93.556005523520724</v>
      </c>
      <c r="E22" s="44">
        <f t="shared" si="0"/>
        <v>16.327747379775616</v>
      </c>
      <c r="F22" s="54">
        <f t="shared" si="1"/>
        <v>0.21142192990271447</v>
      </c>
      <c r="G22" s="18" t="s">
        <v>382</v>
      </c>
    </row>
    <row r="23" spans="2:7" x14ac:dyDescent="0.25">
      <c r="B23" s="18" t="s">
        <v>538</v>
      </c>
      <c r="C23" s="22">
        <v>189.43624793055571</v>
      </c>
      <c r="D23" s="22">
        <v>262.02010803495648</v>
      </c>
      <c r="E23" s="44">
        <f t="shared" si="0"/>
        <v>72.58386010440077</v>
      </c>
      <c r="F23" s="54">
        <f t="shared" si="1"/>
        <v>0.38315718822201794</v>
      </c>
      <c r="G23" s="18" t="s">
        <v>382</v>
      </c>
    </row>
    <row r="24" spans="2:7" x14ac:dyDescent="0.25">
      <c r="B24" s="18" t="s">
        <v>539</v>
      </c>
      <c r="C24" s="22">
        <v>317.58888629827158</v>
      </c>
      <c r="D24" s="22">
        <v>267.29440665550788</v>
      </c>
      <c r="E24" s="44">
        <f t="shared" si="0"/>
        <v>-50.29447964276369</v>
      </c>
      <c r="F24" s="54">
        <f t="shared" si="1"/>
        <v>-0.1583634749596633</v>
      </c>
      <c r="G24" s="18" t="s">
        <v>382</v>
      </c>
    </row>
    <row r="25" spans="2:7" x14ac:dyDescent="0.25">
      <c r="B25" s="18" t="s">
        <v>540</v>
      </c>
      <c r="C25" s="5" t="s">
        <v>541</v>
      </c>
      <c r="D25" s="5" t="s">
        <v>542</v>
      </c>
    </row>
    <row r="26" spans="2:7" x14ac:dyDescent="0.25">
      <c r="B26" s="18" t="s">
        <v>543</v>
      </c>
      <c r="C26" s="5" t="s">
        <v>544</v>
      </c>
      <c r="D26" s="5" t="s">
        <v>545</v>
      </c>
    </row>
    <row r="27" spans="2:7" x14ac:dyDescent="0.25">
      <c r="B27" s="15" t="s">
        <v>398</v>
      </c>
      <c r="C27" s="16"/>
      <c r="D27" s="16"/>
      <c r="E27" s="16"/>
      <c r="F27" s="16"/>
      <c r="G27" s="16"/>
    </row>
    <row r="28" spans="2:7" x14ac:dyDescent="0.25">
      <c r="B28" s="18" t="s">
        <v>532</v>
      </c>
      <c r="C28" s="37">
        <f>Kopf_voll_flach</f>
        <v>64.451601415047293</v>
      </c>
      <c r="D28" s="27">
        <v>70.475017459224901</v>
      </c>
      <c r="E28" s="44">
        <f t="shared" ref="E28:E36" si="2">D28-C28</f>
        <v>6.0234160441776083</v>
      </c>
      <c r="F28" s="53">
        <f t="shared" ref="F28:F36" si="3">D28/C28-1</f>
        <v>9.3456421747983853E-2</v>
      </c>
      <c r="G28" s="18" t="s">
        <v>66</v>
      </c>
    </row>
    <row r="29" spans="2:7" x14ac:dyDescent="0.25">
      <c r="B29" s="18" t="s">
        <v>533</v>
      </c>
      <c r="C29" s="37">
        <f>Kopf_leer_flach</f>
        <v>34.702663420089401</v>
      </c>
      <c r="D29" s="27">
        <v>34.95888863998097</v>
      </c>
      <c r="E29" s="44">
        <f t="shared" si="2"/>
        <v>0.25622521989156866</v>
      </c>
      <c r="F29" s="53">
        <f t="shared" si="3"/>
        <v>7.3834453796777222E-3</v>
      </c>
      <c r="G29" s="18" t="s">
        <v>66</v>
      </c>
    </row>
    <row r="30" spans="2:7" x14ac:dyDescent="0.25">
      <c r="B30" s="18" t="s">
        <v>334</v>
      </c>
      <c r="C30" s="22">
        <v>782.18104658024731</v>
      </c>
      <c r="D30" s="22">
        <v>688.9104113241109</v>
      </c>
      <c r="E30" s="44">
        <f t="shared" si="2"/>
        <v>-93.270635256136416</v>
      </c>
      <c r="F30" s="53">
        <f t="shared" si="3"/>
        <v>-0.11924430496484473</v>
      </c>
      <c r="G30" s="18" t="s">
        <v>73</v>
      </c>
    </row>
    <row r="31" spans="2:7" x14ac:dyDescent="0.25">
      <c r="B31" s="18" t="s">
        <v>534</v>
      </c>
      <c r="C31" s="35">
        <f>C30*V_kav/1000</f>
        <v>508417.68027716078</v>
      </c>
      <c r="D31" s="35">
        <f>D30*V_kav/1000</f>
        <v>447791.76736067206</v>
      </c>
      <c r="E31" s="44">
        <f t="shared" si="2"/>
        <v>-60625.912916488713</v>
      </c>
      <c r="F31" s="53">
        <f t="shared" si="3"/>
        <v>-0.11924430496484484</v>
      </c>
      <c r="G31" s="18" t="s">
        <v>337</v>
      </c>
    </row>
    <row r="32" spans="2:7" x14ac:dyDescent="0.25">
      <c r="B32" s="18" t="s">
        <v>535</v>
      </c>
      <c r="C32" s="22">
        <v>92.839063987751643</v>
      </c>
      <c r="D32" s="22">
        <v>88.664287518080002</v>
      </c>
      <c r="E32" s="44">
        <f t="shared" si="2"/>
        <v>-4.1747764696716416</v>
      </c>
      <c r="F32" s="53">
        <f t="shared" si="3"/>
        <v>-4.4967886257690215E-2</v>
      </c>
      <c r="G32" s="18" t="s">
        <v>73</v>
      </c>
    </row>
    <row r="33" spans="2:10" x14ac:dyDescent="0.25">
      <c r="B33" s="18" t="s">
        <v>536</v>
      </c>
      <c r="C33" s="35">
        <f>C31-C32*V_kav/1000</f>
        <v>448072.28868512221</v>
      </c>
      <c r="D33" s="35">
        <f>D31-D32*V_kav/1000</f>
        <v>390159.98047392006</v>
      </c>
      <c r="E33" s="44">
        <f t="shared" si="2"/>
        <v>-57912.308211202151</v>
      </c>
      <c r="F33" s="53">
        <f t="shared" si="3"/>
        <v>-0.12924768987867352</v>
      </c>
      <c r="G33" s="18" t="s">
        <v>337</v>
      </c>
    </row>
    <row r="34" spans="2:10" x14ac:dyDescent="0.25">
      <c r="B34" s="18" t="s">
        <v>546</v>
      </c>
      <c r="C34" s="22">
        <v>124.7556767485564</v>
      </c>
      <c r="D34" s="22">
        <v>200.76809071317271</v>
      </c>
      <c r="E34" s="44">
        <f t="shared" si="2"/>
        <v>76.012413964616314</v>
      </c>
      <c r="F34" s="54">
        <f t="shared" si="3"/>
        <v>0.60929022186155457</v>
      </c>
      <c r="G34" s="18" t="s">
        <v>382</v>
      </c>
    </row>
    <row r="35" spans="2:10" x14ac:dyDescent="0.25">
      <c r="B35" s="18" t="s">
        <v>547</v>
      </c>
      <c r="C35" s="22">
        <v>643.34322516235045</v>
      </c>
      <c r="D35" s="22">
        <v>856.88579696173451</v>
      </c>
      <c r="E35" s="44">
        <f t="shared" si="2"/>
        <v>213.54257179938406</v>
      </c>
      <c r="F35" s="54">
        <f t="shared" si="3"/>
        <v>0.3319263550890672</v>
      </c>
      <c r="G35" s="18" t="s">
        <v>382</v>
      </c>
    </row>
    <row r="36" spans="2:10" x14ac:dyDescent="0.25">
      <c r="B36" s="18" t="s">
        <v>548</v>
      </c>
      <c r="C36" s="22">
        <v>218.36346903305039</v>
      </c>
      <c r="D36" s="22">
        <v>201.911262442615</v>
      </c>
      <c r="E36" s="44">
        <f t="shared" si="2"/>
        <v>-16.452206590435395</v>
      </c>
      <c r="F36" s="54">
        <f t="shared" si="3"/>
        <v>-7.5343218640409493E-2</v>
      </c>
      <c r="G36" s="18" t="s">
        <v>382</v>
      </c>
    </row>
    <row r="37" spans="2:10" x14ac:dyDescent="0.25">
      <c r="B37" s="18" t="s">
        <v>540</v>
      </c>
      <c r="C37" s="5" t="s">
        <v>549</v>
      </c>
      <c r="D37" s="5" t="s">
        <v>550</v>
      </c>
    </row>
    <row r="38" spans="2:10" x14ac:dyDescent="0.25">
      <c r="B38" s="18" t="s">
        <v>543</v>
      </c>
      <c r="C38" s="5" t="s">
        <v>551</v>
      </c>
      <c r="D38" s="5" t="s">
        <v>552</v>
      </c>
    </row>
    <row r="40" spans="2:10" x14ac:dyDescent="0.25">
      <c r="B40" s="3" t="s">
        <v>510</v>
      </c>
    </row>
    <row r="41" spans="2:10" ht="126.75" customHeight="1" x14ac:dyDescent="0.25">
      <c r="F41" s="87" t="s">
        <v>782</v>
      </c>
      <c r="G41" s="88"/>
      <c r="H41" s="88"/>
      <c r="I41" s="88"/>
      <c r="J41" s="88"/>
    </row>
  </sheetData>
  <mergeCells count="7">
    <mergeCell ref="B4:L4"/>
    <mergeCell ref="E10:K10"/>
    <mergeCell ref="E8:K8"/>
    <mergeCell ref="E9:K9"/>
    <mergeCell ref="F41:J41"/>
    <mergeCell ref="E7:K7"/>
    <mergeCell ref="E11:K11"/>
  </mergeCells>
  <conditionalFormatting sqref="C9:D11 D16:D18 C18 C20:D20 C22:D26 D28:D30 C30 C32:D32 C34:D38">
    <cfRule type="expression" dxfId="2" priority="1">
      <formula>NOT(Stand_ok)</formula>
    </cfRule>
  </conditionalFormatting>
  <hyperlinks>
    <hyperlink ref="B3" location="'Übersicht'!A1" display="← zur Übersicht" xr:uid="{00000000-0004-0000-0500-000000000000}"/>
  </hyperlink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B1:N127"/>
  <sheetViews>
    <sheetView showGridLines="0" topLeftCell="A108" workbookViewId="0">
      <selection activeCell="H137" sqref="H137"/>
    </sheetView>
  </sheetViews>
  <sheetFormatPr baseColWidth="10" defaultColWidth="9.140625" defaultRowHeight="15" x14ac:dyDescent="0.25"/>
  <cols>
    <col min="1" max="1" width="2.7109375" customWidth="1"/>
    <col min="2" max="2" width="34" customWidth="1"/>
    <col min="3" max="10" width="12.42578125" customWidth="1"/>
    <col min="11" max="11" width="17.28515625" customWidth="1"/>
    <col min="12" max="15" width="12.42578125" customWidth="1"/>
  </cols>
  <sheetData>
    <row r="1" spans="2:14" ht="21" x14ac:dyDescent="0.25">
      <c r="B1" s="1" t="s">
        <v>553</v>
      </c>
    </row>
    <row r="2" spans="2:14" x14ac:dyDescent="0.25">
      <c r="B2" s="2" t="s">
        <v>554</v>
      </c>
    </row>
    <row r="3" spans="2:14" x14ac:dyDescent="0.25">
      <c r="B3" s="9" t="s">
        <v>255</v>
      </c>
    </row>
    <row r="4" spans="2:14" ht="179.65" customHeight="1" x14ac:dyDescent="0.25">
      <c r="B4" s="87" t="s">
        <v>555</v>
      </c>
      <c r="C4" s="88"/>
      <c r="D4" s="88"/>
      <c r="E4" s="88"/>
      <c r="F4" s="88"/>
      <c r="G4" s="88"/>
      <c r="H4" s="88"/>
      <c r="I4" s="88"/>
      <c r="J4" s="88"/>
      <c r="K4" s="88"/>
      <c r="L4" s="88"/>
      <c r="M4" s="88"/>
      <c r="N4" s="88"/>
    </row>
    <row r="6" spans="2:14" x14ac:dyDescent="0.25">
      <c r="B6" s="3" t="s">
        <v>556</v>
      </c>
    </row>
    <row r="7" spans="2:14" ht="30" customHeight="1" x14ac:dyDescent="0.25">
      <c r="B7" s="14" t="s">
        <v>557</v>
      </c>
      <c r="C7" s="73" t="s">
        <v>558</v>
      </c>
      <c r="D7" s="75"/>
      <c r="E7" s="72"/>
      <c r="F7" s="73" t="s">
        <v>559</v>
      </c>
      <c r="G7" s="75"/>
      <c r="H7" s="75"/>
      <c r="I7" s="75"/>
      <c r="J7" s="72"/>
      <c r="K7" s="14" t="s">
        <v>560</v>
      </c>
    </row>
    <row r="8" spans="2:14" ht="27.95" customHeight="1" x14ac:dyDescent="0.25">
      <c r="B8" s="45" t="s">
        <v>561</v>
      </c>
      <c r="C8" s="79" t="s">
        <v>562</v>
      </c>
      <c r="D8" s="75"/>
      <c r="E8" s="72"/>
      <c r="F8" s="79" t="s">
        <v>563</v>
      </c>
      <c r="G8" s="75"/>
      <c r="H8" s="75"/>
      <c r="I8" s="75"/>
      <c r="J8" s="72"/>
      <c r="K8" s="18" t="s">
        <v>564</v>
      </c>
    </row>
    <row r="9" spans="2:14" ht="27.95" customHeight="1" x14ac:dyDescent="0.25">
      <c r="B9" s="45" t="s">
        <v>565</v>
      </c>
      <c r="C9" s="79" t="s">
        <v>566</v>
      </c>
      <c r="D9" s="75"/>
      <c r="E9" s="72"/>
      <c r="F9" s="79" t="s">
        <v>567</v>
      </c>
      <c r="G9" s="75"/>
      <c r="H9" s="75"/>
      <c r="I9" s="75"/>
      <c r="J9" s="72"/>
      <c r="K9" s="18" t="s">
        <v>568</v>
      </c>
    </row>
    <row r="10" spans="2:14" ht="27.95" customHeight="1" x14ac:dyDescent="0.25">
      <c r="B10" s="45" t="s">
        <v>569</v>
      </c>
      <c r="C10" s="79" t="s">
        <v>570</v>
      </c>
      <c r="D10" s="75"/>
      <c r="E10" s="72"/>
      <c r="F10" s="79" t="s">
        <v>571</v>
      </c>
      <c r="G10" s="75"/>
      <c r="H10" s="75"/>
      <c r="I10" s="75"/>
      <c r="J10" s="72"/>
      <c r="K10" s="18" t="s">
        <v>572</v>
      </c>
    </row>
    <row r="11" spans="2:14" ht="27.95" customHeight="1" x14ac:dyDescent="0.25">
      <c r="B11" s="45" t="s">
        <v>573</v>
      </c>
      <c r="C11" s="79" t="s">
        <v>574</v>
      </c>
      <c r="D11" s="75"/>
      <c r="E11" s="72"/>
      <c r="F11" s="79" t="s">
        <v>575</v>
      </c>
      <c r="G11" s="75"/>
      <c r="H11" s="75"/>
      <c r="I11" s="75"/>
      <c r="J11" s="72"/>
      <c r="K11" s="18" t="s">
        <v>576</v>
      </c>
    </row>
    <row r="12" spans="2:14" ht="27.95" customHeight="1" x14ac:dyDescent="0.25">
      <c r="B12" s="45" t="s">
        <v>577</v>
      </c>
      <c r="C12" s="79" t="s">
        <v>578</v>
      </c>
      <c r="D12" s="75"/>
      <c r="E12" s="72"/>
      <c r="F12" s="79" t="s">
        <v>579</v>
      </c>
      <c r="G12" s="75"/>
      <c r="H12" s="75"/>
      <c r="I12" s="75"/>
      <c r="J12" s="72"/>
      <c r="K12" s="18" t="s">
        <v>564</v>
      </c>
    </row>
    <row r="13" spans="2:14" ht="27.95" customHeight="1" x14ac:dyDescent="0.25">
      <c r="B13" s="45" t="s">
        <v>580</v>
      </c>
      <c r="C13" s="79" t="s">
        <v>581</v>
      </c>
      <c r="D13" s="75"/>
      <c r="E13" s="72"/>
      <c r="F13" s="79" t="s">
        <v>582</v>
      </c>
      <c r="G13" s="75"/>
      <c r="H13" s="75"/>
      <c r="I13" s="75"/>
      <c r="J13" s="72"/>
      <c r="K13" s="18" t="s">
        <v>529</v>
      </c>
    </row>
    <row r="14" spans="2:14" ht="27.95" customHeight="1" x14ac:dyDescent="0.25">
      <c r="B14" s="45" t="s">
        <v>583</v>
      </c>
      <c r="C14" s="79" t="s">
        <v>75</v>
      </c>
      <c r="D14" s="75"/>
      <c r="E14" s="72"/>
      <c r="F14" s="79" t="s">
        <v>584</v>
      </c>
      <c r="G14" s="75"/>
      <c r="H14" s="75"/>
      <c r="I14" s="75"/>
      <c r="J14" s="72"/>
      <c r="K14" s="18" t="s">
        <v>585</v>
      </c>
    </row>
    <row r="16" spans="2:14" x14ac:dyDescent="0.25">
      <c r="B16" s="3" t="s">
        <v>586</v>
      </c>
    </row>
    <row r="17" spans="2:14" ht="44.1" customHeight="1" x14ac:dyDescent="0.25">
      <c r="B17" s="14" t="s">
        <v>587</v>
      </c>
      <c r="C17" s="14" t="s">
        <v>588</v>
      </c>
      <c r="D17" s="14" t="s">
        <v>589</v>
      </c>
      <c r="E17" s="14" t="s">
        <v>590</v>
      </c>
      <c r="F17" s="14" t="s">
        <v>591</v>
      </c>
      <c r="G17" s="14" t="s">
        <v>592</v>
      </c>
      <c r="H17" s="14" t="s">
        <v>593</v>
      </c>
      <c r="I17" s="14" t="s">
        <v>594</v>
      </c>
      <c r="J17" s="14" t="s">
        <v>595</v>
      </c>
      <c r="K17" s="14" t="s">
        <v>596</v>
      </c>
      <c r="L17" s="14" t="s">
        <v>597</v>
      </c>
    </row>
    <row r="18" spans="2:14" x14ac:dyDescent="0.25">
      <c r="B18" s="45" t="s">
        <v>598</v>
      </c>
      <c r="C18" s="22">
        <v>225.94860339016461</v>
      </c>
      <c r="D18" s="22">
        <v>52.149999999996787</v>
      </c>
      <c r="E18" s="29">
        <v>7482.6288375520708</v>
      </c>
      <c r="F18" s="22">
        <v>74.424525775107682</v>
      </c>
      <c r="G18" s="22">
        <v>42.145751409989657</v>
      </c>
      <c r="H18" s="29">
        <v>2389.3921707789818</v>
      </c>
      <c r="I18" s="41">
        <f>a_w*MAX(E18,H18)</f>
        <v>7482.6288375520708</v>
      </c>
      <c r="J18" s="42">
        <f>(I18/1000000)/(1-I18/1000000)*N_norm*M_H2O</f>
        <v>6.0594277014854159</v>
      </c>
      <c r="K18" s="36">
        <f>MAX(a_w_sole*E18,H18)</f>
        <v>5611.9716281640531</v>
      </c>
      <c r="L18" s="37">
        <f>(K18/1000000)/(1-K18/1000000)*N_norm*M_H2O</f>
        <v>4.5360214635284795</v>
      </c>
    </row>
    <row r="19" spans="2:14" x14ac:dyDescent="0.25">
      <c r="B19" s="45" t="s">
        <v>599</v>
      </c>
      <c r="C19" s="22">
        <v>224.7020850737461</v>
      </c>
      <c r="D19" s="22">
        <v>52.15</v>
      </c>
      <c r="E19" s="29">
        <v>7472.789579584969</v>
      </c>
      <c r="F19" s="22">
        <v>73.886759804809969</v>
      </c>
      <c r="G19" s="22">
        <v>42.701579866687823</v>
      </c>
      <c r="H19" s="29">
        <v>2437.2639848666781</v>
      </c>
      <c r="I19" s="41">
        <f>a_w*MAX(E19,H19)</f>
        <v>7472.789579584969</v>
      </c>
      <c r="J19" s="42">
        <f>(I19/1000000)/(1-I19/1000000)*N_norm*M_H2O</f>
        <v>6.051399886962149</v>
      </c>
      <c r="K19" s="36">
        <f>MAX(a_w_sole*E19,H19)</f>
        <v>5604.5921846887268</v>
      </c>
      <c r="L19" s="37">
        <f>(K19/1000000)/(1-K19/1000000)*N_norm*M_H2O</f>
        <v>4.530023219440853</v>
      </c>
    </row>
    <row r="20" spans="2:14" x14ac:dyDescent="0.25">
      <c r="B20" s="45" t="s">
        <v>600</v>
      </c>
      <c r="C20" s="22">
        <v>137.95487170519621</v>
      </c>
      <c r="D20" s="22">
        <v>37.149999993934053</v>
      </c>
      <c r="E20" s="29">
        <v>4637.699997743769</v>
      </c>
      <c r="F20" s="22">
        <v>42.852753997619971</v>
      </c>
      <c r="G20" s="22">
        <v>29.280881520231219</v>
      </c>
      <c r="H20" s="29">
        <v>1429.778707703193</v>
      </c>
      <c r="I20" s="41">
        <f>a_w*MAX(E20,H20)</f>
        <v>4637.699997743769</v>
      </c>
      <c r="J20" s="42">
        <f>(I20/1000000)/(1-I20/1000000)*N_norm*M_H2O</f>
        <v>3.744872063221822</v>
      </c>
      <c r="K20" s="36">
        <f>MAX(a_w_sole*E20,H20)</f>
        <v>3478.2749983078265</v>
      </c>
      <c r="L20" s="37">
        <f>(K20/1000000)/(1-K20/1000000)*N_norm*M_H2O</f>
        <v>2.8053862574268043</v>
      </c>
    </row>
    <row r="21" spans="2:14" x14ac:dyDescent="0.25">
      <c r="B21" s="45" t="s">
        <v>601</v>
      </c>
      <c r="C21" s="22">
        <v>135.96053205253219</v>
      </c>
      <c r="D21" s="22">
        <v>37.15</v>
      </c>
      <c r="E21" s="29">
        <v>4617.2190142702684</v>
      </c>
      <c r="F21" s="22">
        <v>81.811465683763117</v>
      </c>
      <c r="G21" s="22">
        <v>26.131321078071419</v>
      </c>
      <c r="H21" s="29">
        <v>3132.454553702144</v>
      </c>
      <c r="I21" s="41">
        <f>a_w*MAX(E21,H21)</f>
        <v>4617.2190142702684</v>
      </c>
      <c r="J21" s="42">
        <f>(I21/1000000)/(1-I21/1000000)*N_norm*M_H2O</f>
        <v>3.7282572670727614</v>
      </c>
      <c r="K21" s="36">
        <f>MAX(a_w_sole*E21,H21)</f>
        <v>3462.9142607027015</v>
      </c>
      <c r="L21" s="37">
        <f>(K21/1000000)/(1-K21/1000000)*N_norm*M_H2O</f>
        <v>2.7929540755445474</v>
      </c>
    </row>
    <row r="22" spans="2:14" x14ac:dyDescent="0.25">
      <c r="B22" s="47" t="s">
        <v>602</v>
      </c>
    </row>
    <row r="24" spans="2:14" x14ac:dyDescent="0.25">
      <c r="B24" s="3" t="s">
        <v>603</v>
      </c>
    </row>
    <row r="25" spans="2:14" ht="30" customHeight="1" x14ac:dyDescent="0.25">
      <c r="B25" s="14" t="s">
        <v>43</v>
      </c>
      <c r="C25" s="14" t="s">
        <v>598</v>
      </c>
      <c r="D25" s="14" t="s">
        <v>599</v>
      </c>
      <c r="E25" s="14" t="s">
        <v>600</v>
      </c>
      <c r="F25" s="14" t="s">
        <v>601</v>
      </c>
      <c r="G25" s="14" t="s">
        <v>46</v>
      </c>
      <c r="H25" s="73" t="s">
        <v>379</v>
      </c>
      <c r="I25" s="75"/>
      <c r="J25" s="75"/>
      <c r="K25" s="75"/>
      <c r="L25" s="75"/>
      <c r="M25" s="75"/>
      <c r="N25" s="72"/>
    </row>
    <row r="26" spans="2:14" x14ac:dyDescent="0.25">
      <c r="B26" s="18" t="s">
        <v>604</v>
      </c>
      <c r="C26" s="35">
        <f>TGV_tief</f>
        <v>520976.3474491802</v>
      </c>
      <c r="D26" s="35">
        <f>TGV_tief_gem</f>
        <v>481339.68017329008</v>
      </c>
      <c r="E26" s="35">
        <f>TGV_flach</f>
        <v>508417.68027716078</v>
      </c>
      <c r="F26" s="35">
        <f>TGV_flach_gem</f>
        <v>447791.76736067206</v>
      </c>
      <c r="G26" s="18" t="s">
        <v>337</v>
      </c>
      <c r="H26" s="71" t="s">
        <v>605</v>
      </c>
      <c r="I26" s="75"/>
      <c r="J26" s="75"/>
      <c r="K26" s="75"/>
      <c r="L26" s="75"/>
      <c r="M26" s="75"/>
      <c r="N26" s="72"/>
    </row>
    <row r="27" spans="2:14" x14ac:dyDescent="0.25">
      <c r="B27" s="18" t="s">
        <v>606</v>
      </c>
      <c r="C27" s="37">
        <f>M_rein</f>
        <v>44.009799999999998</v>
      </c>
      <c r="D27" s="37">
        <f>M_gem</f>
        <v>43.079631020000001</v>
      </c>
      <c r="E27" s="37">
        <f>M_rein</f>
        <v>44.009799999999998</v>
      </c>
      <c r="F27" s="37">
        <f>M_gem</f>
        <v>43.079631020000001</v>
      </c>
      <c r="G27" s="18" t="s">
        <v>154</v>
      </c>
      <c r="H27" s="71" t="s">
        <v>607</v>
      </c>
      <c r="I27" s="75"/>
      <c r="J27" s="75"/>
      <c r="K27" s="75"/>
      <c r="L27" s="75"/>
      <c r="M27" s="75"/>
      <c r="N27" s="72"/>
    </row>
    <row r="28" spans="2:14" x14ac:dyDescent="0.25">
      <c r="B28" s="18" t="s">
        <v>608</v>
      </c>
      <c r="C28" s="35">
        <f>C26*1000/C27</f>
        <v>11837734.946516007</v>
      </c>
      <c r="D28" s="35">
        <f>D26*1000/D27</f>
        <v>11173254.477268502</v>
      </c>
      <c r="E28" s="35">
        <f>E26*1000/E27</f>
        <v>11552374.250216106</v>
      </c>
      <c r="F28" s="35">
        <f>F26*1000/F27</f>
        <v>10394512.598141376</v>
      </c>
      <c r="G28" s="18" t="s">
        <v>609</v>
      </c>
      <c r="H28" s="71" t="s">
        <v>610</v>
      </c>
      <c r="I28" s="75"/>
      <c r="J28" s="75"/>
      <c r="K28" s="75"/>
      <c r="L28" s="75"/>
      <c r="M28" s="75"/>
      <c r="N28" s="72"/>
    </row>
    <row r="29" spans="2:14" x14ac:dyDescent="0.25">
      <c r="B29" s="18" t="s">
        <v>611</v>
      </c>
      <c r="C29" s="35">
        <f>finger*V_kav</f>
        <v>2600</v>
      </c>
      <c r="D29" s="35">
        <f>finger*V_kav</f>
        <v>2600</v>
      </c>
      <c r="E29" s="35">
        <f>finger*V_kav</f>
        <v>2600</v>
      </c>
      <c r="F29" s="35">
        <f>finger*V_kav</f>
        <v>2600</v>
      </c>
      <c r="G29" s="18" t="s">
        <v>62</v>
      </c>
      <c r="H29" s="71" t="s">
        <v>612</v>
      </c>
      <c r="I29" s="75"/>
      <c r="J29" s="75"/>
      <c r="K29" s="75"/>
      <c r="L29" s="75"/>
      <c r="M29" s="75"/>
      <c r="N29" s="72"/>
    </row>
    <row r="30" spans="2:14" x14ac:dyDescent="0.25">
      <c r="B30" s="18" t="s">
        <v>613</v>
      </c>
      <c r="C30" s="22">
        <v>149.97222382136241</v>
      </c>
      <c r="D30" s="22">
        <v>149.25359149455971</v>
      </c>
      <c r="E30" s="22">
        <v>100.7154292833047</v>
      </c>
      <c r="F30" s="22">
        <v>99.166247428136217</v>
      </c>
      <c r="G30" s="18" t="s">
        <v>73</v>
      </c>
      <c r="H30" s="71" t="s">
        <v>614</v>
      </c>
      <c r="I30" s="75"/>
      <c r="J30" s="75"/>
      <c r="K30" s="75"/>
      <c r="L30" s="75"/>
      <c r="M30" s="75"/>
      <c r="N30" s="72"/>
    </row>
    <row r="31" spans="2:14" x14ac:dyDescent="0.25">
      <c r="B31" s="18" t="s">
        <v>615</v>
      </c>
      <c r="C31" s="35">
        <f>C29*C30/M_ch4</f>
        <v>24305.469240752376</v>
      </c>
      <c r="D31" s="35">
        <f>D29*D30/M_ch4</f>
        <v>24189.003034748002</v>
      </c>
      <c r="E31" s="35">
        <f>E29*E30/M_ch4</f>
        <v>16322.5943187344</v>
      </c>
      <c r="F31" s="35">
        <f>F29*F30/M_ch4</f>
        <v>16071.523880691288</v>
      </c>
      <c r="G31" s="18" t="s">
        <v>609</v>
      </c>
      <c r="H31" s="71" t="s">
        <v>616</v>
      </c>
      <c r="I31" s="75"/>
      <c r="J31" s="75"/>
      <c r="K31" s="75"/>
      <c r="L31" s="75"/>
      <c r="M31" s="75"/>
      <c r="N31" s="72"/>
    </row>
    <row r="32" spans="2:14" x14ac:dyDescent="0.25">
      <c r="B32" s="45" t="s">
        <v>617</v>
      </c>
      <c r="C32" s="40">
        <f>C31/C28*1000000</f>
        <v>2053.2195855513542</v>
      </c>
      <c r="D32" s="40">
        <f>D31/D28*1000000</f>
        <v>2164.9021852996789</v>
      </c>
      <c r="E32" s="40">
        <f>E31/E28*1000000</f>
        <v>1412.9211853077786</v>
      </c>
      <c r="F32" s="40">
        <f>F31/F28*1000000</f>
        <v>1546.1546396667995</v>
      </c>
      <c r="G32" s="18" t="s">
        <v>165</v>
      </c>
      <c r="H32" s="71" t="s">
        <v>618</v>
      </c>
      <c r="I32" s="75"/>
      <c r="J32" s="75"/>
      <c r="K32" s="75"/>
      <c r="L32" s="75"/>
      <c r="M32" s="75"/>
      <c r="N32" s="72"/>
    </row>
    <row r="33" spans="2:14" x14ac:dyDescent="0.25">
      <c r="B33" s="18" t="s">
        <v>619</v>
      </c>
      <c r="C33" s="37">
        <f>V_blanket*rho_diesel/M_diesel</f>
        <v>6.3337043478260879</v>
      </c>
      <c r="D33" s="37">
        <f>V_blanket*rho_diesel/M_diesel</f>
        <v>6.3337043478260879</v>
      </c>
      <c r="E33" s="37">
        <f>V_blanket*rho_diesel/M_diesel</f>
        <v>6.3337043478260879</v>
      </c>
      <c r="F33" s="37">
        <f>V_blanket*rho_diesel/M_diesel</f>
        <v>6.3337043478260879</v>
      </c>
      <c r="G33" s="18" t="s">
        <v>609</v>
      </c>
      <c r="H33" s="71" t="s">
        <v>620</v>
      </c>
      <c r="I33" s="75"/>
      <c r="J33" s="75"/>
      <c r="K33" s="75"/>
      <c r="L33" s="75"/>
      <c r="M33" s="75"/>
      <c r="N33" s="72"/>
    </row>
    <row r="34" spans="2:14" x14ac:dyDescent="0.25">
      <c r="B34" s="45" t="s">
        <v>621</v>
      </c>
      <c r="C34" s="42">
        <f>C33/C28*1000000</f>
        <v>0.53504360221295344</v>
      </c>
      <c r="D34" s="42">
        <f>D33/D28*1000000</f>
        <v>0.5668629816596169</v>
      </c>
      <c r="E34" s="42">
        <f>E33/E28*1000000</f>
        <v>0.54825996895898743</v>
      </c>
      <c r="F34" s="42">
        <f>F33/F28*1000000</f>
        <v>0.60933153796538819</v>
      </c>
      <c r="G34" s="18" t="s">
        <v>165</v>
      </c>
      <c r="H34" s="71"/>
      <c r="I34" s="75"/>
      <c r="J34" s="75"/>
      <c r="K34" s="75"/>
      <c r="L34" s="75"/>
      <c r="M34" s="75"/>
      <c r="N34" s="72"/>
    </row>
    <row r="35" spans="2:14" x14ac:dyDescent="0.25">
      <c r="B35" s="45" t="s">
        <v>622</v>
      </c>
      <c r="C35" s="42">
        <f>oel/100/M_oel/N_norm*1000000</f>
        <v>0.19425438828127314</v>
      </c>
      <c r="D35" s="42">
        <f>oel/100/M_oel/N_norm*1000000</f>
        <v>0.19425438828127314</v>
      </c>
      <c r="E35" s="42">
        <f>oel/100/M_oel/N_norm*1000000</f>
        <v>0.19425438828127314</v>
      </c>
      <c r="F35" s="42">
        <f>oel/100/M_oel/N_norm*1000000</f>
        <v>0.19425438828127314</v>
      </c>
      <c r="G35" s="18" t="s">
        <v>165</v>
      </c>
      <c r="H35" s="71" t="s">
        <v>623</v>
      </c>
      <c r="I35" s="75"/>
      <c r="J35" s="75"/>
      <c r="K35" s="75"/>
      <c r="L35" s="75"/>
      <c r="M35" s="75"/>
      <c r="N35" s="72"/>
    </row>
    <row r="36" spans="2:14" x14ac:dyDescent="0.25">
      <c r="B36" s="45" t="s">
        <v>624</v>
      </c>
      <c r="C36" s="41">
        <f>H2S_ppm</f>
        <v>10</v>
      </c>
      <c r="D36" s="41">
        <f>H2S_ppm</f>
        <v>10</v>
      </c>
      <c r="E36" s="41">
        <f>H2S_ppm</f>
        <v>10</v>
      </c>
      <c r="F36" s="41">
        <f>H2S_ppm</f>
        <v>10</v>
      </c>
      <c r="G36" s="18" t="s">
        <v>165</v>
      </c>
      <c r="H36" s="71" t="s">
        <v>330</v>
      </c>
      <c r="I36" s="75"/>
      <c r="J36" s="75"/>
      <c r="K36" s="75"/>
      <c r="L36" s="75"/>
      <c r="M36" s="75"/>
      <c r="N36" s="72"/>
    </row>
    <row r="37" spans="2:14" x14ac:dyDescent="0.25">
      <c r="B37" s="45" t="s">
        <v>625</v>
      </c>
      <c r="C37" s="41">
        <f>0</f>
        <v>0</v>
      </c>
      <c r="D37" s="41">
        <f>CH4_mikro</f>
        <v>50</v>
      </c>
      <c r="E37" s="41">
        <f>0</f>
        <v>0</v>
      </c>
      <c r="F37" s="41">
        <f>CH4_mikro</f>
        <v>50</v>
      </c>
      <c r="G37" s="18" t="s">
        <v>165</v>
      </c>
      <c r="H37" s="71" t="s">
        <v>626</v>
      </c>
      <c r="I37" s="75"/>
      <c r="J37" s="75"/>
      <c r="K37" s="75"/>
      <c r="L37" s="75"/>
      <c r="M37" s="75"/>
      <c r="N37" s="72"/>
    </row>
    <row r="38" spans="2:14" x14ac:dyDescent="0.25">
      <c r="B38" s="18" t="s">
        <v>627</v>
      </c>
      <c r="C38" s="36">
        <f>4*C37</f>
        <v>0</v>
      </c>
      <c r="D38" s="36">
        <f>4*D37</f>
        <v>200</v>
      </c>
      <c r="E38" s="36">
        <f>4*E37</f>
        <v>0</v>
      </c>
      <c r="F38" s="36">
        <f>4*F37</f>
        <v>200</v>
      </c>
      <c r="G38" s="18" t="s">
        <v>165</v>
      </c>
      <c r="H38" s="71" t="s">
        <v>628</v>
      </c>
      <c r="I38" s="75"/>
      <c r="J38" s="75"/>
      <c r="K38" s="75"/>
      <c r="L38" s="75"/>
      <c r="M38" s="75"/>
      <c r="N38" s="72"/>
    </row>
    <row r="39" spans="2:14" x14ac:dyDescent="0.25">
      <c r="B39" s="45" t="s">
        <v>629</v>
      </c>
      <c r="C39" s="40">
        <f>y_tief_rein</f>
        <v>7482.6288375520708</v>
      </c>
      <c r="D39" s="40">
        <f>y_tief_gem</f>
        <v>7472.789579584969</v>
      </c>
      <c r="E39" s="40">
        <f>y_flach_rein</f>
        <v>4637.699997743769</v>
      </c>
      <c r="F39" s="40">
        <f>y_flach_gem</f>
        <v>4617.2190142702684</v>
      </c>
      <c r="G39" s="18" t="s">
        <v>165</v>
      </c>
      <c r="H39" s="71" t="s">
        <v>630</v>
      </c>
      <c r="I39" s="75"/>
      <c r="J39" s="75"/>
      <c r="K39" s="75"/>
      <c r="L39" s="75"/>
      <c r="M39" s="75"/>
      <c r="N39" s="72"/>
    </row>
    <row r="40" spans="2:14" x14ac:dyDescent="0.25">
      <c r="B40" s="18" t="s">
        <v>631</v>
      </c>
      <c r="C40" s="20">
        <v>376.33631013314601</v>
      </c>
      <c r="D40" s="20">
        <v>375.92241822073743</v>
      </c>
      <c r="E40" s="20">
        <v>380.99147533947371</v>
      </c>
      <c r="F40" s="20">
        <v>380.2205065429485</v>
      </c>
      <c r="G40" s="18" t="s">
        <v>337</v>
      </c>
      <c r="H40" s="71" t="s">
        <v>632</v>
      </c>
      <c r="I40" s="75"/>
      <c r="J40" s="75"/>
      <c r="K40" s="75"/>
      <c r="L40" s="75"/>
      <c r="M40" s="75"/>
      <c r="N40" s="72"/>
    </row>
    <row r="41" spans="2:14" x14ac:dyDescent="0.25">
      <c r="B41" s="18" t="s">
        <v>633</v>
      </c>
      <c r="C41" s="55">
        <f>C40/C26</f>
        <v>7.2236736269463097E-4</v>
      </c>
      <c r="D41" s="55">
        <f>D40/D26</f>
        <v>7.8099195579595527E-4</v>
      </c>
      <c r="E41" s="55">
        <f>E40/E26</f>
        <v>7.4936708560524199E-4</v>
      </c>
      <c r="F41" s="55">
        <f>F40/F26</f>
        <v>8.4910115427982275E-4</v>
      </c>
      <c r="G41" s="18" t="s">
        <v>75</v>
      </c>
      <c r="H41" s="71" t="s">
        <v>634</v>
      </c>
      <c r="I41" s="75"/>
      <c r="J41" s="75"/>
      <c r="K41" s="75"/>
      <c r="L41" s="75"/>
      <c r="M41" s="75"/>
      <c r="N41" s="72"/>
    </row>
    <row r="43" spans="2:14" x14ac:dyDescent="0.25">
      <c r="B43" s="56" t="s">
        <v>635</v>
      </c>
    </row>
    <row r="44" spans="2:14" x14ac:dyDescent="0.25">
      <c r="B44" s="18" t="s">
        <v>615</v>
      </c>
      <c r="C44" s="57">
        <f>MAX(C32,0.001)</f>
        <v>2053.2195855513542</v>
      </c>
      <c r="D44" s="57">
        <f>MAX(D32,0.001)</f>
        <v>2164.9021852996789</v>
      </c>
      <c r="E44" s="57">
        <f>MAX(E32,0.001)</f>
        <v>1412.9211853077786</v>
      </c>
      <c r="F44" s="57">
        <f>MAX(F32,0.001)</f>
        <v>1546.1546396667995</v>
      </c>
      <c r="G44" s="18" t="s">
        <v>165</v>
      </c>
    </row>
    <row r="45" spans="2:14" x14ac:dyDescent="0.25">
      <c r="B45" s="18" t="s">
        <v>636</v>
      </c>
      <c r="C45" s="57">
        <f t="shared" ref="C45:F48" si="0">MAX(C34,0.001)</f>
        <v>0.53504360221295344</v>
      </c>
      <c r="D45" s="57">
        <f t="shared" si="0"/>
        <v>0.5668629816596169</v>
      </c>
      <c r="E45" s="57">
        <f t="shared" si="0"/>
        <v>0.54825996895898743</v>
      </c>
      <c r="F45" s="57">
        <f t="shared" si="0"/>
        <v>0.60933153796538819</v>
      </c>
      <c r="G45" s="18" t="s">
        <v>165</v>
      </c>
    </row>
    <row r="46" spans="2:14" x14ac:dyDescent="0.25">
      <c r="B46" s="18" t="s">
        <v>573</v>
      </c>
      <c r="C46" s="57">
        <f t="shared" si="0"/>
        <v>0.19425438828127314</v>
      </c>
      <c r="D46" s="57">
        <f t="shared" si="0"/>
        <v>0.19425438828127314</v>
      </c>
      <c r="E46" s="57">
        <f t="shared" si="0"/>
        <v>0.19425438828127314</v>
      </c>
      <c r="F46" s="57">
        <f t="shared" si="0"/>
        <v>0.19425438828127314</v>
      </c>
      <c r="G46" s="18" t="s">
        <v>165</v>
      </c>
    </row>
    <row r="47" spans="2:14" x14ac:dyDescent="0.25">
      <c r="B47" s="18" t="s">
        <v>637</v>
      </c>
      <c r="C47" s="57">
        <f t="shared" si="0"/>
        <v>10</v>
      </c>
      <c r="D47" s="57">
        <f t="shared" si="0"/>
        <v>10</v>
      </c>
      <c r="E47" s="57">
        <f t="shared" si="0"/>
        <v>10</v>
      </c>
      <c r="F47" s="57">
        <f t="shared" si="0"/>
        <v>10</v>
      </c>
      <c r="G47" s="18" t="s">
        <v>165</v>
      </c>
    </row>
    <row r="48" spans="2:14" x14ac:dyDescent="0.25">
      <c r="B48" s="18" t="s">
        <v>638</v>
      </c>
      <c r="C48" s="57">
        <f t="shared" si="0"/>
        <v>1E-3</v>
      </c>
      <c r="D48" s="57">
        <f t="shared" si="0"/>
        <v>50</v>
      </c>
      <c r="E48" s="57">
        <f t="shared" si="0"/>
        <v>1E-3</v>
      </c>
      <c r="F48" s="57">
        <f t="shared" si="0"/>
        <v>50</v>
      </c>
      <c r="G48" s="18" t="s">
        <v>165</v>
      </c>
    </row>
    <row r="49" spans="2:12" x14ac:dyDescent="0.25">
      <c r="B49" s="18" t="s">
        <v>561</v>
      </c>
      <c r="C49" s="57">
        <f>MAX(C39,0.001)</f>
        <v>7482.6288375520708</v>
      </c>
      <c r="D49" s="57">
        <f>MAX(D39,0.001)</f>
        <v>7472.789579584969</v>
      </c>
      <c r="E49" s="57">
        <f>MAX(E39,0.001)</f>
        <v>4637.699997743769</v>
      </c>
      <c r="F49" s="57">
        <f>MAX(F39,0.001)</f>
        <v>4617.2190142702684</v>
      </c>
      <c r="G49" s="18" t="s">
        <v>165</v>
      </c>
    </row>
    <row r="51" spans="2:12" x14ac:dyDescent="0.25">
      <c r="B51" s="3" t="s">
        <v>639</v>
      </c>
    </row>
    <row r="52" spans="2:12" x14ac:dyDescent="0.25">
      <c r="B52" s="47" t="s">
        <v>640</v>
      </c>
    </row>
    <row r="53" spans="2:12" ht="44.1" customHeight="1" x14ac:dyDescent="0.25">
      <c r="B53" s="14" t="s">
        <v>641</v>
      </c>
      <c r="C53" s="14" t="s">
        <v>642</v>
      </c>
      <c r="D53" s="14" t="s">
        <v>643</v>
      </c>
      <c r="E53" s="14" t="s">
        <v>644</v>
      </c>
      <c r="F53" s="14" t="s">
        <v>645</v>
      </c>
      <c r="G53" s="14" t="s">
        <v>646</v>
      </c>
      <c r="H53" s="14" t="s">
        <v>647</v>
      </c>
      <c r="I53" s="14" t="s">
        <v>648</v>
      </c>
      <c r="J53" s="14" t="s">
        <v>649</v>
      </c>
      <c r="K53" s="14" t="s">
        <v>650</v>
      </c>
      <c r="L53" s="14" t="s">
        <v>651</v>
      </c>
    </row>
    <row r="54" spans="2:12" x14ac:dyDescent="0.25">
      <c r="B54" s="45" t="s">
        <v>652</v>
      </c>
      <c r="C54" s="58">
        <v>1</v>
      </c>
      <c r="D54" s="58">
        <v>0.95</v>
      </c>
      <c r="E54" s="57">
        <f>C54*C28</f>
        <v>11837734.946516007</v>
      </c>
      <c r="F54" s="57">
        <f>D54*D28</f>
        <v>10614591.753405077</v>
      </c>
      <c r="G54" s="57">
        <f>C54*E28</f>
        <v>11552374.250216106</v>
      </c>
      <c r="H54" s="57">
        <f>D54*F28</f>
        <v>9874786.9682343062</v>
      </c>
      <c r="I54" s="59">
        <f t="shared" ref="I54:I62" si="1">E54/E$63*(1-y_tief_rein/1000000)</f>
        <v>0.99047308534377421</v>
      </c>
      <c r="J54" s="60">
        <f t="shared" ref="J54:J62" si="2">F54/F$63*(1-y_tief_gem/1000000)</f>
        <v>0.94099471144441527</v>
      </c>
      <c r="K54" s="59">
        <f t="shared" ref="K54:K62" si="3">G54/G$63*(1-y_flach_rein/1000000)</f>
        <v>0.99394725337823975</v>
      </c>
      <c r="L54" s="59">
        <f t="shared" ref="L54:L62" si="4">H54/H$63*(1-y_flach_gem/1000000)</f>
        <v>0.94428507228668446</v>
      </c>
    </row>
    <row r="55" spans="2:12" x14ac:dyDescent="0.25">
      <c r="B55" s="45" t="s">
        <v>653</v>
      </c>
      <c r="C55" s="58">
        <v>0</v>
      </c>
      <c r="D55" s="58">
        <v>2.4E-2</v>
      </c>
      <c r="E55" s="57">
        <f>C55*C28</f>
        <v>0</v>
      </c>
      <c r="F55" s="57">
        <f>D55*D28</f>
        <v>268158.10745444405</v>
      </c>
      <c r="G55" s="57">
        <f>C55*E28</f>
        <v>0</v>
      </c>
      <c r="H55" s="57">
        <f>D55*F28</f>
        <v>249468.30235539304</v>
      </c>
      <c r="I55" s="59">
        <f t="shared" si="1"/>
        <v>0</v>
      </c>
      <c r="J55" s="60">
        <f t="shared" si="2"/>
        <v>2.3772497973332595E-2</v>
      </c>
      <c r="K55" s="59">
        <f t="shared" si="3"/>
        <v>0</v>
      </c>
      <c r="L55" s="59">
        <f t="shared" si="4"/>
        <v>2.3855622878821505E-2</v>
      </c>
    </row>
    <row r="56" spans="2:12" x14ac:dyDescent="0.25">
      <c r="B56" s="45" t="s">
        <v>654</v>
      </c>
      <c r="C56" s="58">
        <v>0</v>
      </c>
      <c r="D56" s="58">
        <v>0.01</v>
      </c>
      <c r="E56" s="57">
        <f>C56*C28</f>
        <v>0</v>
      </c>
      <c r="F56" s="57">
        <f>D56*D28</f>
        <v>111732.54477268503</v>
      </c>
      <c r="G56" s="57">
        <f>C56*E28</f>
        <v>0</v>
      </c>
      <c r="H56" s="57">
        <f>D56*F28</f>
        <v>103945.12598141376</v>
      </c>
      <c r="I56" s="59">
        <f t="shared" si="1"/>
        <v>0</v>
      </c>
      <c r="J56" s="60">
        <f t="shared" si="2"/>
        <v>9.9052074888885816E-3</v>
      </c>
      <c r="K56" s="59">
        <f t="shared" si="3"/>
        <v>0</v>
      </c>
      <c r="L56" s="59">
        <f t="shared" si="4"/>
        <v>9.9398428661756268E-3</v>
      </c>
    </row>
    <row r="57" spans="2:12" x14ac:dyDescent="0.25">
      <c r="B57" s="45" t="s">
        <v>655</v>
      </c>
      <c r="C57" s="58">
        <v>0</v>
      </c>
      <c r="D57" s="58">
        <v>0.01</v>
      </c>
      <c r="E57" s="57">
        <f>C57*C28+C31+C37/1000000*C28</f>
        <v>24305.469240752376</v>
      </c>
      <c r="F57" s="57">
        <f>D57*D28+D31+D37/1000000*D28</f>
        <v>136480.21053129647</v>
      </c>
      <c r="G57" s="57">
        <f>C57*E28+E31+E37/1000000*E28</f>
        <v>16322.5943187344</v>
      </c>
      <c r="H57" s="57">
        <f>D57*F28+F31+F37/1000000*F28</f>
        <v>120536.37549201211</v>
      </c>
      <c r="I57" s="59">
        <f t="shared" si="1"/>
        <v>2.0336587377893147E-3</v>
      </c>
      <c r="J57" s="60">
        <f t="shared" si="2"/>
        <v>1.209911406018719E-2</v>
      </c>
      <c r="K57" s="59">
        <f t="shared" si="3"/>
        <v>1.4043691313765933E-3</v>
      </c>
      <c r="L57" s="59">
        <f t="shared" si="4"/>
        <v>1.1526395497016142E-2</v>
      </c>
    </row>
    <row r="58" spans="2:12" x14ac:dyDescent="0.25">
      <c r="B58" s="45" t="s">
        <v>656</v>
      </c>
      <c r="C58" s="58">
        <v>0</v>
      </c>
      <c r="D58" s="58">
        <v>5.0000000000000001E-3</v>
      </c>
      <c r="E58" s="57">
        <f>C58*C28-C38/1000000*C28</f>
        <v>0</v>
      </c>
      <c r="F58" s="57">
        <f>D58*D28-D38/1000000*D28</f>
        <v>53631.621490888814</v>
      </c>
      <c r="G58" s="57">
        <f>C58*E28-E38/1000000*E28</f>
        <v>0</v>
      </c>
      <c r="H58" s="57">
        <f>D58*F28-F38/1000000*F28</f>
        <v>49893.660471078605</v>
      </c>
      <c r="I58" s="59">
        <f t="shared" si="1"/>
        <v>0</v>
      </c>
      <c r="J58" s="60">
        <f t="shared" si="2"/>
        <v>4.7544995946665189E-3</v>
      </c>
      <c r="K58" s="59">
        <f t="shared" si="3"/>
        <v>0</v>
      </c>
      <c r="L58" s="59">
        <f t="shared" si="4"/>
        <v>4.7711245757643007E-3</v>
      </c>
    </row>
    <row r="59" spans="2:12" x14ac:dyDescent="0.25">
      <c r="B59" s="45" t="s">
        <v>657</v>
      </c>
      <c r="C59" s="58">
        <v>0</v>
      </c>
      <c r="D59" s="58">
        <v>1E-3</v>
      </c>
      <c r="E59" s="57">
        <f>C59*C28</f>
        <v>0</v>
      </c>
      <c r="F59" s="57">
        <f>D59*D28</f>
        <v>11173.254477268503</v>
      </c>
      <c r="G59" s="57">
        <f>C59*E28</f>
        <v>0</v>
      </c>
      <c r="H59" s="57">
        <f>D59*F28</f>
        <v>10394.512598141377</v>
      </c>
      <c r="I59" s="59">
        <f t="shared" si="1"/>
        <v>0</v>
      </c>
      <c r="J59" s="60">
        <f t="shared" si="2"/>
        <v>9.905207488888582E-4</v>
      </c>
      <c r="K59" s="59">
        <f t="shared" si="3"/>
        <v>0</v>
      </c>
      <c r="L59" s="59">
        <f t="shared" si="4"/>
        <v>9.9398428661756264E-4</v>
      </c>
    </row>
    <row r="60" spans="2:12" x14ac:dyDescent="0.25">
      <c r="B60" s="45" t="s">
        <v>637</v>
      </c>
      <c r="C60" s="58">
        <v>0</v>
      </c>
      <c r="D60" s="58">
        <v>0</v>
      </c>
      <c r="E60" s="57">
        <f>C60*C28+C36/1000000*C28</f>
        <v>118.37734946516008</v>
      </c>
      <c r="F60" s="57">
        <f>D60*D28+D36/1000000*D28</f>
        <v>111.73254477268503</v>
      </c>
      <c r="G60" s="57">
        <f>C60*E28+E36/1000000*E28</f>
        <v>115.52374250216107</v>
      </c>
      <c r="H60" s="57">
        <f>D60*F28+F36/1000000*F28</f>
        <v>103.94512598141377</v>
      </c>
      <c r="I60" s="59">
        <f t="shared" si="1"/>
        <v>9.9047308534377435E-6</v>
      </c>
      <c r="J60" s="60">
        <f t="shared" si="2"/>
        <v>9.905207488888583E-6</v>
      </c>
      <c r="K60" s="59">
        <f t="shared" si="3"/>
        <v>9.9394725337823981E-6</v>
      </c>
      <c r="L60" s="59">
        <f t="shared" si="4"/>
        <v>9.9398428661756267E-6</v>
      </c>
    </row>
    <row r="61" spans="2:12" x14ac:dyDescent="0.25">
      <c r="B61" s="45" t="s">
        <v>658</v>
      </c>
      <c r="C61" s="58">
        <v>0</v>
      </c>
      <c r="D61" s="58">
        <v>0</v>
      </c>
      <c r="E61" s="57">
        <f>C61*C28+C33</f>
        <v>6.3337043478260879</v>
      </c>
      <c r="F61" s="57">
        <f>D61*D28+D33</f>
        <v>6.3337043478260879</v>
      </c>
      <c r="G61" s="57">
        <f>C61*E28+E33</f>
        <v>6.3337043478260879</v>
      </c>
      <c r="H61" s="57">
        <f>D61*F28+F33</f>
        <v>6.3337043478260879</v>
      </c>
      <c r="I61" s="59">
        <f t="shared" si="1"/>
        <v>5.2994628747731099E-7</v>
      </c>
      <c r="J61" s="60">
        <f t="shared" si="2"/>
        <v>5.6148954511085483E-7</v>
      </c>
      <c r="K61" s="59">
        <f t="shared" si="3"/>
        <v>5.4494149028402445E-7</v>
      </c>
      <c r="L61" s="59">
        <f t="shared" si="4"/>
        <v>6.0566597407810872E-7</v>
      </c>
    </row>
    <row r="62" spans="2:12" x14ac:dyDescent="0.25">
      <c r="B62" s="45" t="s">
        <v>573</v>
      </c>
      <c r="C62" s="58">
        <v>0</v>
      </c>
      <c r="D62" s="58">
        <v>0</v>
      </c>
      <c r="E62" s="57">
        <f>C62*C28+C35/1000000*C28</f>
        <v>2.2995319606713167</v>
      </c>
      <c r="F62" s="57">
        <f>D62*D28+D35/1000000*D28</f>
        <v>2.170453713592789</v>
      </c>
      <c r="G62" s="57">
        <f>C62*E28+E35/1000000*E28</f>
        <v>2.244099393172061</v>
      </c>
      <c r="H62" s="57">
        <f>D62*F28+F35/1000000*F28</f>
        <v>2.0191796862339402</v>
      </c>
      <c r="I62" s="59">
        <f t="shared" si="1"/>
        <v>1.9240374330252012E-7</v>
      </c>
      <c r="J62" s="60">
        <f t="shared" si="2"/>
        <v>1.9241300215531368E-7</v>
      </c>
      <c r="K62" s="59">
        <f t="shared" si="3"/>
        <v>1.9307861568884156E-7</v>
      </c>
      <c r="L62" s="59">
        <f t="shared" si="4"/>
        <v>1.9308580955809231E-7</v>
      </c>
    </row>
    <row r="63" spans="2:12" x14ac:dyDescent="0.25">
      <c r="B63" s="45" t="s">
        <v>659</v>
      </c>
      <c r="E63" s="57">
        <f>SUM(E54:E62)</f>
        <v>11862167.426342536</v>
      </c>
      <c r="F63" s="57">
        <f>SUM(F54:F62)</f>
        <v>11195887.728834493</v>
      </c>
      <c r="G63" s="57">
        <f>SUM(G54:G62)</f>
        <v>11568820.946081085</v>
      </c>
      <c r="H63" s="57">
        <f>SUM(H54:H62)</f>
        <v>10409137.243142365</v>
      </c>
    </row>
    <row r="64" spans="2:12" x14ac:dyDescent="0.25">
      <c r="B64" s="45" t="s">
        <v>660</v>
      </c>
      <c r="I64" s="59">
        <f>y_tief_rein/1000000</f>
        <v>7.4826288375520709E-3</v>
      </c>
      <c r="J64" s="60">
        <f>y_tief_gem/1000000</f>
        <v>7.4727895795849691E-3</v>
      </c>
      <c r="K64" s="59">
        <f>y_flach_rein/1000000</f>
        <v>4.637699997743769E-3</v>
      </c>
      <c r="L64" s="59">
        <f>y_flach_gem/1000000</f>
        <v>4.6172190142702687E-3</v>
      </c>
    </row>
    <row r="65" spans="2:12" x14ac:dyDescent="0.25">
      <c r="B65" s="45" t="s">
        <v>661</v>
      </c>
      <c r="I65" s="61">
        <f>SUM(I54:I64)</f>
        <v>0.99999999999999967</v>
      </c>
      <c r="J65" s="61">
        <f>SUM(J54:J64)</f>
        <v>1</v>
      </c>
      <c r="K65" s="61">
        <f>SUM(K54:K64)</f>
        <v>0.99999999999999989</v>
      </c>
      <c r="L65" s="61">
        <f>SUM(L54:L64)</f>
        <v>0.99999999999999967</v>
      </c>
    </row>
    <row r="66" spans="2:12" x14ac:dyDescent="0.25">
      <c r="B66" s="18" t="s">
        <v>662</v>
      </c>
      <c r="J66" s="62">
        <v>0.94099471144441527</v>
      </c>
      <c r="K66" s="63">
        <f>J54-J66</f>
        <v>0</v>
      </c>
      <c r="L66" s="11" t="s">
        <v>663</v>
      </c>
    </row>
    <row r="68" spans="2:12" x14ac:dyDescent="0.25">
      <c r="B68" s="3" t="s">
        <v>664</v>
      </c>
    </row>
    <row r="69" spans="2:12" x14ac:dyDescent="0.25">
      <c r="B69" s="47" t="s">
        <v>665</v>
      </c>
    </row>
    <row r="70" spans="2:12" x14ac:dyDescent="0.25">
      <c r="B70" s="18" t="s">
        <v>666</v>
      </c>
      <c r="C70" s="21">
        <v>0</v>
      </c>
      <c r="D70" s="21">
        <v>12.6</v>
      </c>
      <c r="E70" s="18" t="s">
        <v>667</v>
      </c>
      <c r="F70" s="21">
        <v>9.8000000000000007</v>
      </c>
      <c r="G70" s="21">
        <v>44.9</v>
      </c>
    </row>
    <row r="72" spans="2:12" ht="44.1" customHeight="1" x14ac:dyDescent="0.25">
      <c r="B72" s="14" t="s">
        <v>668</v>
      </c>
      <c r="C72" s="14" t="s">
        <v>319</v>
      </c>
      <c r="D72" s="14" t="s">
        <v>320</v>
      </c>
      <c r="E72" s="14" t="s">
        <v>669</v>
      </c>
      <c r="F72" s="14" t="s">
        <v>670</v>
      </c>
      <c r="G72" s="14" t="s">
        <v>671</v>
      </c>
      <c r="H72" s="14" t="s">
        <v>672</v>
      </c>
      <c r="I72" s="14" t="s">
        <v>673</v>
      </c>
      <c r="J72" s="14" t="s">
        <v>674</v>
      </c>
    </row>
    <row r="73" spans="2:12" x14ac:dyDescent="0.25">
      <c r="B73" s="18" t="s">
        <v>675</v>
      </c>
      <c r="C73" s="22">
        <v>119.7631876150266</v>
      </c>
      <c r="D73" s="22">
        <v>38.674396423065559</v>
      </c>
      <c r="E73" s="29">
        <v>4558.9452836170858</v>
      </c>
      <c r="F73" s="36">
        <f t="shared" ref="F73:F101" si="5">y_tief_rein</f>
        <v>7482.6288375520708</v>
      </c>
      <c r="G73" s="23" t="str">
        <f t="shared" ref="G73:G100" si="6">IF(F73&gt;E73,"ja","nein")</f>
        <v>ja</v>
      </c>
      <c r="H73" s="34">
        <f t="shared" ref="H73:H101" si="7">IF(C73&gt;=Q2_p,Q2_T+0.01*(C73-Q2_p),IF(C73&lt;=Q1_p,Q1_T-1,Q1_T+(Q2_T-Q1_T)*LN(C73/Q1_p)/LN(Q2_p/Q1_p)))</f>
        <v>10.548631876150267</v>
      </c>
      <c r="I73" s="23" t="str">
        <f t="shared" ref="I73:I100" si="8">IF(AND(G73="ja",D73&lt;H73),"⚠ ja","nein")</f>
        <v>nein</v>
      </c>
      <c r="J73" s="23" t="str">
        <f t="shared" ref="J73:J100" si="9">IF(D73&gt;=12,"ja","extrapoliert")</f>
        <v>ja</v>
      </c>
    </row>
    <row r="74" spans="2:12" x14ac:dyDescent="0.25">
      <c r="B74" s="18" t="s">
        <v>676</v>
      </c>
      <c r="C74" s="22">
        <v>106.90355836737091</v>
      </c>
      <c r="D74" s="22">
        <v>10</v>
      </c>
      <c r="E74" s="29">
        <v>2226.552526997652</v>
      </c>
      <c r="F74" s="36">
        <f t="shared" si="5"/>
        <v>7482.6288375520708</v>
      </c>
      <c r="G74" s="23" t="str">
        <f t="shared" si="6"/>
        <v>ja</v>
      </c>
      <c r="H74" s="34">
        <f t="shared" si="7"/>
        <v>10.420035583673709</v>
      </c>
      <c r="I74" s="23" t="str">
        <f t="shared" si="8"/>
        <v>⚠ ja</v>
      </c>
      <c r="J74" s="23" t="str">
        <f t="shared" si="9"/>
        <v>extrapoliert</v>
      </c>
    </row>
    <row r="75" spans="2:12" x14ac:dyDescent="0.25">
      <c r="B75" s="18" t="s">
        <v>677</v>
      </c>
      <c r="C75" s="22">
        <v>64.839142167053623</v>
      </c>
      <c r="D75" s="22">
        <v>25.334607894389141</v>
      </c>
      <c r="E75" s="29">
        <v>2836.3656567046041</v>
      </c>
      <c r="F75" s="36">
        <f t="shared" si="5"/>
        <v>7482.6288375520708</v>
      </c>
      <c r="G75" s="23" t="str">
        <f t="shared" si="6"/>
        <v>ja</v>
      </c>
      <c r="H75" s="34">
        <f t="shared" si="7"/>
        <v>9.9993914216705377</v>
      </c>
      <c r="I75" s="23" t="str">
        <f t="shared" si="8"/>
        <v>nein</v>
      </c>
      <c r="J75" s="23" t="str">
        <f t="shared" si="9"/>
        <v>ja</v>
      </c>
    </row>
    <row r="76" spans="2:12" x14ac:dyDescent="0.25">
      <c r="B76" s="18" t="s">
        <v>678</v>
      </c>
      <c r="C76" s="22">
        <v>53.621520985831367</v>
      </c>
      <c r="D76" s="22">
        <v>10</v>
      </c>
      <c r="E76" s="29">
        <v>2043.017460791111</v>
      </c>
      <c r="F76" s="36">
        <f t="shared" si="5"/>
        <v>7482.6288375520708</v>
      </c>
      <c r="G76" s="23" t="str">
        <f t="shared" si="6"/>
        <v>ja</v>
      </c>
      <c r="H76" s="34">
        <f t="shared" si="7"/>
        <v>9.887215209858315</v>
      </c>
      <c r="I76" s="23" t="str">
        <f t="shared" si="8"/>
        <v>nein</v>
      </c>
      <c r="J76" s="23" t="str">
        <f t="shared" si="9"/>
        <v>extrapoliert</v>
      </c>
    </row>
    <row r="77" spans="2:12" x14ac:dyDescent="0.25">
      <c r="B77" s="18" t="s">
        <v>679</v>
      </c>
      <c r="C77" s="22">
        <v>42.932304305840852</v>
      </c>
      <c r="D77" s="22">
        <v>8.0945406489933021</v>
      </c>
      <c r="E77" s="29">
        <v>425.21348594441139</v>
      </c>
      <c r="F77" s="36">
        <f t="shared" si="5"/>
        <v>7482.6288375520708</v>
      </c>
      <c r="G77" s="23" t="str">
        <f t="shared" si="6"/>
        <v>ja</v>
      </c>
      <c r="H77" s="34">
        <f t="shared" si="7"/>
        <v>9.4543987014857169</v>
      </c>
      <c r="I77" s="23" t="str">
        <f t="shared" si="8"/>
        <v>⚠ ja</v>
      </c>
      <c r="J77" s="23" t="str">
        <f t="shared" si="9"/>
        <v>extrapoliert</v>
      </c>
    </row>
    <row r="78" spans="2:12" x14ac:dyDescent="0.25">
      <c r="B78" s="18" t="s">
        <v>680</v>
      </c>
      <c r="C78" s="22">
        <v>44.934614988058627</v>
      </c>
      <c r="D78" s="22">
        <v>10</v>
      </c>
      <c r="E78" s="29">
        <v>472.23167760542788</v>
      </c>
      <c r="F78" s="36">
        <f t="shared" si="5"/>
        <v>7482.6288375520708</v>
      </c>
      <c r="G78" s="23" t="str">
        <f t="shared" si="6"/>
        <v>ja</v>
      </c>
      <c r="H78" s="34">
        <f t="shared" si="7"/>
        <v>9.8003461498805873</v>
      </c>
      <c r="I78" s="23" t="str">
        <f t="shared" si="8"/>
        <v>nein</v>
      </c>
      <c r="J78" s="23" t="str">
        <f t="shared" si="9"/>
        <v>extrapoliert</v>
      </c>
    </row>
    <row r="79" spans="2:12" x14ac:dyDescent="0.25">
      <c r="B79" s="18" t="s">
        <v>681</v>
      </c>
      <c r="C79" s="22">
        <v>40.496453708637439</v>
      </c>
      <c r="D79" s="22">
        <v>5.7834188827944217</v>
      </c>
      <c r="E79" s="29">
        <v>374.5550804686535</v>
      </c>
      <c r="F79" s="36">
        <f t="shared" si="5"/>
        <v>7482.6288375520708</v>
      </c>
      <c r="G79" s="23" t="str">
        <f t="shared" si="6"/>
        <v>ja</v>
      </c>
      <c r="H79" s="34">
        <f t="shared" si="7"/>
        <v>9.003937537200434</v>
      </c>
      <c r="I79" s="23" t="str">
        <f t="shared" si="8"/>
        <v>⚠ ja</v>
      </c>
      <c r="J79" s="23" t="str">
        <f t="shared" si="9"/>
        <v>extrapoliert</v>
      </c>
    </row>
    <row r="80" spans="2:12" x14ac:dyDescent="0.25">
      <c r="B80" s="18" t="s">
        <v>682</v>
      </c>
      <c r="C80" s="22">
        <v>44.953021523238711</v>
      </c>
      <c r="D80" s="22">
        <v>10</v>
      </c>
      <c r="E80" s="29">
        <v>472.19980760679448</v>
      </c>
      <c r="F80" s="36">
        <f t="shared" si="5"/>
        <v>7482.6288375520708</v>
      </c>
      <c r="G80" s="23" t="str">
        <f t="shared" si="6"/>
        <v>ja</v>
      </c>
      <c r="H80" s="34">
        <f t="shared" si="7"/>
        <v>9.8005302152323885</v>
      </c>
      <c r="I80" s="23" t="str">
        <f t="shared" si="8"/>
        <v>nein</v>
      </c>
      <c r="J80" s="23" t="str">
        <f t="shared" si="9"/>
        <v>extrapoliert</v>
      </c>
    </row>
    <row r="81" spans="2:10" x14ac:dyDescent="0.25">
      <c r="B81" s="18" t="s">
        <v>683</v>
      </c>
      <c r="C81" s="22">
        <v>45.324756978043098</v>
      </c>
      <c r="D81" s="22">
        <v>10.270685101760479</v>
      </c>
      <c r="E81" s="29">
        <v>2013.275145659803</v>
      </c>
      <c r="F81" s="36">
        <f t="shared" si="5"/>
        <v>7482.6288375520708</v>
      </c>
      <c r="G81" s="23" t="str">
        <f t="shared" si="6"/>
        <v>ja</v>
      </c>
      <c r="H81" s="34">
        <f t="shared" si="7"/>
        <v>9.804247569780431</v>
      </c>
      <c r="I81" s="23" t="str">
        <f t="shared" si="8"/>
        <v>nein</v>
      </c>
      <c r="J81" s="23" t="str">
        <f t="shared" si="9"/>
        <v>extrapoliert</v>
      </c>
    </row>
    <row r="82" spans="2:10" x14ac:dyDescent="0.25">
      <c r="B82" s="18" t="s">
        <v>684</v>
      </c>
      <c r="C82" s="22">
        <v>44.850868760374979</v>
      </c>
      <c r="D82" s="22">
        <v>10</v>
      </c>
      <c r="E82" s="29">
        <v>472.37930619238318</v>
      </c>
      <c r="F82" s="36">
        <f t="shared" si="5"/>
        <v>7482.6288375520708</v>
      </c>
      <c r="G82" s="23" t="str">
        <f t="shared" si="6"/>
        <v>ja</v>
      </c>
      <c r="H82" s="34">
        <f t="shared" si="7"/>
        <v>9.7915565849238586</v>
      </c>
      <c r="I82" s="23" t="str">
        <f t="shared" si="8"/>
        <v>nein</v>
      </c>
      <c r="J82" s="23" t="str">
        <f t="shared" si="9"/>
        <v>extrapoliert</v>
      </c>
    </row>
    <row r="83" spans="2:10" x14ac:dyDescent="0.25">
      <c r="B83" s="18" t="s">
        <v>685</v>
      </c>
      <c r="C83" s="22">
        <v>45.799522205095087</v>
      </c>
      <c r="D83" s="22">
        <v>10.69218298459532</v>
      </c>
      <c r="E83" s="29">
        <v>2034.945126999351</v>
      </c>
      <c r="F83" s="36">
        <f t="shared" si="5"/>
        <v>7482.6288375520708</v>
      </c>
      <c r="G83" s="23" t="str">
        <f t="shared" si="6"/>
        <v>ja</v>
      </c>
      <c r="H83" s="34">
        <f t="shared" si="7"/>
        <v>9.8089952220509513</v>
      </c>
      <c r="I83" s="23" t="str">
        <f t="shared" si="8"/>
        <v>nein</v>
      </c>
      <c r="J83" s="23" t="str">
        <f t="shared" si="9"/>
        <v>extrapoliert</v>
      </c>
    </row>
    <row r="84" spans="2:10" x14ac:dyDescent="0.25">
      <c r="B84" s="18" t="s">
        <v>686</v>
      </c>
      <c r="C84" s="22">
        <v>45.06343781800593</v>
      </c>
      <c r="D84" s="22">
        <v>10</v>
      </c>
      <c r="E84" s="29">
        <v>1999.645974423704</v>
      </c>
      <c r="F84" s="36">
        <f t="shared" si="5"/>
        <v>7482.6288375520708</v>
      </c>
      <c r="G84" s="23" t="str">
        <f t="shared" si="6"/>
        <v>ja</v>
      </c>
      <c r="H84" s="34">
        <f t="shared" si="7"/>
        <v>9.8016343781800597</v>
      </c>
      <c r="I84" s="23" t="str">
        <f t="shared" si="8"/>
        <v>nein</v>
      </c>
      <c r="J84" s="23" t="str">
        <f t="shared" si="9"/>
        <v>extrapoliert</v>
      </c>
    </row>
    <row r="85" spans="2:10" x14ac:dyDescent="0.25">
      <c r="B85" s="18" t="s">
        <v>687</v>
      </c>
      <c r="C85" s="22">
        <v>46.087846251038847</v>
      </c>
      <c r="D85" s="22">
        <v>10.94654862450056</v>
      </c>
      <c r="E85" s="29">
        <v>2048.0773741361349</v>
      </c>
      <c r="F85" s="36">
        <f t="shared" si="5"/>
        <v>7482.6288375520708</v>
      </c>
      <c r="G85" s="23" t="str">
        <f t="shared" si="6"/>
        <v>ja</v>
      </c>
      <c r="H85" s="34">
        <f t="shared" si="7"/>
        <v>9.8118784625103892</v>
      </c>
      <c r="I85" s="23" t="str">
        <f t="shared" si="8"/>
        <v>nein</v>
      </c>
      <c r="J85" s="23" t="str">
        <f t="shared" si="9"/>
        <v>extrapoliert</v>
      </c>
    </row>
    <row r="86" spans="2:10" x14ac:dyDescent="0.25">
      <c r="B86" s="18" t="s">
        <v>688</v>
      </c>
      <c r="C86" s="22">
        <v>45.008973460878913</v>
      </c>
      <c r="D86" s="22">
        <v>10</v>
      </c>
      <c r="E86" s="29">
        <v>472.10421148127062</v>
      </c>
      <c r="F86" s="36">
        <f t="shared" si="5"/>
        <v>7482.6288375520708</v>
      </c>
      <c r="G86" s="23" t="str">
        <f t="shared" si="6"/>
        <v>ja</v>
      </c>
      <c r="H86" s="34">
        <f t="shared" si="7"/>
        <v>9.8010897346087891</v>
      </c>
      <c r="I86" s="23" t="str">
        <f t="shared" si="8"/>
        <v>nein</v>
      </c>
      <c r="J86" s="23" t="str">
        <f t="shared" si="9"/>
        <v>extrapoliert</v>
      </c>
    </row>
    <row r="87" spans="2:10" x14ac:dyDescent="0.25">
      <c r="B87" s="18" t="s">
        <v>689</v>
      </c>
      <c r="C87" s="22">
        <v>46.415458873743432</v>
      </c>
      <c r="D87" s="22">
        <v>11.234118270515919</v>
      </c>
      <c r="E87" s="29">
        <v>2062.972748830713</v>
      </c>
      <c r="F87" s="36">
        <f t="shared" si="5"/>
        <v>7482.6288375520708</v>
      </c>
      <c r="G87" s="23" t="str">
        <f t="shared" si="6"/>
        <v>ja</v>
      </c>
      <c r="H87" s="34">
        <f t="shared" si="7"/>
        <v>9.8151545887374354</v>
      </c>
      <c r="I87" s="23" t="str">
        <f t="shared" si="8"/>
        <v>nein</v>
      </c>
      <c r="J87" s="23" t="str">
        <f t="shared" si="9"/>
        <v>extrapoliert</v>
      </c>
    </row>
    <row r="88" spans="2:10" x14ac:dyDescent="0.25">
      <c r="B88" s="18" t="s">
        <v>690</v>
      </c>
      <c r="C88" s="22">
        <v>45.079116555622953</v>
      </c>
      <c r="D88" s="22">
        <v>10</v>
      </c>
      <c r="E88" s="29">
        <v>1999.7312906500929</v>
      </c>
      <c r="F88" s="36">
        <f t="shared" si="5"/>
        <v>7482.6288375520708</v>
      </c>
      <c r="G88" s="23" t="str">
        <f t="shared" si="6"/>
        <v>ja</v>
      </c>
      <c r="H88" s="34">
        <f t="shared" si="7"/>
        <v>9.8017911655562298</v>
      </c>
      <c r="I88" s="23" t="str">
        <f t="shared" si="8"/>
        <v>nein</v>
      </c>
      <c r="J88" s="23" t="str">
        <f t="shared" si="9"/>
        <v>extrapoliert</v>
      </c>
    </row>
    <row r="89" spans="2:10" x14ac:dyDescent="0.25">
      <c r="B89" s="18" t="s">
        <v>691</v>
      </c>
      <c r="C89" s="22">
        <v>46.671862133595504</v>
      </c>
      <c r="D89" s="22">
        <v>11.458111727316981</v>
      </c>
      <c r="E89" s="29">
        <v>2074.6104911972402</v>
      </c>
      <c r="F89" s="36">
        <f t="shared" si="5"/>
        <v>7482.6288375520708</v>
      </c>
      <c r="G89" s="23" t="str">
        <f t="shared" si="6"/>
        <v>ja</v>
      </c>
      <c r="H89" s="34">
        <f t="shared" si="7"/>
        <v>9.8177186213359562</v>
      </c>
      <c r="I89" s="23" t="str">
        <f t="shared" si="8"/>
        <v>nein</v>
      </c>
      <c r="J89" s="23" t="str">
        <f t="shared" si="9"/>
        <v>extrapoliert</v>
      </c>
    </row>
    <row r="90" spans="2:10" x14ac:dyDescent="0.25">
      <c r="B90" s="18" t="s">
        <v>692</v>
      </c>
      <c r="C90" s="22">
        <v>44.872759494306507</v>
      </c>
      <c r="D90" s="22">
        <v>10</v>
      </c>
      <c r="E90" s="29">
        <v>472.34030210963101</v>
      </c>
      <c r="F90" s="36">
        <f t="shared" si="5"/>
        <v>7482.6288375520708</v>
      </c>
      <c r="G90" s="23" t="str">
        <f t="shared" si="6"/>
        <v>ja</v>
      </c>
      <c r="H90" s="34">
        <f t="shared" si="7"/>
        <v>9.7953197436702837</v>
      </c>
      <c r="I90" s="23" t="str">
        <f t="shared" si="8"/>
        <v>nein</v>
      </c>
      <c r="J90" s="23" t="str">
        <f t="shared" si="9"/>
        <v>extrapoliert</v>
      </c>
    </row>
    <row r="91" spans="2:10" x14ac:dyDescent="0.25">
      <c r="B91" s="18" t="s">
        <v>693</v>
      </c>
      <c r="C91" s="22">
        <v>46.777529639989439</v>
      </c>
      <c r="D91" s="22">
        <v>11.55015133413502</v>
      </c>
      <c r="E91" s="29">
        <v>514.0459149208516</v>
      </c>
      <c r="F91" s="36">
        <f t="shared" si="5"/>
        <v>7482.6288375520708</v>
      </c>
      <c r="G91" s="23" t="str">
        <f t="shared" si="6"/>
        <v>ja</v>
      </c>
      <c r="H91" s="34">
        <f t="shared" si="7"/>
        <v>9.8187752963998953</v>
      </c>
      <c r="I91" s="23" t="str">
        <f t="shared" si="8"/>
        <v>nein</v>
      </c>
      <c r="J91" s="23" t="str">
        <f t="shared" si="9"/>
        <v>extrapoliert</v>
      </c>
    </row>
    <row r="92" spans="2:10" x14ac:dyDescent="0.25">
      <c r="B92" s="18" t="s">
        <v>694</v>
      </c>
      <c r="C92" s="22">
        <v>44.990487065511402</v>
      </c>
      <c r="D92" s="22">
        <v>10</v>
      </c>
      <c r="E92" s="29">
        <v>472.13558255416632</v>
      </c>
      <c r="F92" s="36">
        <f t="shared" si="5"/>
        <v>7482.6288375520708</v>
      </c>
      <c r="G92" s="23" t="str">
        <f t="shared" si="6"/>
        <v>ja</v>
      </c>
      <c r="H92" s="34">
        <f t="shared" si="7"/>
        <v>9.8009048706551152</v>
      </c>
      <c r="I92" s="23" t="str">
        <f t="shared" si="8"/>
        <v>nein</v>
      </c>
      <c r="J92" s="23" t="str">
        <f t="shared" si="9"/>
        <v>extrapoliert</v>
      </c>
    </row>
    <row r="93" spans="2:10" x14ac:dyDescent="0.25">
      <c r="B93" s="18" t="s">
        <v>695</v>
      </c>
      <c r="C93" s="22">
        <v>46.65459665620083</v>
      </c>
      <c r="D93" s="22">
        <v>11.443057959832689</v>
      </c>
      <c r="E93" s="29">
        <v>2073.8273976011942</v>
      </c>
      <c r="F93" s="36">
        <f t="shared" si="5"/>
        <v>7482.6288375520708</v>
      </c>
      <c r="G93" s="23" t="str">
        <f t="shared" si="6"/>
        <v>ja</v>
      </c>
      <c r="H93" s="34">
        <f t="shared" si="7"/>
        <v>9.8175459665620082</v>
      </c>
      <c r="I93" s="23" t="str">
        <f t="shared" si="8"/>
        <v>nein</v>
      </c>
      <c r="J93" s="23" t="str">
        <f t="shared" si="9"/>
        <v>extrapoliert</v>
      </c>
    </row>
    <row r="94" spans="2:10" x14ac:dyDescent="0.25">
      <c r="B94" s="18" t="s">
        <v>696</v>
      </c>
      <c r="C94" s="22">
        <v>45.01741562318297</v>
      </c>
      <c r="D94" s="22">
        <v>10</v>
      </c>
      <c r="E94" s="29">
        <v>472.08995552883772</v>
      </c>
      <c r="F94" s="36">
        <f t="shared" si="5"/>
        <v>7482.6288375520708</v>
      </c>
      <c r="G94" s="23" t="str">
        <f t="shared" si="6"/>
        <v>ja</v>
      </c>
      <c r="H94" s="34">
        <f t="shared" si="7"/>
        <v>9.8011741562318306</v>
      </c>
      <c r="I94" s="23" t="str">
        <f t="shared" si="8"/>
        <v>nein</v>
      </c>
      <c r="J94" s="23" t="str">
        <f t="shared" si="9"/>
        <v>extrapoliert</v>
      </c>
    </row>
    <row r="95" spans="2:10" x14ac:dyDescent="0.25">
      <c r="B95" s="18" t="s">
        <v>697</v>
      </c>
      <c r="C95" s="22">
        <v>46.107168090852007</v>
      </c>
      <c r="D95" s="22">
        <v>10.96355168435497</v>
      </c>
      <c r="E95" s="29">
        <v>2048.956653056222</v>
      </c>
      <c r="F95" s="36">
        <f t="shared" si="5"/>
        <v>7482.6288375520708</v>
      </c>
      <c r="G95" s="23" t="str">
        <f t="shared" si="6"/>
        <v>ja</v>
      </c>
      <c r="H95" s="34">
        <f t="shared" si="7"/>
        <v>9.8120716809085202</v>
      </c>
      <c r="I95" s="23" t="str">
        <f t="shared" si="8"/>
        <v>nein</v>
      </c>
      <c r="J95" s="23" t="str">
        <f t="shared" si="9"/>
        <v>extrapoliert</v>
      </c>
    </row>
    <row r="96" spans="2:10" x14ac:dyDescent="0.25">
      <c r="B96" s="18" t="s">
        <v>698</v>
      </c>
      <c r="C96" s="22">
        <v>44.991334279143473</v>
      </c>
      <c r="D96" s="22">
        <v>10</v>
      </c>
      <c r="E96" s="29">
        <v>472.13414023365192</v>
      </c>
      <c r="F96" s="36">
        <f t="shared" si="5"/>
        <v>7482.6288375520708</v>
      </c>
      <c r="G96" s="23" t="str">
        <f t="shared" si="6"/>
        <v>ja</v>
      </c>
      <c r="H96" s="34">
        <f t="shared" si="7"/>
        <v>9.8009133427914357</v>
      </c>
      <c r="I96" s="23" t="str">
        <f t="shared" si="8"/>
        <v>nein</v>
      </c>
      <c r="J96" s="23" t="str">
        <f t="shared" si="9"/>
        <v>extrapoliert</v>
      </c>
    </row>
    <row r="97" spans="2:10" x14ac:dyDescent="0.25">
      <c r="B97" s="18" t="s">
        <v>699</v>
      </c>
      <c r="C97" s="22">
        <v>44.775054509513723</v>
      </c>
      <c r="D97" s="22">
        <v>9.7784742458446772</v>
      </c>
      <c r="E97" s="29">
        <v>466.37668751445739</v>
      </c>
      <c r="F97" s="36">
        <f t="shared" si="5"/>
        <v>7482.6288375520708</v>
      </c>
      <c r="G97" s="23" t="str">
        <f t="shared" si="6"/>
        <v>ja</v>
      </c>
      <c r="H97" s="34">
        <f t="shared" si="7"/>
        <v>9.7785094142234446</v>
      </c>
      <c r="I97" s="23" t="str">
        <f t="shared" si="8"/>
        <v>⚠ ja</v>
      </c>
      <c r="J97" s="23" t="str">
        <f t="shared" si="9"/>
        <v>extrapoliert</v>
      </c>
    </row>
    <row r="98" spans="2:10" x14ac:dyDescent="0.25">
      <c r="B98" s="18" t="s">
        <v>700</v>
      </c>
      <c r="C98" s="22">
        <v>44.938384261300513</v>
      </c>
      <c r="D98" s="22">
        <v>10</v>
      </c>
      <c r="E98" s="29">
        <v>472.22513432594911</v>
      </c>
      <c r="F98" s="36">
        <f t="shared" si="5"/>
        <v>7482.6288375520708</v>
      </c>
      <c r="G98" s="23" t="str">
        <f t="shared" si="6"/>
        <v>ja</v>
      </c>
      <c r="H98" s="34">
        <f t="shared" si="7"/>
        <v>9.8003838426130052</v>
      </c>
      <c r="I98" s="23" t="str">
        <f t="shared" si="8"/>
        <v>nein</v>
      </c>
      <c r="J98" s="23" t="str">
        <f t="shared" si="9"/>
        <v>extrapoliert</v>
      </c>
    </row>
    <row r="99" spans="2:10" x14ac:dyDescent="0.25">
      <c r="B99" s="18" t="s">
        <v>701</v>
      </c>
      <c r="C99" s="22">
        <v>41.761303724446563</v>
      </c>
      <c r="D99" s="22">
        <v>6.9960845573604047</v>
      </c>
      <c r="E99" s="29">
        <v>1849.0218071177781</v>
      </c>
      <c r="F99" s="36">
        <f t="shared" si="5"/>
        <v>7482.6288375520708</v>
      </c>
      <c r="G99" s="23" t="str">
        <f t="shared" si="6"/>
        <v>ja</v>
      </c>
      <c r="H99" s="34">
        <f t="shared" si="7"/>
        <v>9.2411270224582687</v>
      </c>
      <c r="I99" s="23" t="str">
        <f t="shared" si="8"/>
        <v>⚠ ja</v>
      </c>
      <c r="J99" s="23" t="str">
        <f t="shared" si="9"/>
        <v>extrapoliert</v>
      </c>
    </row>
    <row r="100" spans="2:10" x14ac:dyDescent="0.25">
      <c r="B100" s="18" t="s">
        <v>702</v>
      </c>
      <c r="C100" s="22">
        <v>42.073705318827137</v>
      </c>
      <c r="D100" s="22">
        <v>10</v>
      </c>
      <c r="E100" s="29">
        <v>479.59568948521411</v>
      </c>
      <c r="F100" s="36">
        <f t="shared" si="5"/>
        <v>7482.6288375520708</v>
      </c>
      <c r="G100" s="23" t="str">
        <f t="shared" si="6"/>
        <v>ja</v>
      </c>
      <c r="H100" s="34">
        <f t="shared" si="7"/>
        <v>9.2986033315719361</v>
      </c>
      <c r="I100" s="23" t="str">
        <f t="shared" si="8"/>
        <v>nein</v>
      </c>
      <c r="J100" s="23" t="str">
        <f t="shared" si="9"/>
        <v>extrapoliert</v>
      </c>
    </row>
    <row r="101" spans="2:10" x14ac:dyDescent="0.25">
      <c r="B101" s="45" t="s">
        <v>703</v>
      </c>
      <c r="C101" s="34">
        <f>p_gas</f>
        <v>30</v>
      </c>
      <c r="D101" s="22">
        <v>-5.6</v>
      </c>
      <c r="E101" s="23" t="s">
        <v>75</v>
      </c>
      <c r="F101" s="36">
        <f t="shared" si="5"/>
        <v>7482.6288375520708</v>
      </c>
      <c r="G101" s="23" t="s">
        <v>475</v>
      </c>
      <c r="H101" s="34">
        <f t="shared" si="7"/>
        <v>6.6901954780869977</v>
      </c>
      <c r="I101" s="64" t="str">
        <f>IF(D101&lt;H101,"⚠ ja","nein")</f>
        <v>⚠ ja</v>
      </c>
      <c r="J101" s="23" t="s">
        <v>704</v>
      </c>
    </row>
    <row r="102" spans="2:10" x14ac:dyDescent="0.25">
      <c r="B102" s="47" t="s">
        <v>705</v>
      </c>
    </row>
    <row r="104" spans="2:10" x14ac:dyDescent="0.25">
      <c r="B104" s="3" t="s">
        <v>372</v>
      </c>
    </row>
    <row r="127" spans="2:14" ht="74.099999999999994" customHeight="1" x14ac:dyDescent="0.25">
      <c r="B127" s="87" t="s">
        <v>783</v>
      </c>
      <c r="C127" s="88"/>
      <c r="D127" s="88"/>
      <c r="E127" s="88"/>
      <c r="F127" s="88"/>
      <c r="G127" s="88"/>
      <c r="H127" s="88"/>
      <c r="I127" s="88"/>
      <c r="J127" s="88"/>
      <c r="K127" s="88"/>
      <c r="L127" s="88"/>
      <c r="M127" s="88"/>
      <c r="N127" s="88"/>
    </row>
  </sheetData>
  <mergeCells count="35">
    <mergeCell ref="H37:N37"/>
    <mergeCell ref="H28:N28"/>
    <mergeCell ref="F11:J11"/>
    <mergeCell ref="H27:N27"/>
    <mergeCell ref="F10:J10"/>
    <mergeCell ref="B127:N127"/>
    <mergeCell ref="C9:E9"/>
    <mergeCell ref="C12:E12"/>
    <mergeCell ref="H33:N33"/>
    <mergeCell ref="F7:J7"/>
    <mergeCell ref="H32:N32"/>
    <mergeCell ref="C11:E11"/>
    <mergeCell ref="F12:J12"/>
    <mergeCell ref="H35:N35"/>
    <mergeCell ref="H38:N38"/>
    <mergeCell ref="H41:N41"/>
    <mergeCell ref="H31:N31"/>
    <mergeCell ref="H40:N40"/>
    <mergeCell ref="H39:N39"/>
    <mergeCell ref="H34:N34"/>
    <mergeCell ref="H36:N36"/>
    <mergeCell ref="B4:N4"/>
    <mergeCell ref="H30:N30"/>
    <mergeCell ref="H26:N26"/>
    <mergeCell ref="C8:E8"/>
    <mergeCell ref="H29:N29"/>
    <mergeCell ref="C7:E7"/>
    <mergeCell ref="F8:J8"/>
    <mergeCell ref="C13:E13"/>
    <mergeCell ref="H25:N25"/>
    <mergeCell ref="F13:J13"/>
    <mergeCell ref="F9:J9"/>
    <mergeCell ref="C14:E14"/>
    <mergeCell ref="F14:J14"/>
    <mergeCell ref="C10:E10"/>
  </mergeCells>
  <conditionalFormatting sqref="C18:H21 C30:F30 C40:F40 C54:D62 J66 C73:C100 E73:E100 D73:D101">
    <cfRule type="expression" dxfId="1" priority="1">
      <formula>NOT(Stand_ok)</formula>
    </cfRule>
  </conditionalFormatting>
  <hyperlinks>
    <hyperlink ref="B3" location="'Übersicht'!A1" display="← zur Übersicht" xr:uid="{00000000-0004-0000-0600-000000000000}"/>
  </hyperlink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B1:D15"/>
  <sheetViews>
    <sheetView showGridLines="0" topLeftCell="A5" workbookViewId="0"/>
  </sheetViews>
  <sheetFormatPr baseColWidth="10" defaultColWidth="9.140625" defaultRowHeight="15" x14ac:dyDescent="0.25"/>
  <cols>
    <col min="1" max="1" width="2.7109375" customWidth="1"/>
    <col min="2" max="2" width="12" customWidth="1"/>
    <col min="3" max="3" width="80" customWidth="1"/>
    <col min="4" max="4" width="70" customWidth="1"/>
  </cols>
  <sheetData>
    <row r="1" spans="2:4" ht="21" x14ac:dyDescent="0.25">
      <c r="B1" s="1" t="s">
        <v>706</v>
      </c>
    </row>
    <row r="2" spans="2:4" x14ac:dyDescent="0.25">
      <c r="B2" s="2" t="s">
        <v>707</v>
      </c>
    </row>
    <row r="3" spans="2:4" x14ac:dyDescent="0.25">
      <c r="B3" s="9" t="s">
        <v>255</v>
      </c>
    </row>
    <row r="5" spans="2:4" ht="30" customHeight="1" x14ac:dyDescent="0.25">
      <c r="B5" s="14" t="s">
        <v>708</v>
      </c>
      <c r="C5" s="14" t="s">
        <v>709</v>
      </c>
      <c r="D5" s="14" t="s">
        <v>710</v>
      </c>
    </row>
    <row r="6" spans="2:4" ht="42" customHeight="1" x14ac:dyDescent="0.25">
      <c r="B6" s="45" t="s">
        <v>711</v>
      </c>
      <c r="C6" s="17" t="s">
        <v>712</v>
      </c>
      <c r="D6" s="17" t="s">
        <v>713</v>
      </c>
    </row>
    <row r="7" spans="2:4" ht="42" customHeight="1" x14ac:dyDescent="0.25">
      <c r="B7" s="45" t="s">
        <v>714</v>
      </c>
      <c r="C7" s="17" t="s">
        <v>715</v>
      </c>
      <c r="D7" s="17" t="s">
        <v>716</v>
      </c>
    </row>
    <row r="8" spans="2:4" ht="42" customHeight="1" x14ac:dyDescent="0.25">
      <c r="B8" s="45" t="s">
        <v>85</v>
      </c>
      <c r="C8" s="17" t="s">
        <v>717</v>
      </c>
      <c r="D8" s="17" t="s">
        <v>718</v>
      </c>
    </row>
    <row r="9" spans="2:4" ht="42" customHeight="1" x14ac:dyDescent="0.25">
      <c r="B9" s="45" t="s">
        <v>719</v>
      </c>
      <c r="C9" s="17" t="s">
        <v>720</v>
      </c>
      <c r="D9" s="17" t="s">
        <v>721</v>
      </c>
    </row>
    <row r="10" spans="2:4" ht="42" customHeight="1" x14ac:dyDescent="0.25">
      <c r="B10" s="45" t="s">
        <v>456</v>
      </c>
      <c r="C10" s="17" t="s">
        <v>722</v>
      </c>
      <c r="D10" s="17" t="s">
        <v>723</v>
      </c>
    </row>
    <row r="11" spans="2:4" ht="42" customHeight="1" x14ac:dyDescent="0.25">
      <c r="B11" s="45" t="s">
        <v>724</v>
      </c>
      <c r="C11" s="17" t="s">
        <v>725</v>
      </c>
      <c r="D11" s="17" t="s">
        <v>726</v>
      </c>
    </row>
    <row r="12" spans="2:4" ht="42" customHeight="1" x14ac:dyDescent="0.25">
      <c r="B12" s="45" t="s">
        <v>727</v>
      </c>
      <c r="C12" s="17" t="s">
        <v>728</v>
      </c>
      <c r="D12" s="17" t="s">
        <v>729</v>
      </c>
    </row>
    <row r="13" spans="2:4" ht="42" customHeight="1" x14ac:dyDescent="0.25">
      <c r="B13" s="65" t="s">
        <v>730</v>
      </c>
      <c r="C13" s="17" t="s">
        <v>731</v>
      </c>
      <c r="D13" s="17" t="s">
        <v>732</v>
      </c>
    </row>
    <row r="14" spans="2:4" ht="42" customHeight="1" x14ac:dyDescent="0.25">
      <c r="B14" s="65" t="s">
        <v>730</v>
      </c>
      <c r="C14" s="17" t="s">
        <v>733</v>
      </c>
      <c r="D14" s="17" t="s">
        <v>734</v>
      </c>
    </row>
    <row r="15" spans="2:4" ht="42" customHeight="1" x14ac:dyDescent="0.25">
      <c r="B15" s="45" t="s">
        <v>403</v>
      </c>
      <c r="C15" s="17" t="s">
        <v>735</v>
      </c>
      <c r="D15" s="17" t="s">
        <v>736</v>
      </c>
    </row>
  </sheetData>
  <hyperlinks>
    <hyperlink ref="B3" location="'Übersicht'!A1" display="← zur Übersicht"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D9D9"/>
  </sheetPr>
  <dimension ref="B1:BT821"/>
  <sheetViews>
    <sheetView showGridLines="0" tabSelected="1" workbookViewId="0"/>
  </sheetViews>
  <sheetFormatPr baseColWidth="10" defaultColWidth="9.140625" defaultRowHeight="15" x14ac:dyDescent="0.25"/>
  <cols>
    <col min="1" max="1" width="2.7109375" customWidth="1"/>
    <col min="2" max="59" width="11" customWidth="1"/>
  </cols>
  <sheetData>
    <row r="1" spans="2:72" ht="21" x14ac:dyDescent="0.25">
      <c r="B1" s="1" t="s">
        <v>737</v>
      </c>
    </row>
    <row r="2" spans="2:72" x14ac:dyDescent="0.25">
      <c r="B2" s="2" t="s">
        <v>738</v>
      </c>
    </row>
    <row r="3" spans="2:72" x14ac:dyDescent="0.25">
      <c r="B3" s="56" t="s">
        <v>739</v>
      </c>
      <c r="J3" s="56" t="s">
        <v>740</v>
      </c>
      <c r="P3" s="56" t="s">
        <v>741</v>
      </c>
      <c r="V3" s="56" t="s">
        <v>742</v>
      </c>
      <c r="AA3" s="56" t="s">
        <v>743</v>
      </c>
      <c r="AF3" s="56" t="s">
        <v>744</v>
      </c>
      <c r="AK3" s="56" t="s">
        <v>745</v>
      </c>
      <c r="AP3" s="56" t="s">
        <v>746</v>
      </c>
      <c r="AS3" s="56" t="s">
        <v>747</v>
      </c>
      <c r="AV3" s="56" t="s">
        <v>748</v>
      </c>
      <c r="AY3" s="56" t="s">
        <v>749</v>
      </c>
      <c r="BB3" s="56" t="s">
        <v>750</v>
      </c>
      <c r="BE3" s="56" t="s">
        <v>751</v>
      </c>
      <c r="BH3" s="56" t="s">
        <v>752</v>
      </c>
      <c r="BO3" s="56" t="s">
        <v>753</v>
      </c>
    </row>
    <row r="4" spans="2:72" ht="25.5" x14ac:dyDescent="0.25">
      <c r="B4" s="66" t="s">
        <v>754</v>
      </c>
      <c r="C4" s="66" t="s">
        <v>755</v>
      </c>
      <c r="D4" s="66" t="s">
        <v>756</v>
      </c>
      <c r="E4" s="66" t="s">
        <v>757</v>
      </c>
      <c r="F4" s="66" t="s">
        <v>758</v>
      </c>
      <c r="G4" s="66" t="s">
        <v>759</v>
      </c>
      <c r="H4" s="66" t="s">
        <v>760</v>
      </c>
      <c r="J4" s="66" t="s">
        <v>754</v>
      </c>
      <c r="K4" s="66" t="s">
        <v>755</v>
      </c>
      <c r="L4" s="66" t="s">
        <v>757</v>
      </c>
      <c r="M4" s="66" t="s">
        <v>758</v>
      </c>
      <c r="N4" s="66" t="s">
        <v>760</v>
      </c>
      <c r="P4" s="66" t="s">
        <v>319</v>
      </c>
      <c r="Q4" s="66" t="s">
        <v>761</v>
      </c>
      <c r="R4" s="66" t="s">
        <v>762</v>
      </c>
      <c r="S4" s="66" t="s">
        <v>763</v>
      </c>
      <c r="T4" s="66" t="s">
        <v>764</v>
      </c>
      <c r="V4" s="66" t="s">
        <v>765</v>
      </c>
      <c r="W4" s="66" t="s">
        <v>766</v>
      </c>
      <c r="X4" s="66" t="s">
        <v>767</v>
      </c>
      <c r="Y4" s="66" t="s">
        <v>768</v>
      </c>
      <c r="AA4" s="66" t="s">
        <v>765</v>
      </c>
      <c r="AB4" s="66" t="s">
        <v>766</v>
      </c>
      <c r="AC4" s="66" t="s">
        <v>767</v>
      </c>
      <c r="AD4" s="66" t="s">
        <v>768</v>
      </c>
      <c r="AF4" s="66" t="s">
        <v>765</v>
      </c>
      <c r="AG4" s="66" t="s">
        <v>766</v>
      </c>
      <c r="AH4" s="66" t="s">
        <v>767</v>
      </c>
      <c r="AI4" s="66" t="s">
        <v>768</v>
      </c>
      <c r="AK4" s="66" t="s">
        <v>765</v>
      </c>
      <c r="AL4" s="66" t="s">
        <v>766</v>
      </c>
      <c r="AM4" s="66" t="s">
        <v>767</v>
      </c>
      <c r="AN4" s="66" t="s">
        <v>768</v>
      </c>
      <c r="AP4" s="66" t="s">
        <v>320</v>
      </c>
      <c r="AQ4" s="66" t="s">
        <v>319</v>
      </c>
      <c r="AS4" s="66" t="s">
        <v>320</v>
      </c>
      <c r="AT4" s="66" t="s">
        <v>319</v>
      </c>
      <c r="AV4" s="66" t="s">
        <v>320</v>
      </c>
      <c r="AW4" s="66" t="s">
        <v>769</v>
      </c>
      <c r="AY4" s="66" t="s">
        <v>320</v>
      </c>
      <c r="AZ4" s="66" t="s">
        <v>769</v>
      </c>
      <c r="BB4" s="66" t="s">
        <v>320</v>
      </c>
      <c r="BC4" s="66" t="s">
        <v>769</v>
      </c>
      <c r="BE4" s="66" t="s">
        <v>320</v>
      </c>
      <c r="BF4" s="66" t="s">
        <v>769</v>
      </c>
      <c r="BH4" s="66" t="s">
        <v>319</v>
      </c>
      <c r="BI4" s="66" t="s">
        <v>770</v>
      </c>
      <c r="BJ4" s="66" t="s">
        <v>771</v>
      </c>
      <c r="BK4" s="66" t="s">
        <v>772</v>
      </c>
      <c r="BL4" s="66" t="s">
        <v>773</v>
      </c>
      <c r="BM4" s="66" t="s">
        <v>774</v>
      </c>
      <c r="BO4" s="66" t="s">
        <v>775</v>
      </c>
      <c r="BP4" s="66" t="s">
        <v>377</v>
      </c>
      <c r="BQ4" s="66" t="s">
        <v>378</v>
      </c>
      <c r="BR4" s="66" t="s">
        <v>776</v>
      </c>
      <c r="BS4" s="66" t="s">
        <v>777</v>
      </c>
      <c r="BT4" s="66" t="s">
        <v>778</v>
      </c>
    </row>
    <row r="5" spans="2:72" x14ac:dyDescent="0.25">
      <c r="B5" s="67">
        <v>0</v>
      </c>
      <c r="C5" s="67">
        <v>107.603219569636</v>
      </c>
      <c r="D5" s="67">
        <v>73.772983734405997</v>
      </c>
      <c r="E5" s="67">
        <v>44.992994186969852</v>
      </c>
      <c r="F5" s="67">
        <v>926.32203680404973</v>
      </c>
      <c r="G5" s="67">
        <v>897.02184237551046</v>
      </c>
      <c r="J5" s="67">
        <v>0</v>
      </c>
      <c r="K5" s="67">
        <v>64.451601415047293</v>
      </c>
      <c r="L5" s="67">
        <v>34.702663420089401</v>
      </c>
      <c r="M5" s="67">
        <v>887.0117119116203</v>
      </c>
      <c r="N5" s="67">
        <v>86.927627812342095</v>
      </c>
      <c r="P5" s="67">
        <v>20</v>
      </c>
      <c r="Q5" s="67">
        <v>35.290293911585941</v>
      </c>
      <c r="S5" s="67">
        <v>37.594702102892413</v>
      </c>
      <c r="V5" s="67">
        <v>0</v>
      </c>
      <c r="W5" s="67">
        <v>209.82999595112349</v>
      </c>
      <c r="X5" s="67">
        <v>52.149999999996787</v>
      </c>
      <c r="Y5" s="67">
        <v>520.97634744918025</v>
      </c>
      <c r="AA5" s="67">
        <v>0</v>
      </c>
      <c r="AB5" s="67">
        <v>209.82999595112349</v>
      </c>
      <c r="AC5" s="67">
        <v>52.149999999996787</v>
      </c>
      <c r="AD5" s="67">
        <v>520.97634744918025</v>
      </c>
      <c r="AF5" s="67">
        <v>0</v>
      </c>
      <c r="AG5" s="67">
        <v>122.2248197679442</v>
      </c>
      <c r="AH5" s="67">
        <v>37.149999993934053</v>
      </c>
      <c r="AI5" s="67">
        <v>508.4176802771608</v>
      </c>
      <c r="AK5" s="67">
        <v>0</v>
      </c>
      <c r="AL5" s="67">
        <v>122.2248197679442</v>
      </c>
      <c r="AM5" s="67">
        <v>37.149999993934053</v>
      </c>
      <c r="AN5" s="67">
        <v>508.4176802771608</v>
      </c>
      <c r="AP5" s="67">
        <v>-56.057999999999957</v>
      </c>
      <c r="AQ5" s="67">
        <v>5.2931924475829923</v>
      </c>
      <c r="AS5" s="67">
        <v>-56.557999999999957</v>
      </c>
      <c r="AT5" s="67">
        <v>5.4780051259908742</v>
      </c>
      <c r="AV5" s="67">
        <v>52.149999999996787</v>
      </c>
      <c r="AW5" s="67">
        <v>225.94860339016461</v>
      </c>
      <c r="AY5" s="67">
        <v>52.15</v>
      </c>
      <c r="AZ5" s="67">
        <v>224.7020850737461</v>
      </c>
      <c r="BB5" s="67">
        <v>37.149999993934053</v>
      </c>
      <c r="BC5" s="67">
        <v>137.95487170519621</v>
      </c>
      <c r="BE5" s="67">
        <v>37.15</v>
      </c>
      <c r="BF5" s="67">
        <v>135.96053205253219</v>
      </c>
      <c r="BH5" s="68">
        <v>15</v>
      </c>
      <c r="BI5" s="68">
        <v>1081.267428817906</v>
      </c>
      <c r="BJ5" s="68">
        <v>1782.8953302624359</v>
      </c>
      <c r="BK5" s="68">
        <v>3387.793711234066</v>
      </c>
      <c r="BL5" s="68">
        <v>5520.0930470129897</v>
      </c>
      <c r="BM5" s="68">
        <v>9156.1870553567587</v>
      </c>
      <c r="BO5">
        <v>30</v>
      </c>
      <c r="BP5">
        <f>mdot_50</f>
        <v>27.455732520438474</v>
      </c>
      <c r="BQ5">
        <f>mdot_100</f>
        <v>54.911465040876948</v>
      </c>
      <c r="BR5">
        <v>-20</v>
      </c>
      <c r="BS5">
        <f>p_dicht</f>
        <v>91</v>
      </c>
      <c r="BT5">
        <f>p_gas</f>
        <v>30</v>
      </c>
    </row>
    <row r="6" spans="2:72" x14ac:dyDescent="0.25">
      <c r="B6" s="67">
        <v>50</v>
      </c>
      <c r="C6" s="67">
        <v>112.1341797962734</v>
      </c>
      <c r="D6" s="67">
        <v>78.158267321259842</v>
      </c>
      <c r="E6" s="67">
        <v>46.658027336303412</v>
      </c>
      <c r="F6" s="67">
        <v>921.36648651154132</v>
      </c>
      <c r="G6" s="67">
        <v>891.29696094414601</v>
      </c>
      <c r="J6" s="67">
        <v>50</v>
      </c>
      <c r="K6" s="67">
        <v>68.787210666953214</v>
      </c>
      <c r="L6" s="67">
        <v>35.129885211888222</v>
      </c>
      <c r="M6" s="67">
        <v>880.96399899561413</v>
      </c>
      <c r="N6" s="67">
        <v>87.263056171686742</v>
      </c>
      <c r="P6" s="67">
        <v>23</v>
      </c>
      <c r="Q6" s="67">
        <v>41.135655210807784</v>
      </c>
      <c r="S6" s="67">
        <v>43.961219207675683</v>
      </c>
      <c r="V6" s="67">
        <v>1</v>
      </c>
      <c r="W6" s="67">
        <v>201.572830778194</v>
      </c>
      <c r="X6" s="67">
        <v>51.181811143599127</v>
      </c>
      <c r="Y6" s="67">
        <v>518.60417215941516</v>
      </c>
      <c r="AA6" s="67">
        <v>1</v>
      </c>
      <c r="AB6" s="67">
        <v>199.93921918372331</v>
      </c>
      <c r="AC6" s="67">
        <v>50.987328261152918</v>
      </c>
      <c r="AD6" s="67">
        <v>518.12699798009464</v>
      </c>
      <c r="AF6" s="67">
        <v>1</v>
      </c>
      <c r="AG6" s="67">
        <v>116.1318510015434</v>
      </c>
      <c r="AH6" s="67">
        <v>36.278447555624552</v>
      </c>
      <c r="AI6" s="67">
        <v>506.04550498739582</v>
      </c>
      <c r="AK6" s="67">
        <v>1</v>
      </c>
      <c r="AL6" s="67">
        <v>112.2739852378311</v>
      </c>
      <c r="AM6" s="67">
        <v>35.713931373710238</v>
      </c>
      <c r="AN6" s="67">
        <v>504.49835156023579</v>
      </c>
      <c r="AP6" s="67">
        <v>-54.582979660966402</v>
      </c>
      <c r="AQ6" s="67">
        <v>5.6391428391937728</v>
      </c>
      <c r="AS6" s="67">
        <v>-55.057999999999957</v>
      </c>
      <c r="AT6" s="67">
        <v>5.8456131572846974</v>
      </c>
      <c r="AV6" s="67">
        <v>52.031875730044987</v>
      </c>
      <c r="AW6" s="67">
        <v>224.94082269167441</v>
      </c>
      <c r="AY6" s="67">
        <v>52.009580117877327</v>
      </c>
      <c r="AZ6" s="67">
        <v>223.69254038687561</v>
      </c>
      <c r="BB6" s="67">
        <v>37.006454262149482</v>
      </c>
      <c r="BC6" s="67">
        <v>136.94377934586919</v>
      </c>
      <c r="BE6" s="67">
        <v>36.976504747197012</v>
      </c>
      <c r="BF6" s="67">
        <v>135.07697024407429</v>
      </c>
      <c r="BH6" s="68">
        <v>18</v>
      </c>
      <c r="BI6" s="68">
        <v>930.02128928174659</v>
      </c>
      <c r="BJ6" s="68">
        <v>1530.1555677029769</v>
      </c>
      <c r="BK6" s="68">
        <v>2899.7971853624399</v>
      </c>
      <c r="BL6" s="68">
        <v>4715.8230617343042</v>
      </c>
      <c r="BM6" s="68">
        <v>7807.1214466880256</v>
      </c>
      <c r="BO6">
        <v>230</v>
      </c>
      <c r="BP6">
        <f>mdot_50</f>
        <v>27.455732520438474</v>
      </c>
      <c r="BQ6">
        <f>mdot_100</f>
        <v>54.911465040876948</v>
      </c>
      <c r="BR6">
        <v>55</v>
      </c>
      <c r="BS6">
        <f>p_dicht</f>
        <v>91</v>
      </c>
      <c r="BT6">
        <f>p_gas</f>
        <v>30</v>
      </c>
    </row>
    <row r="7" spans="2:72" x14ac:dyDescent="0.25">
      <c r="B7" s="67">
        <v>100</v>
      </c>
      <c r="C7" s="67">
        <v>116.6408956363134</v>
      </c>
      <c r="D7" s="67">
        <v>82.515515006843174</v>
      </c>
      <c r="E7" s="67">
        <v>48.469673788771722</v>
      </c>
      <c r="F7" s="67">
        <v>916.43579278043876</v>
      </c>
      <c r="G7" s="67">
        <v>885.59013174469567</v>
      </c>
      <c r="J7" s="67">
        <v>100</v>
      </c>
      <c r="K7" s="67">
        <v>73.093184936200174</v>
      </c>
      <c r="L7" s="67">
        <v>35.558752831307309</v>
      </c>
      <c r="M7" s="67">
        <v>874.92840128777129</v>
      </c>
      <c r="N7" s="67">
        <v>87.598691117570098</v>
      </c>
      <c r="P7" s="67">
        <v>26</v>
      </c>
      <c r="Q7" s="67">
        <v>47.153145127633742</v>
      </c>
      <c r="S7" s="67">
        <v>50.566407172143713</v>
      </c>
      <c r="V7" s="67">
        <v>2.0000000000000009</v>
      </c>
      <c r="W7" s="67">
        <v>194.0192776024879</v>
      </c>
      <c r="X7" s="67">
        <v>50.313104338809012</v>
      </c>
      <c r="Y7" s="67">
        <v>516.23199686965017</v>
      </c>
      <c r="AA7" s="67">
        <v>2.0000000000000009</v>
      </c>
      <c r="AB7" s="67">
        <v>190.23284089927071</v>
      </c>
      <c r="AC7" s="67">
        <v>49.858076349087128</v>
      </c>
      <c r="AD7" s="67">
        <v>515.05874002448684</v>
      </c>
      <c r="AF7" s="67">
        <v>2.0000000000000009</v>
      </c>
      <c r="AG7" s="67">
        <v>110.63632589344481</v>
      </c>
      <c r="AH7" s="67">
        <v>35.498713596211473</v>
      </c>
      <c r="AI7" s="67">
        <v>503.67332969763078</v>
      </c>
      <c r="AK7" s="67">
        <v>2.0000000000000009</v>
      </c>
      <c r="AL7" s="67">
        <v>102.3280019057548</v>
      </c>
      <c r="AM7" s="67">
        <v>34.253565660326053</v>
      </c>
      <c r="AN7" s="67">
        <v>500.05550569148198</v>
      </c>
      <c r="AP7" s="67">
        <v>-53.10795932193281</v>
      </c>
      <c r="AQ7" s="67">
        <v>6.001880151556148</v>
      </c>
      <c r="AS7" s="67">
        <v>-53.057999999999957</v>
      </c>
      <c r="AT7" s="67">
        <v>6.3645097625518776</v>
      </c>
      <c r="AV7" s="67">
        <v>51.914195931781478</v>
      </c>
      <c r="AW7" s="67">
        <v>223.93541147710579</v>
      </c>
      <c r="AY7" s="67">
        <v>51.869571437404687</v>
      </c>
      <c r="AZ7" s="67">
        <v>222.68474919383681</v>
      </c>
      <c r="BB7" s="67">
        <v>36.862976551865643</v>
      </c>
      <c r="BC7" s="67">
        <v>135.93390554038231</v>
      </c>
      <c r="BE7" s="67">
        <v>36.805259798544128</v>
      </c>
      <c r="BF7" s="67">
        <v>134.2062397809857</v>
      </c>
      <c r="BH7" s="68">
        <v>21</v>
      </c>
      <c r="BI7" s="68">
        <v>823.64169344457036</v>
      </c>
      <c r="BJ7" s="68">
        <v>1351.8901168680709</v>
      </c>
      <c r="BK7" s="68">
        <v>2554.6091463749372</v>
      </c>
      <c r="BL7" s="68">
        <v>4145.9207920816871</v>
      </c>
      <c r="BM7" s="68">
        <v>6849.7425577171507</v>
      </c>
    </row>
    <row r="8" spans="2:72" x14ac:dyDescent="0.25">
      <c r="B8" s="67">
        <v>150</v>
      </c>
      <c r="C8" s="67">
        <v>121.12349405283599</v>
      </c>
      <c r="D8" s="67">
        <v>86.844824126783294</v>
      </c>
      <c r="E8" s="67">
        <v>50.287386984021232</v>
      </c>
      <c r="F8" s="67">
        <v>911.53192593962683</v>
      </c>
      <c r="G8" s="67">
        <v>879.90480432797744</v>
      </c>
      <c r="J8" s="67">
        <v>150</v>
      </c>
      <c r="K8" s="67">
        <v>77.36959412762485</v>
      </c>
      <c r="L8" s="67">
        <v>35.989266987093707</v>
      </c>
      <c r="M8" s="67">
        <v>868.90911450950523</v>
      </c>
      <c r="N8" s="67">
        <v>87.934413303751199</v>
      </c>
      <c r="P8" s="67">
        <v>29</v>
      </c>
      <c r="Q8" s="67">
        <v>53.355072070134867</v>
      </c>
      <c r="S8" s="67">
        <v>57.433318475535494</v>
      </c>
      <c r="V8" s="67">
        <v>3.0000000000000022</v>
      </c>
      <c r="W8" s="67">
        <v>187.102366706151</v>
      </c>
      <c r="X8" s="67">
        <v>49.534635867162713</v>
      </c>
      <c r="Y8" s="67">
        <v>513.85982157988519</v>
      </c>
      <c r="AA8" s="67">
        <v>3.0000000000000022</v>
      </c>
      <c r="AB8" s="67">
        <v>180.64089428030519</v>
      </c>
      <c r="AC8" s="67">
        <v>48.748761793906567</v>
      </c>
      <c r="AD8" s="67">
        <v>511.73782962845002</v>
      </c>
      <c r="AF8" s="67">
        <v>3.0000000000000022</v>
      </c>
      <c r="AG8" s="67">
        <v>105.67850303215</v>
      </c>
      <c r="AH8" s="67">
        <v>34.80205116110568</v>
      </c>
      <c r="AI8" s="67">
        <v>501.30115440786579</v>
      </c>
      <c r="AK8" s="67">
        <v>3.0000000000000022</v>
      </c>
      <c r="AL8" s="67">
        <v>93.063750032532965</v>
      </c>
      <c r="AM8" s="67">
        <v>32.863064074220688</v>
      </c>
      <c r="AN8" s="67">
        <v>495.31115511194912</v>
      </c>
      <c r="AP8" s="67">
        <v>-51.632938982899248</v>
      </c>
      <c r="AQ8" s="67">
        <v>6.3819110230045268</v>
      </c>
      <c r="AS8" s="67">
        <v>-51.557999999999957</v>
      </c>
      <c r="AT8" s="67">
        <v>6.7760097325392348</v>
      </c>
      <c r="AV8" s="67">
        <v>51.796948832054227</v>
      </c>
      <c r="AW8" s="67">
        <v>222.93230566910469</v>
      </c>
      <c r="AY8" s="67">
        <v>51.729954301891347</v>
      </c>
      <c r="AZ8" s="67">
        <v>221.67861780914961</v>
      </c>
      <c r="BB8" s="67">
        <v>36.7195379780145</v>
      </c>
      <c r="BC8" s="67">
        <v>134.92512327178329</v>
      </c>
      <c r="BE8" s="67">
        <v>36.636240174001642</v>
      </c>
      <c r="BF8" s="67">
        <v>133.34816721757579</v>
      </c>
      <c r="BH8" s="68">
        <v>24</v>
      </c>
      <c r="BI8" s="68">
        <v>745.48675846210483</v>
      </c>
      <c r="BJ8" s="68">
        <v>1220.388313628765</v>
      </c>
      <c r="BK8" s="68">
        <v>2298.9472018410388</v>
      </c>
      <c r="BL8" s="68">
        <v>3722.817727253439</v>
      </c>
      <c r="BM8" s="68">
        <v>6137.5447217989877</v>
      </c>
    </row>
    <row r="9" spans="2:72" x14ac:dyDescent="0.25">
      <c r="B9" s="67">
        <v>200</v>
      </c>
      <c r="C9" s="67">
        <v>125.58211155495179</v>
      </c>
      <c r="D9" s="67">
        <v>91.146308952922539</v>
      </c>
      <c r="E9" s="67">
        <v>52.113012402204589</v>
      </c>
      <c r="F9" s="67">
        <v>906.65680676935619</v>
      </c>
      <c r="G9" s="67">
        <v>874.24442768815766</v>
      </c>
      <c r="J9" s="67">
        <v>200</v>
      </c>
      <c r="K9" s="67">
        <v>81.61652897478838</v>
      </c>
      <c r="L9" s="67">
        <v>36.42142783214647</v>
      </c>
      <c r="M9" s="67">
        <v>862.91042415748097</v>
      </c>
      <c r="N9" s="67">
        <v>88.270114922448641</v>
      </c>
      <c r="P9" s="67">
        <v>32</v>
      </c>
      <c r="Q9" s="67">
        <v>59.755132904999023</v>
      </c>
      <c r="S9" s="67">
        <v>64.588690179663516</v>
      </c>
      <c r="V9" s="67">
        <v>4.0000000000000027</v>
      </c>
      <c r="W9" s="67">
        <v>180.7615850217561</v>
      </c>
      <c r="X9" s="67">
        <v>48.837974802923668</v>
      </c>
      <c r="Y9" s="67">
        <v>511.48764629012021</v>
      </c>
      <c r="AA9" s="67">
        <v>4.0000000000000027</v>
      </c>
      <c r="AB9" s="67">
        <v>171.08340187830089</v>
      </c>
      <c r="AC9" s="67">
        <v>47.643539321629191</v>
      </c>
      <c r="AD9" s="67">
        <v>508.11926696422807</v>
      </c>
      <c r="AF9" s="67">
        <v>4.0000000000000027</v>
      </c>
      <c r="AG9" s="67">
        <v>101.2047488676407</v>
      </c>
      <c r="AH9" s="67">
        <v>34.180521423625457</v>
      </c>
      <c r="AI9" s="67">
        <v>498.92897911810081</v>
      </c>
      <c r="AK9" s="67">
        <v>4.0000000000000027</v>
      </c>
      <c r="AL9" s="67">
        <v>85.102492816236776</v>
      </c>
      <c r="AM9" s="67">
        <v>31.643997500237329</v>
      </c>
      <c r="AN9" s="67">
        <v>490.56680453241609</v>
      </c>
      <c r="AP9" s="67">
        <v>-50.157918643865678</v>
      </c>
      <c r="AQ9" s="67">
        <v>6.7797465249330076</v>
      </c>
      <c r="AS9" s="67">
        <v>-49.557999999999957</v>
      </c>
      <c r="AT9" s="67">
        <v>7.3555814500223446</v>
      </c>
      <c r="AV9" s="67">
        <v>51.680122581397541</v>
      </c>
      <c r="AW9" s="67">
        <v>221.93144091967719</v>
      </c>
      <c r="AY9" s="67">
        <v>51.590708767989121</v>
      </c>
      <c r="AZ9" s="67">
        <v>220.67405139598671</v>
      </c>
      <c r="BB9" s="67">
        <v>36.576108754151328</v>
      </c>
      <c r="BC9" s="67">
        <v>133.9173021888802</v>
      </c>
      <c r="BE9" s="67">
        <v>36.469421185420728</v>
      </c>
      <c r="BF9" s="67">
        <v>132.50258152391939</v>
      </c>
      <c r="BH9" s="68">
        <v>27</v>
      </c>
      <c r="BI9" s="68">
        <v>686.34798749055676</v>
      </c>
      <c r="BJ9" s="68">
        <v>1120.292269155128</v>
      </c>
      <c r="BK9" s="68">
        <v>2103.2470604343061</v>
      </c>
      <c r="BL9" s="68">
        <v>3397.9017218538511</v>
      </c>
      <c r="BM9" s="68">
        <v>5589.1726024436557</v>
      </c>
    </row>
    <row r="10" spans="2:72" x14ac:dyDescent="0.25">
      <c r="B10" s="67">
        <v>250</v>
      </c>
      <c r="C10" s="67">
        <v>130.0168939094205</v>
      </c>
      <c r="D10" s="67">
        <v>95.420100595198704</v>
      </c>
      <c r="E10" s="67">
        <v>53.576395779275323</v>
      </c>
      <c r="F10" s="67">
        <v>901.81228956803022</v>
      </c>
      <c r="G10" s="67">
        <v>868.61241563100634</v>
      </c>
      <c r="H10" s="67">
        <v>172.35312893618291</v>
      </c>
      <c r="J10" s="67">
        <v>250</v>
      </c>
      <c r="K10" s="67">
        <v>85.834101350701133</v>
      </c>
      <c r="L10" s="67">
        <v>36.855235016826647</v>
      </c>
      <c r="M10" s="67">
        <v>856.93665750622074</v>
      </c>
      <c r="N10" s="67">
        <v>88.60569843290773</v>
      </c>
      <c r="P10" s="67">
        <v>35</v>
      </c>
      <c r="Q10" s="67">
        <v>66.368625069982158</v>
      </c>
      <c r="S10" s="67">
        <v>72.063789227013601</v>
      </c>
      <c r="V10" s="67">
        <v>4.9999999999999813</v>
      </c>
      <c r="W10" s="67">
        <v>174.9422977277514</v>
      </c>
      <c r="X10" s="67">
        <v>48.215438054578271</v>
      </c>
      <c r="Y10" s="67">
        <v>509.11547100035523</v>
      </c>
      <c r="AA10" s="67">
        <v>4.9999999999999813</v>
      </c>
      <c r="AB10" s="67">
        <v>161.46242050485401</v>
      </c>
      <c r="AC10" s="67">
        <v>46.522466036293217</v>
      </c>
      <c r="AD10" s="67">
        <v>504.14070433302038</v>
      </c>
      <c r="AF10" s="67">
        <v>4.9999999999999813</v>
      </c>
      <c r="AG10" s="67">
        <v>97.166908727011204</v>
      </c>
      <c r="AH10" s="67">
        <v>33.626918395361429</v>
      </c>
      <c r="AI10" s="67">
        <v>496.55680382833577</v>
      </c>
      <c r="AK10" s="67">
        <v>4.9999999999999813</v>
      </c>
      <c r="AL10" s="67">
        <v>78.295248179212422</v>
      </c>
      <c r="AM10" s="67">
        <v>30.580259610619461</v>
      </c>
      <c r="AN10" s="67">
        <v>485.82245395288322</v>
      </c>
      <c r="AP10" s="67">
        <v>-48.682898304832122</v>
      </c>
      <c r="AQ10" s="67">
        <v>7.1959020706120409</v>
      </c>
      <c r="AS10" s="67">
        <v>-47.848034569490068</v>
      </c>
      <c r="AT10" s="67">
        <v>7.8801022921033574</v>
      </c>
      <c r="AV10" s="67">
        <v>51.563705248426693</v>
      </c>
      <c r="AW10" s="67">
        <v>220.93275258281031</v>
      </c>
      <c r="AY10" s="67">
        <v>51.451814588184639</v>
      </c>
      <c r="AZ10" s="67">
        <v>219.67095388780061</v>
      </c>
      <c r="BB10" s="67">
        <v>36.4326581302862</v>
      </c>
      <c r="BC10" s="67">
        <v>132.9103083662479</v>
      </c>
      <c r="BE10" s="67">
        <v>36.304778443689393</v>
      </c>
      <c r="BF10" s="67">
        <v>131.66931408900831</v>
      </c>
      <c r="BH10" s="68">
        <v>30</v>
      </c>
      <c r="BI10" s="68">
        <v>640.7456553381096</v>
      </c>
      <c r="BJ10" s="68">
        <v>1042.43036098977</v>
      </c>
      <c r="BK10" s="68">
        <v>1949.8112116604109</v>
      </c>
      <c r="BL10" s="68">
        <v>3142.045213781978</v>
      </c>
      <c r="BM10" s="68">
        <v>5155.851222532051</v>
      </c>
    </row>
    <row r="11" spans="2:72" x14ac:dyDescent="0.25">
      <c r="B11" s="67">
        <v>300</v>
      </c>
      <c r="C11" s="67">
        <v>134.42799578384989</v>
      </c>
      <c r="D11" s="67">
        <v>99.666346779218586</v>
      </c>
      <c r="E11" s="67">
        <v>54.422451099446228</v>
      </c>
      <c r="F11" s="67">
        <v>897.00015115065389</v>
      </c>
      <c r="G11" s="67">
        <v>863.01213016673432</v>
      </c>
      <c r="H11" s="67">
        <v>172.621519049852</v>
      </c>
      <c r="J11" s="67">
        <v>300</v>
      </c>
      <c r="K11" s="67">
        <v>90.022444400755106</v>
      </c>
      <c r="L11" s="67">
        <v>37.290687736556848</v>
      </c>
      <c r="M11" s="67">
        <v>850.99215867839359</v>
      </c>
      <c r="N11" s="67">
        <v>88.941075491279975</v>
      </c>
      <c r="P11" s="67">
        <v>38</v>
      </c>
      <c r="Q11" s="67">
        <v>73.21270024047088</v>
      </c>
      <c r="S11" s="67">
        <v>79.895519483466515</v>
      </c>
      <c r="V11" s="67">
        <v>5.99999999999996</v>
      </c>
      <c r="W11" s="67">
        <v>169.59521074495319</v>
      </c>
      <c r="X11" s="67">
        <v>47.660029300946348</v>
      </c>
      <c r="Y11" s="67">
        <v>506.74329571059019</v>
      </c>
      <c r="AA11" s="67">
        <v>5.99999999999996</v>
      </c>
      <c r="AB11" s="67">
        <v>151.64750163527529</v>
      </c>
      <c r="AC11" s="67">
        <v>45.358294330509693</v>
      </c>
      <c r="AD11" s="67">
        <v>499.71128728114928</v>
      </c>
      <c r="AF11" s="67">
        <v>5.99999999999996</v>
      </c>
      <c r="AG11" s="67">
        <v>93.521744342140394</v>
      </c>
      <c r="AH11" s="67">
        <v>33.134701328307237</v>
      </c>
      <c r="AI11" s="67">
        <v>494.18462853857079</v>
      </c>
      <c r="AK11" s="67">
        <v>5.99999999999996</v>
      </c>
      <c r="AL11" s="67">
        <v>72.507079951717472</v>
      </c>
      <c r="AM11" s="67">
        <v>29.656810185367021</v>
      </c>
      <c r="AN11" s="67">
        <v>481.07810337335019</v>
      </c>
      <c r="AP11" s="67">
        <v>-47.207877965798531</v>
      </c>
      <c r="AQ11" s="67">
        <v>7.63089733810944</v>
      </c>
      <c r="AS11" s="67">
        <v>-46.557999999999957</v>
      </c>
      <c r="AT11" s="67">
        <v>8.294088050458825</v>
      </c>
      <c r="AV11" s="67">
        <v>51.447684814009847</v>
      </c>
      <c r="AW11" s="67">
        <v>219.93617568607689</v>
      </c>
      <c r="AY11" s="67">
        <v>51.3132511913131</v>
      </c>
      <c r="AZ11" s="67">
        <v>218.6692279034794</v>
      </c>
      <c r="BB11" s="67">
        <v>36.289154325742061</v>
      </c>
      <c r="BC11" s="67">
        <v>131.90400404545639</v>
      </c>
      <c r="BE11" s="67">
        <v>36.142287853770171</v>
      </c>
      <c r="BF11" s="67">
        <v>130.84819868083781</v>
      </c>
      <c r="BH11" s="68">
        <v>33</v>
      </c>
      <c r="BI11" s="68">
        <v>605.25077059701289</v>
      </c>
      <c r="BJ11" s="68">
        <v>981.01810699173427</v>
      </c>
      <c r="BK11" s="68">
        <v>1827.4242330754521</v>
      </c>
      <c r="BL11" s="68">
        <v>2936.7559385778541</v>
      </c>
      <c r="BM11" s="68">
        <v>4806.582421174151</v>
      </c>
    </row>
    <row r="12" spans="2:72" x14ac:dyDescent="0.25">
      <c r="B12" s="67">
        <v>350</v>
      </c>
      <c r="C12" s="67">
        <v>138.81558035303229</v>
      </c>
      <c r="D12" s="67">
        <v>103.8852115876218</v>
      </c>
      <c r="E12" s="67">
        <v>55.269945504788083</v>
      </c>
      <c r="F12" s="67">
        <v>892.22208663027288</v>
      </c>
      <c r="G12" s="67">
        <v>857.44688227794222</v>
      </c>
      <c r="H12" s="67">
        <v>172.9361403382413</v>
      </c>
      <c r="J12" s="67">
        <v>350</v>
      </c>
      <c r="K12" s="67">
        <v>94.181712608250777</v>
      </c>
      <c r="L12" s="67">
        <v>37.727784774580527</v>
      </c>
      <c r="M12" s="67">
        <v>845.08128484855445</v>
      </c>
      <c r="N12" s="67">
        <v>89.276166036568952</v>
      </c>
      <c r="P12" s="67">
        <v>41</v>
      </c>
      <c r="Q12" s="67">
        <v>80.306669575714039</v>
      </c>
      <c r="S12" s="67">
        <v>88.127895543816535</v>
      </c>
      <c r="V12" s="67">
        <v>6.9999999999999387</v>
      </c>
      <c r="W12" s="67">
        <v>164.67587333833001</v>
      </c>
      <c r="X12" s="67">
        <v>47.165381836628057</v>
      </c>
      <c r="Y12" s="67">
        <v>504.37112042082521</v>
      </c>
      <c r="AA12" s="67">
        <v>6.9999999999999387</v>
      </c>
      <c r="AB12" s="67">
        <v>142.1640609376295</v>
      </c>
      <c r="AC12" s="67">
        <v>44.217242962355272</v>
      </c>
      <c r="AD12" s="67">
        <v>494.96890968640639</v>
      </c>
      <c r="AF12" s="67">
        <v>6.9999999999999387</v>
      </c>
      <c r="AG12" s="67">
        <v>90.230430889246293</v>
      </c>
      <c r="AH12" s="67">
        <v>32.697933940213723</v>
      </c>
      <c r="AI12" s="67">
        <v>491.81245324880581</v>
      </c>
      <c r="AK12" s="67">
        <v>6.9999999999999387</v>
      </c>
      <c r="AL12" s="67">
        <v>67.615527150861638</v>
      </c>
      <c r="AM12" s="67">
        <v>28.859559797865241</v>
      </c>
      <c r="AN12" s="67">
        <v>476.33375279381721</v>
      </c>
      <c r="AP12" s="67">
        <v>-45.732857626764968</v>
      </c>
      <c r="AQ12" s="67">
        <v>8.0852562080806614</v>
      </c>
      <c r="AS12" s="67">
        <v>-44.557999999999957</v>
      </c>
      <c r="AT12" s="67">
        <v>8.9679936918172327</v>
      </c>
      <c r="AV12" s="67">
        <v>51.332049165200367</v>
      </c>
      <c r="AW12" s="67">
        <v>218.94164490113701</v>
      </c>
      <c r="AY12" s="67">
        <v>51.174997661965399</v>
      </c>
      <c r="AZ12" s="67">
        <v>217.66877465784671</v>
      </c>
      <c r="BB12" s="67">
        <v>36.145564456553359</v>
      </c>
      <c r="BC12" s="67">
        <v>130.89824735573629</v>
      </c>
      <c r="BE12" s="67">
        <v>35.981925609665197</v>
      </c>
      <c r="BF12" s="67">
        <v>130.03907140632131</v>
      </c>
      <c r="BH12" s="68">
        <v>36</v>
      </c>
      <c r="BI12" s="68">
        <v>577.65552709800386</v>
      </c>
      <c r="BJ12" s="68">
        <v>932.26417064214195</v>
      </c>
      <c r="BK12" s="68">
        <v>1728.6634186411079</v>
      </c>
      <c r="BL12" s="68">
        <v>2769.7541594971481</v>
      </c>
      <c r="BM12" s="68">
        <v>4520.7442295838719</v>
      </c>
    </row>
    <row r="13" spans="2:72" x14ac:dyDescent="0.25">
      <c r="B13" s="67">
        <v>400</v>
      </c>
      <c r="C13" s="67">
        <v>143.1798189021624</v>
      </c>
      <c r="D13" s="67">
        <v>108.0768752419294</v>
      </c>
      <c r="E13" s="67">
        <v>56.119079339465053</v>
      </c>
      <c r="F13" s="67">
        <v>887.47971201925975</v>
      </c>
      <c r="G13" s="67">
        <v>851.9199462387578</v>
      </c>
      <c r="H13" s="67">
        <v>173.2871502061312</v>
      </c>
      <c r="J13" s="67">
        <v>400</v>
      </c>
      <c r="K13" s="67">
        <v>98.312079648692674</v>
      </c>
      <c r="L13" s="67">
        <v>38.166524668172961</v>
      </c>
      <c r="M13" s="67">
        <v>839.20842021912779</v>
      </c>
      <c r="N13" s="67">
        <v>89.610897463693959</v>
      </c>
      <c r="P13" s="67">
        <v>44</v>
      </c>
      <c r="Q13" s="67">
        <v>87.67237344443781</v>
      </c>
      <c r="S13" s="67">
        <v>96.814041385408089</v>
      </c>
      <c r="T13" s="67">
        <v>96.814041385408089</v>
      </c>
      <c r="V13" s="67">
        <v>7.9999999999999174</v>
      </c>
      <c r="W13" s="67">
        <v>160.14421978749371</v>
      </c>
      <c r="X13" s="67">
        <v>46.725705312133641</v>
      </c>
      <c r="Y13" s="67">
        <v>501.99894513106022</v>
      </c>
      <c r="AA13" s="67">
        <v>7.9999999999999174</v>
      </c>
      <c r="AB13" s="67">
        <v>133.81222565266469</v>
      </c>
      <c r="AC13" s="67">
        <v>43.216347549939137</v>
      </c>
      <c r="AD13" s="67">
        <v>490.22455910687353</v>
      </c>
      <c r="AF13" s="67">
        <v>7.9999999999999174</v>
      </c>
      <c r="AG13" s="67">
        <v>87.258106708671974</v>
      </c>
      <c r="AH13" s="67">
        <v>32.311229624425323</v>
      </c>
      <c r="AI13" s="67">
        <v>489.44027795904083</v>
      </c>
      <c r="AK13" s="67">
        <v>7.9999999999999174</v>
      </c>
      <c r="AL13" s="67">
        <v>63.509828307097457</v>
      </c>
      <c r="AM13" s="67">
        <v>28.175377905030981</v>
      </c>
      <c r="AN13" s="67">
        <v>471.58940221428418</v>
      </c>
      <c r="AP13" s="67">
        <v>-44.257837287731412</v>
      </c>
      <c r="AQ13" s="67">
        <v>8.5595067171678068</v>
      </c>
      <c r="AS13" s="67">
        <v>-42.557999999999957</v>
      </c>
      <c r="AT13" s="67">
        <v>9.6822265563709067</v>
      </c>
      <c r="AV13" s="67">
        <v>51.216786088918873</v>
      </c>
      <c r="AW13" s="67">
        <v>217.94909451304801</v>
      </c>
      <c r="AY13" s="67">
        <v>51.037032718704573</v>
      </c>
      <c r="AZ13" s="67">
        <v>216.66949386711551</v>
      </c>
      <c r="BB13" s="67">
        <v>36.001854456836782</v>
      </c>
      <c r="BC13" s="67">
        <v>129.89289201191431</v>
      </c>
      <c r="BE13" s="67">
        <v>35.823668189316102</v>
      </c>
      <c r="BF13" s="67">
        <v>129.24177067110551</v>
      </c>
      <c r="BH13" s="68">
        <v>39</v>
      </c>
      <c r="BI13" s="68">
        <v>556.54311012689823</v>
      </c>
      <c r="BJ13" s="68">
        <v>893.6282696501878</v>
      </c>
      <c r="BK13" s="68">
        <v>1648.4546814965399</v>
      </c>
      <c r="BL13" s="68">
        <v>2632.5935318906718</v>
      </c>
      <c r="BM13" s="68">
        <v>4284.1072736182323</v>
      </c>
    </row>
    <row r="14" spans="2:72" x14ac:dyDescent="0.25">
      <c r="B14" s="67">
        <v>450</v>
      </c>
      <c r="C14" s="67">
        <v>147.52089045854169</v>
      </c>
      <c r="D14" s="67">
        <v>112.2415339760144</v>
      </c>
      <c r="E14" s="67">
        <v>56.970011793445003</v>
      </c>
      <c r="F14" s="67">
        <v>882.77457279218447</v>
      </c>
      <c r="G14" s="67">
        <v>846.43458116796171</v>
      </c>
      <c r="H14" s="67">
        <v>173.6673159513561</v>
      </c>
      <c r="J14" s="67">
        <v>450</v>
      </c>
      <c r="K14" s="67">
        <v>102.4137452764283</v>
      </c>
      <c r="L14" s="67">
        <v>38.606905360369304</v>
      </c>
      <c r="M14" s="67">
        <v>833.3779820885394</v>
      </c>
      <c r="N14" s="67">
        <v>89.945204012356143</v>
      </c>
      <c r="P14" s="67">
        <v>47</v>
      </c>
      <c r="Q14" s="67">
        <v>95.334632349264069</v>
      </c>
      <c r="S14" s="67">
        <v>106.0189581469244</v>
      </c>
      <c r="T14" s="67">
        <v>106.0189581469244</v>
      </c>
      <c r="V14" s="67">
        <v>8.999999999999897</v>
      </c>
      <c r="W14" s="67">
        <v>155.96414874102209</v>
      </c>
      <c r="X14" s="67">
        <v>46.335736307301772</v>
      </c>
      <c r="Y14" s="67">
        <v>499.62676984129519</v>
      </c>
      <c r="AA14" s="67">
        <v>8.999999999999897</v>
      </c>
      <c r="AB14" s="67">
        <v>126.47013614317331</v>
      </c>
      <c r="AC14" s="67">
        <v>42.342569365975407</v>
      </c>
      <c r="AD14" s="67">
        <v>485.48020852734049</v>
      </c>
      <c r="AF14" s="67">
        <v>8.999999999999897</v>
      </c>
      <c r="AG14" s="67">
        <v>84.573469492593631</v>
      </c>
      <c r="AH14" s="67">
        <v>31.969701894241439</v>
      </c>
      <c r="AI14" s="67">
        <v>487.06810266927579</v>
      </c>
      <c r="AK14" s="67">
        <v>8.999999999999897</v>
      </c>
      <c r="AL14" s="67">
        <v>60.090840974390531</v>
      </c>
      <c r="AM14" s="67">
        <v>27.59222079269767</v>
      </c>
      <c r="AN14" s="67">
        <v>466.8450516347512</v>
      </c>
      <c r="AP14" s="67">
        <v>-42.782816948697807</v>
      </c>
      <c r="AQ14" s="67">
        <v>9.0541810276531898</v>
      </c>
      <c r="AS14" s="67">
        <v>-41.057999999999957</v>
      </c>
      <c r="AT14" s="67">
        <v>10.245278730601081</v>
      </c>
      <c r="AV14" s="67">
        <v>51.101883265365423</v>
      </c>
      <c r="AW14" s="67">
        <v>216.95845838837809</v>
      </c>
      <c r="AY14" s="67">
        <v>50.899334690989889</v>
      </c>
      <c r="AZ14" s="67">
        <v>215.67128364887739</v>
      </c>
      <c r="BB14" s="67">
        <v>35.857988993516933</v>
      </c>
      <c r="BC14" s="67">
        <v>128.88778698737991</v>
      </c>
      <c r="BE14" s="67">
        <v>35.667492349459437</v>
      </c>
      <c r="BF14" s="67">
        <v>128.4561371393809</v>
      </c>
      <c r="BH14" s="68">
        <v>42</v>
      </c>
      <c r="BI14" s="68">
        <v>541.07350491480156</v>
      </c>
      <c r="BJ14" s="68">
        <v>863.41098084983889</v>
      </c>
      <c r="BK14" s="68">
        <v>1583.2530019178971</v>
      </c>
      <c r="BL14" s="68">
        <v>2519.3046339681391</v>
      </c>
      <c r="BM14" s="68">
        <v>4086.5600570839429</v>
      </c>
    </row>
    <row r="15" spans="2:72" x14ac:dyDescent="0.25">
      <c r="B15" s="67">
        <v>500</v>
      </c>
      <c r="C15" s="67">
        <v>151.8389814770035</v>
      </c>
      <c r="D15" s="67">
        <v>116.3794000175083</v>
      </c>
      <c r="E15" s="67">
        <v>57.822871235687643</v>
      </c>
      <c r="F15" s="67">
        <v>878.10815671138118</v>
      </c>
      <c r="G15" s="67">
        <v>840.99405219765913</v>
      </c>
      <c r="H15" s="67">
        <v>174.0711215222214</v>
      </c>
      <c r="J15" s="67">
        <v>500</v>
      </c>
      <c r="K15" s="67">
        <v>106.48692878272681</v>
      </c>
      <c r="L15" s="67">
        <v>39.048924615148991</v>
      </c>
      <c r="M15" s="67">
        <v>827.59443846398631</v>
      </c>
      <c r="N15" s="67">
        <v>90.279026058757523</v>
      </c>
      <c r="P15" s="67">
        <v>50</v>
      </c>
      <c r="Q15" s="67">
        <v>103.321800876897</v>
      </c>
      <c r="S15" s="67">
        <v>115.8234498532151</v>
      </c>
      <c r="T15" s="67">
        <v>115.8234498532151</v>
      </c>
      <c r="V15" s="67">
        <v>9.9999999999998757</v>
      </c>
      <c r="W15" s="67">
        <v>152.1031385313791</v>
      </c>
      <c r="X15" s="67">
        <v>45.990692628540607</v>
      </c>
      <c r="Y15" s="67">
        <v>497.2545945515302</v>
      </c>
      <c r="AA15" s="67">
        <v>9.9999999999998757</v>
      </c>
      <c r="AB15" s="67">
        <v>120.0241211504762</v>
      </c>
      <c r="AC15" s="67">
        <v>41.583294186259543</v>
      </c>
      <c r="AD15" s="67">
        <v>480.73585794780752</v>
      </c>
      <c r="AF15" s="67">
        <v>9.9999999999998757</v>
      </c>
      <c r="AG15" s="67">
        <v>82.148413505111961</v>
      </c>
      <c r="AH15" s="67">
        <v>31.668919419551909</v>
      </c>
      <c r="AI15" s="67">
        <v>484.69592737951069</v>
      </c>
      <c r="AK15" s="67">
        <v>9.9999999999998757</v>
      </c>
      <c r="AL15" s="67">
        <v>57.271416230120053</v>
      </c>
      <c r="AM15" s="67">
        <v>27.099352639847499</v>
      </c>
      <c r="AN15" s="67">
        <v>462.10070105521822</v>
      </c>
      <c r="AP15" s="67">
        <v>-41.307796609664251</v>
      </c>
      <c r="AQ15" s="67">
        <v>9.5698154138429921</v>
      </c>
      <c r="AS15" s="67">
        <v>-39.057999999999957</v>
      </c>
      <c r="AT15" s="67">
        <v>11.03375480111268</v>
      </c>
      <c r="AV15" s="67">
        <v>50.987328261152918</v>
      </c>
      <c r="AW15" s="67">
        <v>215.96966994199829</v>
      </c>
      <c r="AY15" s="67">
        <v>50.76188149473122</v>
      </c>
      <c r="AZ15" s="67">
        <v>214.67404041631619</v>
      </c>
      <c r="BB15" s="67">
        <v>35.713931373710238</v>
      </c>
      <c r="BC15" s="67">
        <v>127.8827761594498</v>
      </c>
      <c r="BE15" s="67">
        <v>35.513375120444053</v>
      </c>
      <c r="BF15" s="67">
        <v>127.6820136937388</v>
      </c>
      <c r="BH15" s="68">
        <v>45</v>
      </c>
      <c r="BI15" s="68">
        <v>530.92406791572182</v>
      </c>
      <c r="BJ15" s="68">
        <v>840.5318831595041</v>
      </c>
      <c r="BK15" s="68">
        <v>1530.558937308301</v>
      </c>
      <c r="BL15" s="68">
        <v>2425.585103035839</v>
      </c>
      <c r="BM15" s="68">
        <v>3920.746114466112</v>
      </c>
    </row>
    <row r="16" spans="2:72" x14ac:dyDescent="0.25">
      <c r="B16" s="67">
        <v>550</v>
      </c>
      <c r="C16" s="67">
        <v>156.1342855942197</v>
      </c>
      <c r="D16" s="67">
        <v>120.4907016558676</v>
      </c>
      <c r="E16" s="67">
        <v>58.677762156197382</v>
      </c>
      <c r="F16" s="67">
        <v>873.48190858756891</v>
      </c>
      <c r="G16" s="67">
        <v>835.60164381162735</v>
      </c>
      <c r="H16" s="67">
        <v>174.4942300427463</v>
      </c>
      <c r="J16" s="67">
        <v>550</v>
      </c>
      <c r="K16" s="67">
        <v>110.5318714851804</v>
      </c>
      <c r="L16" s="67">
        <v>39.492579918293117</v>
      </c>
      <c r="M16" s="67">
        <v>821.86229914870137</v>
      </c>
      <c r="N16" s="67">
        <v>90.61230956683724</v>
      </c>
      <c r="P16" s="67">
        <v>53</v>
      </c>
      <c r="Q16" s="67">
        <v>111.6664533663083</v>
      </c>
      <c r="S16" s="67">
        <v>126.3298473204008</v>
      </c>
      <c r="T16" s="67">
        <v>126.3298473204008</v>
      </c>
      <c r="V16" s="67">
        <v>10.999999999999851</v>
      </c>
      <c r="W16" s="67">
        <v>148.53189645875199</v>
      </c>
      <c r="X16" s="67">
        <v>45.686231179561837</v>
      </c>
      <c r="Y16" s="67">
        <v>494.88241926176522</v>
      </c>
      <c r="AA16" s="67">
        <v>10.999999999999851</v>
      </c>
      <c r="AB16" s="67">
        <v>114.37292167814191</v>
      </c>
      <c r="AC16" s="67">
        <v>40.927041228557982</v>
      </c>
      <c r="AD16" s="67">
        <v>475.99150736827448</v>
      </c>
      <c r="AF16" s="67">
        <v>10.999999999999851</v>
      </c>
      <c r="AG16" s="67">
        <v>79.957703172374949</v>
      </c>
      <c r="AH16" s="67">
        <v>31.40486511835979</v>
      </c>
      <c r="AI16" s="67">
        <v>482.32375208974582</v>
      </c>
      <c r="AK16" s="67">
        <v>10.999999999999851</v>
      </c>
      <c r="AL16" s="67">
        <v>54.976881833898602</v>
      </c>
      <c r="AM16" s="67">
        <v>26.687609026471591</v>
      </c>
      <c r="AN16" s="67">
        <v>457.35635047568519</v>
      </c>
      <c r="AP16" s="67">
        <v>-39.832776270630688</v>
      </c>
      <c r="AQ16" s="67">
        <v>10.10695026542591</v>
      </c>
      <c r="AS16" s="67">
        <v>-37.057999999999957</v>
      </c>
      <c r="AT16" s="67">
        <v>11.8667984507219</v>
      </c>
      <c r="AV16" s="67">
        <v>50.873108522139432</v>
      </c>
      <c r="AW16" s="67">
        <v>214.9826621024898</v>
      </c>
      <c r="AY16" s="67">
        <v>50.624650606344026</v>
      </c>
      <c r="AZ16" s="67">
        <v>213.677658766071</v>
      </c>
      <c r="BB16" s="67">
        <v>35.569643443964139</v>
      </c>
      <c r="BC16" s="67">
        <v>126.8776979241466</v>
      </c>
      <c r="BE16" s="67">
        <v>35.361293801028779</v>
      </c>
      <c r="BF16" s="67">
        <v>126.9192453951687</v>
      </c>
      <c r="BH16" s="68">
        <v>48</v>
      </c>
      <c r="BI16" s="68">
        <v>2107.3274428333589</v>
      </c>
      <c r="BJ16" s="68">
        <v>824.4375184988869</v>
      </c>
      <c r="BK16" s="68">
        <v>1488.629032340056</v>
      </c>
      <c r="BL16" s="68">
        <v>2348.2989382151941</v>
      </c>
      <c r="BM16" s="68">
        <v>3781.2146932273222</v>
      </c>
    </row>
    <row r="17" spans="2:65" x14ac:dyDescent="0.25">
      <c r="B17" s="67">
        <v>600</v>
      </c>
      <c r="C17" s="67">
        <v>160.4070034547488</v>
      </c>
      <c r="D17" s="67">
        <v>124.57568334295929</v>
      </c>
      <c r="E17" s="67">
        <v>59.534770035388831</v>
      </c>
      <c r="F17" s="67">
        <v>868.89724435846188</v>
      </c>
      <c r="G17" s="67">
        <v>830.26065954508908</v>
      </c>
      <c r="H17" s="67">
        <v>174.93314967554269</v>
      </c>
      <c r="J17" s="67">
        <v>600</v>
      </c>
      <c r="K17" s="67">
        <v>114.54883687369041</v>
      </c>
      <c r="L17" s="67">
        <v>39.937868503460393</v>
      </c>
      <c r="M17" s="67">
        <v>816.18608864203884</v>
      </c>
      <c r="N17" s="67">
        <v>90.945005565253183</v>
      </c>
      <c r="P17" s="67">
        <v>56</v>
      </c>
      <c r="Q17" s="67">
        <v>120.4062392488635</v>
      </c>
      <c r="S17" s="67">
        <v>137.67062658287921</v>
      </c>
      <c r="T17" s="67">
        <v>137.67062658287921</v>
      </c>
      <c r="V17" s="67">
        <v>11.999999999999829</v>
      </c>
      <c r="W17" s="67">
        <v>145.22403987430721</v>
      </c>
      <c r="X17" s="67">
        <v>45.418409224987563</v>
      </c>
      <c r="Y17" s="67">
        <v>492.51024397200018</v>
      </c>
      <c r="AA17" s="67">
        <v>11.999999999999829</v>
      </c>
      <c r="AB17" s="67">
        <v>109.42642393730129</v>
      </c>
      <c r="AC17" s="67">
        <v>40.363371350636612</v>
      </c>
      <c r="AD17" s="67">
        <v>471.24715678874151</v>
      </c>
      <c r="AF17" s="67">
        <v>11.999999999999829</v>
      </c>
      <c r="AG17" s="67">
        <v>77.978679073443132</v>
      </c>
      <c r="AH17" s="67">
        <v>31.173898857803749</v>
      </c>
      <c r="AI17" s="67">
        <v>479.95157679998078</v>
      </c>
      <c r="AK17" s="67">
        <v>11.999999999999829</v>
      </c>
      <c r="AL17" s="67">
        <v>53.145195096483938</v>
      </c>
      <c r="AM17" s="67">
        <v>26.349622823716569</v>
      </c>
      <c r="AN17" s="67">
        <v>452.61199989615221</v>
      </c>
      <c r="AP17" s="67">
        <v>-38.357755931597133</v>
      </c>
      <c r="AQ17" s="67">
        <v>10.666130107813601</v>
      </c>
      <c r="AS17" s="67">
        <v>-35.557999999999957</v>
      </c>
      <c r="AT17" s="67">
        <v>12.52178619033891</v>
      </c>
      <c r="AV17" s="67">
        <v>50.759211365941162</v>
      </c>
      <c r="AW17" s="67">
        <v>213.99736727608459</v>
      </c>
      <c r="AY17" s="67">
        <v>50.48761903520478</v>
      </c>
      <c r="AZ17" s="67">
        <v>212.68203135936949</v>
      </c>
      <c r="BB17" s="67">
        <v>35.425085480468233</v>
      </c>
      <c r="BC17" s="67">
        <v>125.8723847771258</v>
      </c>
      <c r="BE17" s="67">
        <v>35.2112259531687</v>
      </c>
      <c r="BF17" s="67">
        <v>126.1676794432409</v>
      </c>
      <c r="BH17" s="68">
        <v>51</v>
      </c>
      <c r="BI17" s="68">
        <v>2125.5980003987879</v>
      </c>
      <c r="BJ17" s="68">
        <v>815.14324337806352</v>
      </c>
      <c r="BK17" s="68">
        <v>1456.3087379953729</v>
      </c>
      <c r="BL17" s="68">
        <v>2285.1601955150159</v>
      </c>
      <c r="BM17" s="68">
        <v>3663.8743073260871</v>
      </c>
    </row>
    <row r="18" spans="2:65" x14ac:dyDescent="0.25">
      <c r="B18" s="67">
        <v>650</v>
      </c>
      <c r="C18" s="67">
        <v>164.65734259893159</v>
      </c>
      <c r="D18" s="67">
        <v>128.63460575014929</v>
      </c>
      <c r="E18" s="67">
        <v>60.393964903905619</v>
      </c>
      <c r="F18" s="67">
        <v>864.35556197154017</v>
      </c>
      <c r="G18" s="67">
        <v>824.97440497719253</v>
      </c>
      <c r="H18" s="67">
        <v>175.385018717165</v>
      </c>
      <c r="J18" s="67">
        <v>650</v>
      </c>
      <c r="K18" s="67">
        <v>118.5381105692055</v>
      </c>
      <c r="L18" s="67">
        <v>40.384787375804883</v>
      </c>
      <c r="M18" s="67">
        <v>810.57029773547436</v>
      </c>
      <c r="N18" s="67">
        <v>91.277069666415102</v>
      </c>
      <c r="P18" s="67">
        <v>59</v>
      </c>
      <c r="Q18" s="67">
        <v>129.58495852275911</v>
      </c>
      <c r="S18" s="67">
        <v>150.02188738103629</v>
      </c>
      <c r="T18" s="67">
        <v>150.02188738103629</v>
      </c>
      <c r="V18" s="67">
        <v>12.99999999999981</v>
      </c>
      <c r="W18" s="67">
        <v>142.15580680455929</v>
      </c>
      <c r="X18" s="67">
        <v>45.183648846776862</v>
      </c>
      <c r="Y18" s="67">
        <v>490.1380686822352</v>
      </c>
      <c r="AA18" s="67">
        <v>12.99999999999981</v>
      </c>
      <c r="AB18" s="67">
        <v>105.1044482061523</v>
      </c>
      <c r="AC18" s="67">
        <v>39.882795374099601</v>
      </c>
      <c r="AD18" s="67">
        <v>466.50280620920859</v>
      </c>
      <c r="AF18" s="67">
        <v>12.99999999999981</v>
      </c>
      <c r="AG18" s="67">
        <v>76.190992949522524</v>
      </c>
      <c r="AH18" s="67">
        <v>30.97272339531099</v>
      </c>
      <c r="AI18" s="67">
        <v>477.57940151021569</v>
      </c>
      <c r="AK18" s="67">
        <v>12.99999999999981</v>
      </c>
      <c r="AL18" s="67">
        <v>52.31799493350875</v>
      </c>
      <c r="AM18" s="67">
        <v>26.223391026965089</v>
      </c>
      <c r="AN18" s="67">
        <v>447.86764931661929</v>
      </c>
      <c r="AP18" s="67">
        <v>-36.882735592563527</v>
      </c>
      <c r="AQ18" s="67">
        <v>11.247903639315529</v>
      </c>
      <c r="AS18" s="67">
        <v>-33.557999999999957</v>
      </c>
      <c r="AT18" s="67">
        <v>13.436675746896441</v>
      </c>
      <c r="AV18" s="67">
        <v>50.645623974112823</v>
      </c>
      <c r="AW18" s="67">
        <v>213.0137173090655</v>
      </c>
      <c r="AY18" s="67">
        <v>50.350763294372442</v>
      </c>
      <c r="AZ18" s="67">
        <v>211.687048795831</v>
      </c>
      <c r="BB18" s="67">
        <v>35.280216069232488</v>
      </c>
      <c r="BC18" s="67">
        <v>124.8666628570226</v>
      </c>
      <c r="BE18" s="67">
        <v>35.063149396802011</v>
      </c>
      <c r="BF18" s="67">
        <v>125.4271651365363</v>
      </c>
      <c r="BH18" s="68">
        <v>54</v>
      </c>
      <c r="BI18" s="68">
        <v>2142.8989517516502</v>
      </c>
      <c r="BJ18" s="68">
        <v>813.52433342200061</v>
      </c>
      <c r="BK18" s="68">
        <v>1432.955953031458</v>
      </c>
      <c r="BL18" s="68">
        <v>2234.5332768131402</v>
      </c>
      <c r="BM18" s="68">
        <v>3565.6324483571511</v>
      </c>
    </row>
    <row r="19" spans="2:65" x14ac:dyDescent="0.25">
      <c r="B19" s="67">
        <v>700</v>
      </c>
      <c r="C19" s="67">
        <v>168.8855173915604</v>
      </c>
      <c r="D19" s="67">
        <v>132.66774569907011</v>
      </c>
      <c r="E19" s="67">
        <v>61.255404045156617</v>
      </c>
      <c r="F19" s="67">
        <v>859.8582470542101</v>
      </c>
      <c r="G19" s="67">
        <v>819.74615419197278</v>
      </c>
      <c r="H19" s="67">
        <v>175.84746215970779</v>
      </c>
      <c r="J19" s="67">
        <v>700</v>
      </c>
      <c r="K19" s="67">
        <v>122.5</v>
      </c>
      <c r="L19" s="67">
        <v>40.833333333333343</v>
      </c>
      <c r="M19" s="67">
        <v>805.01931822061511</v>
      </c>
      <c r="N19" s="67">
        <v>91.608461624269168</v>
      </c>
      <c r="P19" s="67">
        <v>62</v>
      </c>
      <c r="Q19" s="67">
        <v>139.2539246633101</v>
      </c>
      <c r="S19" s="67">
        <v>163.6254132457768</v>
      </c>
      <c r="T19" s="67">
        <v>163.6254132457768</v>
      </c>
      <c r="V19" s="67">
        <v>13.99999999999979</v>
      </c>
      <c r="W19" s="67">
        <v>139.30579384529341</v>
      </c>
      <c r="X19" s="67">
        <v>44.9787043835031</v>
      </c>
      <c r="Y19" s="67">
        <v>487.76589339247022</v>
      </c>
      <c r="AA19" s="67">
        <v>13.99999999999979</v>
      </c>
      <c r="AB19" s="67">
        <v>101.335623445327</v>
      </c>
      <c r="AC19" s="67">
        <v>39.476686020092423</v>
      </c>
      <c r="AD19" s="67">
        <v>461.75845562967561</v>
      </c>
      <c r="AF19" s="67">
        <v>13.99999999999979</v>
      </c>
      <c r="AG19" s="67">
        <v>74.576368829937451</v>
      </c>
      <c r="AH19" s="67">
        <v>30.79835325100208</v>
      </c>
      <c r="AI19" s="67">
        <v>475.20722622045082</v>
      </c>
      <c r="AK19" s="67">
        <v>13.99999999999979</v>
      </c>
      <c r="AL19" s="67">
        <v>52.697516879507447</v>
      </c>
      <c r="AM19" s="67">
        <v>26.376659336649599</v>
      </c>
      <c r="AN19" s="67">
        <v>443.12329873708632</v>
      </c>
      <c r="AP19" s="67">
        <v>-35.407715253529972</v>
      </c>
      <c r="AQ19" s="67">
        <v>11.85282378503199</v>
      </c>
      <c r="AS19" s="67">
        <v>-31.746243133478028</v>
      </c>
      <c r="AT19" s="67">
        <v>14.307728833801219</v>
      </c>
      <c r="AV19" s="67">
        <v>50.532333383967277</v>
      </c>
      <c r="AW19" s="67">
        <v>212.03164344850049</v>
      </c>
      <c r="AY19" s="67">
        <v>50.214059369432483</v>
      </c>
      <c r="AZ19" s="67">
        <v>210.69259947935731</v>
      </c>
      <c r="BB19" s="67">
        <v>35.13499197507889</v>
      </c>
      <c r="BC19" s="67">
        <v>123.8603514469302</v>
      </c>
      <c r="BE19" s="67">
        <v>34.917042204650159</v>
      </c>
      <c r="BF19" s="67">
        <v>124.6975538334062</v>
      </c>
      <c r="BH19" s="68">
        <v>57</v>
      </c>
      <c r="BI19" s="68">
        <v>2159.3318564610881</v>
      </c>
      <c r="BJ19" s="68">
        <v>822.42278030183354</v>
      </c>
      <c r="BK19" s="68">
        <v>1418.453891208962</v>
      </c>
      <c r="BL19" s="68">
        <v>2195.3131706464678</v>
      </c>
      <c r="BM19" s="68">
        <v>3484.1543405269681</v>
      </c>
    </row>
    <row r="20" spans="2:65" x14ac:dyDescent="0.25">
      <c r="B20" s="67">
        <v>750</v>
      </c>
      <c r="C20" s="67">
        <v>173.0917489623186</v>
      </c>
      <c r="D20" s="67">
        <v>136.67539589228869</v>
      </c>
      <c r="E20" s="67">
        <v>62.119134114436157</v>
      </c>
      <c r="F20" s="67">
        <v>855.40667218201588</v>
      </c>
      <c r="G20" s="67">
        <v>814.57910302663697</v>
      </c>
      <c r="H20" s="67">
        <v>176.3184920198822</v>
      </c>
      <c r="P20" s="67">
        <v>65</v>
      </c>
      <c r="Q20" s="67">
        <v>149.4737046981636</v>
      </c>
      <c r="S20" s="67">
        <v>178.82684137639421</v>
      </c>
      <c r="T20" s="67">
        <v>178.82684137639421</v>
      </c>
      <c r="V20" s="67">
        <v>14.999999999999771</v>
      </c>
      <c r="W20" s="67">
        <v>136.65471909906941</v>
      </c>
      <c r="X20" s="67">
        <v>44.800632640256367</v>
      </c>
      <c r="Y20" s="67">
        <v>485.39371810270518</v>
      </c>
      <c r="AA20" s="67">
        <v>14.999999999999771</v>
      </c>
      <c r="AB20" s="67">
        <v>98.0563668590259</v>
      </c>
      <c r="AC20" s="67">
        <v>39.137195795587559</v>
      </c>
      <c r="AD20" s="67">
        <v>457.01410505014258</v>
      </c>
      <c r="AF20" s="67">
        <v>14.999999999999771</v>
      </c>
      <c r="AG20" s="67">
        <v>73.118387760120953</v>
      </c>
      <c r="AH20" s="67">
        <v>30.648086249498871</v>
      </c>
      <c r="AI20" s="67">
        <v>472.83505093068578</v>
      </c>
      <c r="AK20" s="67">
        <v>14.999999999999771</v>
      </c>
      <c r="AL20" s="67">
        <v>53.064598128923492</v>
      </c>
      <c r="AM20" s="67">
        <v>26.521296098599979</v>
      </c>
      <c r="AN20" s="67">
        <v>438.37894815755328</v>
      </c>
      <c r="AP20" s="67">
        <v>-33.932694914496409</v>
      </c>
      <c r="AQ20" s="67">
        <v>12.481447767665721</v>
      </c>
      <c r="AS20" s="67">
        <v>-30.557999999999961</v>
      </c>
      <c r="AT20" s="67">
        <v>14.901453916039049</v>
      </c>
      <c r="AV20" s="67">
        <v>50.419326480017958</v>
      </c>
      <c r="AW20" s="67">
        <v>211.05107630123439</v>
      </c>
      <c r="AY20" s="67">
        <v>50.077482685321733</v>
      </c>
      <c r="AZ20" s="67">
        <v>209.69856947551619</v>
      </c>
      <c r="BB20" s="67">
        <v>34.989367998152197</v>
      </c>
      <c r="BC20" s="67">
        <v>122.853262429228</v>
      </c>
      <c r="BE20" s="67">
        <v>34.772882697041993</v>
      </c>
      <c r="BF20" s="67">
        <v>123.97869891309</v>
      </c>
      <c r="BH20" s="68">
        <v>60</v>
      </c>
      <c r="BI20" s="68">
        <v>2174.9818323361592</v>
      </c>
      <c r="BJ20" s="68">
        <v>2568.85221910878</v>
      </c>
      <c r="BK20" s="68">
        <v>1413.3552817134309</v>
      </c>
      <c r="BL20" s="68">
        <v>2166.8683915052061</v>
      </c>
      <c r="BM20" s="68">
        <v>3417.7011431586038</v>
      </c>
    </row>
    <row r="21" spans="2:65" x14ac:dyDescent="0.25">
      <c r="B21" s="67">
        <v>800</v>
      </c>
      <c r="C21" s="67">
        <v>177.27626512552101</v>
      </c>
      <c r="D21" s="67">
        <v>140.65786439246239</v>
      </c>
      <c r="E21" s="67">
        <v>62.985192844205663</v>
      </c>
      <c r="F21" s="67">
        <v>851.00218948102633</v>
      </c>
      <c r="G21" s="67">
        <v>809.47631463563653</v>
      </c>
      <c r="H21" s="67">
        <v>176.79643510684511</v>
      </c>
      <c r="P21" s="67">
        <v>68</v>
      </c>
      <c r="Q21" s="67">
        <v>160.31635531498009</v>
      </c>
      <c r="S21" s="67">
        <v>196.14647162684491</v>
      </c>
      <c r="T21" s="67">
        <v>196.14647162684491</v>
      </c>
      <c r="V21" s="67">
        <v>15.99999999999975</v>
      </c>
      <c r="W21" s="67">
        <v>134.18520801800489</v>
      </c>
      <c r="X21" s="67">
        <v>44.646765660345302</v>
      </c>
      <c r="Y21" s="67">
        <v>483.0215428129402</v>
      </c>
      <c r="AA21" s="67">
        <v>15.99999999999975</v>
      </c>
      <c r="AB21" s="67">
        <v>95.209977887158374</v>
      </c>
      <c r="AC21" s="67">
        <v>38.85718222496638</v>
      </c>
      <c r="AD21" s="67">
        <v>452.2697544706096</v>
      </c>
      <c r="AF21" s="67">
        <v>15.99999999999975</v>
      </c>
      <c r="AG21" s="67">
        <v>71.802293926334073</v>
      </c>
      <c r="AH21" s="67">
        <v>30.51947750541683</v>
      </c>
      <c r="AI21" s="67">
        <v>470.46287564092069</v>
      </c>
      <c r="AK21" s="67">
        <v>15.99999999999975</v>
      </c>
      <c r="AL21" s="67">
        <v>53.419511425037797</v>
      </c>
      <c r="AM21" s="67">
        <v>26.65755268301427</v>
      </c>
      <c r="AN21" s="67">
        <v>433.63459757802042</v>
      </c>
      <c r="AP21" s="67">
        <v>-32.457674575462818</v>
      </c>
      <c r="AQ21" s="67">
        <v>13.13433719609497</v>
      </c>
      <c r="AS21" s="67">
        <v>-28.557999999999961</v>
      </c>
      <c r="AT21" s="67">
        <v>15.94206815698081</v>
      </c>
      <c r="AV21" s="67">
        <v>50.306589985017183</v>
      </c>
      <c r="AW21" s="67">
        <v>210.07194579102759</v>
      </c>
      <c r="AY21" s="67">
        <v>49.941008070953657</v>
      </c>
      <c r="AZ21" s="67">
        <v>208.70484235965921</v>
      </c>
      <c r="BB21" s="67">
        <v>34.843296816469831</v>
      </c>
      <c r="BC21" s="67">
        <v>121.84519968826601</v>
      </c>
      <c r="BE21" s="67">
        <v>34.630649436770369</v>
      </c>
      <c r="BF21" s="67">
        <v>123.2704557372692</v>
      </c>
      <c r="BH21" s="68">
        <v>63</v>
      </c>
      <c r="BI21" s="68">
        <v>2189.9210579914629</v>
      </c>
      <c r="BJ21" s="68">
        <v>2601.299768448444</v>
      </c>
      <c r="BK21" s="68">
        <v>1419.30971057595</v>
      </c>
      <c r="BL21" s="68">
        <v>2149.045094787848</v>
      </c>
      <c r="BM21" s="68">
        <v>3365.0241023737349</v>
      </c>
    </row>
    <row r="22" spans="2:65" x14ac:dyDescent="0.25">
      <c r="B22" s="67">
        <v>850</v>
      </c>
      <c r="C22" s="67">
        <v>181.43930024805519</v>
      </c>
      <c r="D22" s="67">
        <v>144.61547382910479</v>
      </c>
      <c r="E22" s="67">
        <v>63.853610443206122</v>
      </c>
      <c r="F22" s="67">
        <v>846.64611733448464</v>
      </c>
      <c r="G22" s="67">
        <v>804.44066401861562</v>
      </c>
      <c r="H22" s="67">
        <v>177.27987846440661</v>
      </c>
      <c r="P22" s="67">
        <v>71</v>
      </c>
      <c r="Q22" s="67">
        <v>171.86830972043251</v>
      </c>
      <c r="S22" s="67">
        <v>216.42299223786091</v>
      </c>
      <c r="T22" s="67">
        <v>216.42299223786091</v>
      </c>
      <c r="V22" s="67">
        <v>16.99999999999973</v>
      </c>
      <c r="W22" s="67">
        <v>131.8816001288734</v>
      </c>
      <c r="X22" s="67">
        <v>44.514685857350742</v>
      </c>
      <c r="Y22" s="67">
        <v>480.64936752317521</v>
      </c>
      <c r="AA22" s="67">
        <v>16.99999999999973</v>
      </c>
      <c r="AB22" s="67">
        <v>92.745847608185898</v>
      </c>
      <c r="AC22" s="67">
        <v>38.630141067080437</v>
      </c>
      <c r="AD22" s="67">
        <v>447.52540389107662</v>
      </c>
      <c r="AF22" s="67">
        <v>16.99999999999973</v>
      </c>
      <c r="AG22" s="67">
        <v>70.614820219622118</v>
      </c>
      <c r="AH22" s="67">
        <v>30.410315654448649</v>
      </c>
      <c r="AI22" s="67">
        <v>468.09070035115582</v>
      </c>
      <c r="AK22" s="67">
        <v>16.99999999999973</v>
      </c>
      <c r="AL22" s="67">
        <v>53.762524002144858</v>
      </c>
      <c r="AM22" s="67">
        <v>26.785670596347419</v>
      </c>
      <c r="AN22" s="67">
        <v>428.89024699848733</v>
      </c>
      <c r="AP22" s="67">
        <v>-30.982654236429251</v>
      </c>
      <c r="AQ22" s="67">
        <v>13.812058173499061</v>
      </c>
      <c r="AS22" s="67">
        <v>-26.557999999999961</v>
      </c>
      <c r="AT22" s="67">
        <v>17.035981937540988</v>
      </c>
      <c r="AV22" s="67">
        <v>50.194110450566768</v>
      </c>
      <c r="AW22" s="67">
        <v>209.0941811137051</v>
      </c>
      <c r="AY22" s="67">
        <v>49.804609721465702</v>
      </c>
      <c r="AZ22" s="67">
        <v>207.71129905502701</v>
      </c>
      <c r="BB22" s="67">
        <v>34.696728812809511</v>
      </c>
      <c r="BC22" s="67">
        <v>120.83595845464239</v>
      </c>
      <c r="BE22" s="67">
        <v>34.49032122399251</v>
      </c>
      <c r="BF22" s="67">
        <v>122.57268161208211</v>
      </c>
      <c r="BH22" s="68">
        <v>66</v>
      </c>
      <c r="BI22" s="68">
        <v>2204.211370593192</v>
      </c>
      <c r="BJ22" s="68">
        <v>2631.3071927602718</v>
      </c>
      <c r="BK22" s="68">
        <v>1440.3429013813391</v>
      </c>
      <c r="BL22" s="68">
        <v>2142.2505783587171</v>
      </c>
      <c r="BM22" s="68">
        <v>3325.3012709098271</v>
      </c>
    </row>
    <row r="23" spans="2:65" x14ac:dyDescent="0.25">
      <c r="B23" s="67">
        <v>900</v>
      </c>
      <c r="C23" s="67">
        <v>185.58109504021709</v>
      </c>
      <c r="D23" s="67">
        <v>148.5485603444501</v>
      </c>
      <c r="E23" s="67">
        <v>64.724410759818767</v>
      </c>
      <c r="F23" s="67">
        <v>842.33972272629626</v>
      </c>
      <c r="G23" s="67">
        <v>799.4747878723515</v>
      </c>
      <c r="H23" s="67">
        <v>177.76762657287509</v>
      </c>
      <c r="P23" s="67">
        <v>74</v>
      </c>
      <c r="Q23" s="67">
        <v>184.23410864818541</v>
      </c>
      <c r="R23" s="67">
        <v>184.23410864818541</v>
      </c>
      <c r="S23" s="67">
        <v>241.1425674905349</v>
      </c>
      <c r="T23" s="67">
        <v>241.1425674905349</v>
      </c>
      <c r="V23" s="67">
        <v>17.999999999999709</v>
      </c>
      <c r="W23" s="67">
        <v>129.72977474901239</v>
      </c>
      <c r="X23" s="67">
        <v>44.402203316028483</v>
      </c>
      <c r="Y23" s="67">
        <v>478.27719223341018</v>
      </c>
      <c r="AA23" s="67">
        <v>17.999999999999709</v>
      </c>
      <c r="AB23" s="67">
        <v>90.618777441618093</v>
      </c>
      <c r="AC23" s="67">
        <v>38.450147554704643</v>
      </c>
      <c r="AD23" s="67">
        <v>442.78105331154359</v>
      </c>
      <c r="AF23" s="67">
        <v>17.999999999999709</v>
      </c>
      <c r="AG23" s="67">
        <v>69.544031482098845</v>
      </c>
      <c r="AH23" s="67">
        <v>30.318601153285559</v>
      </c>
      <c r="AI23" s="67">
        <v>465.71852506139078</v>
      </c>
      <c r="AK23" s="67">
        <v>17.999999999999709</v>
      </c>
      <c r="AL23" s="67">
        <v>54.093896998418877</v>
      </c>
      <c r="AM23" s="67">
        <v>26.90588150517647</v>
      </c>
      <c r="AN23" s="67">
        <v>424.14589641895441</v>
      </c>
      <c r="AP23" s="67">
        <v>-29.507633897395689</v>
      </c>
      <c r="AQ23" s="67">
        <v>14.515181427965301</v>
      </c>
      <c r="AS23" s="67">
        <v>-25.057999999999961</v>
      </c>
      <c r="AT23" s="67">
        <v>17.892465274251389</v>
      </c>
      <c r="AV23" s="67">
        <v>50.081874247271678</v>
      </c>
      <c r="AW23" s="67">
        <v>208.11771069020699</v>
      </c>
      <c r="AY23" s="67">
        <v>49.668261157887848</v>
      </c>
      <c r="AZ23" s="67">
        <v>206.71781766000461</v>
      </c>
      <c r="BB23" s="67">
        <v>34.549611884009209</v>
      </c>
      <c r="BC23" s="67">
        <v>119.8253245839532</v>
      </c>
      <c r="BE23" s="67">
        <v>34.351877091184527</v>
      </c>
      <c r="BF23" s="67">
        <v>121.88523575067561</v>
      </c>
      <c r="BH23" s="68">
        <v>69</v>
      </c>
      <c r="BI23" s="68">
        <v>2217.9062290740808</v>
      </c>
      <c r="BJ23" s="68">
        <v>2659.2471714780609</v>
      </c>
      <c r="BK23" s="68">
        <v>1488.0714114084451</v>
      </c>
      <c r="BL23" s="68">
        <v>2147.6723823158718</v>
      </c>
      <c r="BM23" s="68">
        <v>3298.1105826887151</v>
      </c>
    </row>
    <row r="24" spans="2:65" x14ac:dyDescent="0.25">
      <c r="B24" s="67">
        <v>950</v>
      </c>
      <c r="C24" s="67">
        <v>189.7018962532259</v>
      </c>
      <c r="D24" s="67">
        <v>152.4574723180242</v>
      </c>
      <c r="E24" s="67">
        <v>65.597612257397259</v>
      </c>
      <c r="F24" s="67">
        <v>838.08420130895161</v>
      </c>
      <c r="G24" s="67">
        <v>794.58104476984238</v>
      </c>
      <c r="H24" s="67">
        <v>178.25866668657179</v>
      </c>
      <c r="P24" s="67">
        <v>77</v>
      </c>
      <c r="Q24" s="67">
        <v>197.5411952593056</v>
      </c>
      <c r="R24" s="67">
        <v>197.5411952593056</v>
      </c>
      <c r="S24" s="67">
        <v>273.32916115210543</v>
      </c>
      <c r="T24" s="67">
        <v>273.32916115210543</v>
      </c>
      <c r="V24" s="67">
        <v>18.99999999999968</v>
      </c>
      <c r="W24" s="67">
        <v>127.7169939402946</v>
      </c>
      <c r="X24" s="67">
        <v>44.30733508198972</v>
      </c>
      <c r="Y24" s="67">
        <v>475.90501694364519</v>
      </c>
      <c r="AA24" s="67">
        <v>18.99999999999968</v>
      </c>
      <c r="AB24" s="67">
        <v>88.788395672333706</v>
      </c>
      <c r="AC24" s="67">
        <v>38.311805212263103</v>
      </c>
      <c r="AD24" s="67">
        <v>438.03670273201072</v>
      </c>
      <c r="AF24" s="67">
        <v>18.99999999999968</v>
      </c>
      <c r="AG24" s="67">
        <v>68.579183842524017</v>
      </c>
      <c r="AH24" s="67">
        <v>30.242526488109721</v>
      </c>
      <c r="AI24" s="67">
        <v>463.3463497716258</v>
      </c>
      <c r="AK24" s="67">
        <v>18.99999999999968</v>
      </c>
      <c r="AL24" s="67">
        <v>54.413884932232428</v>
      </c>
      <c r="AM24" s="67">
        <v>27.018407279635142</v>
      </c>
      <c r="AN24" s="67">
        <v>419.40154583942137</v>
      </c>
      <c r="AP24" s="67">
        <v>-28.032613558362129</v>
      </c>
      <c r="AQ24" s="67">
        <v>15.24428246966696</v>
      </c>
      <c r="AS24" s="67">
        <v>-23.057999999999961</v>
      </c>
      <c r="AT24" s="67">
        <v>19.08396931052981</v>
      </c>
      <c r="AV24" s="67">
        <v>49.969867554410257</v>
      </c>
      <c r="AW24" s="67">
        <v>207.14246211741869</v>
      </c>
      <c r="AY24" s="67">
        <v>49.531935184005498</v>
      </c>
      <c r="AZ24" s="67">
        <v>205.72427326357729</v>
      </c>
      <c r="BB24" s="67">
        <v>34.401891230444221</v>
      </c>
      <c r="BC24" s="67">
        <v>118.81307376176851</v>
      </c>
      <c r="BE24" s="67">
        <v>34.215296298156147</v>
      </c>
      <c r="BF24" s="67">
        <v>121.20797923631009</v>
      </c>
      <c r="BH24" s="68">
        <v>72</v>
      </c>
      <c r="BI24" s="68">
        <v>2231.0522225693771</v>
      </c>
      <c r="BJ24" s="68">
        <v>2685.406816336385</v>
      </c>
      <c r="BK24" s="68">
        <v>1681.873803465289</v>
      </c>
      <c r="BL24" s="68">
        <v>2167.786927734905</v>
      </c>
      <c r="BM24" s="68">
        <v>3283.4392862925279</v>
      </c>
    </row>
    <row r="25" spans="2:65" x14ac:dyDescent="0.25">
      <c r="B25" s="67">
        <v>1000</v>
      </c>
      <c r="C25" s="67">
        <v>193.8019562780313</v>
      </c>
      <c r="D25" s="67">
        <v>156.34256892904841</v>
      </c>
      <c r="E25" s="67">
        <v>66.473228835324207</v>
      </c>
      <c r="F25" s="67">
        <v>833.88065746306995</v>
      </c>
      <c r="G25" s="67">
        <v>789.76148863507353</v>
      </c>
      <c r="H25" s="67">
        <v>178.75214006440939</v>
      </c>
      <c r="P25" s="67">
        <v>80</v>
      </c>
      <c r="Q25" s="67">
        <v>211.94596195566899</v>
      </c>
      <c r="R25" s="67">
        <v>211.94596195566899</v>
      </c>
      <c r="S25" s="67">
        <v>320.55800579262711</v>
      </c>
      <c r="T25" s="67">
        <v>320.55800579262711</v>
      </c>
      <c r="V25" s="67">
        <v>19.999999999999659</v>
      </c>
      <c r="W25" s="67">
        <v>125.83176108820641</v>
      </c>
      <c r="X25" s="67">
        <v>44.228286272261983</v>
      </c>
      <c r="Y25" s="67">
        <v>473.53284165388021</v>
      </c>
      <c r="AA25" s="67">
        <v>19.999999999999659</v>
      </c>
      <c r="AB25" s="67">
        <v>87.218656994929717</v>
      </c>
      <c r="AC25" s="67">
        <v>38.210201436761338</v>
      </c>
      <c r="AD25" s="67">
        <v>433.29235215247758</v>
      </c>
      <c r="AF25" s="67">
        <v>19.999999999999659</v>
      </c>
      <c r="AG25" s="67">
        <v>67.710598685894098</v>
      </c>
      <c r="AH25" s="67">
        <v>30.18045814476466</v>
      </c>
      <c r="AI25" s="67">
        <v>460.97417448186081</v>
      </c>
      <c r="AK25" s="67">
        <v>19.999999999999659</v>
      </c>
      <c r="AL25" s="67">
        <v>54.722735236497812</v>
      </c>
      <c r="AM25" s="67">
        <v>27.123460052973599</v>
      </c>
      <c r="AN25" s="67">
        <v>414.6571952598884</v>
      </c>
      <c r="AP25" s="67">
        <v>-26.557593219328538</v>
      </c>
      <c r="AQ25" s="67">
        <v>15.99994177968208</v>
      </c>
      <c r="AS25" s="67">
        <v>-21.057999999999961</v>
      </c>
      <c r="AT25" s="67">
        <v>20.333790790516868</v>
      </c>
      <c r="AV25" s="67">
        <v>49.858076349087128</v>
      </c>
      <c r="AW25" s="67">
        <v>206.16836211659759</v>
      </c>
      <c r="AY25" s="67">
        <v>49.395603840170388</v>
      </c>
      <c r="AZ25" s="67">
        <v>204.73053774796969</v>
      </c>
      <c r="BB25" s="67">
        <v>34.253565660326053</v>
      </c>
      <c r="BC25" s="67">
        <v>117.79933459376799</v>
      </c>
      <c r="BE25" s="67">
        <v>34.080558327134042</v>
      </c>
      <c r="BF25" s="67">
        <v>120.54077498606721</v>
      </c>
      <c r="BH25" s="68">
        <v>75</v>
      </c>
      <c r="BI25" s="68">
        <v>2243.6902465767748</v>
      </c>
      <c r="BJ25" s="68">
        <v>2710.012863351883</v>
      </c>
      <c r="BK25" s="68">
        <v>3200.059946921067</v>
      </c>
      <c r="BL25" s="68">
        <v>2207.6268818402441</v>
      </c>
      <c r="BM25" s="68">
        <v>3281.7368067500752</v>
      </c>
    </row>
    <row r="26" spans="2:65" x14ac:dyDescent="0.25">
      <c r="B26" s="67">
        <v>1050</v>
      </c>
      <c r="C26" s="67">
        <v>197.8815326508965</v>
      </c>
      <c r="D26" s="67">
        <v>160.20421862475399</v>
      </c>
      <c r="E26" s="67">
        <v>67.351270520858037</v>
      </c>
      <c r="F26" s="67">
        <v>829.73008646458027</v>
      </c>
      <c r="G26" s="67">
        <v>785.01785630095117</v>
      </c>
      <c r="H26" s="67">
        <v>179.2473176918887</v>
      </c>
      <c r="P26" s="67">
        <v>83</v>
      </c>
      <c r="Q26" s="67">
        <v>227.6410216000717</v>
      </c>
      <c r="R26" s="67">
        <v>227.6410216000717</v>
      </c>
      <c r="S26" s="67">
        <v>406.68833670958088</v>
      </c>
      <c r="T26" s="67">
        <v>406.68833670958088</v>
      </c>
      <c r="V26" s="67">
        <v>20.999999999999641</v>
      </c>
      <c r="W26" s="67">
        <v>124.0636936292281</v>
      </c>
      <c r="X26" s="67">
        <v>44.163432851131859</v>
      </c>
      <c r="Y26" s="67">
        <v>471.16066636411517</v>
      </c>
      <c r="AA26" s="67">
        <v>20.999999999999641</v>
      </c>
      <c r="AB26" s="67">
        <v>85.877409163516973</v>
      </c>
      <c r="AC26" s="67">
        <v>38.140868765935522</v>
      </c>
      <c r="AD26" s="67">
        <v>428.54800157294471</v>
      </c>
      <c r="AF26" s="67">
        <v>20.999999999999641</v>
      </c>
      <c r="AG26" s="67">
        <v>66.929549919233779</v>
      </c>
      <c r="AH26" s="67">
        <v>30.13092020477313</v>
      </c>
      <c r="AI26" s="67">
        <v>458.60199919209578</v>
      </c>
      <c r="AK26" s="67">
        <v>20.999999999999641</v>
      </c>
      <c r="AL26" s="67">
        <v>55.020687844384227</v>
      </c>
      <c r="AM26" s="67">
        <v>27.22124229318786</v>
      </c>
      <c r="AN26" s="67">
        <v>409.91284468035548</v>
      </c>
      <c r="AP26" s="67">
        <v>-25.082572880294979</v>
      </c>
      <c r="AQ26" s="67">
        <v>16.782745036157259</v>
      </c>
      <c r="AS26" s="67">
        <v>-19.557999999999961</v>
      </c>
      <c r="AT26" s="67">
        <v>21.31058437112878</v>
      </c>
      <c r="AV26" s="67">
        <v>49.746486394835983</v>
      </c>
      <c r="AW26" s="67">
        <v>205.19533647928299</v>
      </c>
      <c r="AY26" s="67">
        <v>49.259238353790487</v>
      </c>
      <c r="AZ26" s="67">
        <v>203.73647957730961</v>
      </c>
      <c r="BB26" s="67">
        <v>34.106316565959787</v>
      </c>
      <c r="BC26" s="67">
        <v>116.79502448927251</v>
      </c>
      <c r="BE26" s="67">
        <v>33.947642877926818</v>
      </c>
      <c r="BF26" s="67">
        <v>119.88348771521289</v>
      </c>
      <c r="BH26" s="68">
        <v>78</v>
      </c>
      <c r="BI26" s="68">
        <v>2255.8564321548361</v>
      </c>
      <c r="BJ26" s="68">
        <v>2733.2480659723351</v>
      </c>
      <c r="BK26" s="68">
        <v>3285.5362942163092</v>
      </c>
      <c r="BL26" s="68">
        <v>2278.613373851997</v>
      </c>
      <c r="BM26" s="68">
        <v>3294.0283542512789</v>
      </c>
    </row>
    <row r="27" spans="2:65" x14ac:dyDescent="0.25">
      <c r="B27" s="67">
        <v>1100</v>
      </c>
      <c r="C27" s="67">
        <v>201.94088748061549</v>
      </c>
      <c r="D27" s="67">
        <v>164.04279756157959</v>
      </c>
      <c r="E27" s="67">
        <v>68.231744051372317</v>
      </c>
      <c r="F27" s="67">
        <v>825.63336044695302</v>
      </c>
      <c r="G27" s="67">
        <v>780.35156806685075</v>
      </c>
      <c r="H27" s="67">
        <v>179.7435796054763</v>
      </c>
      <c r="P27" s="67">
        <v>86</v>
      </c>
      <c r="Q27" s="67">
        <v>244.8629497008308</v>
      </c>
      <c r="R27" s="67">
        <v>244.8629497008308</v>
      </c>
      <c r="S27" s="67">
        <v>528.30642158492253</v>
      </c>
      <c r="T27" s="67">
        <v>528.30642158492253</v>
      </c>
      <c r="V27" s="67">
        <v>21.99999999999962</v>
      </c>
      <c r="W27" s="67">
        <v>122.4034085796914</v>
      </c>
      <c r="X27" s="67">
        <v>44.111305927802498</v>
      </c>
      <c r="Y27" s="67">
        <v>468.78849107435019</v>
      </c>
      <c r="AA27" s="67">
        <v>21.99999999999962</v>
      </c>
      <c r="AB27" s="67">
        <v>84.736011814217491</v>
      </c>
      <c r="AC27" s="67">
        <v>38.099750611412787</v>
      </c>
      <c r="AD27" s="67">
        <v>423.80365099341168</v>
      </c>
      <c r="AF27" s="67">
        <v>21.99999999999962</v>
      </c>
      <c r="AG27" s="67">
        <v>66.228163294850461</v>
      </c>
      <c r="AH27" s="67">
        <v>30.092579439795031</v>
      </c>
      <c r="AI27" s="67">
        <v>456.22982390233079</v>
      </c>
      <c r="AK27" s="67">
        <v>21.99999999999962</v>
      </c>
      <c r="AL27" s="67">
        <v>55.307974819328912</v>
      </c>
      <c r="AM27" s="67">
        <v>27.31194688253623</v>
      </c>
      <c r="AN27" s="67">
        <v>405.16849410082239</v>
      </c>
      <c r="AP27" s="67">
        <v>-23.607552541261409</v>
      </c>
      <c r="AQ27" s="67">
        <v>17.593283383703199</v>
      </c>
      <c r="AS27" s="67">
        <v>-17.557999999999961</v>
      </c>
      <c r="AT27" s="67">
        <v>22.66713664971557</v>
      </c>
      <c r="AV27" s="67">
        <v>49.63508322963537</v>
      </c>
      <c r="AW27" s="67">
        <v>204.22331001049261</v>
      </c>
      <c r="AY27" s="67">
        <v>49.122809086193783</v>
      </c>
      <c r="AZ27" s="67">
        <v>202.7419635711002</v>
      </c>
      <c r="BB27" s="67">
        <v>33.960936423591193</v>
      </c>
      <c r="BC27" s="67">
        <v>115.8052086120795</v>
      </c>
      <c r="BE27" s="67">
        <v>33.816529863170167</v>
      </c>
      <c r="BF27" s="67">
        <v>119.2359839022111</v>
      </c>
      <c r="BH27" s="68">
        <v>81</v>
      </c>
      <c r="BI27" s="68">
        <v>2267.582888734451</v>
      </c>
      <c r="BJ27" s="68">
        <v>2755.2622763135291</v>
      </c>
      <c r="BK27" s="68">
        <v>3357.958655394028</v>
      </c>
      <c r="BL27" s="68">
        <v>2415.7656583795151</v>
      </c>
      <c r="BM27" s="68">
        <v>3322.123837851344</v>
      </c>
    </row>
    <row r="28" spans="2:65" x14ac:dyDescent="0.25">
      <c r="B28" s="67">
        <v>1150</v>
      </c>
      <c r="C28" s="67">
        <v>205.98028681901269</v>
      </c>
      <c r="D28" s="67">
        <v>167.85868807738589</v>
      </c>
      <c r="E28" s="67">
        <v>69.114653363081544</v>
      </c>
      <c r="F28" s="67">
        <v>821.59121924258886</v>
      </c>
      <c r="G28" s="67">
        <v>775.76373890279206</v>
      </c>
      <c r="H28" s="67">
        <v>180.24039723890161</v>
      </c>
      <c r="P28" s="67">
        <v>89</v>
      </c>
      <c r="Q28" s="67">
        <v>263.89772184440727</v>
      </c>
      <c r="R28" s="67">
        <v>263.89772184440727</v>
      </c>
      <c r="S28" s="67">
        <v>591.92902909750683</v>
      </c>
      <c r="T28" s="67">
        <v>591.92902909750683</v>
      </c>
      <c r="V28" s="67">
        <v>22.999999999999599</v>
      </c>
      <c r="W28" s="67">
        <v>120.8424196409203</v>
      </c>
      <c r="X28" s="67">
        <v>44.070577444023463</v>
      </c>
      <c r="Y28" s="67">
        <v>466.41631578458521</v>
      </c>
      <c r="AA28" s="67">
        <v>22.999999999999599</v>
      </c>
      <c r="AB28" s="67">
        <v>83.768995160624385</v>
      </c>
      <c r="AC28" s="67">
        <v>38.083170207935268</v>
      </c>
      <c r="AD28" s="67">
        <v>419.05930041387882</v>
      </c>
      <c r="AF28" s="67">
        <v>22.999999999999599</v>
      </c>
      <c r="AG28" s="67">
        <v>65.599326647261933</v>
      </c>
      <c r="AH28" s="67">
        <v>30.064231786495551</v>
      </c>
      <c r="AI28" s="67">
        <v>453.85764861256581</v>
      </c>
      <c r="AK28" s="67">
        <v>22.999999999999599</v>
      </c>
      <c r="AL28" s="67">
        <v>55.584820022444468</v>
      </c>
      <c r="AM28" s="67">
        <v>27.395757201015162</v>
      </c>
      <c r="AN28" s="67">
        <v>400.42414352128952</v>
      </c>
      <c r="AP28" s="67">
        <v>-22.132532202227821</v>
      </c>
      <c r="AQ28" s="67">
        <v>18.43215375163598</v>
      </c>
      <c r="AS28" s="67">
        <v>-16.057999999999989</v>
      </c>
      <c r="AT28" s="67">
        <v>23.726290926883191</v>
      </c>
      <c r="AV28" s="67">
        <v>49.52385215329673</v>
      </c>
      <c r="AW28" s="67">
        <v>203.2522064690267</v>
      </c>
      <c r="AY28" s="67">
        <v>48.986285475537947</v>
      </c>
      <c r="AZ28" s="67">
        <v>201.74685066107131</v>
      </c>
      <c r="BB28" s="67">
        <v>33.817407363601092</v>
      </c>
      <c r="BC28" s="67">
        <v>114.8297156364082</v>
      </c>
      <c r="BE28" s="67">
        <v>33.687199403667087</v>
      </c>
      <c r="BF28" s="67">
        <v>118.5981317544726</v>
      </c>
      <c r="BH28" s="68">
        <v>84</v>
      </c>
      <c r="BI28" s="68">
        <v>2278.898304303822</v>
      </c>
      <c r="BJ28" s="68">
        <v>2776.180177478424</v>
      </c>
      <c r="BK28" s="68">
        <v>3421.266921348808</v>
      </c>
      <c r="BL28" s="68">
        <v>2932.4983618358769</v>
      </c>
      <c r="BM28" s="68">
        <v>3368.9870269014218</v>
      </c>
    </row>
    <row r="29" spans="2:65" x14ac:dyDescent="0.25">
      <c r="B29" s="67">
        <v>1200</v>
      </c>
      <c r="C29" s="67">
        <v>210</v>
      </c>
      <c r="D29" s="67">
        <v>171.65227723953399</v>
      </c>
      <c r="E29" s="67">
        <v>70</v>
      </c>
      <c r="F29" s="67">
        <v>817.60426652443198</v>
      </c>
      <c r="G29" s="67">
        <v>771.25519736750493</v>
      </c>
      <c r="H29" s="67">
        <v>180.73731839070081</v>
      </c>
      <c r="P29" s="67">
        <v>92</v>
      </c>
      <c r="Q29" s="67">
        <v>285.07616910048517</v>
      </c>
      <c r="R29" s="67">
        <v>285.07616910048517</v>
      </c>
      <c r="S29" s="67">
        <v>627.4017704548171</v>
      </c>
      <c r="T29" s="67">
        <v>627.4017704548171</v>
      </c>
      <c r="V29" s="67">
        <v>23.999999999999581</v>
      </c>
      <c r="W29" s="67">
        <v>119.3730447680861</v>
      </c>
      <c r="X29" s="67">
        <v>44.040047130908313</v>
      </c>
      <c r="Y29" s="67">
        <v>464.04414049482023</v>
      </c>
      <c r="AA29" s="67">
        <v>23.999999999999581</v>
      </c>
      <c r="AB29" s="67">
        <v>82.953749839001375</v>
      </c>
      <c r="AC29" s="67">
        <v>38.087801627362303</v>
      </c>
      <c r="AD29" s="67">
        <v>414.31494983434578</v>
      </c>
      <c r="AF29" s="67">
        <v>23.999999999999581</v>
      </c>
      <c r="AG29" s="67">
        <v>65.036609975255459</v>
      </c>
      <c r="AH29" s="67">
        <v>30.04479008913609</v>
      </c>
      <c r="AI29" s="67">
        <v>451.48547332280077</v>
      </c>
      <c r="AK29" s="67">
        <v>23.999999999999581</v>
      </c>
      <c r="AL29" s="67">
        <v>55.85143881106864</v>
      </c>
      <c r="AM29" s="67">
        <v>27.472847210377491</v>
      </c>
      <c r="AN29" s="67">
        <v>395.67979294175649</v>
      </c>
      <c r="AP29" s="67">
        <v>-20.657511863194259</v>
      </c>
      <c r="AQ29" s="67">
        <v>19.299959226045981</v>
      </c>
      <c r="AS29" s="67">
        <v>-14.09942468736153</v>
      </c>
      <c r="AT29" s="67">
        <v>25.1647339010065</v>
      </c>
      <c r="AV29" s="67">
        <v>49.412778214186119</v>
      </c>
      <c r="AW29" s="67">
        <v>202.28194850471851</v>
      </c>
      <c r="AY29" s="67">
        <v>48.849635975391678</v>
      </c>
      <c r="AZ29" s="67">
        <v>200.7509976299078</v>
      </c>
      <c r="BB29" s="67">
        <v>33.675711666998843</v>
      </c>
      <c r="BC29" s="67">
        <v>113.8683760880689</v>
      </c>
      <c r="BE29" s="67">
        <v>33.559631823823857</v>
      </c>
      <c r="BF29" s="67">
        <v>117.96980117480349</v>
      </c>
      <c r="BH29" s="68">
        <v>87</v>
      </c>
      <c r="BI29" s="68">
        <v>2289.828435079522</v>
      </c>
      <c r="BJ29" s="68">
        <v>2796.1068263649931</v>
      </c>
      <c r="BK29" s="68">
        <v>3477.758842526574</v>
      </c>
      <c r="BL29" s="68">
        <v>3553.7173028818861</v>
      </c>
      <c r="BM29" s="68">
        <v>3439.378549063857</v>
      </c>
    </row>
    <row r="30" spans="2:65" x14ac:dyDescent="0.25">
      <c r="P30" s="67">
        <v>95</v>
      </c>
      <c r="Q30" s="67">
        <v>308.74225773811122</v>
      </c>
      <c r="R30" s="67">
        <v>308.74225773811122</v>
      </c>
      <c r="S30" s="67">
        <v>651.83842975590517</v>
      </c>
      <c r="T30" s="67">
        <v>651.83842975590517</v>
      </c>
      <c r="V30" s="67">
        <v>24.999999999999559</v>
      </c>
      <c r="W30" s="67">
        <v>117.9883231933933</v>
      </c>
      <c r="X30" s="67">
        <v>44.018630624487173</v>
      </c>
      <c r="Y30" s="67">
        <v>461.67196520505519</v>
      </c>
      <c r="AA30" s="67">
        <v>24.999999999999559</v>
      </c>
      <c r="AB30" s="67">
        <v>82.270242875272018</v>
      </c>
      <c r="AC30" s="67">
        <v>38.110641936124132</v>
      </c>
      <c r="AD30" s="67">
        <v>409.57059925481269</v>
      </c>
      <c r="AF30" s="67">
        <v>24.999999999999559</v>
      </c>
      <c r="AG30" s="67">
        <v>64.534194381872979</v>
      </c>
      <c r="AH30" s="67">
        <v>30.033273005577598</v>
      </c>
      <c r="AI30" s="67">
        <v>449.11329803303579</v>
      </c>
      <c r="AK30" s="67">
        <v>24.999999999999559</v>
      </c>
      <c r="AL30" s="67">
        <v>56.108037763114957</v>
      </c>
      <c r="AM30" s="67">
        <v>27.543381535928571</v>
      </c>
      <c r="AN30" s="67">
        <v>390.93544236222351</v>
      </c>
      <c r="AP30" s="67">
        <v>-19.182491524160699</v>
      </c>
      <c r="AQ30" s="67">
        <v>20.197309479847029</v>
      </c>
      <c r="AS30" s="67">
        <v>-12.557999999999989</v>
      </c>
      <c r="AT30" s="67">
        <v>26.342235587488251</v>
      </c>
      <c r="AV30" s="67">
        <v>49.301846195228897</v>
      </c>
      <c r="AW30" s="67">
        <v>201.3124575923662</v>
      </c>
      <c r="AY30" s="67">
        <v>48.712827988578447</v>
      </c>
      <c r="AZ30" s="67">
        <v>199.75425683010101</v>
      </c>
      <c r="BB30" s="67">
        <v>33.535831762377711</v>
      </c>
      <c r="BC30" s="67">
        <v>112.9210223150273</v>
      </c>
      <c r="BE30" s="67">
        <v>33.433807647190093</v>
      </c>
      <c r="BF30" s="67">
        <v>117.35086372863471</v>
      </c>
      <c r="BH30" s="68">
        <v>90</v>
      </c>
      <c r="BI30" s="68">
        <v>2300.3965085653331</v>
      </c>
      <c r="BJ30" s="68">
        <v>2815.1317199779542</v>
      </c>
      <c r="BK30" s="68">
        <v>3528.9113041025771</v>
      </c>
      <c r="BL30" s="68">
        <v>3794.7846926667712</v>
      </c>
      <c r="BM30" s="68">
        <v>3540.9183955064359</v>
      </c>
    </row>
    <row r="31" spans="2:65" x14ac:dyDescent="0.25">
      <c r="P31" s="67">
        <v>98</v>
      </c>
      <c r="Q31" s="67">
        <v>335.16639990891952</v>
      </c>
      <c r="R31" s="67">
        <v>335.16639990891952</v>
      </c>
      <c r="S31" s="67">
        <v>670.54652833638045</v>
      </c>
      <c r="T31" s="67">
        <v>670.54652833638045</v>
      </c>
      <c r="V31" s="67">
        <v>25.999999999999531</v>
      </c>
      <c r="W31" s="67">
        <v>116.68194098797829</v>
      </c>
      <c r="X31" s="67">
        <v>44.005348639152487</v>
      </c>
      <c r="Y31" s="67">
        <v>459.29978991529021</v>
      </c>
      <c r="AA31" s="67">
        <v>25.999999999999531</v>
      </c>
      <c r="AB31" s="67">
        <v>81.700757790797311</v>
      </c>
      <c r="AC31" s="67">
        <v>38.148983948436182</v>
      </c>
      <c r="AD31" s="67">
        <v>404.82624867527983</v>
      </c>
      <c r="AF31" s="67">
        <v>25.999999999999531</v>
      </c>
      <c r="AG31" s="67">
        <v>64.08680894947797</v>
      </c>
      <c r="AH31" s="67">
        <v>30.028794976769291</v>
      </c>
      <c r="AI31" s="67">
        <v>446.74112274327081</v>
      </c>
      <c r="AK31" s="67">
        <v>25.999999999999531</v>
      </c>
      <c r="AL31" s="67">
        <v>56.354814422935618</v>
      </c>
      <c r="AM31" s="67">
        <v>27.607515544047999</v>
      </c>
      <c r="AN31" s="67">
        <v>386.19109178269048</v>
      </c>
      <c r="AP31" s="67">
        <v>-17.70747118512713</v>
      </c>
      <c r="AQ31" s="67">
        <v>21.124821264147489</v>
      </c>
      <c r="AS31" s="67">
        <v>-11.057999999999989</v>
      </c>
      <c r="AT31" s="67">
        <v>27.527593049986621</v>
      </c>
      <c r="AV31" s="67">
        <v>49.191040599152068</v>
      </c>
      <c r="AW31" s="67">
        <v>200.34365396217049</v>
      </c>
      <c r="AY31" s="67">
        <v>48.575827795826967</v>
      </c>
      <c r="AZ31" s="67">
        <v>198.75647588106159</v>
      </c>
      <c r="BB31" s="67">
        <v>33.397750222902971</v>
      </c>
      <c r="BC31" s="67">
        <v>111.98748845826429</v>
      </c>
      <c r="BE31" s="67">
        <v>33.309707592107671</v>
      </c>
      <c r="BF31" s="67">
        <v>116.741192612012</v>
      </c>
      <c r="BH31" s="68">
        <v>93</v>
      </c>
      <c r="BI31" s="68">
        <v>2310.623558021065</v>
      </c>
      <c r="BJ31" s="68">
        <v>2833.3318391365119</v>
      </c>
      <c r="BK31" s="68">
        <v>3575.7392138920668</v>
      </c>
      <c r="BL31" s="68">
        <v>3959.4775750723311</v>
      </c>
      <c r="BM31" s="68">
        <v>3685.3840311826361</v>
      </c>
    </row>
    <row r="32" spans="2:65" x14ac:dyDescent="0.25">
      <c r="P32" s="67">
        <v>101</v>
      </c>
      <c r="Q32" s="67">
        <v>364.38190176819558</v>
      </c>
      <c r="R32" s="67">
        <v>364.38190176819558</v>
      </c>
      <c r="S32" s="67">
        <v>685.7762281625711</v>
      </c>
      <c r="T32" s="67">
        <v>685.7762281625711</v>
      </c>
      <c r="V32" s="67">
        <v>26.99999999999951</v>
      </c>
      <c r="W32" s="67">
        <v>115.4481643317511</v>
      </c>
      <c r="X32" s="67">
        <v>43.999317107014583</v>
      </c>
      <c r="Y32" s="67">
        <v>456.92761462552522</v>
      </c>
      <c r="AA32" s="67">
        <v>26.99999999999951</v>
      </c>
      <c r="AB32" s="67">
        <v>81.229658687343147</v>
      </c>
      <c r="AC32" s="67">
        <v>38.200389547845703</v>
      </c>
      <c r="AD32" s="67">
        <v>400.08189809574679</v>
      </c>
      <c r="AF32" s="67">
        <v>26.99999999999951</v>
      </c>
      <c r="AG32" s="67">
        <v>63.689674696936457</v>
      </c>
      <c r="AH32" s="67">
        <v>30.030557166479529</v>
      </c>
      <c r="AI32" s="67">
        <v>444.36894745350583</v>
      </c>
      <c r="AK32" s="67">
        <v>26.99999999999951</v>
      </c>
      <c r="AL32" s="67">
        <v>56.59195706543359</v>
      </c>
      <c r="AM32" s="67">
        <v>27.665395414045459</v>
      </c>
      <c r="AN32" s="67">
        <v>381.4467412031575</v>
      </c>
      <c r="AP32" s="67">
        <v>-16.23245084609357</v>
      </c>
      <c r="AQ32" s="67">
        <v>22.083118963704379</v>
      </c>
      <c r="AS32" s="67">
        <v>-9.0579999999999927</v>
      </c>
      <c r="AT32" s="67">
        <v>29.170432875539049</v>
      </c>
      <c r="AV32" s="67">
        <v>49.08034563290812</v>
      </c>
      <c r="AW32" s="67">
        <v>199.37545652641529</v>
      </c>
      <c r="AY32" s="67">
        <v>48.438600478714307</v>
      </c>
      <c r="AZ32" s="67">
        <v>197.75749734234361</v>
      </c>
      <c r="BB32" s="67">
        <v>33.261449763332848</v>
      </c>
      <c r="BC32" s="67">
        <v>111.06761042291031</v>
      </c>
      <c r="BE32" s="67">
        <v>33.187312567472517</v>
      </c>
      <c r="BF32" s="67">
        <v>116.1406626203904</v>
      </c>
      <c r="BH32" s="68">
        <v>96</v>
      </c>
      <c r="BI32" s="68">
        <v>2320.528702092312</v>
      </c>
      <c r="BJ32" s="68">
        <v>2850.7739672742682</v>
      </c>
      <c r="BK32" s="68">
        <v>3618.9750317581129</v>
      </c>
      <c r="BL32" s="68">
        <v>4088.263938787502</v>
      </c>
      <c r="BM32" s="68">
        <v>3887.3738056448769</v>
      </c>
    </row>
    <row r="33" spans="16:65" x14ac:dyDescent="0.25">
      <c r="P33" s="67">
        <v>104</v>
      </c>
      <c r="Q33" s="67">
        <v>395.95646881770881</v>
      </c>
      <c r="R33" s="67">
        <v>395.95646881770881</v>
      </c>
      <c r="S33" s="67">
        <v>698.67381519392529</v>
      </c>
      <c r="T33" s="67">
        <v>698.67381519392529</v>
      </c>
      <c r="V33" s="67">
        <v>27.999999999999488</v>
      </c>
      <c r="W33" s="67">
        <v>114.2817797369454</v>
      </c>
      <c r="X33" s="67">
        <v>43.999738199320923</v>
      </c>
      <c r="Y33" s="67">
        <v>454.55543933576018</v>
      </c>
      <c r="AA33" s="67">
        <v>27.999999999999488</v>
      </c>
      <c r="AB33" s="67">
        <v>80.84317847024758</v>
      </c>
      <c r="AC33" s="67">
        <v>38.262664183218249</v>
      </c>
      <c r="AD33" s="67">
        <v>395.33754751621387</v>
      </c>
      <c r="AF33" s="67">
        <v>27.999999999999488</v>
      </c>
      <c r="AG33" s="67">
        <v>63.338454827872411</v>
      </c>
      <c r="AH33" s="67">
        <v>30.037839282831271</v>
      </c>
      <c r="AI33" s="67">
        <v>441.99677216374079</v>
      </c>
      <c r="AK33" s="67">
        <v>27.999999999999488</v>
      </c>
      <c r="AL33" s="67">
        <v>56.81964447611746</v>
      </c>
      <c r="AM33" s="67">
        <v>27.717158203557911</v>
      </c>
      <c r="AN33" s="67">
        <v>376.70239062362458</v>
      </c>
      <c r="AP33" s="67">
        <v>-14.757430507060009</v>
      </c>
      <c r="AQ33" s="67">
        <v>23.072835219064579</v>
      </c>
      <c r="AS33" s="67">
        <v>-6.0579999999999927</v>
      </c>
      <c r="AT33" s="67">
        <v>31.773461738562169</v>
      </c>
      <c r="AV33" s="67">
        <v>48.969745191219197</v>
      </c>
      <c r="AW33" s="67">
        <v>198.40778280207689</v>
      </c>
      <c r="AY33" s="67">
        <v>48.301109836332557</v>
      </c>
      <c r="AZ33" s="67">
        <v>196.75715836059939</v>
      </c>
      <c r="BB33" s="67">
        <v>33.126913237083158</v>
      </c>
      <c r="BC33" s="67">
        <v>110.1612258497514</v>
      </c>
      <c r="BE33" s="67">
        <v>33.066603668614363</v>
      </c>
      <c r="BF33" s="67">
        <v>115.5491501182313</v>
      </c>
      <c r="BH33" s="68">
        <v>99</v>
      </c>
      <c r="BI33" s="68">
        <v>2330.1293802078012</v>
      </c>
      <c r="BJ33" s="68">
        <v>2867.51648474379</v>
      </c>
      <c r="BK33" s="68">
        <v>3659.16758780802</v>
      </c>
      <c r="BL33" s="68">
        <v>4195.4208535265707</v>
      </c>
      <c r="BM33" s="68">
        <v>4148.622906354617</v>
      </c>
    </row>
    <row r="34" spans="16:65" x14ac:dyDescent="0.25">
      <c r="P34" s="67">
        <v>107</v>
      </c>
      <c r="Q34" s="67">
        <v>428.77718416926069</v>
      </c>
      <c r="R34" s="67">
        <v>428.77718416926069</v>
      </c>
      <c r="S34" s="67">
        <v>709.89849909045643</v>
      </c>
      <c r="T34" s="67">
        <v>709.89849909045643</v>
      </c>
      <c r="V34" s="67">
        <v>28.999999999999471</v>
      </c>
      <c r="W34" s="67">
        <v>113.17804053990341</v>
      </c>
      <c r="X34" s="67">
        <v>44.005892153503112</v>
      </c>
      <c r="Y34" s="67">
        <v>452.1832640459952</v>
      </c>
      <c r="AA34" s="67">
        <v>28.999999999999471</v>
      </c>
      <c r="AB34" s="67">
        <v>80.529230206460511</v>
      </c>
      <c r="AC34" s="67">
        <v>38.333833766516022</v>
      </c>
      <c r="AD34" s="67">
        <v>390.5931969366809</v>
      </c>
      <c r="AF34" s="67">
        <v>28.999999999999471</v>
      </c>
      <c r="AG34" s="67">
        <v>63.029210541184703</v>
      </c>
      <c r="AH34" s="67">
        <v>30.04999219840079</v>
      </c>
      <c r="AI34" s="67">
        <v>439.62459687397569</v>
      </c>
      <c r="AK34" s="67">
        <v>28.999999999999471</v>
      </c>
      <c r="AL34" s="67">
        <v>57.038045745532337</v>
      </c>
      <c r="AM34" s="67">
        <v>27.762931907138519</v>
      </c>
      <c r="AN34" s="67">
        <v>371.9580400440916</v>
      </c>
      <c r="AP34" s="67">
        <v>-13.28241016802639</v>
      </c>
      <c r="AQ34" s="67">
        <v>24.094611618423031</v>
      </c>
      <c r="AS34" s="67">
        <v>-4.5579999999999927</v>
      </c>
      <c r="AT34" s="67">
        <v>33.139881981702473</v>
      </c>
      <c r="AV34" s="67">
        <v>48.859222839189897</v>
      </c>
      <c r="AW34" s="67">
        <v>197.4405488291878</v>
      </c>
      <c r="AY34" s="67">
        <v>48.163318295047681</v>
      </c>
      <c r="AZ34" s="67">
        <v>195.75529028766849</v>
      </c>
      <c r="BB34" s="67">
        <v>32.994123633339257</v>
      </c>
      <c r="BC34" s="67">
        <v>109.268174087102</v>
      </c>
      <c r="BE34" s="67">
        <v>32.947562173296973</v>
      </c>
      <c r="BF34" s="67">
        <v>114.96653300942521</v>
      </c>
      <c r="BH34" s="68">
        <v>102</v>
      </c>
      <c r="BI34" s="68">
        <v>2339.441552008444</v>
      </c>
      <c r="BJ34" s="68">
        <v>2883.6107766857499</v>
      </c>
      <c r="BK34" s="68">
        <v>3696.740515205739</v>
      </c>
      <c r="BL34" s="68">
        <v>4287.8450276324256</v>
      </c>
      <c r="BM34" s="68">
        <v>4431.2472315322448</v>
      </c>
    </row>
    <row r="35" spans="16:65" x14ac:dyDescent="0.25">
      <c r="P35" s="67">
        <v>110</v>
      </c>
      <c r="Q35" s="67">
        <v>461.1347341097391</v>
      </c>
      <c r="R35" s="67">
        <v>461.1347341097391</v>
      </c>
      <c r="S35" s="67">
        <v>719.86299117248018</v>
      </c>
      <c r="T35" s="67">
        <v>719.86299117248018</v>
      </c>
      <c r="V35" s="67">
        <v>29.999999999999449</v>
      </c>
      <c r="W35" s="67">
        <v>112.1326190377893</v>
      </c>
      <c r="X35" s="67">
        <v>44.017129836187451</v>
      </c>
      <c r="Y35" s="67">
        <v>449.81108875623022</v>
      </c>
      <c r="AA35" s="67">
        <v>29.999999999999449</v>
      </c>
      <c r="AB35" s="67">
        <v>80.277238372782662</v>
      </c>
      <c r="AC35" s="67">
        <v>38.412125559629089</v>
      </c>
      <c r="AD35" s="67">
        <v>385.84884635714792</v>
      </c>
      <c r="AF35" s="67">
        <v>29.999999999999449</v>
      </c>
      <c r="AG35" s="67">
        <v>62.758361734972461</v>
      </c>
      <c r="AH35" s="67">
        <v>30.066431290327049</v>
      </c>
      <c r="AI35" s="67">
        <v>437.25242158421082</v>
      </c>
      <c r="AK35" s="67">
        <v>29.999999999999449</v>
      </c>
      <c r="AL35" s="67">
        <v>57.247320077097363</v>
      </c>
      <c r="AM35" s="67">
        <v>27.802835508024881</v>
      </c>
      <c r="AN35" s="67">
        <v>367.21368946455863</v>
      </c>
      <c r="AP35" s="67">
        <v>-11.807389828992831</v>
      </c>
      <c r="AQ35" s="67">
        <v>25.149099463354091</v>
      </c>
      <c r="AS35" s="67">
        <v>-2.5579999999999932</v>
      </c>
      <c r="AT35" s="67">
        <v>35.031833153309947</v>
      </c>
      <c r="AV35" s="67">
        <v>48.748761793906567</v>
      </c>
      <c r="AW35" s="67">
        <v>196.47366908452511</v>
      </c>
      <c r="AY35" s="67">
        <v>48.025186810624518</v>
      </c>
      <c r="AZ35" s="67">
        <v>194.75171826676441</v>
      </c>
      <c r="BB35" s="67">
        <v>32.863064074220688</v>
      </c>
      <c r="BC35" s="67">
        <v>108.3882961631158</v>
      </c>
      <c r="BE35" s="67">
        <v>32.830169537843169</v>
      </c>
      <c r="BF35" s="67">
        <v>114.3926907085436</v>
      </c>
      <c r="BH35" s="68">
        <v>105</v>
      </c>
      <c r="BI35" s="68">
        <v>2348.479867306959</v>
      </c>
      <c r="BJ35" s="68">
        <v>2899.1023515339421</v>
      </c>
      <c r="BK35" s="68">
        <v>3732.02878863964</v>
      </c>
      <c r="BL35" s="68">
        <v>4369.4593264955802</v>
      </c>
      <c r="BM35" s="68">
        <v>4687.5194807944627</v>
      </c>
    </row>
    <row r="36" spans="16:65" x14ac:dyDescent="0.25">
      <c r="P36" s="67">
        <v>113</v>
      </c>
      <c r="Q36" s="67">
        <v>491.40747792282531</v>
      </c>
      <c r="R36" s="67">
        <v>491.40747792282531</v>
      </c>
      <c r="S36" s="67">
        <v>728.84239175255789</v>
      </c>
      <c r="T36" s="67">
        <v>728.84239175255789</v>
      </c>
      <c r="V36" s="67">
        <v>30.999999999999432</v>
      </c>
      <c r="W36" s="67">
        <v>111.14156370286069</v>
      </c>
      <c r="X36" s="67">
        <v>44.032865978622112</v>
      </c>
      <c r="Y36" s="67">
        <v>447.43891346646518</v>
      </c>
      <c r="AA36" s="67">
        <v>30.999999999999432</v>
      </c>
      <c r="AB36" s="67">
        <v>80.077984255466063</v>
      </c>
      <c r="AC36" s="67">
        <v>38.495954382137711</v>
      </c>
      <c r="AD36" s="67">
        <v>381.10449577761489</v>
      </c>
      <c r="AF36" s="67">
        <v>30.999999999999432</v>
      </c>
      <c r="AG36" s="67">
        <v>62.522651995816567</v>
      </c>
      <c r="AH36" s="67">
        <v>30.08663042698026</v>
      </c>
      <c r="AI36" s="67">
        <v>434.88024629444578</v>
      </c>
      <c r="AK36" s="67">
        <v>30.999999999999432</v>
      </c>
      <c r="AL36" s="67">
        <v>57.447616607716469</v>
      </c>
      <c r="AM36" s="67">
        <v>27.836979023240531</v>
      </c>
      <c r="AN36" s="67">
        <v>362.46933888502559</v>
      </c>
      <c r="AP36" s="67">
        <v>-10.332369489959261</v>
      </c>
      <c r="AQ36" s="67">
        <v>26.23696061451194</v>
      </c>
      <c r="AS36" s="67">
        <v>-0.55799999999999272</v>
      </c>
      <c r="AT36" s="67">
        <v>37.006739736076803</v>
      </c>
      <c r="AV36" s="67">
        <v>48.638344904956</v>
      </c>
      <c r="AW36" s="67">
        <v>195.50705639034439</v>
      </c>
      <c r="AY36" s="67">
        <v>47.886674761918101</v>
      </c>
      <c r="AZ36" s="67">
        <v>193.74626078344599</v>
      </c>
      <c r="BB36" s="67">
        <v>32.733717812004159</v>
      </c>
      <c r="BC36" s="67">
        <v>107.52143475854579</v>
      </c>
      <c r="BE36" s="67">
        <v>32.714407393386807</v>
      </c>
      <c r="BF36" s="67">
        <v>113.82750411292621</v>
      </c>
      <c r="BH36" s="68">
        <v>108</v>
      </c>
      <c r="BI36" s="68">
        <v>2357.257811733145</v>
      </c>
      <c r="BJ36" s="68">
        <v>2914.031739667711</v>
      </c>
      <c r="BK36" s="68">
        <v>3765.3026216241792</v>
      </c>
      <c r="BL36" s="68">
        <v>4442.7349762623153</v>
      </c>
      <c r="BM36" s="68">
        <v>4903.7401577042783</v>
      </c>
    </row>
    <row r="37" spans="16:65" x14ac:dyDescent="0.25">
      <c r="P37" s="67">
        <v>116</v>
      </c>
      <c r="Q37" s="67">
        <v>518.71017966167369</v>
      </c>
      <c r="R37" s="67">
        <v>518.71017966167369</v>
      </c>
      <c r="S37" s="67">
        <v>737.02916143819891</v>
      </c>
      <c r="T37" s="67">
        <v>737.02916143819891</v>
      </c>
      <c r="V37" s="67">
        <v>31.99999999999941</v>
      </c>
      <c r="W37" s="67">
        <v>110.20126095791341</v>
      </c>
      <c r="X37" s="67">
        <v>44.052573026539903</v>
      </c>
      <c r="Y37" s="67">
        <v>445.0667381767002</v>
      </c>
      <c r="AA37" s="67">
        <v>31.99999999999941</v>
      </c>
      <c r="AB37" s="67">
        <v>79.923458313815246</v>
      </c>
      <c r="AC37" s="67">
        <v>38.583914339995999</v>
      </c>
      <c r="AD37" s="67">
        <v>376.36014519808191</v>
      </c>
      <c r="AF37" s="67">
        <v>31.99999999999941</v>
      </c>
      <c r="AG37" s="67">
        <v>62.319117321475929</v>
      </c>
      <c r="AH37" s="67">
        <v>30.110116531478919</v>
      </c>
      <c r="AI37" s="67">
        <v>432.50807100468069</v>
      </c>
      <c r="AK37" s="67">
        <v>31.99999999999941</v>
      </c>
      <c r="AL37" s="67">
        <v>57.639074240694342</v>
      </c>
      <c r="AM37" s="67">
        <v>27.865463542238611</v>
      </c>
      <c r="AN37" s="67">
        <v>357.72498830549262</v>
      </c>
      <c r="AP37" s="67">
        <v>-8.8573491509256996</v>
      </c>
      <c r="AQ37" s="67">
        <v>27.358868426238381</v>
      </c>
      <c r="AS37" s="67">
        <v>0.94200000000000728</v>
      </c>
      <c r="AT37" s="67">
        <v>38.544409355717818</v>
      </c>
      <c r="AV37" s="67">
        <v>48.52795463378493</v>
      </c>
      <c r="AW37" s="67">
        <v>194.54062181778539</v>
      </c>
      <c r="AY37" s="67">
        <v>47.747739835230398</v>
      </c>
      <c r="AZ37" s="67">
        <v>192.73872917763541</v>
      </c>
      <c r="BB37" s="67">
        <v>32.606068226410677</v>
      </c>
      <c r="BC37" s="67">
        <v>106.66743417999631</v>
      </c>
      <c r="BE37" s="67">
        <v>32.600257542253622</v>
      </c>
      <c r="BF37" s="67">
        <v>113.2708555756187</v>
      </c>
      <c r="BH37" s="68">
        <v>111</v>
      </c>
      <c r="BI37" s="68">
        <v>2365.7878321865069</v>
      </c>
      <c r="BJ37" s="68">
        <v>2928.4352228149942</v>
      </c>
      <c r="BK37" s="68">
        <v>3796.7836840547661</v>
      </c>
      <c r="BL37" s="68">
        <v>4509.3422109760631</v>
      </c>
      <c r="BM37" s="68">
        <v>5085.5969617155224</v>
      </c>
    </row>
    <row r="38" spans="16:65" x14ac:dyDescent="0.25">
      <c r="P38" s="67">
        <v>119</v>
      </c>
      <c r="Q38" s="67">
        <v>542.82940532640646</v>
      </c>
      <c r="R38" s="67">
        <v>542.82940532640646</v>
      </c>
      <c r="S38" s="67">
        <v>744.56324768717207</v>
      </c>
      <c r="T38" s="67">
        <v>744.56324768717207</v>
      </c>
      <c r="V38" s="67">
        <v>32.999999999999559</v>
      </c>
      <c r="W38" s="67">
        <v>109.3084010429922</v>
      </c>
      <c r="X38" s="67">
        <v>44.075775551508457</v>
      </c>
      <c r="Y38" s="67">
        <v>442.69456288693522</v>
      </c>
      <c r="AA38" s="67">
        <v>32.999999999999559</v>
      </c>
      <c r="AB38" s="67">
        <v>79.806713340748928</v>
      </c>
      <c r="AC38" s="67">
        <v>38.674774428301824</v>
      </c>
      <c r="AD38" s="67">
        <v>371.61579461854888</v>
      </c>
      <c r="AF38" s="67">
        <v>32.999999999999559</v>
      </c>
      <c r="AG38" s="67">
        <v>62.145058086105763</v>
      </c>
      <c r="AH38" s="67">
        <v>30.136464657909301</v>
      </c>
      <c r="AI38" s="67">
        <v>430.13589571491582</v>
      </c>
      <c r="AK38" s="67">
        <v>32.999999999999559</v>
      </c>
      <c r="AL38" s="67">
        <v>57.821821490459008</v>
      </c>
      <c r="AM38" s="67">
        <v>27.888381259220861</v>
      </c>
      <c r="AN38" s="67">
        <v>352.98063772595958</v>
      </c>
      <c r="AP38" s="67">
        <v>-7.3823288118921369</v>
      </c>
      <c r="AQ38" s="67">
        <v>28.51550878288246</v>
      </c>
      <c r="AS38" s="67">
        <v>2.9420000000000068</v>
      </c>
      <c r="AT38" s="67">
        <v>40.672956642453421</v>
      </c>
      <c r="AV38" s="67">
        <v>48.417573031804643</v>
      </c>
      <c r="AW38" s="67">
        <v>193.57427458453179</v>
      </c>
      <c r="AY38" s="67">
        <v>47.608337898303603</v>
      </c>
      <c r="AZ38" s="67">
        <v>191.72892711242861</v>
      </c>
      <c r="BB38" s="67">
        <v>32.480098821960667</v>
      </c>
      <c r="BC38" s="67">
        <v>105.8261403337164</v>
      </c>
      <c r="BE38" s="67">
        <v>32.487701954474339</v>
      </c>
      <c r="BF38" s="67">
        <v>112.7226288791441</v>
      </c>
      <c r="BH38" s="68">
        <v>114</v>
      </c>
      <c r="BI38" s="68">
        <v>2374.0814454170791</v>
      </c>
      <c r="BJ38" s="68">
        <v>2942.3454315970348</v>
      </c>
      <c r="BK38" s="68">
        <v>3826.656453736382</v>
      </c>
      <c r="BL38" s="68">
        <v>4570.4696538048247</v>
      </c>
      <c r="BM38" s="68">
        <v>5241.1260288979011</v>
      </c>
    </row>
    <row r="39" spans="16:65" x14ac:dyDescent="0.25">
      <c r="P39" s="67">
        <v>122</v>
      </c>
      <c r="Q39" s="67">
        <v>563.98569771225709</v>
      </c>
      <c r="R39" s="67">
        <v>563.98569771225709</v>
      </c>
      <c r="S39" s="67">
        <v>751.54968039381549</v>
      </c>
      <c r="T39" s="67">
        <v>751.54968039381549</v>
      </c>
      <c r="V39" s="67">
        <v>33.999999999999723</v>
      </c>
      <c r="W39" s="67">
        <v>108.45994754616881</v>
      </c>
      <c r="X39" s="67">
        <v>44.102045175376929</v>
      </c>
      <c r="Y39" s="67">
        <v>440.32238759717018</v>
      </c>
      <c r="AA39" s="67">
        <v>33.999999999999723</v>
      </c>
      <c r="AB39" s="67">
        <v>79.721716385333991</v>
      </c>
      <c r="AC39" s="67">
        <v>38.767474617242392</v>
      </c>
      <c r="AD39" s="67">
        <v>366.87144403901601</v>
      </c>
      <c r="AF39" s="67">
        <v>33.999999999999723</v>
      </c>
      <c r="AG39" s="67">
        <v>61.998013811480867</v>
      </c>
      <c r="AH39" s="67">
        <v>30.165293519811261</v>
      </c>
      <c r="AI39" s="67">
        <v>427.76372042515078</v>
      </c>
      <c r="AK39" s="67">
        <v>33.999999999999723</v>
      </c>
      <c r="AL39" s="67">
        <v>57.995976338422487</v>
      </c>
      <c r="AM39" s="67">
        <v>27.905815499107231</v>
      </c>
      <c r="AN39" s="67">
        <v>348.23628714642672</v>
      </c>
      <c r="AP39" s="67">
        <v>-5.9073084728585741</v>
      </c>
      <c r="AQ39" s="67">
        <v>29.707581254647611</v>
      </c>
      <c r="AS39" s="67">
        <v>4.4420000000000073</v>
      </c>
      <c r="AT39" s="67">
        <v>42.330365027088057</v>
      </c>
      <c r="AV39" s="67">
        <v>48.307181717156027</v>
      </c>
      <c r="AW39" s="67">
        <v>192.60792194633029</v>
      </c>
      <c r="AY39" s="67">
        <v>47.468422862796487</v>
      </c>
      <c r="AZ39" s="67">
        <v>190.7166499948892</v>
      </c>
      <c r="BB39" s="67">
        <v>32.355793225403197</v>
      </c>
      <c r="BC39" s="67">
        <v>104.9974006999353</v>
      </c>
      <c r="BE39" s="67">
        <v>32.376722764427939</v>
      </c>
      <c r="BF39" s="67">
        <v>112.1827092101188</v>
      </c>
      <c r="BH39" s="68">
        <v>117</v>
      </c>
      <c r="BI39" s="68">
        <v>2382.14933242807</v>
      </c>
      <c r="BJ39" s="68">
        <v>2955.7918392207371</v>
      </c>
      <c r="BK39" s="68">
        <v>3855.0763736572289</v>
      </c>
      <c r="BL39" s="68">
        <v>4626.9972710947231</v>
      </c>
      <c r="BM39" s="68">
        <v>5376.6197209732181</v>
      </c>
    </row>
    <row r="40" spans="16:65" x14ac:dyDescent="0.25">
      <c r="P40" s="67">
        <v>125</v>
      </c>
      <c r="Q40" s="67">
        <v>582.57297588797826</v>
      </c>
      <c r="R40" s="67">
        <v>582.57297588797826</v>
      </c>
      <c r="S40" s="67">
        <v>758.06938590142317</v>
      </c>
      <c r="T40" s="67">
        <v>758.06938590142317</v>
      </c>
      <c r="V40" s="67">
        <v>34.999999999999872</v>
      </c>
      <c r="W40" s="67">
        <v>107.6531102109423</v>
      </c>
      <c r="X40" s="67">
        <v>44.130995963602288</v>
      </c>
      <c r="Y40" s="67">
        <v>437.9502123074052</v>
      </c>
      <c r="AA40" s="67">
        <v>34.999999999999872</v>
      </c>
      <c r="AB40" s="67">
        <v>79.663203439378094</v>
      </c>
      <c r="AC40" s="67">
        <v>38.861118552100038</v>
      </c>
      <c r="AD40" s="67">
        <v>362.12709345948292</v>
      </c>
      <c r="AF40" s="67">
        <v>34.999999999999872</v>
      </c>
      <c r="AG40" s="67">
        <v>61.875740364427607</v>
      </c>
      <c r="AH40" s="67">
        <v>30.19626141551959</v>
      </c>
      <c r="AI40" s="67">
        <v>425.39154513538568</v>
      </c>
      <c r="AK40" s="67">
        <v>34.999999999999872</v>
      </c>
      <c r="AL40" s="67">
        <v>58.161646099016188</v>
      </c>
      <c r="AM40" s="67">
        <v>27.91784073688973</v>
      </c>
      <c r="AN40" s="67">
        <v>343.49193656689368</v>
      </c>
      <c r="AP40" s="67">
        <v>-4.4322881338249536</v>
      </c>
      <c r="AQ40" s="67">
        <v>30.93580039704856</v>
      </c>
      <c r="AS40" s="67">
        <v>5.9420000000000073</v>
      </c>
      <c r="AT40" s="67">
        <v>44.042199418561637</v>
      </c>
      <c r="AV40" s="67">
        <v>48.196761850019811</v>
      </c>
      <c r="AW40" s="67">
        <v>191.64146908182141</v>
      </c>
      <c r="AY40" s="67">
        <v>47.328552001966052</v>
      </c>
      <c r="AZ40" s="67">
        <v>189.70553046053439</v>
      </c>
      <c r="BB40" s="67">
        <v>32.233135183223169</v>
      </c>
      <c r="BC40" s="67">
        <v>104.18106430779279</v>
      </c>
      <c r="BE40" s="67">
        <v>32.267302267620941</v>
      </c>
      <c r="BF40" s="67">
        <v>111.6509831347186</v>
      </c>
      <c r="BH40" s="68">
        <v>120</v>
      </c>
      <c r="BI40" s="68">
        <v>2390.0014209002452</v>
      </c>
      <c r="BJ40" s="68">
        <v>2968.801172556372</v>
      </c>
      <c r="BK40" s="68">
        <v>3882.175848124059</v>
      </c>
      <c r="BL40" s="68">
        <v>4679.5972000055444</v>
      </c>
      <c r="BM40" s="68">
        <v>5496.5690849387702</v>
      </c>
    </row>
    <row r="41" spans="16:65" x14ac:dyDescent="0.25">
      <c r="P41" s="67">
        <v>128</v>
      </c>
      <c r="Q41" s="67">
        <v>599.00591691468469</v>
      </c>
      <c r="R41" s="67">
        <v>599.00591691468469</v>
      </c>
      <c r="S41" s="67">
        <v>764.18611814533097</v>
      </c>
      <c r="T41" s="67">
        <v>764.18611814533097</v>
      </c>
      <c r="V41" s="67">
        <v>36.000000000000028</v>
      </c>
      <c r="W41" s="67">
        <v>106.8853206696069</v>
      </c>
      <c r="X41" s="67">
        <v>44.162280247005242</v>
      </c>
      <c r="Y41" s="67">
        <v>435.57803701764021</v>
      </c>
      <c r="AA41" s="67">
        <v>36.000000000000028</v>
      </c>
      <c r="AB41" s="67">
        <v>79.626545822513435</v>
      </c>
      <c r="AC41" s="67">
        <v>38.954960394160203</v>
      </c>
      <c r="AD41" s="67">
        <v>357.38274287995</v>
      </c>
      <c r="AF41" s="67">
        <v>36.000000000000028</v>
      </c>
      <c r="AG41" s="67">
        <v>61.776189253954129</v>
      </c>
      <c r="AH41" s="67">
        <v>30.22906249954838</v>
      </c>
      <c r="AI41" s="67">
        <v>423.01936984562082</v>
      </c>
      <c r="AK41" s="67">
        <v>36.000000000000028</v>
      </c>
      <c r="AL41" s="67">
        <v>58.318927294556403</v>
      </c>
      <c r="AM41" s="67">
        <v>27.92452260981025</v>
      </c>
      <c r="AN41" s="67">
        <v>338.74758598736082</v>
      </c>
      <c r="AP41" s="67">
        <v>-2.9572677947913921</v>
      </c>
      <c r="AQ41" s="67">
        <v>32.200897225620871</v>
      </c>
      <c r="AS41" s="67">
        <v>7.9420000000000073</v>
      </c>
      <c r="AT41" s="67">
        <v>46.413077690327803</v>
      </c>
      <c r="AV41" s="67">
        <v>48.086294106366381</v>
      </c>
      <c r="AW41" s="67">
        <v>190.6748189702532</v>
      </c>
      <c r="AY41" s="67">
        <v>47.190405267101227</v>
      </c>
      <c r="AZ41" s="67">
        <v>188.7062740020107</v>
      </c>
      <c r="BB41" s="67">
        <v>32.112108559230713</v>
      </c>
      <c r="BC41" s="67">
        <v>103.37698171088741</v>
      </c>
      <c r="BE41" s="67">
        <v>32.159422917599542</v>
      </c>
      <c r="BF41" s="67">
        <v>111.1273385749676</v>
      </c>
      <c r="BH41" s="68">
        <v>123</v>
      </c>
      <c r="BI41" s="68">
        <v>2397.646957445349</v>
      </c>
      <c r="BJ41" s="68">
        <v>2981.397756889879</v>
      </c>
      <c r="BK41" s="68">
        <v>3908.0687380705481</v>
      </c>
      <c r="BL41" s="68">
        <v>4728.7960124029978</v>
      </c>
      <c r="BM41" s="68">
        <v>5604.1688788628499</v>
      </c>
    </row>
    <row r="42" spans="16:65" x14ac:dyDescent="0.25">
      <c r="P42" s="67">
        <v>131</v>
      </c>
      <c r="Q42" s="67">
        <v>613.65430227083698</v>
      </c>
      <c r="R42" s="67">
        <v>613.65430227083698</v>
      </c>
      <c r="S42" s="67">
        <v>769.95106134957655</v>
      </c>
      <c r="T42" s="67">
        <v>769.95106134957655</v>
      </c>
      <c r="V42" s="67">
        <v>37.000000000000178</v>
      </c>
      <c r="W42" s="67">
        <v>106.1542107865492</v>
      </c>
      <c r="X42" s="67">
        <v>44.195584835010663</v>
      </c>
      <c r="Y42" s="67">
        <v>433.20586172787517</v>
      </c>
      <c r="AA42" s="67">
        <v>37.000000000000178</v>
      </c>
      <c r="AB42" s="67">
        <v>79.60763811037944</v>
      </c>
      <c r="AC42" s="67">
        <v>39.048385954196021</v>
      </c>
      <c r="AD42" s="67">
        <v>352.63839230041702</v>
      </c>
      <c r="AF42" s="67">
        <v>37.000000000000178</v>
      </c>
      <c r="AG42" s="67">
        <v>61.697488752846873</v>
      </c>
      <c r="AH42" s="67">
        <v>30.263423354116981</v>
      </c>
      <c r="AI42" s="67">
        <v>420.64719455585578</v>
      </c>
      <c r="AK42" s="67">
        <v>37.000000000000178</v>
      </c>
      <c r="AL42" s="67">
        <v>58.467905537166963</v>
      </c>
      <c r="AM42" s="67">
        <v>27.92591792147795</v>
      </c>
      <c r="AN42" s="67">
        <v>334.00323540782767</v>
      </c>
      <c r="AP42" s="67">
        <v>-1.4822474557578289</v>
      </c>
      <c r="AQ42" s="67">
        <v>33.503620906247932</v>
      </c>
      <c r="AS42" s="67">
        <v>9.9420000000000073</v>
      </c>
      <c r="AT42" s="67">
        <v>48.890476676789469</v>
      </c>
      <c r="AV42" s="67">
        <v>47.975758650013518</v>
      </c>
      <c r="AW42" s="67">
        <v>189.70787226141209</v>
      </c>
      <c r="AY42" s="67">
        <v>47.054052439855482</v>
      </c>
      <c r="AZ42" s="67">
        <v>187.71929548623319</v>
      </c>
      <c r="BB42" s="67">
        <v>31.99269733223878</v>
      </c>
      <c r="BC42" s="67">
        <v>102.5850049634699</v>
      </c>
      <c r="BE42" s="67">
        <v>32.053067322993883</v>
      </c>
      <c r="BF42" s="67">
        <v>110.6116647858595</v>
      </c>
      <c r="BH42" s="68">
        <v>126</v>
      </c>
      <c r="BI42" s="68">
        <v>2405.0945711821792</v>
      </c>
      <c r="BJ42" s="68">
        <v>2993.6038069747378</v>
      </c>
      <c r="BK42" s="68">
        <v>3932.8537900746592</v>
      </c>
      <c r="BL42" s="68">
        <v>4775.0149864122304</v>
      </c>
      <c r="BM42" s="68">
        <v>5701.73587439928</v>
      </c>
    </row>
    <row r="43" spans="16:65" x14ac:dyDescent="0.25">
      <c r="P43" s="67">
        <v>134</v>
      </c>
      <c r="Q43" s="67">
        <v>626.82487246582173</v>
      </c>
      <c r="R43" s="67">
        <v>626.82487246582173</v>
      </c>
      <c r="S43" s="67">
        <v>775.40598107346182</v>
      </c>
      <c r="T43" s="67">
        <v>775.40598107346182</v>
      </c>
      <c r="V43" s="67">
        <v>38.000000000000341</v>
      </c>
      <c r="W43" s="67">
        <v>105.45759332769541</v>
      </c>
      <c r="X43" s="67">
        <v>44.230627586630931</v>
      </c>
      <c r="Y43" s="67">
        <v>430.83368643811019</v>
      </c>
      <c r="AA43" s="67">
        <v>38.000000000000341</v>
      </c>
      <c r="AB43" s="67">
        <v>79.602813828268822</v>
      </c>
      <c r="AC43" s="67">
        <v>39.140890628244222</v>
      </c>
      <c r="AD43" s="67">
        <v>347.89404172088399</v>
      </c>
      <c r="AF43" s="67">
        <v>38.000000000000341</v>
      </c>
      <c r="AG43" s="67">
        <v>61.637926616639817</v>
      </c>
      <c r="AH43" s="67">
        <v>30.299099819976728</v>
      </c>
      <c r="AI43" s="67">
        <v>418.27501926609068</v>
      </c>
      <c r="AK43" s="67">
        <v>38.000000000000341</v>
      </c>
      <c r="AL43" s="67">
        <v>58.608655415511791</v>
      </c>
      <c r="AM43" s="67">
        <v>27.922074636686428</v>
      </c>
      <c r="AN43" s="67">
        <v>329.25888482829481</v>
      </c>
      <c r="AP43" s="67">
        <v>-7.2271167242661249E-3</v>
      </c>
      <c r="AQ43" s="67">
        <v>34.844740710894271</v>
      </c>
      <c r="AS43" s="67">
        <v>10.942000000000011</v>
      </c>
      <c r="AT43" s="67">
        <v>50.171272605843711</v>
      </c>
      <c r="AV43" s="67">
        <v>47.865135102863057</v>
      </c>
      <c r="AW43" s="67">
        <v>188.74052713724501</v>
      </c>
      <c r="AY43" s="67">
        <v>46.919474223293278</v>
      </c>
      <c r="AZ43" s="67">
        <v>186.7444429916842</v>
      </c>
      <c r="BB43" s="67">
        <v>31.874885593830982</v>
      </c>
      <c r="BC43" s="67">
        <v>101.80498759730609</v>
      </c>
      <c r="BE43" s="67">
        <v>31.948218244699991</v>
      </c>
      <c r="BF43" s="67">
        <v>110.10385233330091</v>
      </c>
      <c r="BH43" s="68">
        <v>129</v>
      </c>
      <c r="BI43" s="68">
        <v>2412.352329876453</v>
      </c>
      <c r="BJ43" s="68">
        <v>3005.4396742637132</v>
      </c>
      <c r="BK43" s="68">
        <v>3956.6172924463622</v>
      </c>
      <c r="BL43" s="68">
        <v>4818.5971644379424</v>
      </c>
      <c r="BM43" s="68">
        <v>5790.9910808300356</v>
      </c>
    </row>
    <row r="44" spans="16:65" x14ac:dyDescent="0.25">
      <c r="P44" s="67">
        <v>137</v>
      </c>
      <c r="Q44" s="67">
        <v>638.76422416741912</v>
      </c>
      <c r="R44" s="67">
        <v>638.76422416741912</v>
      </c>
      <c r="S44" s="67">
        <v>780.58543956941708</v>
      </c>
      <c r="T44" s="67">
        <v>780.58543956941708</v>
      </c>
      <c r="V44" s="67">
        <v>39.000000000000497</v>
      </c>
      <c r="W44" s="67">
        <v>104.79344470248709</v>
      </c>
      <c r="X44" s="67">
        <v>44.267154308454167</v>
      </c>
      <c r="Y44" s="67">
        <v>428.46151114834521</v>
      </c>
      <c r="AA44" s="67">
        <v>39.000000000000497</v>
      </c>
      <c r="AB44" s="67">
        <v>79.60878919393474</v>
      </c>
      <c r="AC44" s="67">
        <v>39.232057591948553</v>
      </c>
      <c r="AD44" s="67">
        <v>343.14969114135113</v>
      </c>
      <c r="AF44" s="67">
        <v>39.000000000000497</v>
      </c>
      <c r="AG44" s="67">
        <v>61.595934217473832</v>
      </c>
      <c r="AH44" s="67">
        <v>30.335874051002751</v>
      </c>
      <c r="AI44" s="67">
        <v>415.90284397632581</v>
      </c>
      <c r="AK44" s="67">
        <v>39.000000000000497</v>
      </c>
      <c r="AL44" s="67">
        <v>58.741240383621928</v>
      </c>
      <c r="AM44" s="67">
        <v>27.91303186533742</v>
      </c>
      <c r="AN44" s="67">
        <v>324.51453424876178</v>
      </c>
      <c r="AP44" s="67">
        <v>1.4677932223092971</v>
      </c>
      <c r="AQ44" s="67">
        <v>36.225048297822688</v>
      </c>
      <c r="AS44" s="67">
        <v>12.942000000000011</v>
      </c>
      <c r="AT44" s="67">
        <v>52.822201181094748</v>
      </c>
      <c r="AV44" s="67">
        <v>47.754402513163313</v>
      </c>
      <c r="AW44" s="67">
        <v>187.77267916444021</v>
      </c>
      <c r="AY44" s="67">
        <v>46.786651493250638</v>
      </c>
      <c r="AZ44" s="67">
        <v>185.78156631535211</v>
      </c>
      <c r="BB44" s="67">
        <v>31.758657546225439</v>
      </c>
      <c r="BC44" s="67">
        <v>101.0367845992224</v>
      </c>
      <c r="BE44" s="67">
        <v>31.84485859319069</v>
      </c>
      <c r="BF44" s="67">
        <v>109.6037930728605</v>
      </c>
      <c r="BH44" s="68">
        <v>132</v>
      </c>
      <c r="BI44" s="68">
        <v>2419.4277896809658</v>
      </c>
      <c r="BJ44" s="68">
        <v>3016.92405812179</v>
      </c>
      <c r="BK44" s="68">
        <v>3979.4351609588721</v>
      </c>
      <c r="BL44" s="68">
        <v>4859.8261222655674</v>
      </c>
      <c r="BM44" s="68">
        <v>5873.2434253041793</v>
      </c>
    </row>
    <row r="45" spans="16:65" x14ac:dyDescent="0.25">
      <c r="P45" s="67">
        <v>140</v>
      </c>
      <c r="Q45" s="67">
        <v>649.66864177920343</v>
      </c>
      <c r="R45" s="67">
        <v>649.66864177920343</v>
      </c>
      <c r="S45" s="67">
        <v>785.51839024658955</v>
      </c>
      <c r="V45" s="67">
        <v>40.000000000000647</v>
      </c>
      <c r="W45" s="67">
        <v>104.15988955263251</v>
      </c>
      <c r="X45" s="67">
        <v>44.304935951675823</v>
      </c>
      <c r="Y45" s="67">
        <v>426.08933585858023</v>
      </c>
      <c r="AA45" s="67">
        <v>40.000000000000647</v>
      </c>
      <c r="AB45" s="67">
        <v>79.622629934317914</v>
      </c>
      <c r="AC45" s="67">
        <v>39.321539183692323</v>
      </c>
      <c r="AD45" s="67">
        <v>338.40534056181798</v>
      </c>
      <c r="AF45" s="67">
        <v>40.000000000000647</v>
      </c>
      <c r="AG45" s="67">
        <v>61.570071950578424</v>
      </c>
      <c r="AH45" s="67">
        <v>30.373551762447448</v>
      </c>
      <c r="AI45" s="67">
        <v>413.53066868656077</v>
      </c>
      <c r="AK45" s="67">
        <v>40.000000000000647</v>
      </c>
      <c r="AL45" s="67">
        <v>58.865712648626641</v>
      </c>
      <c r="AM45" s="67">
        <v>27.898819833514612</v>
      </c>
      <c r="AN45" s="67">
        <v>319.7701836692288</v>
      </c>
      <c r="AP45" s="67">
        <v>2.942813561342859</v>
      </c>
      <c r="AQ45" s="67">
        <v>37.645360383205073</v>
      </c>
      <c r="AS45" s="67">
        <v>14.942000000000011</v>
      </c>
      <c r="AT45" s="67">
        <v>55.6006895127448</v>
      </c>
      <c r="AV45" s="67">
        <v>47.643539321629191</v>
      </c>
      <c r="AW45" s="67">
        <v>186.80422113719959</v>
      </c>
      <c r="AY45" s="67">
        <v>46.655565297626893</v>
      </c>
      <c r="AZ45" s="67">
        <v>184.8305169591672</v>
      </c>
      <c r="BB45" s="67">
        <v>31.643997500237329</v>
      </c>
      <c r="BC45" s="67">
        <v>100.2802523893893</v>
      </c>
      <c r="BE45" s="67">
        <v>31.74297142596215</v>
      </c>
      <c r="BF45" s="67">
        <v>109.1113801293141</v>
      </c>
      <c r="BH45" s="68">
        <v>135</v>
      </c>
      <c r="BI45" s="68">
        <v>2426.3280393460309</v>
      </c>
      <c r="BJ45" s="68">
        <v>3028.0741872321</v>
      </c>
      <c r="BK45" s="68">
        <v>4001.3745969440379</v>
      </c>
      <c r="BL45" s="68">
        <v>4898.9393463059987</v>
      </c>
      <c r="BM45" s="68">
        <v>5949.5100456326891</v>
      </c>
    </row>
    <row r="46" spans="16:65" x14ac:dyDescent="0.25">
      <c r="P46" s="67">
        <v>143</v>
      </c>
      <c r="Q46" s="67">
        <v>659.69459023869274</v>
      </c>
      <c r="R46" s="67">
        <v>659.69459023869274</v>
      </c>
      <c r="S46" s="67">
        <v>790.22934941793255</v>
      </c>
      <c r="V46" s="67">
        <v>41.00000000000081</v>
      </c>
      <c r="W46" s="67">
        <v>103.5551869874582</v>
      </c>
      <c r="X46" s="67">
        <v>44.343766082838897</v>
      </c>
      <c r="Y46" s="67">
        <v>423.71716056881519</v>
      </c>
      <c r="AA46" s="67">
        <v>41.00000000000081</v>
      </c>
      <c r="AB46" s="67">
        <v>79.641733371788547</v>
      </c>
      <c r="AC46" s="67">
        <v>39.409043117606977</v>
      </c>
      <c r="AD46" s="67">
        <v>333.66098998228512</v>
      </c>
      <c r="AF46" s="67">
        <v>41.00000000000081</v>
      </c>
      <c r="AG46" s="67">
        <v>61.55901580672797</v>
      </c>
      <c r="AH46" s="67">
        <v>30.411959648403691</v>
      </c>
      <c r="AI46" s="67">
        <v>411.15849339679568</v>
      </c>
      <c r="AK46" s="67">
        <v>41.00000000000081</v>
      </c>
      <c r="AL46" s="67">
        <v>58.982113053752457</v>
      </c>
      <c r="AM46" s="67">
        <v>27.879459839401932</v>
      </c>
      <c r="AN46" s="67">
        <v>315.02583308969582</v>
      </c>
      <c r="AP46" s="67">
        <v>4.4178339003764222</v>
      </c>
      <c r="AQ46" s="67">
        <v>39.106521876016707</v>
      </c>
      <c r="AS46" s="67">
        <v>16.442000000000011</v>
      </c>
      <c r="AT46" s="67">
        <v>57.775899616962221</v>
      </c>
      <c r="AV46" s="67">
        <v>47.532523325251191</v>
      </c>
      <c r="AW46" s="67">
        <v>185.8350429094767</v>
      </c>
      <c r="AY46" s="67">
        <v>46.526196855665873</v>
      </c>
      <c r="AZ46" s="67">
        <v>183.89114811643429</v>
      </c>
      <c r="BB46" s="67">
        <v>31.530889873342861</v>
      </c>
      <c r="BC46" s="67">
        <v>99.535248800301545</v>
      </c>
      <c r="BE46" s="67">
        <v>31.642539945107998</v>
      </c>
      <c r="BF46" s="67">
        <v>108.6265078769646</v>
      </c>
      <c r="BH46" s="68">
        <v>138</v>
      </c>
      <c r="BI46" s="68">
        <v>2433.0597396338289</v>
      </c>
      <c r="BJ46" s="68">
        <v>3038.905976178884</v>
      </c>
      <c r="BK46" s="68">
        <v>4022.4954201294208</v>
      </c>
      <c r="BL46" s="68">
        <v>4936.1379931260581</v>
      </c>
      <c r="BM46" s="68">
        <v>6020.596591810242</v>
      </c>
    </row>
    <row r="47" spans="16:65" x14ac:dyDescent="0.25">
      <c r="P47" s="67">
        <v>146</v>
      </c>
      <c r="Q47" s="67">
        <v>668.96769125286812</v>
      </c>
      <c r="R47" s="67">
        <v>668.96769125286812</v>
      </c>
      <c r="S47" s="67">
        <v>794.73927358541926</v>
      </c>
      <c r="V47" s="67">
        <v>42.000000000000973</v>
      </c>
      <c r="W47" s="67">
        <v>102.9777182886758</v>
      </c>
      <c r="X47" s="67">
        <v>44.383458605377307</v>
      </c>
      <c r="Y47" s="67">
        <v>421.34498527905021</v>
      </c>
      <c r="AA47" s="67">
        <v>42.000000000000973</v>
      </c>
      <c r="AB47" s="67">
        <v>79.663817654712858</v>
      </c>
      <c r="AC47" s="67">
        <v>39.49432386193223</v>
      </c>
      <c r="AD47" s="67">
        <v>328.91663940275208</v>
      </c>
      <c r="AF47" s="67">
        <v>42.000000000000973</v>
      </c>
      <c r="AG47" s="67">
        <v>61.561545034357103</v>
      </c>
      <c r="AH47" s="67">
        <v>30.450942949699311</v>
      </c>
      <c r="AI47" s="67">
        <v>408.78631810703081</v>
      </c>
      <c r="AK47" s="67">
        <v>42.000000000000973</v>
      </c>
      <c r="AL47" s="67">
        <v>59.090470952526523</v>
      </c>
      <c r="AM47" s="67">
        <v>27.854964191394231</v>
      </c>
      <c r="AN47" s="67">
        <v>310.28148251016279</v>
      </c>
      <c r="AP47" s="67">
        <v>5.8928542394100418</v>
      </c>
      <c r="AQ47" s="67">
        <v>40.609409549502907</v>
      </c>
      <c r="AS47" s="67">
        <v>21.381690533676871</v>
      </c>
      <c r="AT47" s="67">
        <v>65.607659520647559</v>
      </c>
      <c r="AV47" s="67">
        <v>47.421331638581023</v>
      </c>
      <c r="AW47" s="67">
        <v>184.86503121565329</v>
      </c>
      <c r="AY47" s="67">
        <v>46.398527557225982</v>
      </c>
      <c r="AZ47" s="67">
        <v>182.9633146582371</v>
      </c>
      <c r="BB47" s="67">
        <v>31.419319187853318</v>
      </c>
      <c r="BC47" s="67">
        <v>98.801633056565876</v>
      </c>
      <c r="BE47" s="67">
        <v>31.543547495024711</v>
      </c>
      <c r="BF47" s="67">
        <v>108.1490719207404</v>
      </c>
      <c r="BH47" s="68">
        <v>141</v>
      </c>
      <c r="BI47" s="68">
        <v>2439.6291585577551</v>
      </c>
      <c r="BJ47" s="68">
        <v>3049.4341612360622</v>
      </c>
      <c r="BK47" s="68">
        <v>4042.8511508564688</v>
      </c>
      <c r="BL47" s="68">
        <v>4971.5941557774022</v>
      </c>
      <c r="BM47" s="68">
        <v>6087.1520567152538</v>
      </c>
    </row>
    <row r="48" spans="16:65" x14ac:dyDescent="0.25">
      <c r="P48" s="67">
        <v>149</v>
      </c>
      <c r="Q48" s="67">
        <v>677.58978130805031</v>
      </c>
      <c r="R48" s="67">
        <v>677.58978130805031</v>
      </c>
      <c r="S48" s="67">
        <v>799.06622733373331</v>
      </c>
      <c r="V48" s="67">
        <v>43.000000000001123</v>
      </c>
      <c r="W48" s="67">
        <v>102.4259759277157</v>
      </c>
      <c r="X48" s="67">
        <v>44.423845711303393</v>
      </c>
      <c r="Y48" s="67">
        <v>418.97280998928522</v>
      </c>
      <c r="AA48" s="67">
        <v>43.000000000001123</v>
      </c>
      <c r="AB48" s="67">
        <v>79.686911398085584</v>
      </c>
      <c r="AC48" s="67">
        <v>39.57717857847274</v>
      </c>
      <c r="AD48" s="67">
        <v>324.17228882321911</v>
      </c>
      <c r="AF48" s="67">
        <v>43.000000000001123</v>
      </c>
      <c r="AG48" s="67">
        <v>61.576530839895717</v>
      </c>
      <c r="AH48" s="67">
        <v>30.490363159131618</v>
      </c>
      <c r="AI48" s="67">
        <v>406.41414281726583</v>
      </c>
      <c r="AK48" s="67">
        <v>43.000000000001123</v>
      </c>
      <c r="AL48" s="67">
        <v>59.190804069738981</v>
      </c>
      <c r="AM48" s="67">
        <v>27.825336125422151</v>
      </c>
      <c r="AN48" s="67">
        <v>305.53713193062981</v>
      </c>
      <c r="AP48" s="67">
        <v>7.3678745784436046</v>
      </c>
      <c r="AQ48" s="67">
        <v>42.154936322025598</v>
      </c>
      <c r="AS48" s="67">
        <v>27.0483557248271</v>
      </c>
      <c r="AT48" s="67">
        <v>76.93395425592955</v>
      </c>
      <c r="AV48" s="67">
        <v>47.309940652288446</v>
      </c>
      <c r="AW48" s="67">
        <v>183.8940694787826</v>
      </c>
      <c r="AY48" s="67">
        <v>46.272538962034403</v>
      </c>
      <c r="AZ48" s="67">
        <v>182.046873119802</v>
      </c>
      <c r="BB48" s="67">
        <v>31.309270069191879</v>
      </c>
      <c r="BC48" s="67">
        <v>98.079265755395014</v>
      </c>
      <c r="BE48" s="67">
        <v>31.445977560244671</v>
      </c>
      <c r="BF48" s="67">
        <v>107.6789690780366</v>
      </c>
      <c r="BH48" s="68">
        <v>144</v>
      </c>
      <c r="BI48" s="68">
        <v>2446.0422029752071</v>
      </c>
      <c r="BJ48" s="68">
        <v>3059.6724186392389</v>
      </c>
      <c r="BK48" s="68">
        <v>4062.4898969017509</v>
      </c>
      <c r="BL48" s="68">
        <v>5005.4563712629642</v>
      </c>
      <c r="BM48" s="68">
        <v>6149.7070726165593</v>
      </c>
    </row>
    <row r="49" spans="16:65" x14ac:dyDescent="0.25">
      <c r="P49" s="67">
        <v>152</v>
      </c>
      <c r="Q49" s="67">
        <v>685.64427205517723</v>
      </c>
      <c r="R49" s="67">
        <v>685.64427205517723</v>
      </c>
      <c r="S49" s="67">
        <v>803.22589952275086</v>
      </c>
      <c r="V49" s="67">
        <v>44.000000000001279</v>
      </c>
      <c r="W49" s="67">
        <v>101.89855375629379</v>
      </c>
      <c r="X49" s="67">
        <v>44.464776044443909</v>
      </c>
      <c r="Y49" s="67">
        <v>416.60063469952019</v>
      </c>
      <c r="AA49" s="67">
        <v>44.000000000001279</v>
      </c>
      <c r="AB49" s="67">
        <v>79.709339288327726</v>
      </c>
      <c r="AC49" s="67">
        <v>39.657446500550982</v>
      </c>
      <c r="AD49" s="67">
        <v>319.42793824368619</v>
      </c>
      <c r="AF49" s="67">
        <v>44.000000000001279</v>
      </c>
      <c r="AG49" s="67">
        <v>61.602926093834739</v>
      </c>
      <c r="AH49" s="67">
        <v>30.530095856377098</v>
      </c>
      <c r="AI49" s="67">
        <v>404.04196752750079</v>
      </c>
      <c r="AK49" s="67">
        <v>44.000000000001279</v>
      </c>
      <c r="AL49" s="67">
        <v>59.283118344350683</v>
      </c>
      <c r="AM49" s="67">
        <v>27.790569698184409</v>
      </c>
      <c r="AN49" s="67">
        <v>300.79278135109689</v>
      </c>
      <c r="AP49" s="67">
        <v>8.8428949174771674</v>
      </c>
      <c r="AQ49" s="67">
        <v>43.744056224762687</v>
      </c>
      <c r="AS49" s="67">
        <v>28.093324343344879</v>
      </c>
      <c r="AT49" s="67">
        <v>80.896474126453512</v>
      </c>
      <c r="AV49" s="67">
        <v>47.19832598873802</v>
      </c>
      <c r="AW49" s="67">
        <v>182.9220376052144</v>
      </c>
      <c r="AY49" s="67">
        <v>46.148212798932917</v>
      </c>
      <c r="AZ49" s="67">
        <v>181.14168168686751</v>
      </c>
      <c r="BB49" s="67">
        <v>31.20072724427456</v>
      </c>
      <c r="BC49" s="67">
        <v>97.368008847889698</v>
      </c>
      <c r="BE49" s="67">
        <v>31.349813763391499</v>
      </c>
      <c r="BF49" s="67">
        <v>107.2160973612778</v>
      </c>
      <c r="BH49" s="68">
        <v>147</v>
      </c>
      <c r="BI49" s="68">
        <v>2452.3044469847432</v>
      </c>
      <c r="BJ49" s="68">
        <v>3069.6334680256641</v>
      </c>
      <c r="BK49" s="68">
        <v>4081.4550863074778</v>
      </c>
      <c r="BL49" s="68">
        <v>5037.8538613755572</v>
      </c>
      <c r="BM49" s="68">
        <v>6208.7012384391446</v>
      </c>
    </row>
    <row r="50" spans="16:65" x14ac:dyDescent="0.25">
      <c r="P50" s="67">
        <v>155</v>
      </c>
      <c r="Q50" s="67">
        <v>693.20017549803026</v>
      </c>
      <c r="R50" s="67">
        <v>693.20017549803026</v>
      </c>
      <c r="S50" s="67">
        <v>807.2320076955566</v>
      </c>
      <c r="V50" s="67">
        <v>45.000000000001442</v>
      </c>
      <c r="W50" s="67">
        <v>101.3941382455652</v>
      </c>
      <c r="X50" s="67">
        <v>44.50611305842375</v>
      </c>
      <c r="Y50" s="67">
        <v>414.2284594097552</v>
      </c>
      <c r="AA50" s="67">
        <v>45.000000000001442</v>
      </c>
      <c r="AB50" s="67">
        <v>79.72970200221485</v>
      </c>
      <c r="AC50" s="67">
        <v>39.735010449980962</v>
      </c>
      <c r="AD50" s="67">
        <v>314.68358766415321</v>
      </c>
      <c r="AF50" s="67">
        <v>45.000000000001442</v>
      </c>
      <c r="AG50" s="67">
        <v>61.639756024249607</v>
      </c>
      <c r="AH50" s="67">
        <v>30.57002867042382</v>
      </c>
      <c r="AI50" s="67">
        <v>401.66979223773569</v>
      </c>
      <c r="AK50" s="67">
        <v>45.000000000001442</v>
      </c>
      <c r="AL50" s="67">
        <v>59.367407749215367</v>
      </c>
      <c r="AM50" s="67">
        <v>27.750649652671431</v>
      </c>
      <c r="AN50" s="67">
        <v>296.04843077156391</v>
      </c>
      <c r="AP50" s="67">
        <v>10.31791525651073</v>
      </c>
      <c r="AQ50" s="67">
        <v>45.377770159903697</v>
      </c>
      <c r="AS50" s="67">
        <v>27.54550608237076</v>
      </c>
      <c r="AT50" s="67">
        <v>82.075301730365226</v>
      </c>
      <c r="AV50" s="67">
        <v>47.086462454324817</v>
      </c>
      <c r="AW50" s="67">
        <v>181.94881176444309</v>
      </c>
      <c r="AY50" s="67">
        <v>46.02553096510907</v>
      </c>
      <c r="AZ50" s="67">
        <v>180.2476001820007</v>
      </c>
      <c r="BB50" s="67">
        <v>31.093675540089858</v>
      </c>
      <c r="BC50" s="67">
        <v>96.667725621428644</v>
      </c>
      <c r="BE50" s="67">
        <v>31.255039863261011</v>
      </c>
      <c r="BF50" s="67">
        <v>106.7603559612089</v>
      </c>
      <c r="BH50" s="68">
        <v>150</v>
      </c>
      <c r="BI50" s="68">
        <v>2458.4211575142108</v>
      </c>
      <c r="BJ50" s="68">
        <v>3079.3291632534501</v>
      </c>
      <c r="BK50" s="68">
        <v>4099.786077650102</v>
      </c>
      <c r="BL50" s="68">
        <v>5068.8998445587249</v>
      </c>
      <c r="BM50" s="68">
        <v>6264.5030090598193</v>
      </c>
    </row>
    <row r="51" spans="16:65" x14ac:dyDescent="0.25">
      <c r="P51" s="67">
        <v>158</v>
      </c>
      <c r="Q51" s="67">
        <v>700.31512955808512</v>
      </c>
      <c r="R51" s="67">
        <v>700.31512955808512</v>
      </c>
      <c r="S51" s="67">
        <v>811.09661883229251</v>
      </c>
      <c r="V51" s="67">
        <v>46.000000000001592</v>
      </c>
      <c r="W51" s="67">
        <v>100.91150066113821</v>
      </c>
      <c r="X51" s="67">
        <v>44.54773355414784</v>
      </c>
      <c r="Y51" s="67">
        <v>411.85628411999022</v>
      </c>
      <c r="AA51" s="67">
        <v>46.000000000001592</v>
      </c>
      <c r="AB51" s="67">
        <v>79.746852663793675</v>
      </c>
      <c r="AC51" s="67">
        <v>39.809799284298776</v>
      </c>
      <c r="AD51" s="67">
        <v>309.93923708462017</v>
      </c>
      <c r="AF51" s="67">
        <v>46.000000000001592</v>
      </c>
      <c r="AG51" s="67">
        <v>61.686109886005823</v>
      </c>
      <c r="AH51" s="67">
        <v>30.610059371555739</v>
      </c>
      <c r="AI51" s="67">
        <v>399.29761694797082</v>
      </c>
      <c r="AK51" s="67">
        <v>46.000000000001592</v>
      </c>
      <c r="AL51" s="67">
        <v>59.443654082175527</v>
      </c>
      <c r="AM51" s="67">
        <v>27.705551252044931</v>
      </c>
      <c r="AN51" s="67">
        <v>291.30408019203088</v>
      </c>
      <c r="AP51" s="67">
        <v>11.792935595544289</v>
      </c>
      <c r="AQ51" s="67">
        <v>47.057132631174902</v>
      </c>
      <c r="AS51" s="67">
        <v>26.914681978845071</v>
      </c>
      <c r="AT51" s="67">
        <v>82.142568581110481</v>
      </c>
      <c r="AV51" s="67">
        <v>46.974323988277213</v>
      </c>
      <c r="AW51" s="67">
        <v>180.97426415285719</v>
      </c>
      <c r="AY51" s="67">
        <v>45.904475525312137</v>
      </c>
      <c r="AZ51" s="67">
        <v>179.36449005089119</v>
      </c>
      <c r="BB51" s="67">
        <v>30.98809988217738</v>
      </c>
      <c r="BC51" s="67">
        <v>95.97828068199675</v>
      </c>
      <c r="BE51" s="67">
        <v>31.161639753019461</v>
      </c>
      <c r="BF51" s="67">
        <v>106.3116452308619</v>
      </c>
      <c r="BH51" s="68">
        <v>153</v>
      </c>
      <c r="BI51" s="68">
        <v>2464.3973174323401</v>
      </c>
      <c r="BJ51" s="68">
        <v>3088.7705724322032</v>
      </c>
      <c r="BK51" s="68">
        <v>4117.5186718724399</v>
      </c>
      <c r="BL51" s="68">
        <v>5098.6941552061362</v>
      </c>
      <c r="BM51" s="68">
        <v>6317.4244349016026</v>
      </c>
    </row>
    <row r="52" spans="16:65" x14ac:dyDescent="0.25">
      <c r="P52" s="67">
        <v>161</v>
      </c>
      <c r="Q52" s="67">
        <v>707.03768952139274</v>
      </c>
      <c r="R52" s="67">
        <v>707.03768952139274</v>
      </c>
      <c r="S52" s="67">
        <v>814.83040661033749</v>
      </c>
      <c r="V52" s="67">
        <v>47.000000000001748</v>
      </c>
      <c r="W52" s="67">
        <v>100.4494900706943</v>
      </c>
      <c r="X52" s="67">
        <v>44.589526382743372</v>
      </c>
      <c r="Y52" s="67">
        <v>409.48410883022518</v>
      </c>
      <c r="AA52" s="67">
        <v>47.000000000001748</v>
      </c>
      <c r="AB52" s="67">
        <v>79.759883400133432</v>
      </c>
      <c r="AC52" s="67">
        <v>39.881790478167602</v>
      </c>
      <c r="AD52" s="67">
        <v>305.1948865050872</v>
      </c>
      <c r="AF52" s="67">
        <v>47.000000000001748</v>
      </c>
      <c r="AG52" s="67">
        <v>61.741133597951482</v>
      </c>
      <c r="AH52" s="67">
        <v>30.650094099601802</v>
      </c>
      <c r="AI52" s="67">
        <v>396.92544165820578</v>
      </c>
      <c r="AK52" s="67">
        <v>47.000000000001748</v>
      </c>
      <c r="AL52" s="67">
        <v>59.511826722811762</v>
      </c>
      <c r="AM52" s="67">
        <v>27.655240077620359</v>
      </c>
      <c r="AN52" s="67">
        <v>286.5597296124979</v>
      </c>
      <c r="AP52" s="67">
        <v>13.267955934577859</v>
      </c>
      <c r="AQ52" s="67">
        <v>48.783259806914238</v>
      </c>
      <c r="AS52" s="67">
        <v>19.807223283908119</v>
      </c>
      <c r="AT52" s="67">
        <v>76.474404393649152</v>
      </c>
      <c r="AV52" s="67">
        <v>46.861883607592517</v>
      </c>
      <c r="AW52" s="67">
        <v>179.9982627398534</v>
      </c>
      <c r="AY52" s="67">
        <v>45.785028711058523</v>
      </c>
      <c r="AZ52" s="67">
        <v>178.4922143486308</v>
      </c>
      <c r="BB52" s="67">
        <v>30.883985293520599</v>
      </c>
      <c r="BC52" s="67">
        <v>95.299539938527744</v>
      </c>
      <c r="BE52" s="67">
        <v>31.069597458520541</v>
      </c>
      <c r="BF52" s="67">
        <v>105.86986667020111</v>
      </c>
      <c r="BH52" s="68">
        <v>156</v>
      </c>
      <c r="BI52" s="68">
        <v>2470.237646470604</v>
      </c>
      <c r="BJ52" s="68">
        <v>3097.968048690972</v>
      </c>
      <c r="BK52" s="68">
        <v>4134.6855443903341</v>
      </c>
      <c r="BL52" s="68">
        <v>5127.3253390053342</v>
      </c>
      <c r="BM52" s="68">
        <v>6367.7322661178869</v>
      </c>
    </row>
    <row r="53" spans="16:65" x14ac:dyDescent="0.25">
      <c r="P53" s="67">
        <v>164</v>
      </c>
      <c r="Q53" s="67">
        <v>713.40908214081617</v>
      </c>
      <c r="R53" s="67">
        <v>713.40908214081617</v>
      </c>
      <c r="S53" s="67">
        <v>818.44285984486373</v>
      </c>
      <c r="V53" s="67">
        <v>48.000000000001897</v>
      </c>
      <c r="W53" s="67">
        <v>100.00702708825889</v>
      </c>
      <c r="X53" s="67">
        <v>44.631391300794178</v>
      </c>
      <c r="Y53" s="67">
        <v>407.1119335404602</v>
      </c>
      <c r="AA53" s="67">
        <v>48.000000000001897</v>
      </c>
      <c r="AB53" s="67">
        <v>79.768399626960246</v>
      </c>
      <c r="AC53" s="67">
        <v>39.95101576147681</v>
      </c>
      <c r="AD53" s="67">
        <v>300.45053592555422</v>
      </c>
      <c r="AF53" s="67">
        <v>48.000000000001897</v>
      </c>
      <c r="AG53" s="67">
        <v>61.804023337332637</v>
      </c>
      <c r="AH53" s="67">
        <v>30.690045738075529</v>
      </c>
      <c r="AI53" s="67">
        <v>394.55326636844069</v>
      </c>
      <c r="AK53" s="67">
        <v>48.000000000001897</v>
      </c>
      <c r="AL53" s="67">
        <v>59.571882348834073</v>
      </c>
      <c r="AM53" s="67">
        <v>27.599671786357529</v>
      </c>
      <c r="AN53" s="67">
        <v>281.81537903296493</v>
      </c>
      <c r="AP53" s="67">
        <v>14.742976273611481</v>
      </c>
      <c r="AQ53" s="67">
        <v>50.557339618942457</v>
      </c>
      <c r="AS53" s="67">
        <v>15.942000000000011</v>
      </c>
      <c r="AT53" s="67">
        <v>72.812348099543726</v>
      </c>
      <c r="AV53" s="67">
        <v>46.749113347747418</v>
      </c>
      <c r="AW53" s="67">
        <v>179.02067099471759</v>
      </c>
      <c r="AY53" s="67">
        <v>45.667172919819578</v>
      </c>
      <c r="AZ53" s="67">
        <v>177.63063772594799</v>
      </c>
      <c r="BB53" s="67">
        <v>30.78131689334009</v>
      </c>
      <c r="BC53" s="67">
        <v>94.631370587166899</v>
      </c>
      <c r="BE53" s="67">
        <v>30.97889713673327</v>
      </c>
      <c r="BF53" s="67">
        <v>105.4349229114071</v>
      </c>
      <c r="BH53" s="68">
        <v>159</v>
      </c>
      <c r="BI53" s="68">
        <v>2475.9466202039639</v>
      </c>
      <c r="BJ53" s="68">
        <v>3106.9312929606699</v>
      </c>
      <c r="BK53" s="68">
        <v>4151.3166121256563</v>
      </c>
      <c r="BL53" s="68">
        <v>5154.8723465814437</v>
      </c>
      <c r="BM53" s="68">
        <v>6415.6564438836704</v>
      </c>
    </row>
    <row r="54" spans="16:65" x14ac:dyDescent="0.25">
      <c r="P54" s="67">
        <v>167</v>
      </c>
      <c r="Q54" s="67">
        <v>719.46456419000765</v>
      </c>
      <c r="R54" s="67">
        <v>719.46456419000765</v>
      </c>
      <c r="S54" s="67">
        <v>821.94245294425355</v>
      </c>
      <c r="V54" s="67">
        <v>49.000000000002061</v>
      </c>
      <c r="W54" s="67">
        <v>99.583098264976087</v>
      </c>
      <c r="X54" s="67">
        <v>44.673237965191497</v>
      </c>
      <c r="Y54" s="67">
        <v>404.73975825069522</v>
      </c>
      <c r="AA54" s="67">
        <v>49.000000000002061</v>
      </c>
      <c r="AB54" s="67">
        <v>79.772431298166978</v>
      </c>
      <c r="AC54" s="67">
        <v>40.017580104044043</v>
      </c>
      <c r="AD54" s="67">
        <v>295.70618534602119</v>
      </c>
      <c r="AF54" s="67">
        <v>49.000000000002061</v>
      </c>
      <c r="AG54" s="67">
        <v>61.874020075042942</v>
      </c>
      <c r="AH54" s="67">
        <v>30.729832446443879</v>
      </c>
      <c r="AI54" s="67">
        <v>392.18109107867582</v>
      </c>
      <c r="AK54" s="67">
        <v>49.000000000002061</v>
      </c>
      <c r="AL54" s="67">
        <v>59.623764605811687</v>
      </c>
      <c r="AM54" s="67">
        <v>27.53879182289603</v>
      </c>
      <c r="AN54" s="67">
        <v>277.07102845343189</v>
      </c>
      <c r="AP54" s="67">
        <v>16.217996612645042</v>
      </c>
      <c r="AQ54" s="67">
        <v>52.380645174902703</v>
      </c>
      <c r="AS54" s="67">
        <v>14.442000000000011</v>
      </c>
      <c r="AT54" s="67">
        <v>71.415419957726073</v>
      </c>
      <c r="AV54" s="67">
        <v>46.635984198779738</v>
      </c>
      <c r="AW54" s="67">
        <v>178.04134759242569</v>
      </c>
      <c r="AY54" s="67">
        <v>45.550890714197607</v>
      </c>
      <c r="AZ54" s="67">
        <v>176.77962641542189</v>
      </c>
      <c r="BB54" s="67">
        <v>30.68007989609896</v>
      </c>
      <c r="BC54" s="67">
        <v>93.973641096729651</v>
      </c>
      <c r="BE54" s="67">
        <v>30.88952307428432</v>
      </c>
      <c r="BF54" s="67">
        <v>105.0067177047968</v>
      </c>
      <c r="BH54" s="68">
        <v>162</v>
      </c>
      <c r="BI54" s="68">
        <v>2481.5284873061141</v>
      </c>
      <c r="BJ54" s="68">
        <v>3115.6694098453249</v>
      </c>
      <c r="BK54" s="68">
        <v>4167.4393470402847</v>
      </c>
      <c r="BL54" s="68">
        <v>5181.4059154276438</v>
      </c>
      <c r="BM54" s="68">
        <v>6461.3966824665258</v>
      </c>
    </row>
    <row r="55" spans="16:65" x14ac:dyDescent="0.25">
      <c r="P55" s="67">
        <v>170</v>
      </c>
      <c r="Q55" s="67">
        <v>725.23448679241267</v>
      </c>
      <c r="R55" s="67">
        <v>725.23448679241267</v>
      </c>
      <c r="S55" s="67">
        <v>825.33678648623822</v>
      </c>
      <c r="V55" s="67">
        <v>50.000000000002217</v>
      </c>
      <c r="W55" s="67">
        <v>99.176751041122188</v>
      </c>
      <c r="X55" s="67">
        <v>44.714985055048373</v>
      </c>
      <c r="Y55" s="67">
        <v>402.36758296093018</v>
      </c>
      <c r="AA55" s="67">
        <v>50.000000000002217</v>
      </c>
      <c r="AB55" s="67">
        <v>79.771221192856714</v>
      </c>
      <c r="AC55" s="67">
        <v>40.081640055387197</v>
      </c>
      <c r="AD55" s="67">
        <v>290.96183476648821</v>
      </c>
      <c r="AF55" s="67">
        <v>50.000000000002217</v>
      </c>
      <c r="AG55" s="67">
        <v>61.950405025284127</v>
      </c>
      <c r="AH55" s="67">
        <v>30.769376363893912</v>
      </c>
      <c r="AI55" s="67">
        <v>389.80891578891078</v>
      </c>
      <c r="AK55" s="67">
        <v>50.000000000002217</v>
      </c>
      <c r="AL55" s="67">
        <v>59.667403723614939</v>
      </c>
      <c r="AM55" s="67">
        <v>27.47253508076307</v>
      </c>
      <c r="AN55" s="67">
        <v>272.32667787389897</v>
      </c>
      <c r="AP55" s="67">
        <v>17.693016951678601</v>
      </c>
      <c r="AQ55" s="67">
        <v>54.254553598074622</v>
      </c>
      <c r="AS55" s="67">
        <v>12.942000000000011</v>
      </c>
      <c r="AT55" s="67">
        <v>70.041885155188268</v>
      </c>
      <c r="AV55" s="67">
        <v>46.522466036293217</v>
      </c>
      <c r="AW55" s="67">
        <v>177.06014609637589</v>
      </c>
      <c r="AY55" s="67">
        <v>45.43616482108515</v>
      </c>
      <c r="AZ55" s="67">
        <v>175.9390482176631</v>
      </c>
      <c r="BB55" s="67">
        <v>30.580259610619461</v>
      </c>
      <c r="BC55" s="67">
        <v>93.326221194934661</v>
      </c>
      <c r="BE55" s="67">
        <v>30.801459686102149</v>
      </c>
      <c r="BF55" s="67">
        <v>104.58515590532831</v>
      </c>
      <c r="BH55" s="68">
        <v>165</v>
      </c>
      <c r="BI55" s="68">
        <v>2486.987285267347</v>
      </c>
      <c r="BJ55" s="68">
        <v>3124.1909574895308</v>
      </c>
      <c r="BK55" s="68">
        <v>4183.0790453913669</v>
      </c>
      <c r="BL55" s="68">
        <v>5206.989707270046</v>
      </c>
      <c r="BM55" s="68">
        <v>6505.1276349559575</v>
      </c>
    </row>
    <row r="56" spans="16:65" x14ac:dyDescent="0.25">
      <c r="P56" s="67">
        <v>173</v>
      </c>
      <c r="Q56" s="67">
        <v>730.7451381529645</v>
      </c>
      <c r="R56" s="67">
        <v>730.7451381529645</v>
      </c>
      <c r="S56" s="67">
        <v>828.63270405383423</v>
      </c>
      <c r="V56" s="67">
        <v>51.000000000002373</v>
      </c>
      <c r="W56" s="67">
        <v>98.787089178767943</v>
      </c>
      <c r="X56" s="67">
        <v>44.75655950791122</v>
      </c>
      <c r="Y56" s="67">
        <v>399.9954076711652</v>
      </c>
      <c r="AA56" s="67">
        <v>51.000000000002373</v>
      </c>
      <c r="AB56" s="67">
        <v>79.763847909014615</v>
      </c>
      <c r="AC56" s="67">
        <v>40.143378106227999</v>
      </c>
      <c r="AD56" s="67">
        <v>286.21748418695529</v>
      </c>
      <c r="AF56" s="67">
        <v>51.000000000002373</v>
      </c>
      <c r="AG56" s="67">
        <v>62.03249597237695</v>
      </c>
      <c r="AH56" s="67">
        <v>30.808602498634741</v>
      </c>
      <c r="AI56" s="67">
        <v>387.43674049914569</v>
      </c>
      <c r="AK56" s="67">
        <v>51.000000000002373</v>
      </c>
      <c r="AL56" s="67">
        <v>59.70271607255426</v>
      </c>
      <c r="AM56" s="67">
        <v>27.400825506900109</v>
      </c>
      <c r="AN56" s="67">
        <v>267.58232729436628</v>
      </c>
      <c r="AP56" s="67">
        <v>19.16803729071216</v>
      </c>
      <c r="AQ56" s="67">
        <v>56.180573426027053</v>
      </c>
      <c r="AS56" s="67">
        <v>10.942000000000011</v>
      </c>
      <c r="AT56" s="67">
        <v>68.252850046806827</v>
      </c>
      <c r="AV56" s="67">
        <v>46.408527546881999</v>
      </c>
      <c r="AW56" s="67">
        <v>176.07691461571301</v>
      </c>
      <c r="AY56" s="67">
        <v>45.322978130812317</v>
      </c>
      <c r="AZ56" s="67">
        <v>175.10877248748321</v>
      </c>
      <c r="BB56" s="67">
        <v>30.481841439334179</v>
      </c>
      <c r="BC56" s="67">
        <v>92.688981855515181</v>
      </c>
      <c r="BE56" s="67">
        <v>30.714691514168429</v>
      </c>
      <c r="BF56" s="67">
        <v>104.1701434597018</v>
      </c>
      <c r="BH56" s="68">
        <v>168</v>
      </c>
      <c r="BI56" s="68">
        <v>2492.3268547392131</v>
      </c>
      <c r="BJ56" s="68">
        <v>3132.5039922122728</v>
      </c>
      <c r="BK56" s="68">
        <v>4198.259060108242</v>
      </c>
      <c r="BL56" s="68">
        <v>5231.681251601266</v>
      </c>
      <c r="BM56" s="68">
        <v>6547.0029935800112</v>
      </c>
    </row>
    <row r="57" spans="16:65" x14ac:dyDescent="0.25">
      <c r="P57" s="67">
        <v>176</v>
      </c>
      <c r="Q57" s="67">
        <v>736.01941726046346</v>
      </c>
      <c r="R57" s="67">
        <v>736.01941726046346</v>
      </c>
      <c r="S57" s="67">
        <v>831.83639003359519</v>
      </c>
      <c r="V57" s="67">
        <v>52.00000000000253</v>
      </c>
      <c r="W57" s="67">
        <v>98.41326859975689</v>
      </c>
      <c r="X57" s="67">
        <v>44.797895857041453</v>
      </c>
      <c r="Y57" s="67">
        <v>397.62323238140021</v>
      </c>
      <c r="AA57" s="67">
        <v>52.00000000000253</v>
      </c>
      <c r="AB57" s="67">
        <v>79.749322080923022</v>
      </c>
      <c r="AC57" s="67">
        <v>40.202992574674113</v>
      </c>
      <c r="AD57" s="67">
        <v>281.47313360742231</v>
      </c>
      <c r="AF57" s="67">
        <v>52.00000000000253</v>
      </c>
      <c r="AG57" s="67">
        <v>62.119644424038363</v>
      </c>
      <c r="AH57" s="67">
        <v>30.847437815858481</v>
      </c>
      <c r="AI57" s="67">
        <v>385.06456520938082</v>
      </c>
      <c r="AK57" s="67">
        <v>52.00000000000253</v>
      </c>
      <c r="AL57" s="67">
        <v>59.729603651765309</v>
      </c>
      <c r="AM57" s="67">
        <v>27.323575643107009</v>
      </c>
      <c r="AN57" s="67">
        <v>262.83797671483478</v>
      </c>
      <c r="AP57" s="67">
        <v>20.64305762974573</v>
      </c>
      <c r="AQ57" s="67">
        <v>58.160384612188977</v>
      </c>
      <c r="AS57" s="67">
        <v>9.4420000000000073</v>
      </c>
      <c r="AT57" s="67">
        <v>66.946139663156572</v>
      </c>
      <c r="AV57" s="67">
        <v>46.294136147412473</v>
      </c>
      <c r="AW57" s="67">
        <v>175.09149543476511</v>
      </c>
      <c r="AY57" s="67">
        <v>45.211313696278133</v>
      </c>
      <c r="AZ57" s="67">
        <v>174.2886701200276</v>
      </c>
      <c r="BB57" s="67">
        <v>30.38481087764092</v>
      </c>
      <c r="BC57" s="67">
        <v>92.061795286056565</v>
      </c>
      <c r="BE57" s="67">
        <v>30.62920322636494</v>
      </c>
      <c r="BF57" s="67">
        <v>103.7615873939917</v>
      </c>
      <c r="BH57" s="68">
        <v>171</v>
      </c>
      <c r="BI57" s="68">
        <v>2497.5508526499179</v>
      </c>
      <c r="BJ57" s="68">
        <v>3140.6161085628728</v>
      </c>
      <c r="BK57" s="68">
        <v>4213.0010022743136</v>
      </c>
      <c r="BL57" s="68">
        <v>5255.532734157985</v>
      </c>
      <c r="BM57" s="68">
        <v>6587.1587782810784</v>
      </c>
    </row>
    <row r="58" spans="16:65" x14ac:dyDescent="0.25">
      <c r="P58" s="67">
        <v>179</v>
      </c>
      <c r="Q58" s="67">
        <v>741.0773771073259</v>
      </c>
      <c r="R58" s="67">
        <v>741.0773771073259</v>
      </c>
      <c r="S58" s="67">
        <v>834.95345201641919</v>
      </c>
      <c r="V58" s="67">
        <v>53.000000000002693</v>
      </c>
      <c r="W58" s="67">
        <v>98.05449355999005</v>
      </c>
      <c r="X58" s="67">
        <v>44.83893565595173</v>
      </c>
      <c r="Y58" s="67">
        <v>395.25105709163518</v>
      </c>
      <c r="AA58" s="67">
        <v>53.000000000002693</v>
      </c>
      <c r="AB58" s="67">
        <v>79.726609210381156</v>
      </c>
      <c r="AC58" s="67">
        <v>40.260690524533629</v>
      </c>
      <c r="AD58" s="67">
        <v>276.72878302788928</v>
      </c>
      <c r="AF58" s="67">
        <v>53.000000000002693</v>
      </c>
      <c r="AG58" s="67">
        <v>62.211233527384401</v>
      </c>
      <c r="AH58" s="67">
        <v>30.885810535814471</v>
      </c>
      <c r="AI58" s="67">
        <v>382.69238991961578</v>
      </c>
      <c r="AK58" s="67">
        <v>53.000000000002693</v>
      </c>
      <c r="AL58" s="67">
        <v>59.747953501834857</v>
      </c>
      <c r="AM58" s="67">
        <v>27.240686097343431</v>
      </c>
      <c r="AN58" s="67">
        <v>258.09362613530328</v>
      </c>
      <c r="AP58" s="67">
        <v>22.118077968779289</v>
      </c>
      <c r="AQ58" s="67">
        <v>60.195895540103493</v>
      </c>
      <c r="AS58" s="67">
        <v>7.4420000000000073</v>
      </c>
      <c r="AT58" s="67">
        <v>65.254421970692178</v>
      </c>
      <c r="AV58" s="67">
        <v>46.179257897540822</v>
      </c>
      <c r="AW58" s="67">
        <v>174.1037246117576</v>
      </c>
      <c r="AY58" s="67">
        <v>45.101154732066952</v>
      </c>
      <c r="AZ58" s="67">
        <v>173.47861353688441</v>
      </c>
      <c r="BB58" s="67">
        <v>30.289153513422718</v>
      </c>
      <c r="BC58" s="67">
        <v>91.44453491683619</v>
      </c>
      <c r="BE58" s="67">
        <v>30.544979615419329</v>
      </c>
      <c r="BF58" s="67">
        <v>103.3593958018254</v>
      </c>
      <c r="BH58" s="68">
        <v>174</v>
      </c>
      <c r="BI58" s="68">
        <v>2502.662764216841</v>
      </c>
      <c r="BJ58" s="68">
        <v>3148.5344753602972</v>
      </c>
      <c r="BK58" s="68">
        <v>4227.3249165838379</v>
      </c>
      <c r="BL58" s="68">
        <v>5278.5916602925399</v>
      </c>
      <c r="BM58" s="68">
        <v>6625.715999505047</v>
      </c>
    </row>
    <row r="59" spans="16:65" x14ac:dyDescent="0.25">
      <c r="P59" s="67">
        <v>182</v>
      </c>
      <c r="Q59" s="67">
        <v>745.936666090166</v>
      </c>
      <c r="R59" s="67">
        <v>745.936666090166</v>
      </c>
      <c r="S59" s="67">
        <v>837.98899064645059</v>
      </c>
      <c r="V59" s="67">
        <v>54.000000000002842</v>
      </c>
      <c r="W59" s="67">
        <v>97.710013098859847</v>
      </c>
      <c r="X59" s="67">
        <v>44.879626975814233</v>
      </c>
      <c r="Y59" s="67">
        <v>392.87888180187019</v>
      </c>
      <c r="AA59" s="67">
        <v>54.000000000002842</v>
      </c>
      <c r="AB59" s="67">
        <v>79.694648181495737</v>
      </c>
      <c r="AC59" s="67">
        <v>40.316683202482352</v>
      </c>
      <c r="AD59" s="67">
        <v>271.98443244835642</v>
      </c>
      <c r="AF59" s="67">
        <v>54.000000000002842</v>
      </c>
      <c r="AG59" s="67">
        <v>62.306676671569548</v>
      </c>
      <c r="AH59" s="67">
        <v>30.923649650821741</v>
      </c>
      <c r="AI59" s="67">
        <v>380.32021462985068</v>
      </c>
      <c r="AK59" s="67">
        <v>54.000000000002842</v>
      </c>
      <c r="AL59" s="67">
        <v>59.757637032984498</v>
      </c>
      <c r="AM59" s="67">
        <v>27.15204493704374</v>
      </c>
      <c r="AN59" s="67">
        <v>253.34927555577181</v>
      </c>
      <c r="AP59" s="67">
        <v>23.593098307812848</v>
      </c>
      <c r="AQ59" s="67">
        <v>62.289321488399899</v>
      </c>
      <c r="AS59" s="67">
        <v>5.4420000000000073</v>
      </c>
      <c r="AT59" s="67">
        <v>63.623935037446657</v>
      </c>
      <c r="AV59" s="67">
        <v>46.063857404755588</v>
      </c>
      <c r="AW59" s="67">
        <v>173.11343154358539</v>
      </c>
      <c r="AY59" s="67">
        <v>44.992484613550431</v>
      </c>
      <c r="AZ59" s="67">
        <v>172.67847667217811</v>
      </c>
      <c r="BB59" s="67">
        <v>30.194855026661799</v>
      </c>
      <c r="BC59" s="67">
        <v>90.837075390334576</v>
      </c>
      <c r="BE59" s="67">
        <v>30.462005597938621</v>
      </c>
      <c r="BF59" s="67">
        <v>102.96347783305239</v>
      </c>
      <c r="BH59" s="68">
        <v>177</v>
      </c>
      <c r="BI59" s="68">
        <v>2507.6659139675221</v>
      </c>
      <c r="BJ59" s="68">
        <v>3156.2658681970111</v>
      </c>
      <c r="BK59" s="68">
        <v>4241.2494347621441</v>
      </c>
      <c r="BL59" s="68">
        <v>5300.9014165984217</v>
      </c>
      <c r="BM59" s="68">
        <v>6662.7828332945028</v>
      </c>
    </row>
    <row r="60" spans="16:65" x14ac:dyDescent="0.25">
      <c r="P60" s="67">
        <v>185</v>
      </c>
      <c r="Q60" s="67">
        <v>750.61288919553158</v>
      </c>
      <c r="R60" s="67">
        <v>750.61288919553158</v>
      </c>
      <c r="S60" s="67">
        <v>840.94765916276083</v>
      </c>
      <c r="V60" s="67">
        <v>55.000000000002998</v>
      </c>
      <c r="W60" s="67">
        <v>97.379117712202358</v>
      </c>
      <c r="X60" s="67">
        <v>44.919923961032957</v>
      </c>
      <c r="Y60" s="67">
        <v>390.50670651210521</v>
      </c>
      <c r="AA60" s="67">
        <v>55.000000000002998</v>
      </c>
      <c r="AB60" s="67">
        <v>79.652369256458968</v>
      </c>
      <c r="AC60" s="67">
        <v>40.371184021929928</v>
      </c>
      <c r="AD60" s="67">
        <v>267.24008186882372</v>
      </c>
      <c r="AF60" s="67">
        <v>55.000000000002998</v>
      </c>
      <c r="AG60" s="67">
        <v>62.405416689065753</v>
      </c>
      <c r="AH60" s="67">
        <v>30.960884666100242</v>
      </c>
      <c r="AI60" s="67">
        <v>377.94803934008581</v>
      </c>
      <c r="AK60" s="67">
        <v>55.000000000002998</v>
      </c>
      <c r="AL60" s="67">
        <v>59.758509259331838</v>
      </c>
      <c r="AM60" s="67">
        <v>27.057526995679378</v>
      </c>
      <c r="AN60" s="67">
        <v>248.60492497624031</v>
      </c>
      <c r="AP60" s="67">
        <v>25.068118646846411</v>
      </c>
      <c r="AQ60" s="67">
        <v>64.443293014998943</v>
      </c>
      <c r="AS60" s="67">
        <v>4.4420000000000073</v>
      </c>
      <c r="AT60" s="67">
        <v>62.832599431616849</v>
      </c>
      <c r="AV60" s="67">
        <v>45.947897721153772</v>
      </c>
      <c r="AW60" s="67">
        <v>172.12043849310251</v>
      </c>
      <c r="AY60" s="67">
        <v>44.885286875977762</v>
      </c>
      <c r="AZ60" s="67">
        <v>171.88813495865341</v>
      </c>
      <c r="BB60" s="67">
        <v>30.101901189238159</v>
      </c>
      <c r="BC60" s="67">
        <v>90.239292551803686</v>
      </c>
      <c r="BE60" s="67">
        <v>30.380266213531289</v>
      </c>
      <c r="BF60" s="67">
        <v>102.57374368289901</v>
      </c>
      <c r="BH60" s="68">
        <v>180</v>
      </c>
      <c r="BI60" s="68">
        <v>2512.5634758673341</v>
      </c>
      <c r="BJ60" s="68">
        <v>3163.816698822402</v>
      </c>
      <c r="BK60" s="68">
        <v>4254.7919102359074</v>
      </c>
      <c r="BL60" s="68">
        <v>5322.5017491752888</v>
      </c>
      <c r="BM60" s="68">
        <v>6698.456412471679</v>
      </c>
    </row>
    <row r="61" spans="16:65" x14ac:dyDescent="0.25">
      <c r="P61" s="67">
        <v>188</v>
      </c>
      <c r="Q61" s="67">
        <v>755.11990545662286</v>
      </c>
      <c r="R61" s="67">
        <v>755.11990545662286</v>
      </c>
      <c r="S61" s="67">
        <v>843.83371441952715</v>
      </c>
      <c r="V61" s="67">
        <v>56.000000000003148</v>
      </c>
      <c r="W61" s="67">
        <v>97.061136208107413</v>
      </c>
      <c r="X61" s="67">
        <v>44.959786428319262</v>
      </c>
      <c r="Y61" s="67">
        <v>388.13453122234017</v>
      </c>
      <c r="AA61" s="67">
        <v>56.000000000003148</v>
      </c>
      <c r="AB61" s="67">
        <v>79.598710209013831</v>
      </c>
      <c r="AC61" s="67">
        <v>40.424408949661817</v>
      </c>
      <c r="AD61" s="67">
        <v>262.49573128929222</v>
      </c>
      <c r="AF61" s="67">
        <v>56.000000000003148</v>
      </c>
      <c r="AG61" s="67">
        <v>62.506925557516873</v>
      </c>
      <c r="AH61" s="67">
        <v>30.997445564323581</v>
      </c>
      <c r="AI61" s="67">
        <v>375.57586405032077</v>
      </c>
      <c r="AK61" s="67">
        <v>56.000000000003148</v>
      </c>
      <c r="AL61" s="67">
        <v>59.750407928737737</v>
      </c>
      <c r="AM61" s="67">
        <v>26.95699308268803</v>
      </c>
      <c r="AN61" s="67">
        <v>243.86057439670881</v>
      </c>
      <c r="AP61" s="67">
        <v>26.543138985879981</v>
      </c>
      <c r="AQ61" s="67">
        <v>66.661030740102589</v>
      </c>
      <c r="AS61" s="67">
        <v>2.4420000000000068</v>
      </c>
      <c r="AT61" s="67">
        <v>61.299206812521398</v>
      </c>
      <c r="AV61" s="67">
        <v>45.83134023106453</v>
      </c>
      <c r="AW61" s="67">
        <v>171.1245600749225</v>
      </c>
      <c r="AY61" s="67">
        <v>44.779545213548573</v>
      </c>
      <c r="AZ61" s="67">
        <v>171.10746531372749</v>
      </c>
      <c r="BB61" s="67">
        <v>30.010277864754471</v>
      </c>
      <c r="BC61" s="67">
        <v>89.651063440245466</v>
      </c>
      <c r="BE61" s="67">
        <v>30.299746624012158</v>
      </c>
      <c r="BF61" s="67">
        <v>102.19010458156789</v>
      </c>
      <c r="BH61" s="68">
        <v>183</v>
      </c>
      <c r="BI61" s="68">
        <v>2517.3584826409369</v>
      </c>
      <c r="BJ61" s="68">
        <v>3171.1930417640888</v>
      </c>
      <c r="BK61" s="68">
        <v>4267.9685367763777</v>
      </c>
      <c r="BL61" s="68">
        <v>5343.4291731266612</v>
      </c>
      <c r="BM61" s="68">
        <v>6732.8243127872402</v>
      </c>
    </row>
    <row r="62" spans="16:65" x14ac:dyDescent="0.25">
      <c r="P62" s="67">
        <v>191</v>
      </c>
      <c r="Q62" s="67">
        <v>759.47007439826609</v>
      </c>
      <c r="R62" s="67">
        <v>759.47007439826609</v>
      </c>
      <c r="S62" s="67">
        <v>846.65106081653823</v>
      </c>
      <c r="V62" s="67">
        <v>57.000000000003311</v>
      </c>
      <c r="W62" s="67">
        <v>96.755432716882979</v>
      </c>
      <c r="X62" s="67">
        <v>44.999179495244498</v>
      </c>
      <c r="Y62" s="67">
        <v>385.76235593257519</v>
      </c>
      <c r="AA62" s="67">
        <v>57.000000000003311</v>
      </c>
      <c r="AB62" s="67">
        <v>79.532628061491096</v>
      </c>
      <c r="AC62" s="67">
        <v>40.476578875262128</v>
      </c>
      <c r="AD62" s="67">
        <v>257.75138070976078</v>
      </c>
      <c r="AF62" s="67">
        <v>57.000000000003311</v>
      </c>
      <c r="AG62" s="67">
        <v>62.610704494342777</v>
      </c>
      <c r="AH62" s="67">
        <v>31.033262986987669</v>
      </c>
      <c r="AI62" s="67">
        <v>373.20368876055568</v>
      </c>
      <c r="AK62" s="67">
        <v>57.000000000003311</v>
      </c>
      <c r="AL62" s="67">
        <v>59.733152536566102</v>
      </c>
      <c r="AM62" s="67">
        <v>26.85028908557803</v>
      </c>
      <c r="AN62" s="67">
        <v>239.11622381717731</v>
      </c>
      <c r="AP62" s="67">
        <v>28.018159324913601</v>
      </c>
      <c r="AQ62" s="67">
        <v>68.946742963343624</v>
      </c>
      <c r="AS62" s="67">
        <v>0.44200000000000728</v>
      </c>
      <c r="AT62" s="67">
        <v>59.832996533117587</v>
      </c>
      <c r="AV62" s="67">
        <v>45.714144528497002</v>
      </c>
      <c r="AW62" s="67">
        <v>170.1256026950941</v>
      </c>
      <c r="AY62" s="67">
        <v>44.67524347847251</v>
      </c>
      <c r="AZ62" s="67">
        <v>170.33634612553541</v>
      </c>
      <c r="BB62" s="67">
        <v>29.919971008614429</v>
      </c>
      <c r="BC62" s="67">
        <v>89.072266280685682</v>
      </c>
      <c r="BE62" s="67">
        <v>30.220432112686812</v>
      </c>
      <c r="BF62" s="67">
        <v>101.81247278428209</v>
      </c>
      <c r="BH62" s="68">
        <v>186</v>
      </c>
      <c r="BI62" s="68">
        <v>2522.0538343644471</v>
      </c>
      <c r="BJ62" s="68">
        <v>3178.4006584979502</v>
      </c>
      <c r="BK62" s="68">
        <v>4280.7944533836817</v>
      </c>
      <c r="BL62" s="68">
        <v>5363.7173249633579</v>
      </c>
      <c r="BM62" s="68">
        <v>6765.9657946036496</v>
      </c>
    </row>
    <row r="63" spans="16:65" x14ac:dyDescent="0.25">
      <c r="P63" s="67">
        <v>194</v>
      </c>
      <c r="Q63" s="67">
        <v>763.67446137355716</v>
      </c>
      <c r="R63" s="67">
        <v>763.67446137355716</v>
      </c>
      <c r="S63" s="67">
        <v>849.40328829655186</v>
      </c>
      <c r="V63" s="67">
        <v>58.000000000003467</v>
      </c>
      <c r="W63" s="67">
        <v>96.461403838625273</v>
      </c>
      <c r="X63" s="67">
        <v>45.038073225493463</v>
      </c>
      <c r="Y63" s="67">
        <v>383.39018064281021</v>
      </c>
      <c r="AA63" s="67">
        <v>58.000000000003467</v>
      </c>
      <c r="AB63" s="67">
        <v>79.453103903473718</v>
      </c>
      <c r="AC63" s="67">
        <v>40.527923262518023</v>
      </c>
      <c r="AD63" s="67">
        <v>253.00703013022931</v>
      </c>
      <c r="AF63" s="67">
        <v>58.000000000003467</v>
      </c>
      <c r="AG63" s="67">
        <v>62.716284326691017</v>
      </c>
      <c r="AH63" s="67">
        <v>31.06826861666968</v>
      </c>
      <c r="AI63" s="67">
        <v>370.83151347079081</v>
      </c>
      <c r="AK63" s="67">
        <v>58.000000000003467</v>
      </c>
      <c r="AL63" s="67">
        <v>59.706543210259461</v>
      </c>
      <c r="AM63" s="67">
        <v>26.737244951458251</v>
      </c>
      <c r="AN63" s="67">
        <v>234.37187323764579</v>
      </c>
      <c r="AP63" s="67">
        <v>29.49317966394716</v>
      </c>
      <c r="AQ63" s="67">
        <v>71.306824379118936</v>
      </c>
      <c r="AS63" s="67">
        <v>-1.0579999999999929</v>
      </c>
      <c r="AT63" s="67">
        <v>58.778247127574502</v>
      </c>
      <c r="AV63" s="67">
        <v>45.596268283283962</v>
      </c>
      <c r="AW63" s="67">
        <v>169.12336393961141</v>
      </c>
      <c r="AY63" s="67">
        <v>44.572365680018343</v>
      </c>
      <c r="AZ63" s="67">
        <v>169.57465723897801</v>
      </c>
      <c r="BB63" s="67">
        <v>29.830966668198471</v>
      </c>
      <c r="BC63" s="67">
        <v>88.502780477124745</v>
      </c>
      <c r="BE63" s="67">
        <v>30.142308083706169</v>
      </c>
      <c r="BF63" s="67">
        <v>101.4407615617058</v>
      </c>
      <c r="BH63" s="68">
        <v>189</v>
      </c>
      <c r="BI63" s="68">
        <v>2526.652306397074</v>
      </c>
      <c r="BJ63" s="68">
        <v>3185.4450194371602</v>
      </c>
      <c r="BK63" s="68">
        <v>4293.2838373108316</v>
      </c>
      <c r="BL63" s="68">
        <v>5383.3972673198996</v>
      </c>
      <c r="BM63" s="68">
        <v>6797.9528470746582</v>
      </c>
    </row>
    <row r="64" spans="16:65" x14ac:dyDescent="0.25">
      <c r="P64" s="67">
        <v>197</v>
      </c>
      <c r="Q64" s="67">
        <v>767.74300956791069</v>
      </c>
      <c r="R64" s="67">
        <v>767.74300956791069</v>
      </c>
      <c r="S64" s="67">
        <v>852.09370535016956</v>
      </c>
      <c r="V64" s="67">
        <v>59.000000000003617</v>
      </c>
      <c r="W64" s="67">
        <v>96.17847592368993</v>
      </c>
      <c r="X64" s="67">
        <v>45.076442280127942</v>
      </c>
      <c r="Y64" s="67">
        <v>381.01800535304523</v>
      </c>
      <c r="AA64" s="67">
        <v>59.000000000003617</v>
      </c>
      <c r="AB64" s="67">
        <v>79.359138898222909</v>
      </c>
      <c r="AC64" s="67">
        <v>40.578684149922033</v>
      </c>
      <c r="AD64" s="67">
        <v>248.26267955069781</v>
      </c>
      <c r="AF64" s="67">
        <v>59.000000000003617</v>
      </c>
      <c r="AG64" s="67">
        <v>62.823226008757153</v>
      </c>
      <c r="AH64" s="67">
        <v>31.1023957322775</v>
      </c>
      <c r="AI64" s="67">
        <v>368.45933818102583</v>
      </c>
      <c r="AK64" s="67">
        <v>59.000000000003617</v>
      </c>
      <c r="AL64" s="67">
        <v>59.67035944994975</v>
      </c>
      <c r="AM64" s="67">
        <v>26.61767353340645</v>
      </c>
      <c r="AN64" s="67">
        <v>229.62752265811429</v>
      </c>
      <c r="AP64" s="67">
        <v>30.968200002980719</v>
      </c>
      <c r="AQ64" s="67">
        <v>73.755933748653803</v>
      </c>
      <c r="AS64" s="67">
        <v>-3.0579999999999932</v>
      </c>
      <c r="AT64" s="67">
        <v>57.432610028312617</v>
      </c>
      <c r="AV64" s="67">
        <v>45.477667094618774</v>
      </c>
      <c r="AW64" s="67">
        <v>168.1176319058747</v>
      </c>
      <c r="AY64" s="67">
        <v>44.470895983544963</v>
      </c>
      <c r="AZ64" s="67">
        <v>168.82227994174099</v>
      </c>
      <c r="BB64" s="67">
        <v>29.743250983044049</v>
      </c>
      <c r="BC64" s="67">
        <v>87.942486605793519</v>
      </c>
      <c r="BE64" s="67">
        <v>30.065360061496971</v>
      </c>
      <c r="BF64" s="67">
        <v>101.0748851907782</v>
      </c>
      <c r="BH64" s="68">
        <v>192</v>
      </c>
      <c r="BI64" s="68">
        <v>2531.156556713177</v>
      </c>
      <c r="BJ64" s="68">
        <v>3192.331323976</v>
      </c>
      <c r="BK64" s="68">
        <v>4305.449986824241</v>
      </c>
      <c r="BL64" s="68">
        <v>5402.4977536161459</v>
      </c>
      <c r="BM64" s="68">
        <v>6828.8510715609082</v>
      </c>
    </row>
    <row r="65" spans="16:65" x14ac:dyDescent="0.25">
      <c r="P65" s="67">
        <v>200</v>
      </c>
      <c r="Q65" s="67">
        <v>771.68468481990237</v>
      </c>
      <c r="R65" s="67">
        <v>771.68468481990237</v>
      </c>
      <c r="S65" s="67">
        <v>854.72536779812413</v>
      </c>
      <c r="V65" s="67">
        <v>60.00000000000378</v>
      </c>
      <c r="W65" s="67">
        <v>95.906102490115131</v>
      </c>
      <c r="X65" s="67">
        <v>45.114265566216893</v>
      </c>
      <c r="Y65" s="67">
        <v>378.64583006328019</v>
      </c>
      <c r="AA65" s="67">
        <v>60.00000000000378</v>
      </c>
      <c r="AB65" s="67">
        <v>79.249740627578944</v>
      </c>
      <c r="AC65" s="67">
        <v>40.629119438211887</v>
      </c>
      <c r="AD65" s="67">
        <v>243.51832897116631</v>
      </c>
      <c r="AF65" s="67">
        <v>60.00000000000378</v>
      </c>
      <c r="AG65" s="67">
        <v>62.931121145847818</v>
      </c>
      <c r="AH65" s="67">
        <v>31.135579893601861</v>
      </c>
      <c r="AI65" s="67">
        <v>366.08716289126068</v>
      </c>
      <c r="AK65" s="67">
        <v>60.00000000000378</v>
      </c>
      <c r="AL65" s="67">
        <v>59.62435870836471</v>
      </c>
      <c r="AM65" s="67">
        <v>26.491369284930101</v>
      </c>
      <c r="AN65" s="67">
        <v>224.8831720785829</v>
      </c>
      <c r="AS65" s="67">
        <v>-5.0579999999999927</v>
      </c>
      <c r="AT65" s="67">
        <v>56.157071886147477</v>
      </c>
      <c r="AV65" s="67">
        <v>45.358294330509693</v>
      </c>
      <c r="AW65" s="67">
        <v>167.10818447045619</v>
      </c>
      <c r="AY65" s="67">
        <v>44.370818709523391</v>
      </c>
      <c r="AZ65" s="67">
        <v>168.07909695033339</v>
      </c>
      <c r="BB65" s="67">
        <v>29.656810185367021</v>
      </c>
      <c r="BC65" s="67">
        <v>87.391266410009408</v>
      </c>
      <c r="BE65" s="67">
        <v>29.989573690251511</v>
      </c>
      <c r="BF65" s="67">
        <v>100.7147589458656</v>
      </c>
      <c r="BH65" s="68">
        <v>195</v>
      </c>
      <c r="BI65" s="68">
        <v>2535.5691326892638</v>
      </c>
      <c r="BJ65" s="68">
        <v>3199.0645187946702</v>
      </c>
      <c r="BK65" s="68">
        <v>4317.3053950498288</v>
      </c>
      <c r="BL65" s="68">
        <v>5421.0454588970179</v>
      </c>
      <c r="BM65" s="68">
        <v>6858.7204332673291</v>
      </c>
    </row>
    <row r="66" spans="16:65" x14ac:dyDescent="0.25">
      <c r="P66" s="67">
        <v>203</v>
      </c>
      <c r="Q66" s="67">
        <v>775.5075981536404</v>
      </c>
      <c r="R66" s="67">
        <v>775.5075981536404</v>
      </c>
      <c r="S66" s="67">
        <v>857.30110398502029</v>
      </c>
      <c r="V66" s="67">
        <v>61.000000000003944</v>
      </c>
      <c r="W66" s="67">
        <v>95.643761792032308</v>
      </c>
      <c r="X66" s="67">
        <v>45.151525878100529</v>
      </c>
      <c r="Y66" s="67">
        <v>376.2736547735152</v>
      </c>
      <c r="AA66" s="67">
        <v>61.000000000003944</v>
      </c>
      <c r="AB66" s="67">
        <v>79.123900288763465</v>
      </c>
      <c r="AC66" s="67">
        <v>40.679504444240592</v>
      </c>
      <c r="AD66" s="67">
        <v>238.77397839163481</v>
      </c>
      <c r="AF66" s="67">
        <v>61.000000000003944</v>
      </c>
      <c r="AG66" s="67">
        <v>63.039592370703083</v>
      </c>
      <c r="AH66" s="67">
        <v>31.167759692000232</v>
      </c>
      <c r="AI66" s="67">
        <v>363.71498760149569</v>
      </c>
      <c r="AK66" s="67">
        <v>61.000000000003944</v>
      </c>
      <c r="AL66" s="67">
        <v>59.568274790987061</v>
      </c>
      <c r="AM66" s="67">
        <v>26.358106783232021</v>
      </c>
      <c r="AN66" s="67">
        <v>220.13882149905129</v>
      </c>
      <c r="AS66" s="67">
        <v>-6.5579999999999927</v>
      </c>
      <c r="AT66" s="67">
        <v>55.246828107658047</v>
      </c>
      <c r="AV66" s="67">
        <v>45.238142059555862</v>
      </c>
      <c r="AW66" s="67">
        <v>166.095075117222</v>
      </c>
      <c r="AY66" s="67">
        <v>44.272118332544302</v>
      </c>
      <c r="AZ66" s="67">
        <v>167.34499239611461</v>
      </c>
      <c r="BB66" s="67">
        <v>29.57163060054916</v>
      </c>
      <c r="BC66" s="67">
        <v>86.849002795173874</v>
      </c>
      <c r="BE66" s="67">
        <v>29.914934733484081</v>
      </c>
      <c r="BF66" s="67">
        <v>100.3602990902799</v>
      </c>
      <c r="BH66" s="68">
        <v>198</v>
      </c>
      <c r="BI66" s="68">
        <v>2539.8924773946969</v>
      </c>
      <c r="BJ66" s="68">
        <v>3205.6493146060329</v>
      </c>
      <c r="BK66" s="68">
        <v>4328.8618160492679</v>
      </c>
      <c r="BL66" s="68">
        <v>5439.0651819707446</v>
      </c>
      <c r="BM66" s="68">
        <v>6887.6159041518558</v>
      </c>
    </row>
    <row r="67" spans="16:65" x14ac:dyDescent="0.25">
      <c r="P67" s="67">
        <v>206</v>
      </c>
      <c r="Q67" s="67">
        <v>779.21910994162317</v>
      </c>
      <c r="R67" s="67">
        <v>779.21910994162317</v>
      </c>
      <c r="S67" s="67">
        <v>859.82353690959633</v>
      </c>
      <c r="V67" s="67">
        <v>62.000000000004093</v>
      </c>
      <c r="W67" s="67">
        <v>95.390954554794774</v>
      </c>
      <c r="X67" s="67">
        <v>45.188209528486027</v>
      </c>
      <c r="Y67" s="67">
        <v>373.90147948375022</v>
      </c>
      <c r="AA67" s="67">
        <v>62.000000000004093</v>
      </c>
      <c r="AB67" s="67">
        <v>78.980562813309746</v>
      </c>
      <c r="AC67" s="67">
        <v>40.730130977131182</v>
      </c>
      <c r="AD67" s="67">
        <v>234.02962781210331</v>
      </c>
      <c r="AF67" s="67">
        <v>62.000000000004093</v>
      </c>
      <c r="AG67" s="67">
        <v>63.148293405371462</v>
      </c>
      <c r="AH67" s="67">
        <v>31.198877482076849</v>
      </c>
      <c r="AI67" s="67">
        <v>361.34281231173082</v>
      </c>
      <c r="AK67" s="67">
        <v>62.000000000004093</v>
      </c>
      <c r="AL67" s="67">
        <v>59.501816054767829</v>
      </c>
      <c r="AM67" s="67">
        <v>26.2176390590156</v>
      </c>
      <c r="AN67" s="67">
        <v>215.3944709195199</v>
      </c>
      <c r="AS67" s="67">
        <v>-8.0579999999999927</v>
      </c>
      <c r="AT67" s="67">
        <v>54.376650821441103</v>
      </c>
      <c r="AV67" s="67">
        <v>45.118737663491402</v>
      </c>
      <c r="AW67" s="67">
        <v>165.08903015451631</v>
      </c>
      <c r="AY67" s="67">
        <v>44.174779480312118</v>
      </c>
      <c r="AZ67" s="67">
        <v>166.61985181131729</v>
      </c>
      <c r="BB67" s="67">
        <v>29.48769864781536</v>
      </c>
      <c r="BC67" s="67">
        <v>86.315579824758416</v>
      </c>
      <c r="BE67" s="67">
        <v>29.841429073640182</v>
      </c>
      <c r="BF67" s="67">
        <v>100.01142286807421</v>
      </c>
      <c r="BH67" s="68">
        <v>201</v>
      </c>
      <c r="BI67" s="68">
        <v>2544.1289354297328</v>
      </c>
      <c r="BJ67" s="68">
        <v>3212.090201503217</v>
      </c>
      <c r="BK67" s="68">
        <v>4340.1303241013584</v>
      </c>
      <c r="BL67" s="68">
        <v>5456.5800230768273</v>
      </c>
      <c r="BM67" s="68">
        <v>6915.5880155693667</v>
      </c>
    </row>
    <row r="68" spans="16:65" x14ac:dyDescent="0.25">
      <c r="P68" s="67">
        <v>209</v>
      </c>
      <c r="Q68" s="67">
        <v>782.82591885295221</v>
      </c>
      <c r="R68" s="67">
        <v>782.82591885295221</v>
      </c>
      <c r="S68" s="67">
        <v>862.29510372862683</v>
      </c>
      <c r="V68" s="67">
        <v>63.000000000004249</v>
      </c>
      <c r="W68" s="67">
        <v>95.147201896641064</v>
      </c>
      <c r="X68" s="67">
        <v>45.224305970577291</v>
      </c>
      <c r="Y68" s="67">
        <v>371.52930419398518</v>
      </c>
      <c r="AA68" s="67">
        <v>63.000000000004249</v>
      </c>
      <c r="AB68" s="67">
        <v>78.81859346203187</v>
      </c>
      <c r="AC68" s="67">
        <v>40.781303714604057</v>
      </c>
      <c r="AD68" s="67">
        <v>229.28527723257179</v>
      </c>
      <c r="AF68" s="67">
        <v>63.000000000004249</v>
      </c>
      <c r="AG68" s="67">
        <v>63.256908639579002</v>
      </c>
      <c r="AH68" s="67">
        <v>31.228879989297472</v>
      </c>
      <c r="AI68" s="67">
        <v>358.97063702196567</v>
      </c>
      <c r="AK68" s="67">
        <v>63.000000000004249</v>
      </c>
      <c r="AL68" s="67">
        <v>59.424663380613261</v>
      </c>
      <c r="AM68" s="67">
        <v>26.06969570706508</v>
      </c>
      <c r="AN68" s="67">
        <v>210.6501203399884</v>
      </c>
      <c r="AS68" s="67">
        <v>-10.057999999999989</v>
      </c>
      <c r="AT68" s="67">
        <v>53.279168017056953</v>
      </c>
      <c r="AV68" s="67">
        <v>45.000861662339503</v>
      </c>
      <c r="AW68" s="67">
        <v>164.0954691314509</v>
      </c>
      <c r="AY68" s="67">
        <v>44.078786932631672</v>
      </c>
      <c r="AZ68" s="67">
        <v>165.90356211510601</v>
      </c>
      <c r="BB68" s="67">
        <v>29.405000841014381</v>
      </c>
      <c r="BC68" s="67">
        <v>85.790882716934831</v>
      </c>
      <c r="BE68" s="67">
        <v>29.769042711760939</v>
      </c>
      <c r="BF68" s="67">
        <v>99.668048496143086</v>
      </c>
      <c r="BH68" s="68">
        <v>204</v>
      </c>
      <c r="BI68" s="68">
        <v>2548.2807583501549</v>
      </c>
      <c r="BJ68" s="68">
        <v>3218.3914630485301</v>
      </c>
      <c r="BK68" s="68">
        <v>4351.1213670223933</v>
      </c>
      <c r="BL68" s="68">
        <v>5473.6115405981827</v>
      </c>
      <c r="BM68" s="68">
        <v>6942.68333554532</v>
      </c>
    </row>
    <row r="69" spans="16:65" x14ac:dyDescent="0.25">
      <c r="P69" s="67">
        <v>212</v>
      </c>
      <c r="Q69" s="67">
        <v>786.33413813971811</v>
      </c>
      <c r="R69" s="67">
        <v>786.33413813971811</v>
      </c>
      <c r="S69" s="67">
        <v>864.71807300020441</v>
      </c>
      <c r="V69" s="67">
        <v>64.000000000004405</v>
      </c>
      <c r="W69" s="67">
        <v>94.912043454251858</v>
      </c>
      <c r="X69" s="67">
        <v>45.259807414672252</v>
      </c>
      <c r="Y69" s="67">
        <v>369.1571289042202</v>
      </c>
      <c r="AA69" s="67">
        <v>64.000000000004405</v>
      </c>
      <c r="AB69" s="67">
        <v>78.636745414113108</v>
      </c>
      <c r="AC69" s="67">
        <v>40.833334318511447</v>
      </c>
      <c r="AD69" s="67">
        <v>224.54092665304029</v>
      </c>
      <c r="AF69" s="67">
        <v>64.000000000004405</v>
      </c>
      <c r="AG69" s="67">
        <v>63.365152076286662</v>
      </c>
      <c r="AH69" s="67">
        <v>31.25771867830667</v>
      </c>
      <c r="AI69" s="67">
        <v>356.59846173220069</v>
      </c>
      <c r="AK69" s="67">
        <v>64.000000000004405</v>
      </c>
      <c r="AL69" s="67">
        <v>59.336467891293928</v>
      </c>
      <c r="AM69" s="67">
        <v>25.913980747719901</v>
      </c>
      <c r="AN69" s="67">
        <v>205.90576976045691</v>
      </c>
      <c r="AS69" s="67">
        <v>-11.557999999999989</v>
      </c>
      <c r="AT69" s="67">
        <v>52.503443029698367</v>
      </c>
      <c r="AV69" s="67">
        <v>44.884498596333117</v>
      </c>
      <c r="AW69" s="67">
        <v>163.11424595890199</v>
      </c>
      <c r="AY69" s="67">
        <v>43.984125620377817</v>
      </c>
      <c r="AZ69" s="67">
        <v>165.19601159961209</v>
      </c>
      <c r="BB69" s="67">
        <v>29.323523789592631</v>
      </c>
      <c r="BC69" s="67">
        <v>85.274797842182963</v>
      </c>
      <c r="BE69" s="67">
        <v>29.697761767193558</v>
      </c>
      <c r="BF69" s="67">
        <v>99.330095156575439</v>
      </c>
      <c r="BH69" s="68">
        <v>207</v>
      </c>
      <c r="BI69" s="68">
        <v>2552.3501097136709</v>
      </c>
      <c r="BJ69" s="68">
        <v>3224.5571892273192</v>
      </c>
      <c r="BK69" s="68">
        <v>4361.8448142409716</v>
      </c>
      <c r="BL69" s="68">
        <v>5490.1798897520594</v>
      </c>
      <c r="BM69" s="68">
        <v>6968.9448827721462</v>
      </c>
    </row>
    <row r="70" spans="16:65" x14ac:dyDescent="0.25">
      <c r="P70" s="67">
        <v>215</v>
      </c>
      <c r="Q70" s="67">
        <v>789.74936133732001</v>
      </c>
      <c r="R70" s="67">
        <v>789.74936133732001</v>
      </c>
      <c r="S70" s="67">
        <v>867.09455997387818</v>
      </c>
      <c r="V70" s="67">
        <v>65.000000000004206</v>
      </c>
      <c r="W70" s="67">
        <v>94.685035726206195</v>
      </c>
      <c r="X70" s="67">
        <v>45.294708444945122</v>
      </c>
      <c r="Y70" s="67">
        <v>366.78495361445522</v>
      </c>
      <c r="AA70" s="67">
        <v>65.000000000004206</v>
      </c>
      <c r="AB70" s="67">
        <v>78.433632844906157</v>
      </c>
      <c r="AC70" s="67">
        <v>40.886534303460849</v>
      </c>
      <c r="AD70" s="67">
        <v>219.79657607350879</v>
      </c>
      <c r="AF70" s="67">
        <v>65.000000000004206</v>
      </c>
      <c r="AG70" s="67">
        <v>63.47276555428148</v>
      </c>
      <c r="AH70" s="67">
        <v>31.285349778777</v>
      </c>
      <c r="AI70" s="67">
        <v>354.22628644243582</v>
      </c>
      <c r="AK70" s="67">
        <v>65.000000000004206</v>
      </c>
      <c r="AL70" s="67">
        <v>59.236848382289423</v>
      </c>
      <c r="AM70" s="67">
        <v>25.750170204507189</v>
      </c>
      <c r="AN70" s="67">
        <v>201.16141918092541</v>
      </c>
      <c r="AS70" s="67">
        <v>-13.557999999999989</v>
      </c>
      <c r="AT70" s="67">
        <v>51.53281514814153</v>
      </c>
      <c r="AV70" s="67">
        <v>44.7696331401973</v>
      </c>
      <c r="AW70" s="67">
        <v>162.14521612654639</v>
      </c>
      <c r="AY70" s="67">
        <v>43.890780624458372</v>
      </c>
      <c r="AZ70" s="67">
        <v>164.49708991601349</v>
      </c>
      <c r="BB70" s="67">
        <v>29.24325419954766</v>
      </c>
      <c r="BC70" s="67">
        <v>84.767212721039598</v>
      </c>
      <c r="BE70" s="67">
        <v>29.62757247735053</v>
      </c>
      <c r="BF70" s="67">
        <v>98.997482989255545</v>
      </c>
      <c r="BH70" s="68">
        <v>210</v>
      </c>
      <c r="BI70" s="68">
        <v>2556.3390697799182</v>
      </c>
      <c r="BJ70" s="68">
        <v>3230.591288376766</v>
      </c>
      <c r="BK70" s="68">
        <v>4372.310000243825</v>
      </c>
      <c r="BL70" s="68">
        <v>5506.3039457219584</v>
      </c>
      <c r="BM70" s="68">
        <v>6994.4124872081793</v>
      </c>
    </row>
    <row r="71" spans="16:65" x14ac:dyDescent="0.25">
      <c r="P71" s="67">
        <v>218</v>
      </c>
      <c r="Q71" s="67">
        <v>793.07671907459871</v>
      </c>
      <c r="R71" s="67">
        <v>793.07671907459871</v>
      </c>
      <c r="S71" s="67">
        <v>869.42654018723886</v>
      </c>
      <c r="V71" s="67">
        <v>66.000000000004007</v>
      </c>
      <c r="W71" s="67">
        <v>94.465750642865117</v>
      </c>
      <c r="X71" s="67">
        <v>45.329005643595913</v>
      </c>
      <c r="Y71" s="67">
        <v>364.41277832469018</v>
      </c>
      <c r="AA71" s="67">
        <v>66.000000000004007</v>
      </c>
      <c r="AB71" s="67">
        <v>78.207712802403691</v>
      </c>
      <c r="AC71" s="67">
        <v>40.941207920437819</v>
      </c>
      <c r="AD71" s="67">
        <v>215.05222549397729</v>
      </c>
      <c r="AF71" s="67">
        <v>66.000000000004007</v>
      </c>
      <c r="AG71" s="67">
        <v>63.579516270196571</v>
      </c>
      <c r="AH71" s="67">
        <v>31.31173391291998</v>
      </c>
      <c r="AI71" s="67">
        <v>351.85411115267073</v>
      </c>
      <c r="AK71" s="67">
        <v>66.000000000004007</v>
      </c>
      <c r="AL71" s="67">
        <v>59.125388428261829</v>
      </c>
      <c r="AM71" s="67">
        <v>25.577909357444241</v>
      </c>
      <c r="AN71" s="67">
        <v>196.41706860139391</v>
      </c>
      <c r="AS71" s="67">
        <v>-15.557999999999989</v>
      </c>
      <c r="AT71" s="67">
        <v>50.635552087010403</v>
      </c>
      <c r="AV71" s="67">
        <v>44.656250102566453</v>
      </c>
      <c r="AW71" s="67">
        <v>161.18823669130501</v>
      </c>
      <c r="AY71" s="67">
        <v>43.798737174764362</v>
      </c>
      <c r="AZ71" s="67">
        <v>163.80668806061081</v>
      </c>
      <c r="BB71" s="67">
        <v>29.164178874645192</v>
      </c>
      <c r="BC71" s="67">
        <v>84.268016023075631</v>
      </c>
      <c r="BE71" s="67">
        <v>29.558461197501909</v>
      </c>
      <c r="BF71" s="67">
        <v>98.670133084668436</v>
      </c>
      <c r="BH71" s="68">
        <v>213</v>
      </c>
      <c r="BI71" s="68">
        <v>2560.2496398926078</v>
      </c>
      <c r="BJ71" s="68">
        <v>3236.4974981868841</v>
      </c>
      <c r="BK71" s="68">
        <v>4382.5257639249694</v>
      </c>
      <c r="BL71" s="68">
        <v>5522.0014133052364</v>
      </c>
      <c r="BM71" s="68">
        <v>7019.123105397538</v>
      </c>
    </row>
    <row r="72" spans="16:65" x14ac:dyDescent="0.25">
      <c r="P72" s="67">
        <v>221</v>
      </c>
      <c r="Q72" s="67">
        <v>796.32092838562085</v>
      </c>
      <c r="R72" s="67">
        <v>796.32092838562085</v>
      </c>
      <c r="S72" s="67">
        <v>871.71586158907712</v>
      </c>
      <c r="V72" s="67">
        <v>67.000000000003809</v>
      </c>
      <c r="W72" s="67">
        <v>94.253774364656138</v>
      </c>
      <c r="X72" s="67">
        <v>45.362697230263727</v>
      </c>
      <c r="Y72" s="67">
        <v>362.0406030349252</v>
      </c>
      <c r="AA72" s="67">
        <v>67.000000000003809</v>
      </c>
      <c r="AB72" s="67">
        <v>77.957277179737076</v>
      </c>
      <c r="AC72" s="67">
        <v>40.997646133326839</v>
      </c>
      <c r="AD72" s="67">
        <v>210.30787491444579</v>
      </c>
      <c r="AF72" s="67">
        <v>67.000000000003809</v>
      </c>
      <c r="AG72" s="67">
        <v>63.685193790547856</v>
      </c>
      <c r="AH72" s="67">
        <v>31.336835360397799</v>
      </c>
      <c r="AI72" s="67">
        <v>349.48193586290569</v>
      </c>
      <c r="AK72" s="67">
        <v>67.000000000003809</v>
      </c>
      <c r="AL72" s="67">
        <v>59.001633122201532</v>
      </c>
      <c r="AM72" s="67">
        <v>25.396809624675541</v>
      </c>
      <c r="AN72" s="67">
        <v>191.67271802186241</v>
      </c>
      <c r="AS72" s="67">
        <v>-17.057999999999989</v>
      </c>
      <c r="AT72" s="67">
        <v>50.011174520091089</v>
      </c>
      <c r="AV72" s="67">
        <v>44.544334425382942</v>
      </c>
      <c r="AW72" s="67">
        <v>160.2431662657047</v>
      </c>
      <c r="AY72" s="67">
        <v>43.707980649111462</v>
      </c>
      <c r="AZ72" s="67">
        <v>163.12469836094769</v>
      </c>
      <c r="BB72" s="67">
        <v>29.086284717687359</v>
      </c>
      <c r="BC72" s="67">
        <v>83.777097566249779</v>
      </c>
      <c r="BE72" s="67">
        <v>29.490414400611051</v>
      </c>
      <c r="BF72" s="67">
        <v>98.347967476924453</v>
      </c>
      <c r="BH72" s="68">
        <v>216</v>
      </c>
      <c r="BI72" s="68">
        <v>2564.0837465697959</v>
      </c>
      <c r="BJ72" s="68">
        <v>3242.2793958605089</v>
      </c>
      <c r="BK72" s="68">
        <v>4392.5004843003126</v>
      </c>
      <c r="BL72" s="68">
        <v>5537.2889248331239</v>
      </c>
      <c r="BM72" s="68">
        <v>7043.1110972184551</v>
      </c>
    </row>
    <row r="73" spans="16:65" x14ac:dyDescent="0.25">
      <c r="P73" s="67">
        <v>224</v>
      </c>
      <c r="Q73" s="67">
        <v>799.48633567045749</v>
      </c>
      <c r="R73" s="67">
        <v>799.48633567045749</v>
      </c>
      <c r="S73" s="67">
        <v>873.96425537653602</v>
      </c>
      <c r="V73" s="67">
        <v>68.00000000000361</v>
      </c>
      <c r="W73" s="67">
        <v>94.048706303974228</v>
      </c>
      <c r="X73" s="67">
        <v>45.395782724632852</v>
      </c>
      <c r="Y73" s="67">
        <v>359.66842774516022</v>
      </c>
      <c r="AA73" s="67">
        <v>68.00000000000361</v>
      </c>
      <c r="AB73" s="67">
        <v>77.680453966990896</v>
      </c>
      <c r="AC73" s="67">
        <v>41.056122263138832</v>
      </c>
      <c r="AD73" s="67">
        <v>205.56352433491429</v>
      </c>
      <c r="AF73" s="67">
        <v>68.00000000000361</v>
      </c>
      <c r="AG73" s="67">
        <v>63.789606948722891</v>
      </c>
      <c r="AH73" s="67">
        <v>31.360621129521292</v>
      </c>
      <c r="AI73" s="67">
        <v>347.10976057314082</v>
      </c>
      <c r="AK73" s="67">
        <v>68.00000000000361</v>
      </c>
      <c r="AL73" s="67">
        <v>58.865085397648613</v>
      </c>
      <c r="AM73" s="67">
        <v>25.206445016914529</v>
      </c>
      <c r="AN73" s="67">
        <v>186.92836744233091</v>
      </c>
      <c r="AS73" s="67">
        <v>-19.057999999999961</v>
      </c>
      <c r="AT73" s="67">
        <v>49.244056581969943</v>
      </c>
      <c r="AV73" s="67">
        <v>44.433871183274391</v>
      </c>
      <c r="AW73" s="67">
        <v>159.3098650060949</v>
      </c>
      <c r="AY73" s="67">
        <v>43.618496572170898</v>
      </c>
      <c r="AZ73" s="67">
        <v>162.45101446193479</v>
      </c>
      <c r="BB73" s="67">
        <v>29.00955873187695</v>
      </c>
      <c r="BC73" s="67">
        <v>83.294348316818812</v>
      </c>
      <c r="BE73" s="67">
        <v>29.423418677196771</v>
      </c>
      <c r="BF73" s="67">
        <v>98.030909136941986</v>
      </c>
      <c r="BH73" s="68">
        <v>219</v>
      </c>
      <c r="BI73" s="68">
        <v>2567.8432453256619</v>
      </c>
      <c r="BJ73" s="68">
        <v>3247.940407509418</v>
      </c>
      <c r="BK73" s="68">
        <v>4402.2421129889062</v>
      </c>
      <c r="BL73" s="68">
        <v>5552.1821278557391</v>
      </c>
      <c r="BM73" s="68">
        <v>7066.4084696314249</v>
      </c>
    </row>
    <row r="74" spans="16:65" x14ac:dyDescent="0.25">
      <c r="P74" s="67">
        <v>227</v>
      </c>
      <c r="Q74" s="67">
        <v>802.57695425494956</v>
      </c>
      <c r="R74" s="67">
        <v>802.57695425494956</v>
      </c>
      <c r="S74" s="67">
        <v>876.17334570633636</v>
      </c>
      <c r="V74" s="67">
        <v>69.000000000003411</v>
      </c>
      <c r="W74" s="67">
        <v>93.850158359362908</v>
      </c>
      <c r="X74" s="67">
        <v>45.428262639548279</v>
      </c>
      <c r="Y74" s="67">
        <v>357.29625245539518</v>
      </c>
      <c r="AA74" s="67">
        <v>69.000000000003411</v>
      </c>
      <c r="AB74" s="67">
        <v>77.375215457317779</v>
      </c>
      <c r="AC74" s="67">
        <v>41.11688929969381</v>
      </c>
      <c r="AD74" s="67">
        <v>200.81917375538279</v>
      </c>
      <c r="AF74" s="67">
        <v>69.000000000003411</v>
      </c>
      <c r="AG74" s="67">
        <v>63.892581224989733</v>
      </c>
      <c r="AH74" s="67">
        <v>31.383060162495891</v>
      </c>
      <c r="AI74" s="67">
        <v>344.73758528337578</v>
      </c>
      <c r="AK74" s="67">
        <v>69.000000000003411</v>
      </c>
      <c r="AL74" s="67">
        <v>58.71520187648207</v>
      </c>
      <c r="AM74" s="67">
        <v>25.00634809928539</v>
      </c>
      <c r="AN74" s="67">
        <v>182.18401686279941</v>
      </c>
      <c r="AS74" s="67">
        <v>-20.557999999999961</v>
      </c>
      <c r="AT74" s="67">
        <v>48.718232093685238</v>
      </c>
      <c r="AV74" s="67">
        <v>44.324845582913163</v>
      </c>
      <c r="AW74" s="67">
        <v>158.38819460077741</v>
      </c>
      <c r="AY74" s="67">
        <v>43.530270614392677</v>
      </c>
      <c r="AZ74" s="67">
        <v>161.78553131202921</v>
      </c>
      <c r="BB74" s="67">
        <v>28.933988022372091</v>
      </c>
      <c r="BC74" s="67">
        <v>82.819660390142488</v>
      </c>
      <c r="BE74" s="67">
        <v>29.357460735227779</v>
      </c>
      <c r="BF74" s="67">
        <v>97.718881965803391</v>
      </c>
      <c r="BH74" s="68">
        <v>222</v>
      </c>
      <c r="BI74" s="68">
        <v>2571.529924245056</v>
      </c>
      <c r="BJ74" s="68">
        <v>3253.4838168557239</v>
      </c>
      <c r="BK74" s="68">
        <v>4411.7582038112268</v>
      </c>
      <c r="BL74" s="68">
        <v>5566.6957638662134</v>
      </c>
      <c r="BM74" s="68">
        <v>7089.045092077301</v>
      </c>
    </row>
    <row r="75" spans="16:65" x14ac:dyDescent="0.25">
      <c r="P75" s="67">
        <v>230</v>
      </c>
      <c r="Q75" s="67">
        <v>805.59649733930098</v>
      </c>
      <c r="S75" s="67">
        <v>878.34465841744316</v>
      </c>
      <c r="V75" s="67">
        <v>70.000000000003212</v>
      </c>
      <c r="W75" s="67">
        <v>93.657754344965525</v>
      </c>
      <c r="X75" s="67">
        <v>45.460138210878881</v>
      </c>
      <c r="Y75" s="67">
        <v>354.92407716563019</v>
      </c>
      <c r="AA75" s="67">
        <v>70.000000000003212</v>
      </c>
      <c r="AB75" s="67">
        <v>77.039390517324634</v>
      </c>
      <c r="AC75" s="67">
        <v>41.18017846333629</v>
      </c>
      <c r="AD75" s="67">
        <v>196.07482317585141</v>
      </c>
      <c r="AF75" s="67">
        <v>70.000000000003212</v>
      </c>
      <c r="AG75" s="67">
        <v>63.993957344578362</v>
      </c>
      <c r="AH75" s="67">
        <v>31.404123149972069</v>
      </c>
      <c r="AI75" s="67">
        <v>342.36540999361068</v>
      </c>
      <c r="AK75" s="67">
        <v>70.000000000003212</v>
      </c>
      <c r="AL75" s="67">
        <v>58.551388175331347</v>
      </c>
      <c r="AM75" s="67">
        <v>24.796005383200569</v>
      </c>
      <c r="AN75" s="67">
        <v>177.439666283268</v>
      </c>
      <c r="AS75" s="67">
        <v>-22.557999999999961</v>
      </c>
      <c r="AT75" s="67">
        <v>48.083933071155073</v>
      </c>
      <c r="AV75" s="67">
        <v>44.217242962355272</v>
      </c>
      <c r="AW75" s="67">
        <v>157.47801825801179</v>
      </c>
      <c r="AY75" s="67">
        <v>43.443288590918371</v>
      </c>
      <c r="AZ75" s="67">
        <v>161.12814514941999</v>
      </c>
      <c r="BB75" s="67">
        <v>28.859559797865241</v>
      </c>
      <c r="BC75" s="67">
        <v>82.35292705172327</v>
      </c>
      <c r="BE75" s="67">
        <v>29.292527400040271</v>
      </c>
      <c r="BF75" s="67">
        <v>97.411810788253376</v>
      </c>
      <c r="BH75" s="68">
        <v>225</v>
      </c>
      <c r="BI75" s="68">
        <v>2575.1455073300458</v>
      </c>
      <c r="BJ75" s="68">
        <v>3258.9127733001842</v>
      </c>
      <c r="BK75" s="68">
        <v>4421.0559398106789</v>
      </c>
      <c r="BL75" s="68">
        <v>5580.843739154654</v>
      </c>
      <c r="BM75" s="68">
        <v>7111.0488874244593</v>
      </c>
    </row>
    <row r="76" spans="16:65" x14ac:dyDescent="0.25">
      <c r="V76" s="67">
        <v>71.000000000003013</v>
      </c>
      <c r="W76" s="67">
        <v>93.471129593583285</v>
      </c>
      <c r="X76" s="67">
        <v>45.491411168933837</v>
      </c>
      <c r="Y76" s="67">
        <v>352.55190187586521</v>
      </c>
      <c r="AA76" s="67">
        <v>71.000000000003013</v>
      </c>
      <c r="AB76" s="67">
        <v>76.670678305015727</v>
      </c>
      <c r="AC76" s="67">
        <v>41.24619843844556</v>
      </c>
      <c r="AD76" s="67">
        <v>191.33047259631991</v>
      </c>
      <c r="AF76" s="67">
        <v>71.000000000003013</v>
      </c>
      <c r="AG76" s="67">
        <v>64.093591799535375</v>
      </c>
      <c r="AH76" s="67">
        <v>31.423783496388069</v>
      </c>
      <c r="AI76" s="67">
        <v>339.99323470384581</v>
      </c>
      <c r="AK76" s="67">
        <v>71.000000000003013</v>
      </c>
      <c r="AL76" s="67">
        <v>58.372993592262148</v>
      </c>
      <c r="AM76" s="67">
        <v>24.574852056313091</v>
      </c>
      <c r="AN76" s="67">
        <v>172.69531570373641</v>
      </c>
      <c r="AS76" s="67">
        <v>-24.557999999999961</v>
      </c>
      <c r="AT76" s="67">
        <v>47.527002373534728</v>
      </c>
      <c r="AV76" s="67">
        <v>44.111048790362588</v>
      </c>
      <c r="AW76" s="67">
        <v>156.57920069395141</v>
      </c>
      <c r="AY76" s="67">
        <v>43.357536460488667</v>
      </c>
      <c r="AZ76" s="67">
        <v>160.47875348828529</v>
      </c>
      <c r="BB76" s="67">
        <v>28.78626137227241</v>
      </c>
      <c r="BC76" s="67">
        <v>81.894042718810709</v>
      </c>
      <c r="BE76" s="67">
        <v>29.228605614274411</v>
      </c>
      <c r="BF76" s="67">
        <v>97.109621346300486</v>
      </c>
      <c r="BH76" s="68">
        <v>228</v>
      </c>
      <c r="BI76" s="68">
        <v>2578.69165763606</v>
      </c>
      <c r="BJ76" s="68">
        <v>3264.23029941292</v>
      </c>
      <c r="BK76" s="68">
        <v>4430.1421579669804</v>
      </c>
      <c r="BL76" s="68">
        <v>5594.6391887300542</v>
      </c>
      <c r="BM76" s="68">
        <v>7132.4460017502242</v>
      </c>
    </row>
    <row r="77" spans="16:65" x14ac:dyDescent="0.25">
      <c r="V77" s="67">
        <v>72.000000000002814</v>
      </c>
      <c r="W77" s="67">
        <v>93.289930708291195</v>
      </c>
      <c r="X77" s="67">
        <v>45.522083554631017</v>
      </c>
      <c r="Y77" s="67">
        <v>350.17972658610017</v>
      </c>
      <c r="AA77" s="67">
        <v>72.000000000002814</v>
      </c>
      <c r="AB77" s="67">
        <v>76.26666157215098</v>
      </c>
      <c r="AC77" s="67">
        <v>41.315134762540993</v>
      </c>
      <c r="AD77" s="67">
        <v>186.58612201678841</v>
      </c>
      <c r="AF77" s="67">
        <v>72.000000000002814</v>
      </c>
      <c r="AG77" s="67">
        <v>64.191359606632588</v>
      </c>
      <c r="AH77" s="67">
        <v>31.442019810593369</v>
      </c>
      <c r="AI77" s="67">
        <v>337.62105941408078</v>
      </c>
      <c r="AK77" s="67">
        <v>72.000000000002814</v>
      </c>
      <c r="AL77" s="67">
        <v>58.179305081557636</v>
      </c>
      <c r="AM77" s="67">
        <v>24.342265940667058</v>
      </c>
      <c r="AN77" s="67">
        <v>167.950965124205</v>
      </c>
      <c r="AS77" s="67">
        <v>-26.057999999999961</v>
      </c>
      <c r="AT77" s="67">
        <v>47.160837443366368</v>
      </c>
      <c r="AV77" s="67">
        <v>44.006248665707972</v>
      </c>
      <c r="AW77" s="67">
        <v>155.69160812045459</v>
      </c>
      <c r="AY77" s="67">
        <v>43.273000324340579</v>
      </c>
      <c r="AZ77" s="67">
        <v>159.83725510506261</v>
      </c>
      <c r="BB77" s="67">
        <v>28.714080166649811</v>
      </c>
      <c r="BC77" s="67">
        <v>81.442902962984888</v>
      </c>
      <c r="BE77" s="67">
        <v>29.165682437833421</v>
      </c>
      <c r="BF77" s="67">
        <v>96.812240292957497</v>
      </c>
    </row>
    <row r="78" spans="16:65" x14ac:dyDescent="0.25">
      <c r="V78" s="67">
        <v>73.000000000002615</v>
      </c>
      <c r="W78" s="67">
        <v>93.113815435399857</v>
      </c>
      <c r="X78" s="67">
        <v>45.552157581939703</v>
      </c>
      <c r="Y78" s="67">
        <v>347.80755129633519</v>
      </c>
      <c r="AA78" s="67">
        <v>73.000000000002615</v>
      </c>
      <c r="AB78" s="67">
        <v>75.824818548526054</v>
      </c>
      <c r="AC78" s="67">
        <v>41.387149040248971</v>
      </c>
      <c r="AD78" s="67">
        <v>181.84177143725691</v>
      </c>
      <c r="AF78" s="67">
        <v>73.000000000002615</v>
      </c>
      <c r="AG78" s="67">
        <v>64.287158665649457</v>
      </c>
      <c r="AH78" s="67">
        <v>31.458819705240501</v>
      </c>
      <c r="AI78" s="67">
        <v>335.24888412431568</v>
      </c>
      <c r="AK78" s="67">
        <v>73.000000000002615</v>
      </c>
      <c r="AL78" s="67">
        <v>57.969540407474071</v>
      </c>
      <c r="AM78" s="67">
        <v>24.09756054703098</v>
      </c>
      <c r="AN78" s="67">
        <v>163.2066145446735</v>
      </c>
      <c r="AS78" s="67">
        <v>-27.557999999999961</v>
      </c>
      <c r="AT78" s="67">
        <v>46.839520986932897</v>
      </c>
      <c r="AV78" s="67">
        <v>43.902828316460898</v>
      </c>
      <c r="AW78" s="67">
        <v>154.81510823282369</v>
      </c>
      <c r="AY78" s="67">
        <v>43.189666425100057</v>
      </c>
      <c r="AZ78" s="67">
        <v>159.20355002477999</v>
      </c>
      <c r="BB78" s="67">
        <v>28.643003711013531</v>
      </c>
      <c r="BC78" s="67">
        <v>80.99940451247852</v>
      </c>
      <c r="BE78" s="67">
        <v>29.10374504785101</v>
      </c>
      <c r="BF78" s="67">
        <v>96.519595186045038</v>
      </c>
    </row>
    <row r="79" spans="16:65" x14ac:dyDescent="0.25">
      <c r="V79" s="67">
        <v>74.000000000002416</v>
      </c>
      <c r="W79" s="67">
        <v>92.942452630572859</v>
      </c>
      <c r="X79" s="67">
        <v>45.581635546494972</v>
      </c>
      <c r="Y79" s="67">
        <v>345.43537600657021</v>
      </c>
      <c r="AA79" s="67">
        <v>74.000000000002416</v>
      </c>
      <c r="AB79" s="67">
        <v>75.342533125299937</v>
      </c>
      <c r="AC79" s="67">
        <v>41.462377862695007</v>
      </c>
      <c r="AD79" s="67">
        <v>177.09742085772541</v>
      </c>
      <c r="AF79" s="67">
        <v>74.000000000002416</v>
      </c>
      <c r="AG79" s="67">
        <v>64.380913811974736</v>
      </c>
      <c r="AH79" s="67">
        <v>31.47418372302673</v>
      </c>
      <c r="AI79" s="67">
        <v>332.87670883455081</v>
      </c>
      <c r="AK79" s="67">
        <v>74.000000000002416</v>
      </c>
      <c r="AL79" s="67">
        <v>57.742840347002343</v>
      </c>
      <c r="AM79" s="67">
        <v>23.839977065866659</v>
      </c>
      <c r="AN79" s="67">
        <v>158.462263965142</v>
      </c>
      <c r="AS79" s="67">
        <v>-29.557999999999961</v>
      </c>
      <c r="AT79" s="67">
        <v>46.482069397306461</v>
      </c>
      <c r="AV79" s="67">
        <v>43.800773599261561</v>
      </c>
      <c r="AW79" s="67">
        <v>153.9495701974711</v>
      </c>
      <c r="AY79" s="67">
        <v>43.107521145666283</v>
      </c>
      <c r="AZ79" s="67">
        <v>158.57753950742969</v>
      </c>
      <c r="BB79" s="67">
        <v>28.573019646406689</v>
      </c>
      <c r="BC79" s="67">
        <v>80.563445255526105</v>
      </c>
      <c r="BE79" s="67">
        <v>29.042780738674072</v>
      </c>
      <c r="BF79" s="67">
        <v>96.231614482083486</v>
      </c>
    </row>
    <row r="80" spans="16:65" x14ac:dyDescent="0.25">
      <c r="V80" s="67">
        <v>75.000000000002217</v>
      </c>
      <c r="W80" s="67">
        <v>92.775522290023758</v>
      </c>
      <c r="X80" s="67">
        <v>45.610519778781573</v>
      </c>
      <c r="Y80" s="67">
        <v>343.06320071680523</v>
      </c>
      <c r="AA80" s="67">
        <v>75.000000000002217</v>
      </c>
      <c r="AB80" s="67">
        <v>74.817103532074782</v>
      </c>
      <c r="AC80" s="67">
        <v>41.540931488138881</v>
      </c>
      <c r="AD80" s="67">
        <v>172.35307027819391</v>
      </c>
      <c r="AF80" s="67">
        <v>75.000000000002217</v>
      </c>
      <c r="AG80" s="67">
        <v>64.472578095236457</v>
      </c>
      <c r="AH80" s="67">
        <v>31.488127523092938</v>
      </c>
      <c r="AI80" s="67">
        <v>330.50453354478577</v>
      </c>
      <c r="AK80" s="67">
        <v>75.000000000002217</v>
      </c>
      <c r="AL80" s="67">
        <v>57.498259785802873</v>
      </c>
      <c r="AM80" s="67">
        <v>23.56867510092906</v>
      </c>
      <c r="AN80" s="67">
        <v>153.7179133856105</v>
      </c>
      <c r="AS80" s="67">
        <v>-31.057999999999961</v>
      </c>
      <c r="AT80" s="67">
        <v>46.268228099089683</v>
      </c>
      <c r="AV80" s="67">
        <v>43.700070498573382</v>
      </c>
      <c r="AW80" s="67">
        <v>153.09486463947769</v>
      </c>
      <c r="AY80" s="67">
        <v>43.026551008094231</v>
      </c>
      <c r="AZ80" s="67">
        <v>157.959126034413</v>
      </c>
      <c r="BB80" s="67">
        <v>28.504115726993579</v>
      </c>
      <c r="BC80" s="67">
        <v>80.134924243890751</v>
      </c>
      <c r="BE80" s="67">
        <v>28.982776921849968</v>
      </c>
      <c r="BF80" s="67">
        <v>95.948227530246243</v>
      </c>
    </row>
    <row r="81" spans="22:58" x14ac:dyDescent="0.25">
      <c r="V81" s="67">
        <v>76.000000000002018</v>
      </c>
      <c r="W81" s="67">
        <v>92.612715619696999</v>
      </c>
      <c r="X81" s="67">
        <v>45.638812638954732</v>
      </c>
      <c r="Y81" s="67">
        <v>340.69102542704019</v>
      </c>
      <c r="AA81" s="67">
        <v>76.000000000002018</v>
      </c>
      <c r="AB81" s="67">
        <v>74.245749940916838</v>
      </c>
      <c r="AC81" s="67">
        <v>41.622892454771197</v>
      </c>
      <c r="AD81" s="67">
        <v>167.60871969866241</v>
      </c>
      <c r="AF81" s="67">
        <v>76.000000000002018</v>
      </c>
      <c r="AG81" s="67">
        <v>64.562130019932653</v>
      </c>
      <c r="AH81" s="67">
        <v>31.500680967289671</v>
      </c>
      <c r="AI81" s="67">
        <v>328.13235825502068</v>
      </c>
      <c r="AK81" s="67">
        <v>76.000000000002018</v>
      </c>
      <c r="AL81" s="67">
        <v>57.234757519237696</v>
      </c>
      <c r="AM81" s="67">
        <v>23.282721908090078</v>
      </c>
      <c r="AN81" s="67">
        <v>148.973562806079</v>
      </c>
      <c r="AS81" s="67">
        <v>-33.057999999999957</v>
      </c>
      <c r="AT81" s="67">
        <v>46.057148634036537</v>
      </c>
      <c r="AV81" s="67">
        <v>43.600705125926311</v>
      </c>
      <c r="AW81" s="67">
        <v>152.2508636301142</v>
      </c>
      <c r="AY81" s="67">
        <v>42.946742672464033</v>
      </c>
      <c r="AZ81" s="67">
        <v>157.34821329500539</v>
      </c>
      <c r="BB81" s="67">
        <v>28.436279822253312</v>
      </c>
      <c r="BC81" s="67">
        <v>79.713741696820833</v>
      </c>
      <c r="BE81" s="67">
        <v>28.92372112612102</v>
      </c>
      <c r="BF81" s="67">
        <v>95.669364566356805</v>
      </c>
    </row>
    <row r="82" spans="22:58" x14ac:dyDescent="0.25">
      <c r="V82" s="67">
        <v>77.000000000001819</v>
      </c>
      <c r="W82" s="67">
        <v>92.453735117178567</v>
      </c>
      <c r="X82" s="67">
        <v>45.666516549262042</v>
      </c>
      <c r="Y82" s="67">
        <v>338.31885013727521</v>
      </c>
      <c r="AA82" s="67">
        <v>77.000000000001819</v>
      </c>
      <c r="AB82" s="67">
        <v>73.625621483016999</v>
      </c>
      <c r="AC82" s="67">
        <v>41.708314352492273</v>
      </c>
      <c r="AD82" s="67">
        <v>162.86436911913091</v>
      </c>
      <c r="AF82" s="67">
        <v>77.000000000001819</v>
      </c>
      <c r="AG82" s="67">
        <v>64.649567884379294</v>
      </c>
      <c r="AH82" s="67">
        <v>31.511884394046429</v>
      </c>
      <c r="AI82" s="67">
        <v>325.76018296525581</v>
      </c>
      <c r="AK82" s="67">
        <v>77.000000000001819</v>
      </c>
      <c r="AL82" s="67">
        <v>56.951184529938423</v>
      </c>
      <c r="AM82" s="67">
        <v>22.981079846934339</v>
      </c>
      <c r="AN82" s="67">
        <v>144.2292122265475</v>
      </c>
      <c r="AS82" s="67">
        <v>-35.057999999999957</v>
      </c>
      <c r="AT82" s="67">
        <v>45.932943604054472</v>
      </c>
      <c r="AV82" s="67">
        <v>43.502663719141708</v>
      </c>
      <c r="AW82" s="67">
        <v>151.41744067426899</v>
      </c>
      <c r="AY82" s="67">
        <v>42.868082935754927</v>
      </c>
      <c r="AZ82" s="67">
        <v>156.74470617292559</v>
      </c>
      <c r="BB82" s="67">
        <v>28.36949991925189</v>
      </c>
      <c r="BC82" s="67">
        <v>79.299799005348817</v>
      </c>
      <c r="BE82" s="67">
        <v>28.86560099741931</v>
      </c>
      <c r="BF82" s="67">
        <v>95.394956706921519</v>
      </c>
    </row>
    <row r="83" spans="22:58" x14ac:dyDescent="0.25">
      <c r="V83" s="67">
        <v>78.00000000000162</v>
      </c>
      <c r="W83" s="67">
        <v>92.298294643543315</v>
      </c>
      <c r="X83" s="67">
        <v>45.693634059144422</v>
      </c>
      <c r="Y83" s="67">
        <v>335.94667484751022</v>
      </c>
      <c r="AA83" s="67">
        <v>78.00000000000162</v>
      </c>
      <c r="AB83" s="67">
        <v>72.953803094830292</v>
      </c>
      <c r="AC83" s="67">
        <v>41.797220989196767</v>
      </c>
      <c r="AD83" s="67">
        <v>158.12001853959941</v>
      </c>
      <c r="AF83" s="67">
        <v>78.00000000000162</v>
      </c>
      <c r="AG83" s="67">
        <v>64.734903862812516</v>
      </c>
      <c r="AH83" s="67">
        <v>31.521783804088841</v>
      </c>
      <c r="AI83" s="67">
        <v>323.38800767549083</v>
      </c>
      <c r="AK83" s="67">
        <v>78.00000000000162</v>
      </c>
      <c r="AL83" s="67">
        <v>57.150598310007773</v>
      </c>
      <c r="AM83" s="67">
        <v>23.63723372750724</v>
      </c>
      <c r="AN83" s="67">
        <v>139.484861647016</v>
      </c>
      <c r="AS83" s="67">
        <v>-36.557999999999957</v>
      </c>
      <c r="AT83" s="67">
        <v>45.898489145122831</v>
      </c>
      <c r="AV83" s="67">
        <v>43.405932641546542</v>
      </c>
      <c r="AW83" s="67">
        <v>150.59447069783209</v>
      </c>
      <c r="AY83" s="67">
        <v>42.790558730708618</v>
      </c>
      <c r="AZ83" s="67">
        <v>156.1485107329348</v>
      </c>
      <c r="BB83" s="67">
        <v>28.303764124994299</v>
      </c>
      <c r="BC83" s="67">
        <v>78.892998736910329</v>
      </c>
      <c r="BE83" s="67">
        <v>28.808404298860999</v>
      </c>
      <c r="BF83" s="67">
        <v>95.124935943191815</v>
      </c>
    </row>
    <row r="84" spans="22:58" x14ac:dyDescent="0.25">
      <c r="V84" s="67">
        <v>79.000000000001421</v>
      </c>
      <c r="W84" s="67">
        <v>92.146119465348477</v>
      </c>
      <c r="X84" s="67">
        <v>45.720167937437679</v>
      </c>
      <c r="Y84" s="67">
        <v>333.57449955774518</v>
      </c>
      <c r="AA84" s="67">
        <v>79.000000000001421</v>
      </c>
      <c r="AB84" s="67">
        <v>72.227322477135544</v>
      </c>
      <c r="AC84" s="67">
        <v>41.889606162254609</v>
      </c>
      <c r="AD84" s="67">
        <v>153.37566796006789</v>
      </c>
      <c r="AF84" s="67">
        <v>79.000000000001421</v>
      </c>
      <c r="AG84" s="67">
        <v>64.818159942734951</v>
      </c>
      <c r="AH84" s="67">
        <v>31.53042677650296</v>
      </c>
      <c r="AI84" s="67">
        <v>321.01583238572567</v>
      </c>
      <c r="AK84" s="67">
        <v>79.000000000001421</v>
      </c>
      <c r="AL84" s="67">
        <v>57.372973553988203</v>
      </c>
      <c r="AM84" s="67">
        <v>24.647912506339939</v>
      </c>
      <c r="AN84" s="67">
        <v>134.7405110674845</v>
      </c>
      <c r="AS84" s="67">
        <v>-38.557999999999957</v>
      </c>
      <c r="AT84" s="67">
        <v>45.933405402570088</v>
      </c>
      <c r="AV84" s="67">
        <v>43.310498381171158</v>
      </c>
      <c r="AW84" s="67">
        <v>149.78183003501411</v>
      </c>
      <c r="AY84" s="67">
        <v>42.714157124690551</v>
      </c>
      <c r="AZ84" s="67">
        <v>155.5595342075213</v>
      </c>
      <c r="BB84" s="67">
        <v>28.23906066884814</v>
      </c>
      <c r="BC84" s="67">
        <v>78.493244640243944</v>
      </c>
      <c r="BE84" s="67">
        <v>28.752118910737611</v>
      </c>
      <c r="BF84" s="67">
        <v>94.859235135228516</v>
      </c>
    </row>
    <row r="85" spans="22:58" x14ac:dyDescent="0.25">
      <c r="V85" s="67">
        <v>80.000000000001222</v>
      </c>
      <c r="W85" s="67">
        <v>91.996946250510973</v>
      </c>
      <c r="X85" s="67">
        <v>45.746121285703168</v>
      </c>
      <c r="Y85" s="67">
        <v>331.2023242679802</v>
      </c>
      <c r="AA85" s="67">
        <v>80.000000000001222</v>
      </c>
      <c r="AB85" s="67">
        <v>71.443157295440088</v>
      </c>
      <c r="AC85" s="67">
        <v>41.985434198761538</v>
      </c>
      <c r="AD85" s="67">
        <v>148.6313173805365</v>
      </c>
      <c r="AF85" s="67">
        <v>80.000000000001222</v>
      </c>
      <c r="AG85" s="67">
        <v>64.89936622108408</v>
      </c>
      <c r="AH85" s="67">
        <v>31.537859995680609</v>
      </c>
      <c r="AI85" s="67">
        <v>318.64365709596069</v>
      </c>
      <c r="AK85" s="67">
        <v>80.000000000001222</v>
      </c>
      <c r="AL85" s="67">
        <v>57.331992594803417</v>
      </c>
      <c r="AM85" s="67">
        <v>25.474581681678789</v>
      </c>
      <c r="AN85" s="67">
        <v>129.99616048795301</v>
      </c>
      <c r="AS85" s="67">
        <v>-40.557999999999957</v>
      </c>
      <c r="AT85" s="67">
        <v>46.064132991809757</v>
      </c>
      <c r="AV85" s="67">
        <v>43.216347549939137</v>
      </c>
      <c r="AW85" s="67">
        <v>148.97939641561669</v>
      </c>
      <c r="AY85" s="67">
        <v>42.638865318549442</v>
      </c>
      <c r="AZ85" s="67">
        <v>154.97768498364951</v>
      </c>
      <c r="BB85" s="67">
        <v>28.175377905030981</v>
      </c>
      <c r="BC85" s="67">
        <v>78.100441650528794</v>
      </c>
      <c r="BE85" s="67">
        <v>28.696732830500189</v>
      </c>
      <c r="BF85" s="67">
        <v>94.59778800597303</v>
      </c>
    </row>
    <row r="86" spans="22:58" x14ac:dyDescent="0.25">
      <c r="V86" s="67">
        <v>81.000000000001023</v>
      </c>
      <c r="W86" s="67">
        <v>91.850523005660719</v>
      </c>
      <c r="X86" s="67">
        <v>45.771497666514897</v>
      </c>
      <c r="Y86" s="67">
        <v>328.83014897821522</v>
      </c>
      <c r="AA86" s="67">
        <v>81.000000000001023</v>
      </c>
      <c r="AB86" s="67">
        <v>70.598242603200333</v>
      </c>
      <c r="AC86" s="67">
        <v>42.084641366772871</v>
      </c>
      <c r="AD86" s="67">
        <v>143.886966801005</v>
      </c>
      <c r="AF86" s="67">
        <v>81.000000000001023</v>
      </c>
      <c r="AG86" s="67">
        <v>64.978560868822029</v>
      </c>
      <c r="AH86" s="67">
        <v>31.544128312801831</v>
      </c>
      <c r="AI86" s="67">
        <v>316.27148180619582</v>
      </c>
      <c r="AK86" s="67">
        <v>81.000000000001023</v>
      </c>
      <c r="AL86" s="67">
        <v>57.061641878948322</v>
      </c>
      <c r="AM86" s="67">
        <v>26.140302502089181</v>
      </c>
      <c r="AN86" s="67">
        <v>125.25180990842151</v>
      </c>
      <c r="AS86" s="67">
        <v>-42.057999999999957</v>
      </c>
      <c r="AT86" s="67">
        <v>46.227600693957768</v>
      </c>
      <c r="AV86" s="67">
        <v>43.123466882842081</v>
      </c>
      <c r="AW86" s="67">
        <v>148.18704895226639</v>
      </c>
      <c r="AY86" s="67">
        <v>42.564670645472212</v>
      </c>
      <c r="AZ86" s="67">
        <v>154.40287258957949</v>
      </c>
      <c r="BB86" s="67">
        <v>28.112704315162489</v>
      </c>
      <c r="BC86" s="67">
        <v>77.71449589473805</v>
      </c>
      <c r="BE86" s="67">
        <v>28.64223417273768</v>
      </c>
      <c r="BF86" s="67">
        <v>94.34052913531923</v>
      </c>
    </row>
    <row r="87" spans="22:58" x14ac:dyDescent="0.25">
      <c r="V87" s="67">
        <v>82.000000000000824</v>
      </c>
      <c r="W87" s="67">
        <v>91.706608946881147</v>
      </c>
      <c r="X87" s="67">
        <v>45.796301240595263</v>
      </c>
      <c r="Y87" s="67">
        <v>326.45797368845018</v>
      </c>
      <c r="AA87" s="67">
        <v>81.780000000000868</v>
      </c>
      <c r="AB87" s="67">
        <v>70.221146802995463</v>
      </c>
      <c r="AC87" s="67">
        <v>42.506821549735321</v>
      </c>
      <c r="AD87" s="67">
        <v>140.66080840692351</v>
      </c>
      <c r="AF87" s="67">
        <v>82.000000000000824</v>
      </c>
      <c r="AG87" s="67">
        <v>65.055790777716808</v>
      </c>
      <c r="AH87" s="67">
        <v>31.549274826258511</v>
      </c>
      <c r="AI87" s="67">
        <v>313.89930651643073</v>
      </c>
      <c r="AK87" s="67">
        <v>82.000000000000824</v>
      </c>
      <c r="AL87" s="67">
        <v>56.592895215294263</v>
      </c>
      <c r="AM87" s="67">
        <v>26.672564350288159</v>
      </c>
      <c r="AN87" s="67">
        <v>120.50745932889011</v>
      </c>
      <c r="AS87" s="67">
        <v>-44.057999999999957</v>
      </c>
      <c r="AT87" s="67">
        <v>46.536689864660531</v>
      </c>
      <c r="AV87" s="67">
        <v>43.031843237104063</v>
      </c>
      <c r="AW87" s="67">
        <v>147.40466812759379</v>
      </c>
      <c r="AY87" s="67">
        <v>42.491560569838313</v>
      </c>
      <c r="AZ87" s="67">
        <v>153.83500768177021</v>
      </c>
      <c r="BB87" s="67">
        <v>28.051028510870371</v>
      </c>
      <c r="BC87" s="67">
        <v>77.3353146971521</v>
      </c>
      <c r="BE87" s="67">
        <v>28.58861116914245</v>
      </c>
      <c r="BF87" s="67">
        <v>94.08739395415131</v>
      </c>
    </row>
    <row r="88" spans="22:58" x14ac:dyDescent="0.25">
      <c r="V88" s="67">
        <v>83.000000000000625</v>
      </c>
      <c r="W88" s="67">
        <v>91.564974300433533</v>
      </c>
      <c r="X88" s="67">
        <v>45.820536906950508</v>
      </c>
      <c r="Y88" s="67">
        <v>324.0857983986852</v>
      </c>
      <c r="AA88" s="67">
        <v>82.780000000000669</v>
      </c>
      <c r="AB88" s="67">
        <v>72.152850565721465</v>
      </c>
      <c r="AC88" s="67">
        <v>45.43621601570959</v>
      </c>
      <c r="AD88" s="67">
        <v>140.66080840692351</v>
      </c>
      <c r="AF88" s="67">
        <v>83.000000000000625</v>
      </c>
      <c r="AG88" s="67">
        <v>65.131112155151186</v>
      </c>
      <c r="AH88" s="67">
        <v>31.55334145420602</v>
      </c>
      <c r="AI88" s="67">
        <v>311.52713122666569</v>
      </c>
      <c r="AK88" s="67">
        <v>83.000000000000625</v>
      </c>
      <c r="AL88" s="67">
        <v>55.951543005706398</v>
      </c>
      <c r="AM88" s="67">
        <v>27.098476769157632</v>
      </c>
      <c r="AN88" s="67">
        <v>115.76310874935859</v>
      </c>
      <c r="AS88" s="67">
        <v>-46.057999999999957</v>
      </c>
      <c r="AT88" s="67">
        <v>46.955060954570612</v>
      </c>
      <c r="AV88" s="67">
        <v>42.941463591338049</v>
      </c>
      <c r="AW88" s="67">
        <v>146.63213578140881</v>
      </c>
      <c r="AY88" s="67">
        <v>42.419522686071161</v>
      </c>
      <c r="AZ88" s="67">
        <v>153.27400203185769</v>
      </c>
      <c r="BB88" s="67">
        <v>27.990339236445148</v>
      </c>
      <c r="BC88" s="67">
        <v>76.962806585000337</v>
      </c>
      <c r="BE88" s="67">
        <v>28.535852168465901</v>
      </c>
      <c r="BF88" s="67">
        <v>93.838318738376884</v>
      </c>
    </row>
    <row r="89" spans="22:58" x14ac:dyDescent="0.25">
      <c r="V89" s="67">
        <v>84.000000000000426</v>
      </c>
      <c r="W89" s="67">
        <v>91.425400035448732</v>
      </c>
      <c r="X89" s="67">
        <v>45.844210440658799</v>
      </c>
      <c r="Y89" s="67">
        <v>321.71362310892022</v>
      </c>
      <c r="AA89" s="67">
        <v>83.78000000000047</v>
      </c>
      <c r="AB89" s="67">
        <v>73.499964043273124</v>
      </c>
      <c r="AC89" s="67">
        <v>47.492453942829172</v>
      </c>
      <c r="AD89" s="67">
        <v>140.66080840692351</v>
      </c>
      <c r="AF89" s="67">
        <v>84.000000000000426</v>
      </c>
      <c r="AG89" s="67">
        <v>65.204590707983414</v>
      </c>
      <c r="AH89" s="67">
        <v>31.556369614247838</v>
      </c>
      <c r="AI89" s="67">
        <v>309.15495593690082</v>
      </c>
      <c r="AK89" s="67">
        <v>84.000000000000426</v>
      </c>
      <c r="AL89" s="67">
        <v>55.15773589543948</v>
      </c>
      <c r="AM89" s="67">
        <v>27.44245934397247</v>
      </c>
      <c r="AN89" s="67">
        <v>111.01875816982709</v>
      </c>
      <c r="AS89" s="67">
        <v>-47.557999999999957</v>
      </c>
      <c r="AT89" s="67">
        <v>47.344393468665999</v>
      </c>
      <c r="AV89" s="67">
        <v>42.852315044687771</v>
      </c>
      <c r="AW89" s="67">
        <v>145.86933509780289</v>
      </c>
      <c r="AY89" s="67">
        <v>42.348544717488728</v>
      </c>
      <c r="AZ89" s="67">
        <v>152.71976851371281</v>
      </c>
      <c r="BB89" s="67">
        <v>27.93062537153963</v>
      </c>
      <c r="BC89" s="67">
        <v>76.596881294214256</v>
      </c>
      <c r="BE89" s="67">
        <v>28.48394563645687</v>
      </c>
      <c r="BF89" s="67">
        <v>93.593240602914008</v>
      </c>
    </row>
    <row r="90" spans="22:58" x14ac:dyDescent="0.25">
      <c r="V90" s="67">
        <v>85.000000000000227</v>
      </c>
      <c r="W90" s="67">
        <v>91.287677537046662</v>
      </c>
      <c r="X90" s="67">
        <v>45.867328623698313</v>
      </c>
      <c r="Y90" s="67">
        <v>319.34144781915518</v>
      </c>
      <c r="AA90" s="67">
        <v>84.780000000000271</v>
      </c>
      <c r="AB90" s="67">
        <v>74.435305376852199</v>
      </c>
      <c r="AC90" s="67">
        <v>48.926274142516263</v>
      </c>
      <c r="AD90" s="67">
        <v>140.66080840692351</v>
      </c>
      <c r="AF90" s="67">
        <v>85.000000000000227</v>
      </c>
      <c r="AG90" s="67">
        <v>65.276301421065767</v>
      </c>
      <c r="AH90" s="67">
        <v>31.55840073530203</v>
      </c>
      <c r="AI90" s="67">
        <v>306.78278064713572</v>
      </c>
      <c r="AK90" s="67">
        <v>85.000000000000227</v>
      </c>
      <c r="AL90" s="67">
        <v>54.226335512996208</v>
      </c>
      <c r="AM90" s="67">
        <v>27.725259538653919</v>
      </c>
      <c r="AN90" s="67">
        <v>106.2744075902956</v>
      </c>
      <c r="AS90" s="67">
        <v>-49.557999999999957</v>
      </c>
      <c r="AT90" s="67">
        <v>47.970132935669938</v>
      </c>
      <c r="AV90" s="67">
        <v>42.764384815967453</v>
      </c>
      <c r="AW90" s="67">
        <v>145.1161505922783</v>
      </c>
      <c r="AY90" s="67">
        <v>42.278614515154672</v>
      </c>
      <c r="AZ90" s="67">
        <v>152.17222109059421</v>
      </c>
      <c r="BB90" s="67">
        <v>27.871875933902739</v>
      </c>
      <c r="BC90" s="67">
        <v>76.237449775192005</v>
      </c>
      <c r="BE90" s="67">
        <v>28.43288015578727</v>
      </c>
      <c r="BF90" s="67">
        <v>93.352097495649417</v>
      </c>
    </row>
    <row r="91" spans="22:58" x14ac:dyDescent="0.25">
      <c r="V91" s="67">
        <v>86.000000000000028</v>
      </c>
      <c r="W91" s="67">
        <v>91.151608237169725</v>
      </c>
      <c r="X91" s="67">
        <v>45.889899365241547</v>
      </c>
      <c r="Y91" s="67">
        <v>316.9692725293902</v>
      </c>
      <c r="AA91" s="67">
        <v>85.780000000000072</v>
      </c>
      <c r="AB91" s="67">
        <v>75.083017560496572</v>
      </c>
      <c r="AC91" s="67">
        <v>49.922010073533158</v>
      </c>
      <c r="AD91" s="67">
        <v>140.66080840692351</v>
      </c>
      <c r="AF91" s="67">
        <v>86.000000000000028</v>
      </c>
      <c r="AG91" s="67">
        <v>65.346328814690878</v>
      </c>
      <c r="AH91" s="67">
        <v>31.559476268921571</v>
      </c>
      <c r="AI91" s="67">
        <v>304.41060535737068</v>
      </c>
      <c r="AK91" s="67">
        <v>86.000000000000028</v>
      </c>
      <c r="AL91" s="67">
        <v>53.167627976555927</v>
      </c>
      <c r="AM91" s="67">
        <v>27.96373280927099</v>
      </c>
      <c r="AN91" s="67">
        <v>101.5300570107641</v>
      </c>
      <c r="AS91" s="67">
        <v>-51.057999999999957</v>
      </c>
      <c r="AT91" s="67">
        <v>48.52399261396112</v>
      </c>
      <c r="AV91" s="67">
        <v>42.677660242785521</v>
      </c>
      <c r="AW91" s="67">
        <v>144.372468098821</v>
      </c>
      <c r="AY91" s="67">
        <v>42.20972005672656</v>
      </c>
      <c r="AZ91" s="67">
        <v>151.63127480237119</v>
      </c>
      <c r="BB91" s="67">
        <v>27.814080082144979</v>
      </c>
      <c r="BC91" s="67">
        <v>75.884424198619925</v>
      </c>
      <c r="BE91" s="67">
        <v>28.382644425958709</v>
      </c>
      <c r="BF91" s="67">
        <v>93.114828191352558</v>
      </c>
    </row>
    <row r="92" spans="22:58" x14ac:dyDescent="0.25">
      <c r="V92" s="67">
        <v>86.999999999999829</v>
      </c>
      <c r="W92" s="67">
        <v>91.017003234481251</v>
      </c>
      <c r="X92" s="67">
        <v>45.911931809301677</v>
      </c>
      <c r="Y92" s="67">
        <v>314.59709723962521</v>
      </c>
      <c r="AA92" s="67">
        <v>86.779999999999873</v>
      </c>
      <c r="AB92" s="67">
        <v>75.530794767409049</v>
      </c>
      <c r="AC92" s="67">
        <v>50.611707430427373</v>
      </c>
      <c r="AD92" s="67">
        <v>140.66080840692351</v>
      </c>
      <c r="AF92" s="67">
        <v>86.999999999999829</v>
      </c>
      <c r="AG92" s="67">
        <v>65.414790936310126</v>
      </c>
      <c r="AH92" s="67">
        <v>31.559634500695889</v>
      </c>
      <c r="AI92" s="67">
        <v>302.03843006760582</v>
      </c>
      <c r="AK92" s="67">
        <v>86.999999999999829</v>
      </c>
      <c r="AL92" s="67">
        <v>51.988157073835403</v>
      </c>
      <c r="AM92" s="67">
        <v>28.171058103533031</v>
      </c>
      <c r="AN92" s="67">
        <v>96.785706431232597</v>
      </c>
      <c r="AS92" s="67">
        <v>-52.557999999999957</v>
      </c>
      <c r="AT92" s="67">
        <v>49.154773130591643</v>
      </c>
      <c r="AV92" s="67">
        <v>42.592128780666258</v>
      </c>
      <c r="AW92" s="67">
        <v>143.6381747569873</v>
      </c>
      <c r="AY92" s="67">
        <v>42.141849445307578</v>
      </c>
      <c r="AZ92" s="67">
        <v>151.09684575285621</v>
      </c>
      <c r="BB92" s="67">
        <v>27.757227118525691</v>
      </c>
      <c r="BC92" s="67">
        <v>75.537717961218689</v>
      </c>
      <c r="BE92" s="67">
        <v>28.33322726319016</v>
      </c>
      <c r="BF92" s="67">
        <v>92.881372285536784</v>
      </c>
    </row>
    <row r="93" spans="22:58" x14ac:dyDescent="0.25">
      <c r="V93" s="67">
        <v>87.999999999999631</v>
      </c>
      <c r="W93" s="67">
        <v>90.883682961613005</v>
      </c>
      <c r="X93" s="67">
        <v>45.933436429850808</v>
      </c>
      <c r="Y93" s="67">
        <v>312.22492194986017</v>
      </c>
      <c r="AA93" s="67">
        <v>87.779999999999674</v>
      </c>
      <c r="AB93" s="67">
        <v>75.840012646486656</v>
      </c>
      <c r="AC93" s="67">
        <v>51.088607949237257</v>
      </c>
      <c r="AD93" s="67">
        <v>140.66080840692351</v>
      </c>
      <c r="AF93" s="67">
        <v>87.999999999999631</v>
      </c>
      <c r="AG93" s="67">
        <v>65.481802926297661</v>
      </c>
      <c r="AH93" s="67">
        <v>31.55889867021239</v>
      </c>
      <c r="AI93" s="67">
        <v>299.66625477784072</v>
      </c>
      <c r="AK93" s="67">
        <v>87.999999999999631</v>
      </c>
      <c r="AL93" s="67">
        <v>50.691541103211257</v>
      </c>
      <c r="AM93" s="67">
        <v>28.35718220530725</v>
      </c>
      <c r="AN93" s="67">
        <v>92.041355851701113</v>
      </c>
      <c r="AS93" s="67">
        <v>-54.557999999999957</v>
      </c>
      <c r="AT93" s="67">
        <v>50.123381896693893</v>
      </c>
      <c r="AV93" s="67">
        <v>42.507778002162468</v>
      </c>
      <c r="AW93" s="67">
        <v>142.91315899896389</v>
      </c>
      <c r="AY93" s="67">
        <v>42.074990908296627</v>
      </c>
      <c r="AZ93" s="67">
        <v>150.56885109721659</v>
      </c>
      <c r="BB93" s="67">
        <v>27.701306491753709</v>
      </c>
      <c r="BC93" s="67">
        <v>75.197245691431917</v>
      </c>
      <c r="BE93" s="67">
        <v>28.284617600285411</v>
      </c>
      <c r="BF93" s="67">
        <v>92.651670188273528</v>
      </c>
    </row>
    <row r="94" spans="22:58" x14ac:dyDescent="0.25">
      <c r="V94" s="67">
        <v>88.999999999999432</v>
      </c>
      <c r="W94" s="67">
        <v>90.751477021495432</v>
      </c>
      <c r="X94" s="67">
        <v>45.954425117522248</v>
      </c>
      <c r="Y94" s="67">
        <v>309.85274666009519</v>
      </c>
      <c r="AA94" s="67">
        <v>88.779999999999475</v>
      </c>
      <c r="AB94" s="67">
        <v>76.053390997464064</v>
      </c>
      <c r="AC94" s="67">
        <v>51.417990120121658</v>
      </c>
      <c r="AD94" s="67">
        <v>140.66080840692351</v>
      </c>
      <c r="AF94" s="67">
        <v>88.999999999999432</v>
      </c>
      <c r="AG94" s="67">
        <v>65.547401841347082</v>
      </c>
      <c r="AH94" s="67">
        <v>31.55728751433162</v>
      </c>
      <c r="AI94" s="67">
        <v>297.29407948807568</v>
      </c>
      <c r="AK94" s="67">
        <v>88.999999999999432</v>
      </c>
      <c r="AL94" s="67">
        <v>49.279201668916777</v>
      </c>
      <c r="AM94" s="67">
        <v>28.529359341540161</v>
      </c>
      <c r="AN94" s="67">
        <v>87.297005272169628</v>
      </c>
      <c r="AS94" s="67">
        <v>-56.557999999999957</v>
      </c>
      <c r="AT94" s="67">
        <v>51.249178858908863</v>
      </c>
      <c r="AV94" s="67">
        <v>42.424595595959033</v>
      </c>
      <c r="AW94" s="67">
        <v>142.19731053664279</v>
      </c>
      <c r="AY94" s="67">
        <v>42.009132796240188</v>
      </c>
      <c r="AZ94" s="67">
        <v>150.04720902948571</v>
      </c>
      <c r="BB94" s="67">
        <v>27.646307799798588</v>
      </c>
      <c r="BC94" s="67">
        <v>74.862923255007814</v>
      </c>
      <c r="BE94" s="67">
        <v>28.236804486478821</v>
      </c>
      <c r="BF94" s="67">
        <v>92.425663117947465</v>
      </c>
    </row>
    <row r="95" spans="22:58" x14ac:dyDescent="0.25">
      <c r="V95" s="67">
        <v>89.999999999999233</v>
      </c>
      <c r="W95" s="67">
        <v>90.620224504650665</v>
      </c>
      <c r="X95" s="67">
        <v>45.974911270902282</v>
      </c>
      <c r="Y95" s="67">
        <v>307.48057137033021</v>
      </c>
      <c r="AA95" s="67">
        <v>89.779999999999276</v>
      </c>
      <c r="AB95" s="67">
        <v>76.200562338762623</v>
      </c>
      <c r="AC95" s="67">
        <v>51.645310040046752</v>
      </c>
      <c r="AD95" s="67">
        <v>140.66080840692351</v>
      </c>
      <c r="AF95" s="67">
        <v>89.999999999999233</v>
      </c>
      <c r="AG95" s="67">
        <v>65.611615794868555</v>
      </c>
      <c r="AH95" s="67">
        <v>31.554824373936299</v>
      </c>
      <c r="AI95" s="67">
        <v>294.92190419831081</v>
      </c>
      <c r="AK95" s="67">
        <v>89.999999999999233</v>
      </c>
      <c r="AL95" s="67">
        <v>47.750972982142883</v>
      </c>
      <c r="AM95" s="67">
        <v>28.692700868157939</v>
      </c>
      <c r="AN95" s="67">
        <v>82.552654692638129</v>
      </c>
      <c r="AS95" s="67">
        <v>-56.557999999999957</v>
      </c>
      <c r="AT95" s="67">
        <v>5.4780051259908742</v>
      </c>
      <c r="AV95" s="67">
        <v>42.342569365975407</v>
      </c>
      <c r="AW95" s="67">
        <v>141.49052034869499</v>
      </c>
      <c r="AY95" s="67">
        <v>41.944263581685618</v>
      </c>
      <c r="AZ95" s="67">
        <v>149.53183877016491</v>
      </c>
      <c r="BB95" s="67">
        <v>27.59222079269767</v>
      </c>
      <c r="BC95" s="67">
        <v>74.534667760391557</v>
      </c>
      <c r="BE95" s="67">
        <v>28.189777087259809</v>
      </c>
      <c r="BF95" s="67">
        <v>92.203293094954233</v>
      </c>
    </row>
    <row r="96" spans="22:58" x14ac:dyDescent="0.25">
      <c r="V96" s="67">
        <v>90.999999999999034</v>
      </c>
      <c r="W96" s="67">
        <v>90.48977594229433</v>
      </c>
      <c r="X96" s="67">
        <v>45.994909933511003</v>
      </c>
      <c r="Y96" s="67">
        <v>305.10839608056523</v>
      </c>
      <c r="AA96" s="67">
        <v>90.779999999999077</v>
      </c>
      <c r="AB96" s="67">
        <v>76.302035686911793</v>
      </c>
      <c r="AC96" s="67">
        <v>51.802110609308777</v>
      </c>
      <c r="AD96" s="67">
        <v>140.66080840692351</v>
      </c>
      <c r="AF96" s="67">
        <v>90.999999999999034</v>
      </c>
      <c r="AG96" s="67">
        <v>65.67447175489103</v>
      </c>
      <c r="AH96" s="67">
        <v>31.551538342809408</v>
      </c>
      <c r="AI96" s="67">
        <v>292.54972890854572</v>
      </c>
      <c r="AK96" s="67">
        <v>90.999999999999034</v>
      </c>
      <c r="AL96" s="67">
        <v>46.105585277358003</v>
      </c>
      <c r="AM96" s="67">
        <v>28.850683275658639</v>
      </c>
      <c r="AN96" s="67">
        <v>77.808304113106644</v>
      </c>
      <c r="AV96" s="67">
        <v>42.261687230457987</v>
      </c>
      <c r="AW96" s="67">
        <v>140.79268066764141</v>
      </c>
      <c r="AY96" s="67">
        <v>41.880371858037378</v>
      </c>
      <c r="AZ96" s="67">
        <v>149.0226605539375</v>
      </c>
      <c r="BB96" s="67">
        <v>27.53903537535416</v>
      </c>
      <c r="BC96" s="67">
        <v>74.212397563914408</v>
      </c>
      <c r="BE96" s="67">
        <v>28.143524684172281</v>
      </c>
      <c r="BF96" s="67">
        <v>91.984502935331449</v>
      </c>
    </row>
    <row r="97" spans="22:58" x14ac:dyDescent="0.25">
      <c r="V97" s="67">
        <v>91.999999999998835</v>
      </c>
      <c r="W97" s="67">
        <v>90.360017122738142</v>
      </c>
      <c r="X97" s="67">
        <v>46.014438295874641</v>
      </c>
      <c r="Y97" s="67">
        <v>302.73622079080019</v>
      </c>
      <c r="AA97" s="67">
        <v>91.779999999998878</v>
      </c>
      <c r="AB97" s="67">
        <v>76.371984859540618</v>
      </c>
      <c r="AC97" s="67">
        <v>51.91022980548297</v>
      </c>
      <c r="AD97" s="67">
        <v>140.66080840692351</v>
      </c>
      <c r="AF97" s="67">
        <v>91.999999999998835</v>
      </c>
      <c r="AG97" s="67">
        <v>65.735996821218635</v>
      </c>
      <c r="AH97" s="67">
        <v>31.54746457164072</v>
      </c>
      <c r="AI97" s="67">
        <v>290.17755361878068</v>
      </c>
      <c r="AK97" s="67">
        <v>91.999999999998835</v>
      </c>
      <c r="AL97" s="67">
        <v>44.341030860605343</v>
      </c>
      <c r="AM97" s="67">
        <v>29.005586315533211</v>
      </c>
      <c r="AN97" s="67">
        <v>73.063953533575145</v>
      </c>
      <c r="AV97" s="67">
        <v>42.181937221070541</v>
      </c>
      <c r="AW97" s="67">
        <v>140.10368496694861</v>
      </c>
      <c r="AY97" s="67">
        <v>41.817446338413532</v>
      </c>
      <c r="AZ97" s="67">
        <v>148.51959561746091</v>
      </c>
      <c r="BB97" s="67">
        <v>27.48674161031909</v>
      </c>
      <c r="BC97" s="67">
        <v>73.896032274746219</v>
      </c>
      <c r="BE97" s="67">
        <v>28.09803667459008</v>
      </c>
      <c r="BF97" s="67">
        <v>91.769236244337222</v>
      </c>
    </row>
    <row r="98" spans="22:58" x14ac:dyDescent="0.25">
      <c r="V98" s="67">
        <v>92.999999999998636</v>
      </c>
      <c r="W98" s="67">
        <v>90.230919982948194</v>
      </c>
      <c r="X98" s="67">
        <v>46.033518846264201</v>
      </c>
      <c r="Y98" s="67">
        <v>300.36404550103521</v>
      </c>
      <c r="AA98" s="67">
        <v>92.77999999999868</v>
      </c>
      <c r="AB98" s="67">
        <v>76.420195854653926</v>
      </c>
      <c r="AC98" s="67">
        <v>51.984763383208701</v>
      </c>
      <c r="AD98" s="67">
        <v>140.66080840692351</v>
      </c>
      <c r="AF98" s="67">
        <v>92.999999999998636</v>
      </c>
      <c r="AG98" s="67">
        <v>65.79621876723931</v>
      </c>
      <c r="AH98" s="67">
        <v>31.54264437391225</v>
      </c>
      <c r="AI98" s="67">
        <v>287.80537832901581</v>
      </c>
      <c r="AK98" s="67">
        <v>92.999999999998636</v>
      </c>
      <c r="AL98" s="67">
        <v>42.454829253077399</v>
      </c>
      <c r="AM98" s="67">
        <v>29.158849733982091</v>
      </c>
      <c r="AN98" s="67">
        <v>68.31960295404366</v>
      </c>
      <c r="AV98" s="67">
        <v>42.103307481979243</v>
      </c>
      <c r="AW98" s="67">
        <v>139.42342794814769</v>
      </c>
      <c r="AY98" s="67">
        <v>41.75547585450829</v>
      </c>
      <c r="AZ98" s="67">
        <v>148.0225661872926</v>
      </c>
      <c r="BB98" s="67">
        <v>27.435329720543049</v>
      </c>
      <c r="BC98" s="67">
        <v>73.585492759513457</v>
      </c>
      <c r="BE98" s="67">
        <v>28.053302571468159</v>
      </c>
      <c r="BF98" s="67">
        <v>91.557437409947639</v>
      </c>
    </row>
    <row r="99" spans="22:58" x14ac:dyDescent="0.25">
      <c r="V99" s="67">
        <v>93.999999999998437</v>
      </c>
      <c r="W99" s="67">
        <v>90.102370286778793</v>
      </c>
      <c r="X99" s="67">
        <v>46.0521782295192</v>
      </c>
      <c r="Y99" s="67">
        <v>297.99187021127022</v>
      </c>
      <c r="AA99" s="67">
        <v>93.779999999998481</v>
      </c>
      <c r="AB99" s="67">
        <v>76.453420752235658</v>
      </c>
      <c r="AC99" s="67">
        <v>52.036135616242859</v>
      </c>
      <c r="AD99" s="67">
        <v>140.66080840692351</v>
      </c>
      <c r="AF99" s="67">
        <v>93.999999999998437</v>
      </c>
      <c r="AG99" s="67">
        <v>65.855166819063129</v>
      </c>
      <c r="AH99" s="67">
        <v>31.537125401838921</v>
      </c>
      <c r="AI99" s="67">
        <v>285.43320303925083</v>
      </c>
      <c r="AK99" s="67">
        <v>93.819999999998473</v>
      </c>
      <c r="AL99" s="67">
        <v>40.815434198243487</v>
      </c>
      <c r="AM99" s="67">
        <v>29.283928745613309</v>
      </c>
      <c r="AN99" s="67">
        <v>64.429235478827621</v>
      </c>
      <c r="AV99" s="67">
        <v>42.025786268933018</v>
      </c>
      <c r="AW99" s="67">
        <v>138.7518055279495</v>
      </c>
      <c r="AY99" s="67">
        <v>41.694449355452711</v>
      </c>
      <c r="AZ99" s="67">
        <v>147.5314954678785</v>
      </c>
      <c r="BB99" s="67">
        <v>27.384790092089819</v>
      </c>
      <c r="BC99" s="67">
        <v>73.280701146578139</v>
      </c>
      <c r="BE99" s="67">
        <v>28.009312003067411</v>
      </c>
      <c r="BF99" s="67">
        <v>91.349051596302871</v>
      </c>
    </row>
    <row r="100" spans="22:58" x14ac:dyDescent="0.25">
      <c r="V100" s="67">
        <v>94.999999999998238</v>
      </c>
      <c r="W100" s="67">
        <v>89.974221449286972</v>
      </c>
      <c r="X100" s="67">
        <v>46.070443108290483</v>
      </c>
      <c r="Y100" s="67">
        <v>295.61969492150519</v>
      </c>
      <c r="AA100" s="67">
        <v>94.779999999998282</v>
      </c>
      <c r="AB100" s="67">
        <v>76.476316227455513</v>
      </c>
      <c r="AC100" s="67">
        <v>52.071539834430723</v>
      </c>
      <c r="AD100" s="67">
        <v>140.66080840692351</v>
      </c>
      <c r="AF100" s="67">
        <v>94.999999999998238</v>
      </c>
      <c r="AG100" s="67">
        <v>65.912873179696675</v>
      </c>
      <c r="AH100" s="67">
        <v>31.53096211980198</v>
      </c>
      <c r="AI100" s="67">
        <v>283.06102774948567</v>
      </c>
      <c r="AK100" s="67">
        <v>94.779999999998282</v>
      </c>
      <c r="AL100" s="67">
        <v>41.975044394814937</v>
      </c>
      <c r="AM100" s="67">
        <v>33.923066643164702</v>
      </c>
      <c r="AN100" s="67">
        <v>64.429235478827621</v>
      </c>
      <c r="AV100" s="67">
        <v>41.949361948343267</v>
      </c>
      <c r="AW100" s="67">
        <v>138.08871482542139</v>
      </c>
      <c r="AY100" s="67">
        <v>41.634355906685293</v>
      </c>
      <c r="AZ100" s="67">
        <v>147.04630762968989</v>
      </c>
      <c r="BB100" s="67">
        <v>27.335113276806791</v>
      </c>
      <c r="BC100" s="67">
        <v>72.981580829917291</v>
      </c>
      <c r="BE100" s="67">
        <v>27.966054712653129</v>
      </c>
      <c r="BF100" s="67">
        <v>91.144024737077174</v>
      </c>
    </row>
    <row r="101" spans="22:58" x14ac:dyDescent="0.25">
      <c r="V101" s="67">
        <v>95.999999999998039</v>
      </c>
      <c r="W101" s="67">
        <v>89.846318217959066</v>
      </c>
      <c r="X101" s="67">
        <v>46.088339393148999</v>
      </c>
      <c r="Y101" s="67">
        <v>293.24751963174009</v>
      </c>
      <c r="AA101" s="67">
        <v>95.779999999998083</v>
      </c>
      <c r="AB101" s="67">
        <v>76.492092848629966</v>
      </c>
      <c r="AC101" s="67">
        <v>52.095937443301978</v>
      </c>
      <c r="AD101" s="67">
        <v>140.66080840692351</v>
      </c>
      <c r="AF101" s="67">
        <v>95.999999999998039</v>
      </c>
      <c r="AG101" s="67">
        <v>65.969375636478304</v>
      </c>
      <c r="AH101" s="67">
        <v>31.524216793526421</v>
      </c>
      <c r="AI101" s="67">
        <v>280.68885245972069</v>
      </c>
      <c r="AK101" s="67">
        <v>95.779999999998083</v>
      </c>
      <c r="AL101" s="67">
        <v>42.460875253690283</v>
      </c>
      <c r="AM101" s="67">
        <v>35.878624198359432</v>
      </c>
      <c r="AN101" s="67">
        <v>64.429235478827621</v>
      </c>
      <c r="AV101" s="67">
        <v>41.874022996357837</v>
      </c>
      <c r="AW101" s="67">
        <v>137.43405414916589</v>
      </c>
      <c r="AY101" s="67">
        <v>41.575184688820237</v>
      </c>
      <c r="AZ101" s="67">
        <v>146.5669277974323</v>
      </c>
      <c r="BB101" s="67">
        <v>27.28628999493111</v>
      </c>
      <c r="BC101" s="67">
        <v>72.68805647253383</v>
      </c>
      <c r="BE101" s="67">
        <v>27.923520558167741</v>
      </c>
      <c r="BF101" s="67">
        <v>90.942303528786638</v>
      </c>
    </row>
    <row r="102" spans="22:58" x14ac:dyDescent="0.25">
      <c r="V102" s="67">
        <v>96.99999999999784</v>
      </c>
      <c r="W102" s="67">
        <v>89.718499485829128</v>
      </c>
      <c r="X102" s="67">
        <v>46.105891972823258</v>
      </c>
      <c r="Y102" s="67">
        <v>290.87534434197522</v>
      </c>
      <c r="AA102" s="67">
        <v>96.779999999997884</v>
      </c>
      <c r="AB102" s="67">
        <v>76.502963696677057</v>
      </c>
      <c r="AC102" s="67">
        <v>52.112749309318588</v>
      </c>
      <c r="AD102" s="67">
        <v>140.66080840692351</v>
      </c>
      <c r="AF102" s="67">
        <v>96.99999999999784</v>
      </c>
      <c r="AG102" s="67">
        <v>66.024721272097679</v>
      </c>
      <c r="AH102" s="67">
        <v>31.516961110294972</v>
      </c>
      <c r="AI102" s="67">
        <v>278.31667716995582</v>
      </c>
      <c r="AK102" s="67">
        <v>96.779999999997884</v>
      </c>
      <c r="AL102" s="67">
        <v>42.651975608629982</v>
      </c>
      <c r="AM102" s="67">
        <v>36.649686834400093</v>
      </c>
      <c r="AN102" s="67">
        <v>64.429235478827621</v>
      </c>
      <c r="AV102" s="67">
        <v>41.799757997934883</v>
      </c>
      <c r="AW102" s="67">
        <v>136.7877229845499</v>
      </c>
      <c r="AY102" s="67">
        <v>41.516924996523493</v>
      </c>
      <c r="AZ102" s="67">
        <v>146.09328203838101</v>
      </c>
      <c r="BB102" s="67">
        <v>27.238311137632309</v>
      </c>
      <c r="BC102" s="67">
        <v>72.400054009368887</v>
      </c>
      <c r="BE102" s="67">
        <v>27.881699511875389</v>
      </c>
      <c r="BF102" s="67">
        <v>90.743835424029584</v>
      </c>
    </row>
    <row r="103" spans="22:58" x14ac:dyDescent="0.25">
      <c r="V103" s="67">
        <v>97.999999999997641</v>
      </c>
      <c r="W103" s="67">
        <v>89.590599550715027</v>
      </c>
      <c r="X103" s="67">
        <v>46.123124573655332</v>
      </c>
      <c r="Y103" s="67">
        <v>288.50316905221018</v>
      </c>
      <c r="AA103" s="67">
        <v>97.779999999997685</v>
      </c>
      <c r="AB103" s="67">
        <v>76.510454055011948</v>
      </c>
      <c r="AC103" s="67">
        <v>52.124333570294198</v>
      </c>
      <c r="AD103" s="67">
        <v>140.66080840692351</v>
      </c>
      <c r="AF103" s="67">
        <v>97.999999999997641</v>
      </c>
      <c r="AG103" s="67">
        <v>66.078970606939251</v>
      </c>
      <c r="AH103" s="67">
        <v>31.509278228970629</v>
      </c>
      <c r="AI103" s="67">
        <v>275.94450188019073</v>
      </c>
      <c r="AK103" s="67">
        <v>97.779999999997685</v>
      </c>
      <c r="AL103" s="67">
        <v>42.727129679952697</v>
      </c>
      <c r="AM103" s="67">
        <v>36.953203792992099</v>
      </c>
      <c r="AN103" s="67">
        <v>64.429235478827621</v>
      </c>
      <c r="AV103" s="67">
        <v>41.726555645913614</v>
      </c>
      <c r="AW103" s="67">
        <v>136.1496219809718</v>
      </c>
      <c r="AY103" s="67">
        <v>41.459566237393346</v>
      </c>
      <c r="AZ103" s="67">
        <v>145.6252973508245</v>
      </c>
      <c r="BB103" s="67">
        <v>27.191167769470439</v>
      </c>
      <c r="BC103" s="67">
        <v>72.117500649656492</v>
      </c>
      <c r="BE103" s="67">
        <v>27.840581659982011</v>
      </c>
      <c r="BF103" s="67">
        <v>90.54856862466572</v>
      </c>
    </row>
    <row r="104" spans="22:58" x14ac:dyDescent="0.25">
      <c r="V104" s="67">
        <v>98.999999999997442</v>
      </c>
      <c r="W104" s="67">
        <v>89.462448921979473</v>
      </c>
      <c r="X104" s="67">
        <v>46.140059687457779</v>
      </c>
      <c r="Y104" s="67">
        <v>286.13099376244509</v>
      </c>
      <c r="AA104" s="67">
        <v>98.779999999997486</v>
      </c>
      <c r="AB104" s="67">
        <v>76.51561506503154</v>
      </c>
      <c r="AC104" s="67">
        <v>52.132315530586538</v>
      </c>
      <c r="AD104" s="67">
        <v>140.66080840692351</v>
      </c>
      <c r="AF104" s="67">
        <v>98.999999999997442</v>
      </c>
      <c r="AG104" s="67">
        <v>66.132200558946096</v>
      </c>
      <c r="AH104" s="67">
        <v>31.501264548060821</v>
      </c>
      <c r="AI104" s="67">
        <v>273.57232659042569</v>
      </c>
      <c r="AK104" s="67">
        <v>98.779999999997486</v>
      </c>
      <c r="AL104" s="67">
        <v>42.756683837546738</v>
      </c>
      <c r="AM104" s="67">
        <v>37.072604268870293</v>
      </c>
      <c r="AN104" s="67">
        <v>64.429235478827621</v>
      </c>
      <c r="AV104" s="67">
        <v>41.654404740084892</v>
      </c>
      <c r="AW104" s="67">
        <v>135.51965293916751</v>
      </c>
      <c r="AY104" s="67">
        <v>41.403097930843707</v>
      </c>
      <c r="AZ104" s="67">
        <v>145.1629016526058</v>
      </c>
      <c r="BB104" s="67">
        <v>27.144851130762959</v>
      </c>
      <c r="BC104" s="67">
        <v>71.840324878650264</v>
      </c>
      <c r="BE104" s="67">
        <v>27.800157202223609</v>
      </c>
      <c r="BF104" s="67">
        <v>90.356452074918636</v>
      </c>
    </row>
    <row r="105" spans="22:58" x14ac:dyDescent="0.25">
      <c r="V105" s="67">
        <v>99.999999999997243</v>
      </c>
      <c r="W105" s="67">
        <v>89.333874958766927</v>
      </c>
      <c r="X105" s="67">
        <v>46.156718544874479</v>
      </c>
      <c r="Y105" s="67">
        <v>283.75881847268022</v>
      </c>
      <c r="AA105" s="67">
        <v>99.779999999997287</v>
      </c>
      <c r="AB105" s="67">
        <v>76.519171066626882</v>
      </c>
      <c r="AC105" s="67">
        <v>52.137815282407757</v>
      </c>
      <c r="AD105" s="67">
        <v>140.66080840692351</v>
      </c>
      <c r="AF105" s="67">
        <v>99.999999999997243</v>
      </c>
      <c r="AG105" s="67">
        <v>66.184504132025452</v>
      </c>
      <c r="AH105" s="67">
        <v>31.49303011152784</v>
      </c>
      <c r="AI105" s="67">
        <v>271.20015130066082</v>
      </c>
      <c r="AK105" s="67">
        <v>99.779999999997287</v>
      </c>
      <c r="AL105" s="67">
        <v>42.768305711095067</v>
      </c>
      <c r="AM105" s="67">
        <v>37.119563955144429</v>
      </c>
      <c r="AN105" s="67">
        <v>64.429235478827621</v>
      </c>
      <c r="AV105" s="67">
        <v>41.583294186259543</v>
      </c>
      <c r="AW105" s="67">
        <v>134.89771879856761</v>
      </c>
      <c r="AY105" s="67">
        <v>41.347509706994153</v>
      </c>
      <c r="AZ105" s="67">
        <v>144.70602376979059</v>
      </c>
      <c r="BB105" s="67">
        <v>27.099352639847499</v>
      </c>
      <c r="BC105" s="67">
        <v>71.568456458690775</v>
      </c>
      <c r="BE105" s="67">
        <v>27.760416451433159</v>
      </c>
      <c r="BF105" s="67">
        <v>90.167435454435449</v>
      </c>
    </row>
    <row r="106" spans="22:58" x14ac:dyDescent="0.25">
      <c r="V106" s="67">
        <v>100.999999999997</v>
      </c>
      <c r="W106" s="67">
        <v>89.204702438528471</v>
      </c>
      <c r="X106" s="67">
        <v>46.173121123592352</v>
      </c>
      <c r="Y106" s="67">
        <v>281.38664318291518</v>
      </c>
      <c r="AA106" s="67">
        <v>100.7799999999971</v>
      </c>
      <c r="AB106" s="67">
        <v>76.521621178094904</v>
      </c>
      <c r="AC106" s="67">
        <v>52.141604689970343</v>
      </c>
      <c r="AD106" s="67">
        <v>140.66080840692351</v>
      </c>
      <c r="AF106" s="67">
        <v>100.999999999997</v>
      </c>
      <c r="AG106" s="67">
        <v>66.235985595569687</v>
      </c>
      <c r="AH106" s="67">
        <v>31.48469684514572</v>
      </c>
      <c r="AI106" s="67">
        <v>268.82797601089572</v>
      </c>
      <c r="AK106" s="67">
        <v>100.7799999999971</v>
      </c>
      <c r="AL106" s="67">
        <v>42.772875862190567</v>
      </c>
      <c r="AM106" s="67">
        <v>37.138031271241687</v>
      </c>
      <c r="AN106" s="67">
        <v>64.429235478827621</v>
      </c>
      <c r="AV106" s="67">
        <v>41.513212995338563</v>
      </c>
      <c r="AW106" s="67">
        <v>134.28372362470839</v>
      </c>
      <c r="AY106" s="67">
        <v>41.292791305564613</v>
      </c>
      <c r="AZ106" s="67">
        <v>144.25459342543459</v>
      </c>
      <c r="BB106" s="67">
        <v>27.054663895225019</v>
      </c>
      <c r="BC106" s="67">
        <v>71.3018264295401</v>
      </c>
      <c r="BE106" s="67">
        <v>27.721349833074619</v>
      </c>
      <c r="BF106" s="67">
        <v>89.981469171263853</v>
      </c>
    </row>
    <row r="107" spans="22:58" x14ac:dyDescent="0.25">
      <c r="V107" s="67">
        <v>101.9999999999968</v>
      </c>
      <c r="W107" s="67">
        <v>89.074754093333496</v>
      </c>
      <c r="X107" s="67">
        <v>46.189286185626258</v>
      </c>
      <c r="Y107" s="67">
        <v>279.0144678931502</v>
      </c>
      <c r="AA107" s="67">
        <v>101.7799999999969</v>
      </c>
      <c r="AB107" s="67">
        <v>76.523309314098086</v>
      </c>
      <c r="AC107" s="67">
        <v>52.144215623943978</v>
      </c>
      <c r="AD107" s="67">
        <v>140.66080840692351</v>
      </c>
      <c r="AF107" s="67">
        <v>101.9999999999968</v>
      </c>
      <c r="AG107" s="67">
        <v>66.28675192761709</v>
      </c>
      <c r="AH107" s="67">
        <v>31.476394776987039</v>
      </c>
      <c r="AI107" s="67">
        <v>266.45580072112938</v>
      </c>
      <c r="AK107" s="67">
        <v>101.7799999999969</v>
      </c>
      <c r="AL107" s="67">
        <v>42.774673009860983</v>
      </c>
      <c r="AM107" s="67">
        <v>37.145293442626098</v>
      </c>
      <c r="AN107" s="67">
        <v>64.429235478827621</v>
      </c>
      <c r="AV107" s="67">
        <v>41.444150282380178</v>
      </c>
      <c r="AW107" s="67">
        <v>133.6775725966873</v>
      </c>
      <c r="AY107" s="67">
        <v>41.238932574776292</v>
      </c>
      <c r="AZ107" s="67">
        <v>143.80854122846989</v>
      </c>
      <c r="BB107" s="67">
        <v>27.010776677572149</v>
      </c>
      <c r="BC107" s="67">
        <v>71.04036710792586</v>
      </c>
      <c r="BE107" s="67">
        <v>27.682947884754061</v>
      </c>
      <c r="BF107" s="67">
        <v>89.798504354791774</v>
      </c>
    </row>
    <row r="108" spans="22:58" x14ac:dyDescent="0.25">
      <c r="V108" s="67">
        <v>102.9999999999966</v>
      </c>
      <c r="W108" s="67">
        <v>88.943851126205629</v>
      </c>
      <c r="X108" s="67">
        <v>46.205231339986199</v>
      </c>
      <c r="Y108" s="67">
        <v>276.64229260338521</v>
      </c>
      <c r="AA108" s="67">
        <v>102.7799999999967</v>
      </c>
      <c r="AB108" s="67">
        <v>76.52447244188842</v>
      </c>
      <c r="AC108" s="67">
        <v>52.146014569187507</v>
      </c>
      <c r="AD108" s="67">
        <v>140.66080840692351</v>
      </c>
      <c r="AF108" s="67">
        <v>102.9999999999966</v>
      </c>
      <c r="AG108" s="67">
        <v>66.336902964189676</v>
      </c>
      <c r="AH108" s="67">
        <v>31.46825733771249</v>
      </c>
      <c r="AI108" s="67">
        <v>264.08362543136298</v>
      </c>
      <c r="AK108" s="67">
        <v>102.7799999999967</v>
      </c>
      <c r="AL108" s="67">
        <v>42.775379712153011</v>
      </c>
      <c r="AM108" s="67">
        <v>37.148149210914198</v>
      </c>
      <c r="AN108" s="67">
        <v>64.429235478827621</v>
      </c>
      <c r="AV108" s="67">
        <v>41.376095265670642</v>
      </c>
      <c r="AW108" s="67">
        <v>133.07917199469551</v>
      </c>
      <c r="AY108" s="67">
        <v>41.185923470259127</v>
      </c>
      <c r="AZ108" s="67">
        <v>143.36779866270541</v>
      </c>
      <c r="BB108" s="67">
        <v>26.967682951609849</v>
      </c>
      <c r="BC108" s="67">
        <v>70.784012086252943</v>
      </c>
      <c r="BE108" s="67">
        <v>27.645201255702741</v>
      </c>
      <c r="BF108" s="67">
        <v>89.618492848611623</v>
      </c>
    </row>
    <row r="109" spans="22:58" x14ac:dyDescent="0.25">
      <c r="V109" s="67">
        <v>103.9999999999964</v>
      </c>
      <c r="W109" s="67">
        <v>88.811813707662253</v>
      </c>
      <c r="X109" s="67">
        <v>46.220973127837567</v>
      </c>
      <c r="Y109" s="67">
        <v>274.27011731362018</v>
      </c>
      <c r="AA109" s="67">
        <v>103.7599999999965</v>
      </c>
      <c r="AB109" s="67">
        <v>76.499339274110042</v>
      </c>
      <c r="AC109" s="67">
        <v>51.340472349476727</v>
      </c>
      <c r="AD109" s="67">
        <v>142.5585486387362</v>
      </c>
      <c r="AF109" s="67">
        <v>103.9999999999964</v>
      </c>
      <c r="AG109" s="67">
        <v>66.386522742405006</v>
      </c>
      <c r="AH109" s="67">
        <v>31.460417009607571</v>
      </c>
      <c r="AI109" s="67">
        <v>261.71145014159652</v>
      </c>
      <c r="AK109" s="67">
        <v>103.77999999999651</v>
      </c>
      <c r="AL109" s="67">
        <v>42.775657612475868</v>
      </c>
      <c r="AM109" s="67">
        <v>37.149272203755061</v>
      </c>
      <c r="AN109" s="67">
        <v>64.429235478827621</v>
      </c>
      <c r="AV109" s="67">
        <v>41.309037265793449</v>
      </c>
      <c r="AW109" s="67">
        <v>132.48842918759061</v>
      </c>
      <c r="AY109" s="67">
        <v>41.133754053963258</v>
      </c>
      <c r="AZ109" s="67">
        <v>142.93229807593721</v>
      </c>
      <c r="BB109" s="67">
        <v>26.925374867810039</v>
      </c>
      <c r="BC109" s="67">
        <v>70.532696230401058</v>
      </c>
      <c r="BE109" s="67">
        <v>27.6081007062308</v>
      </c>
      <c r="BF109" s="67">
        <v>89.441387203341066</v>
      </c>
    </row>
    <row r="110" spans="22:58" x14ac:dyDescent="0.25">
      <c r="V110" s="67">
        <v>104.99999999999621</v>
      </c>
      <c r="W110" s="67">
        <v>88.678461446336314</v>
      </c>
      <c r="X110" s="67">
        <v>46.236527127442677</v>
      </c>
      <c r="Y110" s="67">
        <v>271.89794202385519</v>
      </c>
      <c r="AA110" s="67">
        <v>104.7599999999963</v>
      </c>
      <c r="AB110" s="67">
        <v>76.727911809007722</v>
      </c>
      <c r="AC110" s="67">
        <v>49.929892355498957</v>
      </c>
      <c r="AD110" s="67">
        <v>147.30289921826761</v>
      </c>
      <c r="AF110" s="67">
        <v>104.99999999999621</v>
      </c>
      <c r="AG110" s="67">
        <v>66.435673264130187</v>
      </c>
      <c r="AH110" s="67">
        <v>31.453002033234611</v>
      </c>
      <c r="AI110" s="67">
        <v>259.33927485183</v>
      </c>
      <c r="AK110" s="67">
        <v>104.77999999999631</v>
      </c>
      <c r="AL110" s="67">
        <v>42.775766892688218</v>
      </c>
      <c r="AM110" s="67">
        <v>37.149713804751343</v>
      </c>
      <c r="AN110" s="67">
        <v>64.429235478827621</v>
      </c>
      <c r="AV110" s="67">
        <v>41.242965704701078</v>
      </c>
      <c r="AW110" s="67">
        <v>131.905252620553</v>
      </c>
      <c r="AY110" s="67">
        <v>41.082414493077962</v>
      </c>
      <c r="AZ110" s="67">
        <v>142.50197266916891</v>
      </c>
      <c r="BB110" s="67">
        <v>26.8838447639306</v>
      </c>
      <c r="BC110" s="67">
        <v>70.286355676559467</v>
      </c>
      <c r="BE110" s="67">
        <v>27.571637107159649</v>
      </c>
      <c r="BF110" s="67">
        <v>89.267140669397449</v>
      </c>
    </row>
    <row r="111" spans="22:58" x14ac:dyDescent="0.25">
      <c r="V111" s="67">
        <v>105.99999999999601</v>
      </c>
      <c r="W111" s="67">
        <v>88.543613824219548</v>
      </c>
      <c r="X111" s="67">
        <v>46.251908076050263</v>
      </c>
      <c r="Y111" s="67">
        <v>269.52576673409021</v>
      </c>
      <c r="AA111" s="67">
        <v>105.7599999999961</v>
      </c>
      <c r="AB111" s="67">
        <v>77.236443826079892</v>
      </c>
      <c r="AC111" s="67">
        <v>49.102656279504231</v>
      </c>
      <c r="AD111" s="67">
        <v>152.04724979779911</v>
      </c>
      <c r="AF111" s="67">
        <v>105.99999999999601</v>
      </c>
      <c r="AG111" s="67">
        <v>66.4843905834731</v>
      </c>
      <c r="AH111" s="67">
        <v>31.446134195847261</v>
      </c>
      <c r="AI111" s="67">
        <v>256.96709956206348</v>
      </c>
      <c r="AK111" s="67">
        <v>105.77999999999609</v>
      </c>
      <c r="AL111" s="67">
        <v>42.77580986552077</v>
      </c>
      <c r="AM111" s="67">
        <v>37.149887457923967</v>
      </c>
      <c r="AN111" s="67">
        <v>64.429235478827621</v>
      </c>
      <c r="AV111" s="67">
        <v>41.177870104788497</v>
      </c>
      <c r="AW111" s="67">
        <v>131.32955180280371</v>
      </c>
      <c r="AY111" s="67">
        <v>41.031895058959343</v>
      </c>
      <c r="AZ111" s="67">
        <v>142.07675648596251</v>
      </c>
      <c r="BB111" s="67">
        <v>26.843085166359291</v>
      </c>
      <c r="BC111" s="67">
        <v>70.044927827042599</v>
      </c>
      <c r="BE111" s="67">
        <v>27.53580143922435</v>
      </c>
      <c r="BF111" s="67">
        <v>89.095707189708321</v>
      </c>
    </row>
    <row r="112" spans="22:58" x14ac:dyDescent="0.25">
      <c r="V112" s="67">
        <v>106.99999999999589</v>
      </c>
      <c r="W112" s="67">
        <v>88.407090585419439</v>
      </c>
      <c r="X112" s="67">
        <v>46.267130005586068</v>
      </c>
      <c r="Y112" s="67">
        <v>267.15359144432432</v>
      </c>
      <c r="AA112" s="67">
        <v>106.7599999999959</v>
      </c>
      <c r="AB112" s="67">
        <v>77.911571618082178</v>
      </c>
      <c r="AC112" s="67">
        <v>48.634566109856557</v>
      </c>
      <c r="AD112" s="67">
        <v>156.79160037733061</v>
      </c>
      <c r="AF112" s="67">
        <v>106.99999999999589</v>
      </c>
      <c r="AG112" s="67">
        <v>66.532682493259486</v>
      </c>
      <c r="AH112" s="67">
        <v>31.439927358699489</v>
      </c>
      <c r="AI112" s="67">
        <v>254.59492427229699</v>
      </c>
      <c r="AK112" s="67">
        <v>106.77999999999589</v>
      </c>
      <c r="AL112" s="67">
        <v>42.775826763953283</v>
      </c>
      <c r="AM112" s="67">
        <v>37.149955744486647</v>
      </c>
      <c r="AN112" s="67">
        <v>64.429235478827621</v>
      </c>
      <c r="AV112" s="67">
        <v>41.113740087966789</v>
      </c>
      <c r="AW112" s="67">
        <v>130.76123729539029</v>
      </c>
      <c r="AY112" s="67">
        <v>40.982186126060917</v>
      </c>
      <c r="AZ112" s="67">
        <v>141.6565844018846</v>
      </c>
      <c r="BB112" s="67">
        <v>26.803088791253511</v>
      </c>
      <c r="BC112" s="67">
        <v>69.808351345020043</v>
      </c>
      <c r="BE112" s="67">
        <v>27.500584792451509</v>
      </c>
      <c r="BF112" s="67">
        <v>88.927041392391246</v>
      </c>
    </row>
    <row r="113" spans="22:58" x14ac:dyDescent="0.25">
      <c r="V113" s="67">
        <v>107.99999999999569</v>
      </c>
      <c r="W113" s="67">
        <v>88.268712066897692</v>
      </c>
      <c r="X113" s="67">
        <v>46.282206388667873</v>
      </c>
      <c r="Y113" s="67">
        <v>264.78141615455792</v>
      </c>
      <c r="AA113" s="67">
        <v>107.7599999999957</v>
      </c>
      <c r="AB113" s="67">
        <v>78.68414849780811</v>
      </c>
      <c r="AC113" s="67">
        <v>48.392616399100923</v>
      </c>
      <c r="AD113" s="67">
        <v>161.53595095686211</v>
      </c>
      <c r="AF113" s="67">
        <v>107.99999999999569</v>
      </c>
      <c r="AG113" s="67">
        <v>66.580527095810794</v>
      </c>
      <c r="AH113" s="67">
        <v>31.434486352856371</v>
      </c>
      <c r="AI113" s="67">
        <v>252.2227489825305</v>
      </c>
      <c r="AK113" s="67">
        <v>107.7799999999957</v>
      </c>
      <c r="AL113" s="67">
        <v>42.775833409012527</v>
      </c>
      <c r="AM113" s="67">
        <v>37.149982597172027</v>
      </c>
      <c r="AN113" s="67">
        <v>64.429235478827621</v>
      </c>
      <c r="AV113" s="67">
        <v>41.050565374741609</v>
      </c>
      <c r="AW113" s="67">
        <v>130.20022069905531</v>
      </c>
      <c r="AY113" s="67">
        <v>40.933278170874928</v>
      </c>
      <c r="AZ113" s="67">
        <v>141.24139211407859</v>
      </c>
      <c r="BB113" s="67">
        <v>26.763848545459268</v>
      </c>
      <c r="BC113" s="67">
        <v>69.576566148087807</v>
      </c>
      <c r="BE113" s="67">
        <v>27.465978365513649</v>
      </c>
      <c r="BF113" s="67">
        <v>88.761098583390037</v>
      </c>
    </row>
    <row r="114" spans="22:58" x14ac:dyDescent="0.25">
      <c r="V114" s="67">
        <v>108.9999999999955</v>
      </c>
      <c r="W114" s="67">
        <v>88.128299460103918</v>
      </c>
      <c r="X114" s="67">
        <v>46.297150291131288</v>
      </c>
      <c r="Y114" s="67">
        <v>262.40924086479129</v>
      </c>
      <c r="AA114" s="67">
        <v>108.7599999999955</v>
      </c>
      <c r="AB114" s="67">
        <v>79.511444834625095</v>
      </c>
      <c r="AC114" s="67">
        <v>48.295996423985457</v>
      </c>
      <c r="AD114" s="67">
        <v>166.28030153639361</v>
      </c>
      <c r="AF114" s="67">
        <v>108.9999999999955</v>
      </c>
      <c r="AG114" s="67">
        <v>66.627871824545423</v>
      </c>
      <c r="AH114" s="67">
        <v>31.429906010707551</v>
      </c>
      <c r="AI114" s="67">
        <v>249.85057369276399</v>
      </c>
      <c r="AK114" s="67">
        <v>108.7799999999955</v>
      </c>
      <c r="AL114" s="67">
        <v>42.775836022084029</v>
      </c>
      <c r="AM114" s="67">
        <v>37.149993156594753</v>
      </c>
      <c r="AN114" s="67">
        <v>64.429235478827621</v>
      </c>
      <c r="AV114" s="67">
        <v>40.988335783292939</v>
      </c>
      <c r="AW114" s="67">
        <v>129.64641464217911</v>
      </c>
      <c r="AY114" s="67">
        <v>40.885161770878753</v>
      </c>
      <c r="AZ114" s="67">
        <v>140.83111613095249</v>
      </c>
      <c r="BB114" s="67">
        <v>26.725357527193641</v>
      </c>
      <c r="BC114" s="67">
        <v>69.349513400655752</v>
      </c>
      <c r="BE114" s="67">
        <v>27.431973465056618</v>
      </c>
      <c r="BF114" s="67">
        <v>88.597834739063217</v>
      </c>
    </row>
    <row r="115" spans="22:58" x14ac:dyDescent="0.25">
      <c r="V115" s="67">
        <v>109.9999999999953</v>
      </c>
      <c r="W115" s="67">
        <v>87.98567499354148</v>
      </c>
      <c r="X115" s="67">
        <v>46.311974526973813</v>
      </c>
      <c r="Y115" s="67">
        <v>260.03706557502483</v>
      </c>
      <c r="AA115" s="67">
        <v>109.7599999999953</v>
      </c>
      <c r="AB115" s="67">
        <v>80.366810202700819</v>
      </c>
      <c r="AC115" s="67">
        <v>48.294486615179267</v>
      </c>
      <c r="AD115" s="67">
        <v>171.02465211592511</v>
      </c>
      <c r="AF115" s="67">
        <v>109.9999999999953</v>
      </c>
      <c r="AG115" s="67">
        <v>66.674632763843093</v>
      </c>
      <c r="AH115" s="67">
        <v>31.426270255515419</v>
      </c>
      <c r="AI115" s="67">
        <v>247.47839840299761</v>
      </c>
      <c r="AK115" s="67">
        <v>109.7799999999953</v>
      </c>
      <c r="AL115" s="67">
        <v>42.77583704963574</v>
      </c>
      <c r="AM115" s="67">
        <v>37.149997308931518</v>
      </c>
      <c r="AN115" s="67">
        <v>64.429235478827621</v>
      </c>
      <c r="AV115" s="67">
        <v>40.927041228557982</v>
      </c>
      <c r="AW115" s="67">
        <v>129.09973276880291</v>
      </c>
      <c r="AY115" s="67">
        <v>40.837827603488563</v>
      </c>
      <c r="AZ115" s="67">
        <v>140.42569376197409</v>
      </c>
      <c r="BB115" s="67">
        <v>26.687609026471591</v>
      </c>
      <c r="BC115" s="67">
        <v>69.127135505039007</v>
      </c>
      <c r="BE115" s="67">
        <v>27.398561505005759</v>
      </c>
      <c r="BF115" s="67">
        <v>88.437206498754136</v>
      </c>
    </row>
    <row r="116" spans="22:58" x14ac:dyDescent="0.25">
      <c r="V116" s="67">
        <v>110.9999999999951</v>
      </c>
      <c r="W116" s="67">
        <v>87.84066202799869</v>
      </c>
      <c r="X116" s="67">
        <v>46.326691811425633</v>
      </c>
      <c r="Y116" s="67">
        <v>257.66489028525842</v>
      </c>
      <c r="AA116" s="67">
        <v>110.7599999999951</v>
      </c>
      <c r="AB116" s="67">
        <v>81.233567735891967</v>
      </c>
      <c r="AC116" s="67">
        <v>48.356213085741558</v>
      </c>
      <c r="AD116" s="67">
        <v>175.76900269545661</v>
      </c>
      <c r="AF116" s="67">
        <v>110.9999999999951</v>
      </c>
      <c r="AG116" s="67">
        <v>66.720694292940877</v>
      </c>
      <c r="AH116" s="67">
        <v>31.423651279729938</v>
      </c>
      <c r="AI116" s="67">
        <v>245.1062231132311</v>
      </c>
      <c r="AK116" s="67">
        <v>110.7799999999951</v>
      </c>
      <c r="AL116" s="67">
        <v>42.775837453705478</v>
      </c>
      <c r="AM116" s="67">
        <v>37.149998941777369</v>
      </c>
      <c r="AN116" s="67">
        <v>64.429235478827621</v>
      </c>
      <c r="AV116" s="67">
        <v>40.866671721317289</v>
      </c>
      <c r="AW116" s="67">
        <v>128.5600897267359</v>
      </c>
      <c r="AY116" s="67">
        <v>40.791266445023048</v>
      </c>
      <c r="AZ116" s="67">
        <v>140.0250631075906</v>
      </c>
      <c r="BB116" s="67">
        <v>26.650596525267591</v>
      </c>
      <c r="BC116" s="67">
        <v>68.909376091253833</v>
      </c>
      <c r="BE116" s="67">
        <v>27.365734005845471</v>
      </c>
      <c r="BF116" s="67">
        <v>88.279171157312732</v>
      </c>
    </row>
    <row r="117" spans="22:58" x14ac:dyDescent="0.25">
      <c r="V117" s="67">
        <v>111.9999999999949</v>
      </c>
      <c r="W117" s="67">
        <v>87.693085058346639</v>
      </c>
      <c r="X117" s="67">
        <v>46.341314907788437</v>
      </c>
      <c r="Y117" s="67">
        <v>255.29271499549191</v>
      </c>
      <c r="AA117" s="67">
        <v>111.7599999999949</v>
      </c>
      <c r="AB117" s="67">
        <v>82.101339509826857</v>
      </c>
      <c r="AC117" s="67">
        <v>48.460544701706787</v>
      </c>
      <c r="AD117" s="67">
        <v>180.51335327498811</v>
      </c>
      <c r="AF117" s="67">
        <v>111.9999999999949</v>
      </c>
      <c r="AG117" s="67">
        <v>66.765909148914659</v>
      </c>
      <c r="AH117" s="67">
        <v>31.422108892526069</v>
      </c>
      <c r="AI117" s="67">
        <v>242.73404782346461</v>
      </c>
      <c r="AK117" s="67">
        <v>111.7799999999949</v>
      </c>
      <c r="AL117" s="67">
        <v>42.775837612599823</v>
      </c>
      <c r="AM117" s="67">
        <v>37.149999583869537</v>
      </c>
      <c r="AN117" s="67">
        <v>64.429235478827621</v>
      </c>
      <c r="AV117" s="67">
        <v>40.807217367284977</v>
      </c>
      <c r="AW117" s="67">
        <v>128.0274011557463</v>
      </c>
      <c r="AY117" s="67">
        <v>40.74546916967131</v>
      </c>
      <c r="AZ117" s="67">
        <v>139.6291630492525</v>
      </c>
      <c r="BB117" s="67">
        <v>26.614313697383579</v>
      </c>
      <c r="BC117" s="67">
        <v>68.696180005394652</v>
      </c>
      <c r="BE117" s="67">
        <v>27.333482593879111</v>
      </c>
      <c r="BF117" s="67">
        <v>88.12368665760232</v>
      </c>
    </row>
    <row r="118" spans="22:58" x14ac:dyDescent="0.25">
      <c r="V118" s="67">
        <v>112.9999999999947</v>
      </c>
      <c r="W118" s="67">
        <v>87.542769618276154</v>
      </c>
      <c r="X118" s="67">
        <v>46.355856763714087</v>
      </c>
      <c r="Y118" s="67">
        <v>252.92053970572539</v>
      </c>
      <c r="AA118" s="67">
        <v>112.7599999999947</v>
      </c>
      <c r="AB118" s="67">
        <v>82.963792152813269</v>
      </c>
      <c r="AC118" s="67">
        <v>48.593880945850799</v>
      </c>
      <c r="AD118" s="67">
        <v>185.2577038545196</v>
      </c>
      <c r="AF118" s="67">
        <v>112.9999999999947</v>
      </c>
      <c r="AG118" s="67">
        <v>66.810098998713727</v>
      </c>
      <c r="AH118" s="67">
        <v>31.42169012253078</v>
      </c>
      <c r="AI118" s="67">
        <v>240.36187253369809</v>
      </c>
      <c r="AK118" s="67">
        <v>112.7799999999947</v>
      </c>
      <c r="AL118" s="67">
        <v>42.775837675082663</v>
      </c>
      <c r="AM118" s="67">
        <v>37.149999836362667</v>
      </c>
      <c r="AN118" s="67">
        <v>64.429235478827621</v>
      </c>
      <c r="AV118" s="67">
        <v>40.748668366202708</v>
      </c>
      <c r="AW118" s="67">
        <v>127.50158367584601</v>
      </c>
      <c r="AY118" s="67">
        <v>40.700426748472367</v>
      </c>
      <c r="AZ118" s="67">
        <v>139.2379332395646</v>
      </c>
      <c r="BB118" s="67">
        <v>26.578754408021211</v>
      </c>
      <c r="BC118" s="67">
        <v>68.487493296603958</v>
      </c>
      <c r="BE118" s="67">
        <v>27.301799000465419</v>
      </c>
      <c r="BF118" s="67">
        <v>87.970711582977998</v>
      </c>
    </row>
    <row r="119" spans="22:58" x14ac:dyDescent="0.25">
      <c r="V119" s="67">
        <v>113.9999999999945</v>
      </c>
      <c r="W119" s="67">
        <v>87.389542087076293</v>
      </c>
      <c r="X119" s="67">
        <v>46.370330632765963</v>
      </c>
      <c r="Y119" s="67">
        <v>250.5483644159589</v>
      </c>
      <c r="AA119" s="67">
        <v>113.75999999999451</v>
      </c>
      <c r="AB119" s="67">
        <v>83.817227664392476</v>
      </c>
      <c r="AC119" s="67">
        <v>48.7471018091112</v>
      </c>
      <c r="AD119" s="67">
        <v>190.0020544340511</v>
      </c>
      <c r="AF119" s="67">
        <v>113.9999999999945</v>
      </c>
      <c r="AG119" s="67">
        <v>66.853055564012735</v>
      </c>
      <c r="AH119" s="67">
        <v>31.42242913904084</v>
      </c>
      <c r="AI119" s="67">
        <v>237.9896972439316</v>
      </c>
      <c r="AK119" s="67">
        <v>113.7799999999945</v>
      </c>
      <c r="AL119" s="67">
        <v>42.775837699653167</v>
      </c>
      <c r="AM119" s="67">
        <v>37.149999935652147</v>
      </c>
      <c r="AN119" s="67">
        <v>64.429235478827621</v>
      </c>
      <c r="AV119" s="67">
        <v>40.691015010937242</v>
      </c>
      <c r="AW119" s="67">
        <v>126.98255487566399</v>
      </c>
      <c r="AY119" s="67">
        <v>40.656130248298503</v>
      </c>
      <c r="AZ119" s="67">
        <v>138.85131409253751</v>
      </c>
      <c r="BB119" s="67">
        <v>26.543912713028192</v>
      </c>
      <c r="BC119" s="67">
        <v>68.283263202515826</v>
      </c>
      <c r="BE119" s="67">
        <v>27.270675061232922</v>
      </c>
      <c r="BF119" s="67">
        <v>87.820205149746855</v>
      </c>
    </row>
    <row r="120" spans="22:58" x14ac:dyDescent="0.25">
      <c r="V120" s="67">
        <v>114.9999999999943</v>
      </c>
      <c r="W120" s="67">
        <v>87.233229400468318</v>
      </c>
      <c r="X120" s="67">
        <v>46.384750177437702</v>
      </c>
      <c r="Y120" s="67">
        <v>248.17618912619241</v>
      </c>
      <c r="AA120" s="67">
        <v>114.75999999999431</v>
      </c>
      <c r="AB120" s="67">
        <v>84.659686733355343</v>
      </c>
      <c r="AC120" s="67">
        <v>48.913994049312286</v>
      </c>
      <c r="AD120" s="67">
        <v>194.74640501358249</v>
      </c>
      <c r="AF120" s="67">
        <v>114.9999999999943</v>
      </c>
      <c r="AG120" s="67">
        <v>66.8945422848943</v>
      </c>
      <c r="AH120" s="67">
        <v>31.424347520707219</v>
      </c>
      <c r="AI120" s="67">
        <v>235.61752195416511</v>
      </c>
      <c r="AK120" s="67">
        <v>114.7799999999943</v>
      </c>
      <c r="AL120" s="67">
        <v>42.775837709315162</v>
      </c>
      <c r="AM120" s="67">
        <v>37.1499999746963</v>
      </c>
      <c r="AN120" s="67">
        <v>64.429235478827621</v>
      </c>
      <c r="AV120" s="67">
        <v>40.634247686582398</v>
      </c>
      <c r="AW120" s="67">
        <v>126.47023330090209</v>
      </c>
      <c r="AY120" s="67">
        <v>40.61257083085134</v>
      </c>
      <c r="AZ120" s="67">
        <v>138.46924677396291</v>
      </c>
      <c r="BB120" s="67">
        <v>26.50978285781088</v>
      </c>
      <c r="BC120" s="67">
        <v>68.083438133176045</v>
      </c>
      <c r="BE120" s="67">
        <v>27.240102715276741</v>
      </c>
      <c r="BF120" s="67">
        <v>87.672127199613641</v>
      </c>
    </row>
    <row r="121" spans="22:58" x14ac:dyDescent="0.25">
      <c r="V121" s="67">
        <v>115.9999999999941</v>
      </c>
      <c r="W121" s="67">
        <v>87.073658670409884</v>
      </c>
      <c r="X121" s="67">
        <v>46.399129550235443</v>
      </c>
      <c r="Y121" s="67">
        <v>245.8040138364259</v>
      </c>
      <c r="AA121" s="67">
        <v>115.75999999999409</v>
      </c>
      <c r="AB121" s="67">
        <v>85.490368642277048</v>
      </c>
      <c r="AC121" s="67">
        <v>49.090262755939989</v>
      </c>
      <c r="AD121" s="67">
        <v>199.49075559311399</v>
      </c>
      <c r="AF121" s="67">
        <v>115.9999999999941</v>
      </c>
      <c r="AG121" s="67">
        <v>66.934296456558769</v>
      </c>
      <c r="AH121" s="67">
        <v>31.427454865596761</v>
      </c>
      <c r="AI121" s="67">
        <v>233.2453466643986</v>
      </c>
      <c r="AK121" s="67">
        <v>115.5599999999941</v>
      </c>
      <c r="AL121" s="67">
        <v>43.002917501336192</v>
      </c>
      <c r="AM121" s="67">
        <v>37.516733233454943</v>
      </c>
      <c r="AN121" s="67">
        <v>64.713896513599536</v>
      </c>
      <c r="AV121" s="67">
        <v>40.578356869568097</v>
      </c>
      <c r="AW121" s="67">
        <v>125.96453844290799</v>
      </c>
      <c r="AY121" s="67">
        <v>40.569739751662667</v>
      </c>
      <c r="AZ121" s="67">
        <v>138.09167319190141</v>
      </c>
      <c r="BB121" s="67">
        <v>26.476359275893511</v>
      </c>
      <c r="BC121" s="67">
        <v>67.887967653351254</v>
      </c>
      <c r="BE121" s="67">
        <v>27.210074004330039</v>
      </c>
      <c r="BF121" s="67">
        <v>87.52643819210418</v>
      </c>
    </row>
    <row r="122" spans="22:58" x14ac:dyDescent="0.25">
      <c r="V122" s="67">
        <v>116.9999999999939</v>
      </c>
      <c r="W122" s="67">
        <v>86.910656721711419</v>
      </c>
      <c r="X122" s="67">
        <v>46.413483450045483</v>
      </c>
      <c r="Y122" s="67">
        <v>243.43183854665941</v>
      </c>
      <c r="AA122" s="67">
        <v>116.75999999999389</v>
      </c>
      <c r="AB122" s="67">
        <v>86.309250468981276</v>
      </c>
      <c r="AC122" s="67">
        <v>49.272900477654787</v>
      </c>
      <c r="AD122" s="67">
        <v>204.23510617264549</v>
      </c>
      <c r="AF122" s="67">
        <v>116.9999999999939</v>
      </c>
      <c r="AG122" s="67">
        <v>66.972031735778529</v>
      </c>
      <c r="AH122" s="67">
        <v>31.431749706900749</v>
      </c>
      <c r="AI122" s="67">
        <v>230.87317137463211</v>
      </c>
      <c r="AK122" s="67">
        <v>116.55999999999391</v>
      </c>
      <c r="AL122" s="67">
        <v>46.186936047488082</v>
      </c>
      <c r="AM122" s="67">
        <v>41.108324765965733</v>
      </c>
      <c r="AN122" s="67">
        <v>69.458247093131206</v>
      </c>
      <c r="AV122" s="67">
        <v>40.523333126770069</v>
      </c>
      <c r="AW122" s="67">
        <v>125.465390727325</v>
      </c>
      <c r="AY122" s="67">
        <v>40.527628359106259</v>
      </c>
      <c r="AZ122" s="67">
        <v>137.71853598728029</v>
      </c>
      <c r="BB122" s="67">
        <v>26.443636587110351</v>
      </c>
      <c r="BC122" s="67">
        <v>67.696802463205813</v>
      </c>
      <c r="BE122" s="67">
        <v>27.180581071922461</v>
      </c>
      <c r="BF122" s="67">
        <v>87.383099196998657</v>
      </c>
    </row>
    <row r="123" spans="22:58" x14ac:dyDescent="0.25">
      <c r="V123" s="67">
        <v>117.9999999999937</v>
      </c>
      <c r="W123" s="67">
        <v>86.744049556073236</v>
      </c>
      <c r="X123" s="67">
        <v>46.427827151722511</v>
      </c>
      <c r="Y123" s="67">
        <v>241.05966325689289</v>
      </c>
      <c r="AA123" s="67">
        <v>117.7599999999937</v>
      </c>
      <c r="AB123" s="67">
        <v>87.116834289910599</v>
      </c>
      <c r="AC123" s="67">
        <v>49.459778610578212</v>
      </c>
      <c r="AD123" s="67">
        <v>208.97945675217699</v>
      </c>
      <c r="AF123" s="67">
        <v>117.9999999999937</v>
      </c>
      <c r="AG123" s="67">
        <v>67.007440893293094</v>
      </c>
      <c r="AH123" s="67">
        <v>31.437220677419081</v>
      </c>
      <c r="AI123" s="67">
        <v>228.50099608486559</v>
      </c>
      <c r="AK123" s="67">
        <v>117.55999999999371</v>
      </c>
      <c r="AL123" s="67">
        <v>48.740811412805371</v>
      </c>
      <c r="AM123" s="67">
        <v>42.372081036402278</v>
      </c>
      <c r="AN123" s="67">
        <v>74.202597672662719</v>
      </c>
      <c r="AV123" s="67">
        <v>40.469167114628021</v>
      </c>
      <c r="AW123" s="67">
        <v>124.97271150284671</v>
      </c>
      <c r="AY123" s="67">
        <v>40.486228093414788</v>
      </c>
      <c r="AZ123" s="67">
        <v>137.34977852460111</v>
      </c>
      <c r="BB123" s="67">
        <v>26.41160959541207</v>
      </c>
      <c r="BC123" s="67">
        <v>67.509894377286003</v>
      </c>
      <c r="BE123" s="67">
        <v>27.151616162516941</v>
      </c>
      <c r="BF123" s="67">
        <v>87.242071886746871</v>
      </c>
    </row>
    <row r="124" spans="22:58" x14ac:dyDescent="0.25">
      <c r="V124" s="67">
        <v>118.99999999999351</v>
      </c>
      <c r="W124" s="67">
        <v>86.573661756709555</v>
      </c>
      <c r="X124" s="67">
        <v>46.442176507691777</v>
      </c>
      <c r="Y124" s="67">
        <v>238.6874879671264</v>
      </c>
      <c r="AA124" s="67">
        <v>118.7599999999935</v>
      </c>
      <c r="AB124" s="67">
        <v>87.913978390820574</v>
      </c>
      <c r="AC124" s="67">
        <v>49.649379092521137</v>
      </c>
      <c r="AD124" s="67">
        <v>213.72380733170851</v>
      </c>
      <c r="AF124" s="67">
        <v>118.99999999999351</v>
      </c>
      <c r="AG124" s="67">
        <v>67.040198683022183</v>
      </c>
      <c r="AH124" s="67">
        <v>31.443847853540319</v>
      </c>
      <c r="AI124" s="67">
        <v>226.1288207950991</v>
      </c>
      <c r="AK124" s="67">
        <v>118.55999999999359</v>
      </c>
      <c r="AL124" s="67">
        <v>50.999966054497058</v>
      </c>
      <c r="AM124" s="67">
        <v>42.850907023555749</v>
      </c>
      <c r="AN124" s="67">
        <v>78.946948252194204</v>
      </c>
      <c r="AV124" s="67">
        <v>40.415849578269793</v>
      </c>
      <c r="AW124" s="67">
        <v>124.4864230300896</v>
      </c>
      <c r="AY124" s="67">
        <v>40.445530485708623</v>
      </c>
      <c r="AZ124" s="67">
        <v>136.9853448827682</v>
      </c>
      <c r="BB124" s="67">
        <v>26.38027328627868</v>
      </c>
      <c r="BC124" s="67">
        <v>67.327196301810403</v>
      </c>
      <c r="BE124" s="67">
        <v>27.12317162062838</v>
      </c>
      <c r="BF124" s="67">
        <v>87.103318528881971</v>
      </c>
    </row>
    <row r="125" spans="22:58" x14ac:dyDescent="0.25">
      <c r="V125" s="67">
        <v>119.99999999999331</v>
      </c>
      <c r="W125" s="67">
        <v>86.399315848974481</v>
      </c>
      <c r="X125" s="67">
        <v>46.456547921315291</v>
      </c>
      <c r="Y125" s="67">
        <v>236.31531267735991</v>
      </c>
      <c r="AA125" s="67">
        <v>119.7599999999933</v>
      </c>
      <c r="AB125" s="67">
        <v>88.701784838364162</v>
      </c>
      <c r="AC125" s="67">
        <v>49.84061580660341</v>
      </c>
      <c r="AD125" s="67">
        <v>218.46815791124001</v>
      </c>
      <c r="AF125" s="67">
        <v>119.99999999999331</v>
      </c>
      <c r="AG125" s="67">
        <v>67.06996470598375</v>
      </c>
      <c r="AH125" s="67">
        <v>31.451604205095411</v>
      </c>
      <c r="AI125" s="67">
        <v>223.75664550533261</v>
      </c>
      <c r="AK125" s="67">
        <v>119.55999999999339</v>
      </c>
      <c r="AL125" s="67">
        <v>53.081957241868693</v>
      </c>
      <c r="AM125" s="67">
        <v>43.040839156285699</v>
      </c>
      <c r="AN125" s="67">
        <v>83.691298831725689</v>
      </c>
      <c r="AV125" s="67">
        <v>40.363371350636612</v>
      </c>
      <c r="AW125" s="67">
        <v>124.00644847053201</v>
      </c>
      <c r="AY125" s="67">
        <v>40.40552715703231</v>
      </c>
      <c r="AZ125" s="67">
        <v>136.625179846023</v>
      </c>
      <c r="BB125" s="67">
        <v>26.349622823716569</v>
      </c>
      <c r="BC125" s="67">
        <v>67.148662210194047</v>
      </c>
      <c r="BE125" s="67">
        <v>27.095239889928092</v>
      </c>
      <c r="BF125" s="67">
        <v>86.966801978448558</v>
      </c>
    </row>
    <row r="126" spans="22:58" x14ac:dyDescent="0.25">
      <c r="V126" s="67">
        <v>120.99999999999309</v>
      </c>
      <c r="W126" s="67">
        <v>86.22083163420703</v>
      </c>
      <c r="X126" s="67">
        <v>46.470958292791067</v>
      </c>
      <c r="Y126" s="67">
        <v>233.94313738759351</v>
      </c>
      <c r="AA126" s="67">
        <v>120.7599999999931</v>
      </c>
      <c r="AB126" s="67">
        <v>89.481525585386464</v>
      </c>
      <c r="AC126" s="67">
        <v>50.032713884498548</v>
      </c>
      <c r="AD126" s="67">
        <v>223.21250849077151</v>
      </c>
      <c r="AF126" s="67">
        <v>120.99999999999309</v>
      </c>
      <c r="AG126" s="67">
        <v>67.09638616224683</v>
      </c>
      <c r="AH126" s="67">
        <v>31.460457079540451</v>
      </c>
      <c r="AI126" s="67">
        <v>221.38447021556621</v>
      </c>
      <c r="AK126" s="67">
        <v>120.5599999999932</v>
      </c>
      <c r="AL126" s="67">
        <v>55.031681418147159</v>
      </c>
      <c r="AM126" s="67">
        <v>43.112545189744758</v>
      </c>
      <c r="AN126" s="67">
        <v>88.435649411257188</v>
      </c>
      <c r="AV126" s="67">
        <v>40.311723351619662</v>
      </c>
      <c r="AW126" s="67">
        <v>123.5327118755952</v>
      </c>
      <c r="AY126" s="67">
        <v>40.366209817399543</v>
      </c>
      <c r="AZ126" s="67">
        <v>136.269228894988</v>
      </c>
      <c r="BB126" s="67">
        <v>26.319653546837571</v>
      </c>
      <c r="BC126" s="67">
        <v>66.974247116818304</v>
      </c>
      <c r="BE126" s="67">
        <v>27.067813512330321</v>
      </c>
      <c r="BF126" s="67">
        <v>86.832485670425029</v>
      </c>
    </row>
    <row r="127" spans="22:58" x14ac:dyDescent="0.25">
      <c r="V127" s="67">
        <v>121.99999999999289</v>
      </c>
      <c r="W127" s="67">
        <v>86.038025515323412</v>
      </c>
      <c r="X127" s="67">
        <v>46.485424939433869</v>
      </c>
      <c r="Y127" s="67">
        <v>231.57096209782699</v>
      </c>
      <c r="AA127" s="67">
        <v>121.7599999999929</v>
      </c>
      <c r="AB127" s="67">
        <v>90.254595198516924</v>
      </c>
      <c r="AC127" s="67">
        <v>50.225126602935688</v>
      </c>
      <c r="AD127" s="67">
        <v>227.95685907030301</v>
      </c>
      <c r="AF127" s="67">
        <v>121.99999999999289</v>
      </c>
      <c r="AG127" s="67">
        <v>67.119100404983115</v>
      </c>
      <c r="AH127" s="67">
        <v>31.47036965596698</v>
      </c>
      <c r="AI127" s="67">
        <v>219.01229492579969</v>
      </c>
      <c r="AK127" s="67">
        <v>121.559999999993</v>
      </c>
      <c r="AL127" s="67">
        <v>56.867812043130151</v>
      </c>
      <c r="AM127" s="67">
        <v>43.127839089556574</v>
      </c>
      <c r="AN127" s="67">
        <v>93.179999990788673</v>
      </c>
      <c r="AV127" s="67">
        <v>40.260896587198943</v>
      </c>
      <c r="AW127" s="67">
        <v>123.06513817580699</v>
      </c>
      <c r="AY127" s="67">
        <v>40.327570264845669</v>
      </c>
      <c r="AZ127" s="67">
        <v>135.91743819782201</v>
      </c>
      <c r="BB127" s="67">
        <v>26.290360966000041</v>
      </c>
      <c r="BC127" s="67">
        <v>66.803907049014995</v>
      </c>
      <c r="BE127" s="67">
        <v>27.04088512706501</v>
      </c>
      <c r="BF127" s="67">
        <v>86.700333612164911</v>
      </c>
    </row>
    <row r="128" spans="22:58" x14ac:dyDescent="0.25">
      <c r="V128" s="67">
        <v>122.9999999999927</v>
      </c>
      <c r="W128" s="67">
        <v>85.850709833314397</v>
      </c>
      <c r="X128" s="67">
        <v>46.499965493226682</v>
      </c>
      <c r="Y128" s="67">
        <v>229.19878680806039</v>
      </c>
      <c r="AA128" s="67">
        <v>122.7599999999927</v>
      </c>
      <c r="AB128" s="67">
        <v>91.022481922588227</v>
      </c>
      <c r="AC128" s="67">
        <v>50.417476792526372</v>
      </c>
      <c r="AD128" s="67">
        <v>232.70120964983451</v>
      </c>
      <c r="AF128" s="67">
        <v>122.9999999999927</v>
      </c>
      <c r="AG128" s="67">
        <v>67.137737233596454</v>
      </c>
      <c r="AH128" s="67">
        <v>31.481302314697249</v>
      </c>
      <c r="AI128" s="67">
        <v>216.64011963603321</v>
      </c>
      <c r="AK128" s="67">
        <v>122.5599999999928</v>
      </c>
      <c r="AL128" s="67">
        <v>58.598736350723819</v>
      </c>
      <c r="AM128" s="67">
        <v>43.109421272527413</v>
      </c>
      <c r="AN128" s="67">
        <v>97.924350570320172</v>
      </c>
      <c r="AV128" s="67">
        <v>40.21088214858969</v>
      </c>
      <c r="AW128" s="67">
        <v>122.60365317008549</v>
      </c>
      <c r="AY128" s="67">
        <v>40.289600384491649</v>
      </c>
      <c r="AZ128" s="67">
        <v>135.5697546014888</v>
      </c>
      <c r="BB128" s="67">
        <v>26.261740758512701</v>
      </c>
      <c r="BC128" s="67">
        <v>66.637599017267064</v>
      </c>
      <c r="BE128" s="67">
        <v>27.014447469735028</v>
      </c>
      <c r="BF128" s="67">
        <v>86.570310375846944</v>
      </c>
    </row>
    <row r="129" spans="22:58" x14ac:dyDescent="0.25">
      <c r="V129" s="67">
        <v>123.9999999999925</v>
      </c>
      <c r="W129" s="67">
        <v>85.658692233750941</v>
      </c>
      <c r="X129" s="67">
        <v>46.514597779529709</v>
      </c>
      <c r="Y129" s="67">
        <v>226.82661151829399</v>
      </c>
      <c r="AA129" s="67">
        <v>123.7599999999925</v>
      </c>
      <c r="AB129" s="67">
        <v>91.786751128293389</v>
      </c>
      <c r="AC129" s="67">
        <v>50.609514335767017</v>
      </c>
      <c r="AD129" s="67">
        <v>237.44556022936601</v>
      </c>
      <c r="AF129" s="67">
        <v>123.9999999999925</v>
      </c>
      <c r="AG129" s="67">
        <v>67.151920885799626</v>
      </c>
      <c r="AH129" s="67">
        <v>31.493213880277722</v>
      </c>
      <c r="AI129" s="67">
        <v>214.26794434626669</v>
      </c>
      <c r="AK129" s="67">
        <v>123.5599999999926</v>
      </c>
      <c r="AL129" s="67">
        <v>60.228301894737719</v>
      </c>
      <c r="AM129" s="67">
        <v>43.064752026987378</v>
      </c>
      <c r="AN129" s="67">
        <v>102.6687011498517</v>
      </c>
      <c r="AV129" s="67">
        <v>40.161671211395173</v>
      </c>
      <c r="AW129" s="67">
        <v>122.1481835151167</v>
      </c>
      <c r="AY129" s="67">
        <v>40.252292147615243</v>
      </c>
      <c r="AZ129" s="67">
        <v>135.2261256231283</v>
      </c>
      <c r="BB129" s="67">
        <v>26.23378876386278</v>
      </c>
      <c r="BC129" s="67">
        <v>66.475280983567103</v>
      </c>
      <c r="BE129" s="67">
        <v>26.988493371361901</v>
      </c>
      <c r="BF129" s="67">
        <v>86.442381090946938</v>
      </c>
    </row>
    <row r="130" spans="22:58" x14ac:dyDescent="0.25">
      <c r="V130" s="67">
        <v>124.9999999999923</v>
      </c>
      <c r="W130" s="67">
        <v>85.461775081314002</v>
      </c>
      <c r="X130" s="67">
        <v>46.529339681510578</v>
      </c>
      <c r="Y130" s="67">
        <v>224.4544362285275</v>
      </c>
      <c r="AA130" s="67">
        <v>124.7599999999923</v>
      </c>
      <c r="AB130" s="67">
        <v>92.549036813235674</v>
      </c>
      <c r="AC130" s="67">
        <v>50.801084391586407</v>
      </c>
      <c r="AD130" s="67">
        <v>242.18991080889751</v>
      </c>
      <c r="AF130" s="67">
        <v>124.9999999999923</v>
      </c>
      <c r="AG130" s="67">
        <v>67.161271709667389</v>
      </c>
      <c r="AH130" s="67">
        <v>31.506062708319291</v>
      </c>
      <c r="AI130" s="67">
        <v>211.8957690565002</v>
      </c>
      <c r="AK130" s="67">
        <v>124.5599999999924</v>
      </c>
      <c r="AL130" s="67">
        <v>61.757873010196278</v>
      </c>
      <c r="AM130" s="67">
        <v>42.994534988557753</v>
      </c>
      <c r="AN130" s="67">
        <v>107.4130517293831</v>
      </c>
      <c r="AV130" s="67">
        <v>40.113255034765473</v>
      </c>
      <c r="AW130" s="67">
        <v>121.69865671486561</v>
      </c>
      <c r="AY130" s="67">
        <v>40.215637610730802</v>
      </c>
      <c r="AZ130" s="67">
        <v>134.88649944153721</v>
      </c>
      <c r="BB130" s="67">
        <v>26.206500978545481</v>
      </c>
      <c r="BC130" s="67">
        <v>66.316911828160286</v>
      </c>
      <c r="BE130" s="67">
        <v>26.963015757416649</v>
      </c>
      <c r="BF130" s="67">
        <v>86.316511436724028</v>
      </c>
    </row>
    <row r="131" spans="22:58" x14ac:dyDescent="0.25">
      <c r="V131" s="67">
        <v>125.9999999999921</v>
      </c>
      <c r="W131" s="67">
        <v>85.259754939246051</v>
      </c>
      <c r="X131" s="67">
        <v>46.54420899597983</v>
      </c>
      <c r="Y131" s="67">
        <v>222.08226093876101</v>
      </c>
      <c r="AA131" s="67">
        <v>125.7599999999921</v>
      </c>
      <c r="AB131" s="67">
        <v>93.311038050600672</v>
      </c>
      <c r="AC131" s="67">
        <v>50.992103001311989</v>
      </c>
      <c r="AD131" s="67">
        <v>246.93426138842901</v>
      </c>
      <c r="AF131" s="67">
        <v>125.9999999999921</v>
      </c>
      <c r="AG131" s="67">
        <v>67.165407514957366</v>
      </c>
      <c r="AH131" s="67">
        <v>31.519807598791829</v>
      </c>
      <c r="AI131" s="67">
        <v>209.52359376673371</v>
      </c>
      <c r="AK131" s="67">
        <v>125.5599999999922</v>
      </c>
      <c r="AL131" s="67">
        <v>63.186865724826838</v>
      </c>
      <c r="AM131" s="67">
        <v>42.895567354695231</v>
      </c>
      <c r="AN131" s="67">
        <v>112.1574023089146</v>
      </c>
      <c r="AV131" s="67">
        <v>40.065624960563348</v>
      </c>
      <c r="AW131" s="67">
        <v>121.2550011101665</v>
      </c>
      <c r="AY131" s="67">
        <v>40.179628914679817</v>
      </c>
      <c r="AZ131" s="67">
        <v>134.5508248887603</v>
      </c>
      <c r="BB131" s="67">
        <v>26.17987355035763</v>
      </c>
      <c r="BC131" s="67">
        <v>66.162451314311397</v>
      </c>
      <c r="BE131" s="67">
        <v>26.938007646841239</v>
      </c>
      <c r="BF131" s="67">
        <v>86.192667634740701</v>
      </c>
    </row>
    <row r="132" spans="22:58" x14ac:dyDescent="0.25">
      <c r="V132" s="67">
        <v>126.9999999999919</v>
      </c>
      <c r="W132" s="67">
        <v>85.052422126873864</v>
      </c>
      <c r="X132" s="67">
        <v>46.55922328567317</v>
      </c>
      <c r="Y132" s="67">
        <v>219.71008564899449</v>
      </c>
      <c r="AA132" s="67">
        <v>126.7599999999919</v>
      </c>
      <c r="AB132" s="67">
        <v>94.074518252474547</v>
      </c>
      <c r="AC132" s="67">
        <v>51.182538042553858</v>
      </c>
      <c r="AD132" s="67">
        <v>251.67861196796039</v>
      </c>
      <c r="AF132" s="67">
        <v>126.9999999999919</v>
      </c>
      <c r="AG132" s="67">
        <v>67.163944617812021</v>
      </c>
      <c r="AH132" s="67">
        <v>31.53440852938326</v>
      </c>
      <c r="AI132" s="67">
        <v>207.15141847696719</v>
      </c>
      <c r="AK132" s="67">
        <v>126.559999999992</v>
      </c>
      <c r="AL132" s="67">
        <v>64.512400706391531</v>
      </c>
      <c r="AM132" s="67">
        <v>42.76108878826409</v>
      </c>
      <c r="AN132" s="67">
        <v>116.9017528884461</v>
      </c>
      <c r="AV132" s="67">
        <v>40.018772412537373</v>
      </c>
      <c r="AW132" s="67">
        <v>120.8171458684611</v>
      </c>
      <c r="AY132" s="67">
        <v>40.14425828372822</v>
      </c>
      <c r="AZ132" s="67">
        <v>134.21905144177961</v>
      </c>
      <c r="BE132" s="67">
        <v>26.913462151057331</v>
      </c>
      <c r="BF132" s="67">
        <v>86.070816441399217</v>
      </c>
    </row>
    <row r="133" spans="22:58" x14ac:dyDescent="0.25">
      <c r="V133" s="67">
        <v>127.9999999999917</v>
      </c>
      <c r="W133" s="67">
        <v>84.839560366542159</v>
      </c>
      <c r="X133" s="67">
        <v>46.574399734232323</v>
      </c>
      <c r="Y133" s="67">
        <v>217.337910359228</v>
      </c>
      <c r="AA133" s="67">
        <v>127.75999999999171</v>
      </c>
      <c r="AB133" s="67">
        <v>94.841305894124716</v>
      </c>
      <c r="AC133" s="67">
        <v>51.372394317932049</v>
      </c>
      <c r="AD133" s="67">
        <v>256.42296254749192</v>
      </c>
      <c r="AF133" s="67">
        <v>127.9999999999917</v>
      </c>
      <c r="AG133" s="67">
        <v>67.156498604028442</v>
      </c>
      <c r="AH133" s="67">
        <v>31.54982721186013</v>
      </c>
      <c r="AI133" s="67">
        <v>204.77924318720071</v>
      </c>
      <c r="AK133" s="67">
        <v>127.5599999999918</v>
      </c>
      <c r="AL133" s="67">
        <v>65.72790812480433</v>
      </c>
      <c r="AM133" s="67">
        <v>42.579161012340933</v>
      </c>
      <c r="AN133" s="67">
        <v>121.6461034679776</v>
      </c>
      <c r="AV133" s="67">
        <v>39.972688895500603</v>
      </c>
      <c r="AW133" s="67">
        <v>120.3850209736171</v>
      </c>
      <c r="AY133" s="67">
        <v>40.109518024675637</v>
      </c>
      <c r="AZ133" s="67">
        <v>133.89112921432411</v>
      </c>
      <c r="BE133" s="67">
        <v>26.88937247296726</v>
      </c>
      <c r="BF133" s="67">
        <v>85.950925140520425</v>
      </c>
    </row>
    <row r="134" spans="22:58" x14ac:dyDescent="0.25">
      <c r="V134" s="67">
        <v>128.99999999999221</v>
      </c>
      <c r="W134" s="67">
        <v>84.620946526377267</v>
      </c>
      <c r="X134" s="67">
        <v>46.589755008915738</v>
      </c>
      <c r="Y134" s="67">
        <v>214.96573506946149</v>
      </c>
      <c r="AA134" s="67">
        <v>128.75999999999209</v>
      </c>
      <c r="AB134" s="67">
        <v>95.613295963998013</v>
      </c>
      <c r="AC134" s="67">
        <v>51.561702050819797</v>
      </c>
      <c r="AD134" s="67">
        <v>261.16731312702342</v>
      </c>
      <c r="AF134" s="67">
        <v>128.99999999999221</v>
      </c>
      <c r="AG134" s="67">
        <v>67.142684843631315</v>
      </c>
      <c r="AH134" s="67">
        <v>31.566027481802791</v>
      </c>
      <c r="AI134" s="67">
        <v>202.40706789743419</v>
      </c>
      <c r="AK134" s="67">
        <v>128.55999999999199</v>
      </c>
      <c r="AL134" s="67">
        <v>66.81917907076847</v>
      </c>
      <c r="AM134" s="67">
        <v>42.327138270543912</v>
      </c>
      <c r="AN134" s="67">
        <v>126.3904540475091</v>
      </c>
      <c r="AV134" s="67">
        <v>39.927365994517913</v>
      </c>
      <c r="AW134" s="67">
        <v>119.95855721588519</v>
      </c>
      <c r="AY134" s="67">
        <v>40.07540052596962</v>
      </c>
      <c r="AZ134" s="67">
        <v>133.56700894875979</v>
      </c>
      <c r="BE134" s="67">
        <v>26.865731905942209</v>
      </c>
      <c r="BF134" s="67">
        <v>85.83296153594155</v>
      </c>
    </row>
    <row r="135" spans="22:58" x14ac:dyDescent="0.25">
      <c r="V135" s="67">
        <v>129.9999999999927</v>
      </c>
      <c r="W135" s="67">
        <v>84.396350461718043</v>
      </c>
      <c r="X135" s="67">
        <v>46.605305135871838</v>
      </c>
      <c r="Y135" s="67">
        <v>212.593559779695</v>
      </c>
      <c r="AA135" s="67">
        <v>129.7599999999926</v>
      </c>
      <c r="AB135" s="67">
        <v>96.392451875544921</v>
      </c>
      <c r="AC135" s="67">
        <v>51.750508319180653</v>
      </c>
      <c r="AD135" s="67">
        <v>265.91166370655492</v>
      </c>
      <c r="AF135" s="67">
        <v>129.9999999999927</v>
      </c>
      <c r="AG135" s="67">
        <v>67.122118793746466</v>
      </c>
      <c r="AH135" s="67">
        <v>31.582975537554201</v>
      </c>
      <c r="AI135" s="67">
        <v>200.03489260766781</v>
      </c>
      <c r="AK135" s="67">
        <v>129.5599999999925</v>
      </c>
      <c r="AL135" s="67">
        <v>67.749143734239624</v>
      </c>
      <c r="AM135" s="67">
        <v>41.949163332295882</v>
      </c>
      <c r="AN135" s="67">
        <v>131.13480462704061</v>
      </c>
      <c r="AV135" s="67">
        <v>39.882795374099601</v>
      </c>
      <c r="AW135" s="67">
        <v>119.53768618195269</v>
      </c>
      <c r="AY135" s="67">
        <v>40.041898256833562</v>
      </c>
      <c r="AZ135" s="67">
        <v>133.24664200810699</v>
      </c>
      <c r="BE135" s="67">
        <v>26.842533832806168</v>
      </c>
      <c r="BF135" s="67">
        <v>85.716893944167211</v>
      </c>
    </row>
    <row r="136" spans="22:58" x14ac:dyDescent="0.25">
      <c r="V136" s="67">
        <v>130.99999999999321</v>
      </c>
      <c r="W136" s="67">
        <v>84.165534953762588</v>
      </c>
      <c r="X136" s="67">
        <v>46.621065391799682</v>
      </c>
      <c r="Y136" s="67">
        <v>210.22138448992851</v>
      </c>
      <c r="AA136" s="67">
        <v>130.75999999999311</v>
      </c>
      <c r="AB136" s="67">
        <v>97.180807910130241</v>
      </c>
      <c r="AC136" s="67">
        <v>51.93887107171895</v>
      </c>
      <c r="AD136" s="67">
        <v>270.65601428608699</v>
      </c>
      <c r="AF136" s="67">
        <v>130.99999999999321</v>
      </c>
      <c r="AG136" s="67">
        <v>67.094416128324184</v>
      </c>
      <c r="AH136" s="67">
        <v>31.600640047833171</v>
      </c>
      <c r="AI136" s="67">
        <v>197.6627173179013</v>
      </c>
      <c r="AK136" s="67">
        <v>130.55999999999301</v>
      </c>
      <c r="AL136" s="67">
        <v>67.935724356954566</v>
      </c>
      <c r="AM136" s="67">
        <v>40.54281220948252</v>
      </c>
      <c r="AN136" s="67">
        <v>135.87915520657211</v>
      </c>
      <c r="AV136" s="67">
        <v>39.838968777402499</v>
      </c>
      <c r="AW136" s="67">
        <v>119.12234024512919</v>
      </c>
      <c r="AY136" s="67">
        <v>40.009003766400852</v>
      </c>
      <c r="AZ136" s="67">
        <v>132.92998036814879</v>
      </c>
      <c r="BE136" s="67">
        <v>26.819771724809812</v>
      </c>
      <c r="BF136" s="67">
        <v>85.602691187045906</v>
      </c>
    </row>
    <row r="137" spans="22:58" x14ac:dyDescent="0.25">
      <c r="V137" s="67">
        <v>131.99999999999369</v>
      </c>
      <c r="W137" s="67">
        <v>83.928255740077276</v>
      </c>
      <c r="X137" s="67">
        <v>46.637050214738679</v>
      </c>
      <c r="Y137" s="67">
        <v>207.84920920016211</v>
      </c>
      <c r="AA137" s="67">
        <v>131.7599999999936</v>
      </c>
      <c r="AB137" s="67">
        <v>97.980472457267169</v>
      </c>
      <c r="AC137" s="67">
        <v>52.126855395608693</v>
      </c>
      <c r="AD137" s="67">
        <v>275.40036486562008</v>
      </c>
      <c r="AF137" s="67">
        <v>131.99999999999369</v>
      </c>
      <c r="AG137" s="67">
        <v>67.059192732572257</v>
      </c>
      <c r="AH137" s="67">
        <v>31.61899214940053</v>
      </c>
      <c r="AI137" s="67">
        <v>195.29054202813481</v>
      </c>
      <c r="AK137" s="67">
        <v>131.55999999999349</v>
      </c>
      <c r="AL137" s="67">
        <v>67.813114601680894</v>
      </c>
      <c r="AM137" s="67">
        <v>38.899976500861669</v>
      </c>
      <c r="AN137" s="67">
        <v>140.62350578610361</v>
      </c>
      <c r="AV137" s="67">
        <v>39.795878025438363</v>
      </c>
      <c r="AW137" s="67">
        <v>118.7124525556345</v>
      </c>
      <c r="AY137" s="67">
        <v>39.976709682857319</v>
      </c>
      <c r="AZ137" s="67">
        <v>132.61697660963529</v>
      </c>
      <c r="BE137" s="67">
        <v>26.797439140598879</v>
      </c>
      <c r="BF137" s="67">
        <v>85.490322584499381</v>
      </c>
    </row>
    <row r="138" spans="22:58" x14ac:dyDescent="0.25">
      <c r="V138" s="67">
        <v>132.9999999999942</v>
      </c>
      <c r="W138" s="67">
        <v>83.68426162821703</v>
      </c>
      <c r="X138" s="67">
        <v>46.653273135524607</v>
      </c>
      <c r="Y138" s="67">
        <v>205.47703391039559</v>
      </c>
      <c r="AA138" s="67">
        <v>132.75999999999411</v>
      </c>
      <c r="AB138" s="67">
        <v>98.793632380012227</v>
      </c>
      <c r="AC138" s="67">
        <v>52.314531684830968</v>
      </c>
      <c r="AD138" s="67">
        <v>280.14471544515311</v>
      </c>
      <c r="AF138" s="67">
        <v>132.9999999999942</v>
      </c>
      <c r="AG138" s="67">
        <v>67.016064597621067</v>
      </c>
      <c r="AH138" s="67">
        <v>31.638005356693778</v>
      </c>
      <c r="AI138" s="67">
        <v>192.91836673836829</v>
      </c>
      <c r="AK138" s="67">
        <v>132.55999999999401</v>
      </c>
      <c r="AL138" s="67">
        <v>67.882694806668027</v>
      </c>
      <c r="AM138" s="67">
        <v>37.767514794102063</v>
      </c>
      <c r="AN138" s="67">
        <v>145.36785636563499</v>
      </c>
      <c r="AV138" s="67">
        <v>39.753515016290862</v>
      </c>
      <c r="AW138" s="67">
        <v>118.3079570310092</v>
      </c>
      <c r="AY138" s="67">
        <v>39.945008712596781</v>
      </c>
      <c r="AZ138" s="67">
        <v>132.30758391060169</v>
      </c>
      <c r="BE138" s="67">
        <v>26.775529725174991</v>
      </c>
      <c r="BF138" s="67">
        <v>85.37975794728635</v>
      </c>
    </row>
    <row r="139" spans="22:58" x14ac:dyDescent="0.25">
      <c r="V139" s="67">
        <v>133.99999999999471</v>
      </c>
      <c r="W139" s="67">
        <v>83.4332946810312</v>
      </c>
      <c r="X139" s="67">
        <v>46.669746730270496</v>
      </c>
      <c r="Y139" s="67">
        <v>203.1048586206291</v>
      </c>
      <c r="AA139" s="67">
        <v>133.75999999999459</v>
      </c>
      <c r="AB139" s="67">
        <v>99.622558764219932</v>
      </c>
      <c r="AC139" s="67">
        <v>52.501975325935348</v>
      </c>
      <c r="AD139" s="67">
        <v>284.88906602468597</v>
      </c>
      <c r="AF139" s="67">
        <v>133.99999999999471</v>
      </c>
      <c r="AG139" s="67">
        <v>66.964647647466251</v>
      </c>
      <c r="AH139" s="67">
        <v>31.65765540475655</v>
      </c>
      <c r="AI139" s="67">
        <v>190.5461914486018</v>
      </c>
      <c r="AK139" s="67">
        <v>133.55999999999449</v>
      </c>
      <c r="AL139" s="67">
        <v>68.133527927736864</v>
      </c>
      <c r="AM139" s="67">
        <v>37.061251426865617</v>
      </c>
      <c r="AN139" s="67">
        <v>150.11220694516649</v>
      </c>
      <c r="AV139" s="67">
        <v>39.711871724338891</v>
      </c>
      <c r="AW139" s="67">
        <v>117.90878834664539</v>
      </c>
      <c r="AY139" s="67">
        <v>39.913893639381271</v>
      </c>
      <c r="AZ139" s="67">
        <v>132.0017560387769</v>
      </c>
      <c r="BE139" s="67">
        <v>26.75403720885431</v>
      </c>
      <c r="BF139" s="67">
        <v>85.270967569825245</v>
      </c>
    </row>
    <row r="140" spans="22:58" x14ac:dyDescent="0.25">
      <c r="V140" s="67">
        <v>134.99999999999531</v>
      </c>
      <c r="W140" s="67">
        <v>83.175090460370157</v>
      </c>
      <c r="X140" s="67">
        <v>46.686482593091277</v>
      </c>
      <c r="Y140" s="67">
        <v>200.73268333086261</v>
      </c>
      <c r="AA140" s="67">
        <v>134.7599999999951</v>
      </c>
      <c r="AB140" s="67">
        <v>100.4696141160026</v>
      </c>
      <c r="AC140" s="67">
        <v>52.689267501140421</v>
      </c>
      <c r="AD140" s="67">
        <v>289.63341660421901</v>
      </c>
      <c r="AF140" s="67">
        <v>134.99999999999531</v>
      </c>
      <c r="AG140" s="67">
        <v>66.904557526054063</v>
      </c>
      <c r="AH140" s="67">
        <v>31.677920045340731</v>
      </c>
      <c r="AI140" s="67">
        <v>188.17401615883529</v>
      </c>
      <c r="AK140" s="67">
        <v>134.559999999995</v>
      </c>
      <c r="AL140" s="67">
        <v>68.488400394724607</v>
      </c>
      <c r="AM140" s="67">
        <v>36.624069979966627</v>
      </c>
      <c r="AN140" s="67">
        <v>154.85655752469799</v>
      </c>
      <c r="AV140" s="67">
        <v>39.670940199487227</v>
      </c>
      <c r="AW140" s="67">
        <v>117.51488192642189</v>
      </c>
      <c r="AY140" s="67">
        <v>39.88335732351289</v>
      </c>
      <c r="AZ140" s="67">
        <v>131.69944734408861</v>
      </c>
      <c r="BE140" s="67">
        <v>26.73295540621983</v>
      </c>
      <c r="BF140" s="67">
        <v>85.163922223058023</v>
      </c>
    </row>
    <row r="141" spans="22:58" x14ac:dyDescent="0.25">
      <c r="V141" s="67">
        <v>135.99999999999579</v>
      </c>
      <c r="W141" s="67">
        <v>82.909378315025691</v>
      </c>
      <c r="X141" s="67">
        <v>46.703491327400798</v>
      </c>
      <c r="Y141" s="67">
        <v>198.3605080410961</v>
      </c>
      <c r="AA141" s="67">
        <v>135.75999999999561</v>
      </c>
      <c r="AB141" s="67">
        <v>101.3372607277485</v>
      </c>
      <c r="AC141" s="67">
        <v>52.876496734445936</v>
      </c>
      <c r="AD141" s="67">
        <v>294.37776718375198</v>
      </c>
      <c r="AF141" s="67">
        <v>135.99999999999579</v>
      </c>
      <c r="AG141" s="67">
        <v>66.835409367865822</v>
      </c>
      <c r="AH141" s="67">
        <v>31.69877881403016</v>
      </c>
      <c r="AI141" s="67">
        <v>185.8018408690688</v>
      </c>
      <c r="AK141" s="67">
        <v>135.55999999999551</v>
      </c>
      <c r="AL141" s="67">
        <v>68.904557488399917</v>
      </c>
      <c r="AM141" s="67">
        <v>36.366991321079183</v>
      </c>
      <c r="AN141" s="67">
        <v>159.60090810422949</v>
      </c>
      <c r="AV141" s="67">
        <v>39.630712566407283</v>
      </c>
      <c r="AW141" s="67">
        <v>117.1261739334773</v>
      </c>
      <c r="AY141" s="67">
        <v>39.853392701013952</v>
      </c>
      <c r="AZ141" s="67">
        <v>131.4006127512763</v>
      </c>
      <c r="BE141" s="67">
        <v>26.712278215069759</v>
      </c>
      <c r="BF141" s="67">
        <v>85.058593147369592</v>
      </c>
    </row>
    <row r="142" spans="22:58" x14ac:dyDescent="0.25">
      <c r="V142" s="67">
        <v>136.99999999999631</v>
      </c>
      <c r="W142" s="67">
        <v>82.635881698646415</v>
      </c>
      <c r="X142" s="67">
        <v>46.720782553359641</v>
      </c>
      <c r="Y142" s="67">
        <v>195.98833275132961</v>
      </c>
      <c r="AA142" s="67">
        <v>136.75999999999621</v>
      </c>
      <c r="AB142" s="67">
        <v>102.2280691913634</v>
      </c>
      <c r="AC142" s="67">
        <v>53.063760925026138</v>
      </c>
      <c r="AD142" s="67">
        <v>299.12211776328502</v>
      </c>
      <c r="AF142" s="67">
        <v>136.99999999999631</v>
      </c>
      <c r="AG142" s="67">
        <v>66.75681757084493</v>
      </c>
      <c r="AH142" s="67">
        <v>31.720212783853071</v>
      </c>
      <c r="AI142" s="67">
        <v>183.42966557930231</v>
      </c>
      <c r="AK142" s="67">
        <v>136.55999999999611</v>
      </c>
      <c r="AL142" s="67">
        <v>69.355196129791892</v>
      </c>
      <c r="AM142" s="67">
        <v>36.233793709191623</v>
      </c>
      <c r="AN142" s="67">
        <v>164.34525868376099</v>
      </c>
      <c r="AV142" s="67">
        <v>39.591181023782838</v>
      </c>
      <c r="AW142" s="67">
        <v>116.7426012610841</v>
      </c>
      <c r="AY142" s="67">
        <v>39.823992782816482</v>
      </c>
      <c r="AZ142" s="67">
        <v>131.10520775258601</v>
      </c>
      <c r="BE142" s="67">
        <v>26.691999615366012</v>
      </c>
      <c r="BF142" s="67">
        <v>84.954952045560276</v>
      </c>
    </row>
    <row r="143" spans="22:58" x14ac:dyDescent="0.25">
      <c r="V143" s="67">
        <v>137.99999999999679</v>
      </c>
      <c r="W143" s="67">
        <v>82.354318504113209</v>
      </c>
      <c r="X143" s="67">
        <v>46.738364928608753</v>
      </c>
      <c r="Y143" s="67">
        <v>193.61615746156309</v>
      </c>
      <c r="AA143" s="67">
        <v>137.75999999999669</v>
      </c>
      <c r="AB143" s="67">
        <v>103.1447220816427</v>
      </c>
      <c r="AC143" s="67">
        <v>53.251170074852332</v>
      </c>
      <c r="AD143" s="67">
        <v>303.866468342818</v>
      </c>
      <c r="AF143" s="67">
        <v>137.99999999999679</v>
      </c>
      <c r="AG143" s="67">
        <v>66.6683955861415</v>
      </c>
      <c r="AH143" s="67">
        <v>31.74220431827985</v>
      </c>
      <c r="AI143" s="67">
        <v>181.05749028953579</v>
      </c>
      <c r="AK143" s="67">
        <v>137.55999999999659</v>
      </c>
      <c r="AL143" s="67">
        <v>69.822917242701706</v>
      </c>
      <c r="AM143" s="67">
        <v>36.187413698973387</v>
      </c>
      <c r="AN143" s="67">
        <v>169.08960926329249</v>
      </c>
      <c r="AV143" s="67">
        <v>39.55233784356659</v>
      </c>
      <c r="AW143" s="67">
        <v>116.3641015236433</v>
      </c>
      <c r="AY143" s="67">
        <v>39.795150653960427</v>
      </c>
      <c r="AZ143" s="67">
        <v>130.8131884005727</v>
      </c>
      <c r="BE143" s="67">
        <v>26.672113668177609</v>
      </c>
      <c r="BF143" s="67">
        <v>84.852971075878159</v>
      </c>
    </row>
    <row r="144" spans="22:58" x14ac:dyDescent="0.25">
      <c r="V144" s="67">
        <v>138.9999999999973</v>
      </c>
      <c r="W144" s="67">
        <v>82.064401402309812</v>
      </c>
      <c r="X144" s="67">
        <v>46.756246179332443</v>
      </c>
      <c r="Y144" s="67">
        <v>191.2439821717966</v>
      </c>
      <c r="AA144" s="67">
        <v>138.75999999999721</v>
      </c>
      <c r="AB144" s="67">
        <v>104.089921459154</v>
      </c>
      <c r="AC144" s="67">
        <v>53.438857568763183</v>
      </c>
      <c r="AD144" s="67">
        <v>308.61081892235092</v>
      </c>
      <c r="AF144" s="67">
        <v>138.9999999999973</v>
      </c>
      <c r="AG144" s="67">
        <v>66.569755735182824</v>
      </c>
      <c r="AH144" s="67">
        <v>31.764736833947211</v>
      </c>
      <c r="AI144" s="67">
        <v>178.6853149997693</v>
      </c>
      <c r="AK144" s="67">
        <v>138.5599999999971</v>
      </c>
      <c r="AL144" s="67">
        <v>70.296313641296365</v>
      </c>
      <c r="AM144" s="67">
        <v>36.202760615438137</v>
      </c>
      <c r="AN144" s="67">
        <v>173.83395984282399</v>
      </c>
      <c r="AV144" s="67">
        <v>39.514175370241453</v>
      </c>
      <c r="AW144" s="67">
        <v>115.9906130478043</v>
      </c>
      <c r="AY144" s="67">
        <v>39.766859472801443</v>
      </c>
      <c r="AZ144" s="67">
        <v>130.52451130099351</v>
      </c>
      <c r="BE144" s="67">
        <v>26.652614514625181</v>
      </c>
      <c r="BF144" s="67">
        <v>84.752622845106345</v>
      </c>
    </row>
    <row r="145" spans="22:58" x14ac:dyDescent="0.25">
      <c r="V145" s="67">
        <v>139.99999999999781</v>
      </c>
      <c r="W145" s="67">
        <v>81.765838174585326</v>
      </c>
      <c r="X145" s="67">
        <v>46.774433138281267</v>
      </c>
      <c r="Y145" s="67">
        <v>188.87180688203011</v>
      </c>
      <c r="AA145" s="67">
        <v>139.75999999999769</v>
      </c>
      <c r="AB145" s="67">
        <v>105.0665672993989</v>
      </c>
      <c r="AC145" s="67">
        <v>53.626999792219408</v>
      </c>
      <c r="AD145" s="67">
        <v>313.35516950188389</v>
      </c>
      <c r="AF145" s="67">
        <v>139.99999999999781</v>
      </c>
      <c r="AG145" s="67">
        <v>66.46050906099066</v>
      </c>
      <c r="AH145" s="67">
        <v>31.787794580958291</v>
      </c>
      <c r="AI145" s="67">
        <v>176.31313971000279</v>
      </c>
      <c r="AK145" s="67">
        <v>139.55999999999759</v>
      </c>
      <c r="AL145" s="67">
        <v>70.767931473123909</v>
      </c>
      <c r="AM145" s="67">
        <v>36.26248788974317</v>
      </c>
      <c r="AN145" s="67">
        <v>178.57831042235549</v>
      </c>
      <c r="AV145" s="67">
        <v>39.476686020092423</v>
      </c>
      <c r="AW145" s="67">
        <v>115.62207486369709</v>
      </c>
      <c r="AY145" s="67">
        <v>39.739112470226168</v>
      </c>
      <c r="AZ145" s="67">
        <v>130.23913360578479</v>
      </c>
      <c r="BE145" s="67">
        <v>26.633496374824919</v>
      </c>
      <c r="BF145" s="67">
        <v>84.653880401713195</v>
      </c>
    </row>
    <row r="146" spans="22:58" x14ac:dyDescent="0.25">
      <c r="V146" s="67">
        <v>140.99999999999829</v>
      </c>
      <c r="W146" s="67">
        <v>81.458332031118289</v>
      </c>
      <c r="X146" s="67">
        <v>46.79293178748361</v>
      </c>
      <c r="Y146" s="67">
        <v>186.49963159226371</v>
      </c>
      <c r="AA146" s="67">
        <v>140.7599999999982</v>
      </c>
      <c r="AB146" s="67">
        <v>106.0778831919971</v>
      </c>
      <c r="AC146" s="67">
        <v>53.81578554280577</v>
      </c>
      <c r="AD146" s="67">
        <v>318.09952008141693</v>
      </c>
      <c r="AF146" s="67">
        <v>140.99999999999829</v>
      </c>
      <c r="AG146" s="67">
        <v>66.340265217617244</v>
      </c>
      <c r="AH146" s="67">
        <v>31.81136244634456</v>
      </c>
      <c r="AI146" s="67">
        <v>173.94096442023641</v>
      </c>
      <c r="AK146" s="67">
        <v>140.5599999999981</v>
      </c>
      <c r="AL146" s="67">
        <v>71.232982465959751</v>
      </c>
      <c r="AM146" s="67">
        <v>36.354383029732958</v>
      </c>
      <c r="AN146" s="67">
        <v>183.32266100188701</v>
      </c>
      <c r="AV146" s="67">
        <v>39.439862280485613</v>
      </c>
      <c r="AW146" s="67">
        <v>115.2584266962796</v>
      </c>
      <c r="AY146" s="67">
        <v>39.711902948879441</v>
      </c>
      <c r="AZ146" s="67">
        <v>129.95701300614789</v>
      </c>
      <c r="BE146" s="67">
        <v>26.614753546831359</v>
      </c>
      <c r="BF146" s="67">
        <v>84.556717229060268</v>
      </c>
    </row>
    <row r="147" spans="22:58" x14ac:dyDescent="0.25">
      <c r="V147" s="67">
        <v>141.99999999999881</v>
      </c>
      <c r="W147" s="67">
        <v>81.141581908416839</v>
      </c>
      <c r="X147" s="67">
        <v>46.811747302622962</v>
      </c>
      <c r="Y147" s="67">
        <v>184.12745630249719</v>
      </c>
      <c r="AA147" s="67">
        <v>141.75999999999871</v>
      </c>
      <c r="AB147" s="67">
        <v>107.12727887497159</v>
      </c>
      <c r="AC147" s="67">
        <v>54.005400297632377</v>
      </c>
      <c r="AD147" s="67">
        <v>322.8438706609499</v>
      </c>
      <c r="AF147" s="67">
        <v>141.99999999999881</v>
      </c>
      <c r="AG147" s="67">
        <v>66.208632398937752</v>
      </c>
      <c r="AH147" s="67">
        <v>31.835425784147841</v>
      </c>
      <c r="AI147" s="67">
        <v>171.5687891304699</v>
      </c>
      <c r="AK147" s="67">
        <v>141.55999999999861</v>
      </c>
      <c r="AL147" s="67">
        <v>71.688504621756138</v>
      </c>
      <c r="AM147" s="67">
        <v>36.469708196001761</v>
      </c>
      <c r="AN147" s="67">
        <v>188.06701158141851</v>
      </c>
      <c r="AV147" s="67">
        <v>39.403696709155838</v>
      </c>
      <c r="AW147" s="67">
        <v>114.8996089568093</v>
      </c>
      <c r="AY147" s="67">
        <v>39.685224282396582</v>
      </c>
      <c r="AZ147" s="67">
        <v>129.67810772571221</v>
      </c>
      <c r="BE147" s="67">
        <v>26.59638040558352</v>
      </c>
      <c r="BF147" s="67">
        <v>84.461107238682132</v>
      </c>
    </row>
    <row r="148" spans="22:58" x14ac:dyDescent="0.25">
      <c r="V148" s="67">
        <v>142.99999999999929</v>
      </c>
      <c r="W148" s="67">
        <v>80.815282742125817</v>
      </c>
      <c r="X148" s="67">
        <v>46.83088409738906</v>
      </c>
      <c r="Y148" s="67">
        <v>181.75528101273059</v>
      </c>
      <c r="AA148" s="67">
        <v>142.7599999999992</v>
      </c>
      <c r="AB148" s="67">
        <v>108.218342612705</v>
      </c>
      <c r="AC148" s="67">
        <v>54.196021868895507</v>
      </c>
      <c r="AD148" s="67">
        <v>327.58822124048288</v>
      </c>
      <c r="AF148" s="67">
        <v>142.99999999999929</v>
      </c>
      <c r="AG148" s="67">
        <v>66.065217306197226</v>
      </c>
      <c r="AH148" s="67">
        <v>31.859970274071092</v>
      </c>
      <c r="AI148" s="67">
        <v>169.19661384070329</v>
      </c>
      <c r="AK148" s="67">
        <v>142.55999999999909</v>
      </c>
      <c r="AL148" s="67">
        <v>72.132802519639498</v>
      </c>
      <c r="AM148" s="67">
        <v>36.602120791532677</v>
      </c>
      <c r="AN148" s="67">
        <v>192.81136216095001</v>
      </c>
      <c r="AV148" s="67">
        <v>39.368181933500921</v>
      </c>
      <c r="AW148" s="67">
        <v>114.5455627344309</v>
      </c>
      <c r="AY148" s="67">
        <v>39.659069914647823</v>
      </c>
      <c r="AZ148" s="67">
        <v>129.402376513793</v>
      </c>
      <c r="BE148" s="67">
        <v>26.57837140185131</v>
      </c>
      <c r="BF148" s="67">
        <v>84.367024763624812</v>
      </c>
    </row>
    <row r="149" spans="22:58" x14ac:dyDescent="0.25">
      <c r="V149" s="67">
        <v>143.99999999999989</v>
      </c>
      <c r="W149" s="67">
        <v>80.479125712753287</v>
      </c>
      <c r="X149" s="67">
        <v>46.850345866155919</v>
      </c>
      <c r="Y149" s="67">
        <v>179.38310572296419</v>
      </c>
      <c r="AA149" s="67">
        <v>143.75999999999971</v>
      </c>
      <c r="AB149" s="67">
        <v>109.3548434459274</v>
      </c>
      <c r="AC149" s="67">
        <v>54.38781758125333</v>
      </c>
      <c r="AD149" s="67">
        <v>332.33257182001591</v>
      </c>
      <c r="AF149" s="67">
        <v>143.99999999999989</v>
      </c>
      <c r="AG149" s="67">
        <v>65.909625151631332</v>
      </c>
      <c r="AH149" s="67">
        <v>31.8849818086432</v>
      </c>
      <c r="AI149" s="67">
        <v>166.82443855093689</v>
      </c>
      <c r="AK149" s="67">
        <v>143.5599999999996</v>
      </c>
      <c r="AL149" s="67">
        <v>72.565066370212023</v>
      </c>
      <c r="AM149" s="67">
        <v>36.74695735571089</v>
      </c>
      <c r="AN149" s="67">
        <v>197.55571274048151</v>
      </c>
      <c r="AV149" s="67">
        <v>39.333310649886357</v>
      </c>
      <c r="AW149" s="67">
        <v>114.1962297878717</v>
      </c>
      <c r="AY149" s="67">
        <v>39.633433358989933</v>
      </c>
      <c r="AZ149" s="67">
        <v>129.12977863873601</v>
      </c>
      <c r="BE149" s="67">
        <v>26.56072106118598</v>
      </c>
      <c r="BF149" s="67">
        <v>84.274444551853563</v>
      </c>
    </row>
    <row r="150" spans="22:58" x14ac:dyDescent="0.25">
      <c r="V150" s="67">
        <v>145.0000000000004</v>
      </c>
      <c r="W150" s="67">
        <v>80.132798463667811</v>
      </c>
      <c r="X150" s="67">
        <v>46.870135623951228</v>
      </c>
      <c r="Y150" s="67">
        <v>177.0109304331977</v>
      </c>
      <c r="AA150" s="67">
        <v>144.76000000000019</v>
      </c>
      <c r="AB150" s="67">
        <v>110.5407370862322</v>
      </c>
      <c r="AC150" s="67">
        <v>54.58094237335672</v>
      </c>
      <c r="AD150" s="67">
        <v>337.07692239954878</v>
      </c>
      <c r="AF150" s="67">
        <v>145.0000000000004</v>
      </c>
      <c r="AG150" s="67">
        <v>65.74145969490425</v>
      </c>
      <c r="AH150" s="67">
        <v>31.91044640831819</v>
      </c>
      <c r="AI150" s="67">
        <v>164.4522632611704</v>
      </c>
      <c r="AK150" s="67">
        <v>144.56000000000009</v>
      </c>
      <c r="AL150" s="67">
        <v>72.985107132690317</v>
      </c>
      <c r="AM150" s="67">
        <v>36.900749781022341</v>
      </c>
      <c r="AN150" s="67">
        <v>202.30006332001301</v>
      </c>
      <c r="AV150" s="67">
        <v>39.299075622955343</v>
      </c>
      <c r="AW150" s="67">
        <v>113.8515525372632</v>
      </c>
      <c r="AY150" s="67">
        <v>39.608308197527563</v>
      </c>
      <c r="AZ150" s="67">
        <v>128.8602738813608</v>
      </c>
      <c r="BE150" s="67">
        <v>26.543423982872021</v>
      </c>
      <c r="BF150" s="67">
        <v>84.183341759728265</v>
      </c>
    </row>
    <row r="151" spans="22:58" x14ac:dyDescent="0.25">
      <c r="V151" s="67">
        <v>146.00000000000091</v>
      </c>
      <c r="W151" s="67">
        <v>79.775985292039749</v>
      </c>
      <c r="X151" s="67">
        <v>46.890255743128023</v>
      </c>
      <c r="Y151" s="67">
        <v>174.63875514343121</v>
      </c>
      <c r="AA151" s="67">
        <v>145.76000000000079</v>
      </c>
      <c r="AB151" s="67">
        <v>111.780174723746</v>
      </c>
      <c r="AC151" s="67">
        <v>54.775537740003301</v>
      </c>
      <c r="AD151" s="67">
        <v>341.82127297908181</v>
      </c>
      <c r="AF151" s="67">
        <v>146.00000000000091</v>
      </c>
      <c r="AG151" s="67">
        <v>65.560323307814343</v>
      </c>
      <c r="AH151" s="67">
        <v>31.936350162476511</v>
      </c>
      <c r="AI151" s="67">
        <v>162.08008797140391</v>
      </c>
      <c r="AK151" s="67">
        <v>145.56000000000071</v>
      </c>
      <c r="AL151" s="67">
        <v>73.393167738897716</v>
      </c>
      <c r="AM151" s="67">
        <v>37.060892788365663</v>
      </c>
      <c r="AN151" s="67">
        <v>207.04441389954451</v>
      </c>
      <c r="AV151" s="67">
        <v>39.265469684950567</v>
      </c>
      <c r="AW151" s="67">
        <v>113.5114740560839</v>
      </c>
      <c r="AY151" s="67">
        <v>39.5836880803814</v>
      </c>
      <c r="AZ151" s="67">
        <v>128.59382252846791</v>
      </c>
      <c r="BE151" s="67">
        <v>26.52647483888564</v>
      </c>
      <c r="BF151" s="67">
        <v>84.093691945552678</v>
      </c>
    </row>
    <row r="152" spans="22:58" x14ac:dyDescent="0.25">
      <c r="V152" s="67">
        <v>147.00000000000139</v>
      </c>
      <c r="W152" s="67">
        <v>79.408367314395647</v>
      </c>
      <c r="X152" s="67">
        <v>46.910707986536977</v>
      </c>
      <c r="Y152" s="67">
        <v>172.26657985366469</v>
      </c>
      <c r="AA152" s="67">
        <v>146.7600000000013</v>
      </c>
      <c r="AB152" s="67">
        <v>113.0775147115195</v>
      </c>
      <c r="AC152" s="67">
        <v>54.971731504060017</v>
      </c>
      <c r="AD152" s="67">
        <v>346.56562355861479</v>
      </c>
      <c r="AF152" s="67">
        <v>147.00000000000139</v>
      </c>
      <c r="AG152" s="67">
        <v>65.365817062485462</v>
      </c>
      <c r="AH152" s="67">
        <v>31.962679193921421</v>
      </c>
      <c r="AI152" s="67">
        <v>159.7079126816374</v>
      </c>
      <c r="AK152" s="67">
        <v>146.5600000000012</v>
      </c>
      <c r="AL152" s="67">
        <v>73.789784768757684</v>
      </c>
      <c r="AM152" s="67">
        <v>37.225411656617503</v>
      </c>
      <c r="AN152" s="67">
        <v>211.78876447907601</v>
      </c>
      <c r="AV152" s="67">
        <v>39.232485735040711</v>
      </c>
      <c r="AW152" s="67">
        <v>113.1759380631911</v>
      </c>
      <c r="AY152" s="67">
        <v>39.559566724968192</v>
      </c>
      <c r="AZ152" s="67">
        <v>128.3303853664558</v>
      </c>
      <c r="BE152" s="67">
        <v>26.50986837285561</v>
      </c>
      <c r="BF152" s="67">
        <v>84.005471063186562</v>
      </c>
    </row>
    <row r="153" spans="22:58" x14ac:dyDescent="0.25">
      <c r="V153" s="67">
        <v>148.0000000000019</v>
      </c>
      <c r="W153" s="67">
        <v>79.029622609180535</v>
      </c>
      <c r="X153" s="67">
        <v>46.931493537341851</v>
      </c>
      <c r="Y153" s="67">
        <v>169.89440456389821</v>
      </c>
      <c r="AA153" s="67">
        <v>147.76000000000181</v>
      </c>
      <c r="AB153" s="67">
        <v>114.4373370486319</v>
      </c>
      <c r="AC153" s="67">
        <v>55.169638378622153</v>
      </c>
      <c r="AD153" s="67">
        <v>351.30997413814782</v>
      </c>
      <c r="AF153" s="67">
        <v>148.0000000000019</v>
      </c>
      <c r="AG153" s="67">
        <v>65.157540837987568</v>
      </c>
      <c r="AH153" s="67">
        <v>31.98941964395658</v>
      </c>
      <c r="AI153" s="67">
        <v>157.33573739187091</v>
      </c>
      <c r="AK153" s="67">
        <v>147.56000000000171</v>
      </c>
      <c r="AL153" s="67">
        <v>74.175684593458158</v>
      </c>
      <c r="AM153" s="67">
        <v>37.392797856774393</v>
      </c>
      <c r="AN153" s="67">
        <v>216.53311505860739</v>
      </c>
      <c r="AV153" s="67">
        <v>39.200116738657528</v>
      </c>
      <c r="AW153" s="67">
        <v>112.84488891500121</v>
      </c>
      <c r="AY153" s="67">
        <v>39.535937915287349</v>
      </c>
      <c r="AZ153" s="67">
        <v>128.06992367500979</v>
      </c>
      <c r="BE153" s="67">
        <v>26.493599399031481</v>
      </c>
      <c r="BF153" s="67">
        <v>83.91865545573566</v>
      </c>
    </row>
    <row r="154" spans="22:58" x14ac:dyDescent="0.25">
      <c r="V154" s="67">
        <v>149.00000000000239</v>
      </c>
      <c r="W154" s="67">
        <v>78.639426339143156</v>
      </c>
      <c r="X154" s="67">
        <v>46.952613025867088</v>
      </c>
      <c r="Y154" s="67">
        <v>167.52222927413169</v>
      </c>
      <c r="AA154" s="67">
        <v>148.76000000000229</v>
      </c>
      <c r="AB154" s="67">
        <v>115.8644602987245</v>
      </c>
      <c r="AC154" s="67">
        <v>55.369361219861958</v>
      </c>
      <c r="AD154" s="67">
        <v>356.05432471768069</v>
      </c>
      <c r="AF154" s="67">
        <v>149.00000000000239</v>
      </c>
      <c r="AG154" s="67">
        <v>64.935093440352915</v>
      </c>
      <c r="AH154" s="67">
        <v>32.016557674928549</v>
      </c>
      <c r="AI154" s="67">
        <v>154.96356210210439</v>
      </c>
      <c r="AK154" s="67">
        <v>148.56000000000219</v>
      </c>
      <c r="AL154" s="67">
        <v>74.551705124820103</v>
      </c>
      <c r="AM154" s="67">
        <v>37.561892090372112</v>
      </c>
      <c r="AN154" s="67">
        <v>221.27746563813889</v>
      </c>
      <c r="AV154" s="67">
        <v>39.168355726840282</v>
      </c>
      <c r="AW154" s="67">
        <v>112.51827159777029</v>
      </c>
      <c r="AY154" s="67">
        <v>39.512795501215969</v>
      </c>
      <c r="AZ154" s="67">
        <v>127.8123992208719</v>
      </c>
      <c r="BE154" s="67">
        <v>26.47766280125683</v>
      </c>
      <c r="BF154" s="67">
        <v>83.833221849317127</v>
      </c>
    </row>
    <row r="155" spans="22:58" x14ac:dyDescent="0.25">
      <c r="V155" s="67">
        <v>150.0000000000029</v>
      </c>
      <c r="W155" s="67">
        <v>78.237450856560002</v>
      </c>
      <c r="X155" s="67">
        <v>46.974066554042338</v>
      </c>
      <c r="Y155" s="67">
        <v>165.1500539843652</v>
      </c>
      <c r="AA155" s="67">
        <v>149.7600000000028</v>
      </c>
      <c r="AB155" s="67">
        <v>117.3639602201285</v>
      </c>
      <c r="AC155" s="67">
        <v>55.570992807740879</v>
      </c>
      <c r="AD155" s="67">
        <v>360.79867529721372</v>
      </c>
      <c r="AF155" s="67">
        <v>150.0000000000029</v>
      </c>
      <c r="AG155" s="67">
        <v>64.698072731144507</v>
      </c>
      <c r="AH155" s="67">
        <v>32.044079487059321</v>
      </c>
      <c r="AI155" s="67">
        <v>152.5913868123379</v>
      </c>
      <c r="AK155" s="67">
        <v>149.5600000000027</v>
      </c>
      <c r="AL155" s="67">
        <v>74.918739729213797</v>
      </c>
      <c r="AM155" s="67">
        <v>37.731801715623703</v>
      </c>
      <c r="AN155" s="67">
        <v>226.02181621767039</v>
      </c>
      <c r="AV155" s="67">
        <v>39.137195795587559</v>
      </c>
      <c r="AW155" s="67">
        <v>112.1960317199657</v>
      </c>
      <c r="AY155" s="67">
        <v>39.490133397812983</v>
      </c>
      <c r="AZ155" s="67">
        <v>127.55777425170351</v>
      </c>
      <c r="BE155" s="67">
        <v>26.462053531949181</v>
      </c>
      <c r="BF155" s="67">
        <v>83.749147346887</v>
      </c>
    </row>
    <row r="156" spans="22:58" x14ac:dyDescent="0.25">
      <c r="V156" s="67">
        <v>151.00000000000341</v>
      </c>
      <c r="W156" s="67">
        <v>77.823365794311286</v>
      </c>
      <c r="X156" s="67">
        <v>46.995853718128053</v>
      </c>
      <c r="Y156" s="67">
        <v>162.77787869459871</v>
      </c>
      <c r="AA156" s="67">
        <v>150.76000000000329</v>
      </c>
      <c r="AB156" s="67">
        <v>118.9411890637934</v>
      </c>
      <c r="AC156" s="67">
        <v>55.774617941354961</v>
      </c>
      <c r="AD156" s="67">
        <v>365.5430258767467</v>
      </c>
      <c r="AF156" s="67">
        <v>151.00000000000341</v>
      </c>
      <c r="AG156" s="67">
        <v>64.446075760044209</v>
      </c>
      <c r="AH156" s="67">
        <v>32.071971346466633</v>
      </c>
      <c r="AI156" s="67">
        <v>150.21921152257141</v>
      </c>
      <c r="AK156" s="67">
        <v>150.56000000000321</v>
      </c>
      <c r="AL156" s="67">
        <v>75.277703373007142</v>
      </c>
      <c r="AM156" s="67">
        <v>37.901843881023183</v>
      </c>
      <c r="AN156" s="67">
        <v>230.76616679720189</v>
      </c>
      <c r="AV156" s="67">
        <v>39.106630105218763</v>
      </c>
      <c r="AW156" s="67">
        <v>111.87811550479231</v>
      </c>
      <c r="AY156" s="67">
        <v>39.467945584633412</v>
      </c>
      <c r="AZ156" s="67">
        <v>127.306011490022</v>
      </c>
      <c r="BE156" s="67">
        <v>26.44676661108835</v>
      </c>
      <c r="BF156" s="67">
        <v>83.66640942215524</v>
      </c>
    </row>
    <row r="157" spans="22:58" x14ac:dyDescent="0.25">
      <c r="V157" s="67">
        <v>152.00000000000401</v>
      </c>
      <c r="W157" s="67">
        <v>77.396838145663409</v>
      </c>
      <c r="X157" s="67">
        <v>47.017973630432493</v>
      </c>
      <c r="Y157" s="67">
        <v>160.40570340483231</v>
      </c>
      <c r="AA157" s="67">
        <v>151.7600000000038</v>
      </c>
      <c r="AB157" s="67">
        <v>120.6017943127399</v>
      </c>
      <c r="AC157" s="67">
        <v>55.980315607620007</v>
      </c>
      <c r="AD157" s="67">
        <v>370.28737645627967</v>
      </c>
      <c r="AF157" s="67">
        <v>152.00000000000401</v>
      </c>
      <c r="AG157" s="67">
        <v>64.178698897420247</v>
      </c>
      <c r="AH157" s="67">
        <v>32.100219621557699</v>
      </c>
      <c r="AI157" s="67">
        <v>147.84703623280501</v>
      </c>
      <c r="AK157" s="67">
        <v>151.5600000000037</v>
      </c>
      <c r="AL157" s="67">
        <v>75.629521823623378</v>
      </c>
      <c r="AM157" s="67">
        <v>38.071507600044917</v>
      </c>
      <c r="AN157" s="67">
        <v>235.51051737673339</v>
      </c>
      <c r="AV157" s="67">
        <v>39.076651879743338</v>
      </c>
      <c r="AW157" s="67">
        <v>111.5644697827972</v>
      </c>
      <c r="AY157" s="67">
        <v>39.446226105048012</v>
      </c>
      <c r="AZ157" s="67">
        <v>127.057074127216</v>
      </c>
      <c r="BE157" s="67">
        <v>26.431797125213489</v>
      </c>
      <c r="BF157" s="67">
        <v>83.584985913572979</v>
      </c>
    </row>
    <row r="158" spans="22:58" x14ac:dyDescent="0.25">
      <c r="V158" s="67">
        <v>153.00000000000449</v>
      </c>
      <c r="W158" s="67">
        <v>76.957532335346528</v>
      </c>
      <c r="X158" s="67">
        <v>47.040424940733708</v>
      </c>
      <c r="Y158" s="67">
        <v>158.03352811506571</v>
      </c>
      <c r="AA158" s="67">
        <v>152.76000000000431</v>
      </c>
      <c r="AB158" s="67">
        <v>122.3517356627045</v>
      </c>
      <c r="AC158" s="67">
        <v>56.188160981159967</v>
      </c>
      <c r="AD158" s="67">
        <v>375.03172703581271</v>
      </c>
      <c r="AF158" s="67">
        <v>153.00000000000449</v>
      </c>
      <c r="AG158" s="67">
        <v>63.895537963033831</v>
      </c>
      <c r="AH158" s="67">
        <v>32.128810824870811</v>
      </c>
      <c r="AI158" s="67">
        <v>145.47486094303849</v>
      </c>
      <c r="AK158" s="67">
        <v>152.56000000000421</v>
      </c>
      <c r="AL158" s="67">
        <v>75.975142320539788</v>
      </c>
      <c r="AM158" s="67">
        <v>38.240428382704472</v>
      </c>
      <c r="AN158" s="67">
        <v>240.25486795626489</v>
      </c>
      <c r="AV158" s="67">
        <v>39.047254406237471</v>
      </c>
      <c r="AW158" s="67">
        <v>111.2550419845992</v>
      </c>
      <c r="AY158" s="67">
        <v>39.424969065574153</v>
      </c>
      <c r="AZ158" s="67">
        <v>126.8109258176523</v>
      </c>
      <c r="BE158" s="67">
        <v>26.4171402264253</v>
      </c>
      <c r="BF158" s="67">
        <v>83.504855018384973</v>
      </c>
    </row>
    <row r="159" spans="22:58" x14ac:dyDescent="0.25">
      <c r="V159" s="67">
        <v>154.000000000005</v>
      </c>
      <c r="W159" s="67">
        <v>76.505110284185577</v>
      </c>
      <c r="X159" s="67">
        <v>47.063205858063952</v>
      </c>
      <c r="Y159" s="67">
        <v>155.66135282529919</v>
      </c>
      <c r="AA159" s="67">
        <v>153.76000000000491</v>
      </c>
      <c r="AB159" s="67">
        <v>124.19729930625481</v>
      </c>
      <c r="AC159" s="67">
        <v>56.398227040326958</v>
      </c>
      <c r="AD159" s="67">
        <v>379.77607761534563</v>
      </c>
      <c r="AF159" s="67">
        <v>154.000000000005</v>
      </c>
      <c r="AG159" s="67">
        <v>63.596188348120812</v>
      </c>
      <c r="AH159" s="67">
        <v>32.157731658497653</v>
      </c>
      <c r="AI159" s="67">
        <v>143.102685653272</v>
      </c>
      <c r="AK159" s="67">
        <v>153.56000000000469</v>
      </c>
      <c r="AL159" s="67">
        <v>76.315559786306835</v>
      </c>
      <c r="AM159" s="67">
        <v>38.408369210804437</v>
      </c>
      <c r="AN159" s="67">
        <v>244.99921853579639</v>
      </c>
      <c r="AV159" s="67">
        <v>39.018431034229202</v>
      </c>
      <c r="AW159" s="67">
        <v>110.94978013372589</v>
      </c>
      <c r="AY159" s="67">
        <v>39.404168635212677</v>
      </c>
      <c r="AZ159" s="67">
        <v>126.5675306728381</v>
      </c>
      <c r="BE159" s="67">
        <v>26.402791131403831</v>
      </c>
      <c r="BF159" s="67">
        <v>83.425995286777422</v>
      </c>
    </row>
    <row r="160" spans="22:58" x14ac:dyDescent="0.25">
      <c r="V160" s="67">
        <v>155.00000000000551</v>
      </c>
      <c r="W160" s="67">
        <v>76.039231469152597</v>
      </c>
      <c r="X160" s="67">
        <v>47.08631417341519</v>
      </c>
      <c r="Y160" s="67">
        <v>153.28917753553279</v>
      </c>
      <c r="AA160" s="67">
        <v>154.76000000000539</v>
      </c>
      <c r="AB160" s="67">
        <v>126.1451090566091</v>
      </c>
      <c r="AC160" s="67">
        <v>56.610585636388628</v>
      </c>
      <c r="AD160" s="67">
        <v>384.5204281948786</v>
      </c>
      <c r="AF160" s="67">
        <v>155.00000000000551</v>
      </c>
      <c r="AG160" s="67">
        <v>63.280245127890268</v>
      </c>
      <c r="AH160" s="67">
        <v>32.186969060586023</v>
      </c>
      <c r="AI160" s="67">
        <v>140.73051036350549</v>
      </c>
      <c r="AK160" s="67">
        <v>154.56000000000529</v>
      </c>
      <c r="AL160" s="67">
        <v>76.651849188769717</v>
      </c>
      <c r="AM160" s="67">
        <v>38.575202823757763</v>
      </c>
      <c r="AN160" s="67">
        <v>249.74356911532789</v>
      </c>
      <c r="AV160" s="67">
        <v>38.990175175091963</v>
      </c>
      <c r="AW160" s="67">
        <v>110.6486328395558</v>
      </c>
      <c r="AY160" s="67">
        <v>39.383819044795473</v>
      </c>
      <c r="AZ160" s="67">
        <v>126.32685325568811</v>
      </c>
      <c r="BE160" s="67">
        <v>26.38874512042884</v>
      </c>
      <c r="BF160" s="67">
        <v>83.348385616081757</v>
      </c>
    </row>
    <row r="161" spans="22:58" x14ac:dyDescent="0.25">
      <c r="V161" s="67">
        <v>156.000000000006</v>
      </c>
      <c r="W161" s="67">
        <v>75.55955298033291</v>
      </c>
      <c r="X161" s="67">
        <v>47.109747283827353</v>
      </c>
      <c r="Y161" s="67">
        <v>150.9170022457663</v>
      </c>
      <c r="AA161" s="67">
        <v>155.7600000000059</v>
      </c>
      <c r="AB161" s="67">
        <v>128.20213445425469</v>
      </c>
      <c r="AC161" s="67">
        <v>56.825307924107051</v>
      </c>
      <c r="AD161" s="67">
        <v>389.26477877441158</v>
      </c>
      <c r="AF161" s="67">
        <v>156.000000000006</v>
      </c>
      <c r="AG161" s="67">
        <v>62.947303162587239</v>
      </c>
      <c r="AH161" s="67">
        <v>32.21651025152596</v>
      </c>
      <c r="AI161" s="67">
        <v>138.358335073739</v>
      </c>
      <c r="AK161" s="67">
        <v>155.5600000000058</v>
      </c>
      <c r="AL161" s="67">
        <v>76.985194502937432</v>
      </c>
      <c r="AM161" s="67">
        <v>38.740892667062269</v>
      </c>
      <c r="AN161" s="67">
        <v>254.48791969485939</v>
      </c>
      <c r="AV161" s="67">
        <v>38.962480301446313</v>
      </c>
      <c r="AW161" s="67">
        <v>110.35154929037181</v>
      </c>
      <c r="AY161" s="67">
        <v>39.363914586339853</v>
      </c>
      <c r="AZ161" s="67">
        <v>126.08885857484751</v>
      </c>
      <c r="BE161" s="67">
        <v>26.374997536418189</v>
      </c>
      <c r="BF161" s="67">
        <v>83.272005245076329</v>
      </c>
    </row>
    <row r="162" spans="22:58" x14ac:dyDescent="0.25">
      <c r="V162" s="67">
        <v>157.00000000000651</v>
      </c>
      <c r="W162" s="67">
        <v>75.065729575920571</v>
      </c>
      <c r="X162" s="67">
        <v>47.133502218186607</v>
      </c>
      <c r="Y162" s="67">
        <v>148.54482695599981</v>
      </c>
      <c r="AA162" s="67">
        <v>156.76000000000639</v>
      </c>
      <c r="AB162" s="67">
        <v>130.37569662119441</v>
      </c>
      <c r="AC162" s="67">
        <v>57.042464143404118</v>
      </c>
      <c r="AD162" s="67">
        <v>394.00912935394462</v>
      </c>
      <c r="AF162" s="67">
        <v>157.00000000000651</v>
      </c>
      <c r="AG162" s="67">
        <v>62.596957185483191</v>
      </c>
      <c r="AH162" s="67">
        <v>32.246342778357644</v>
      </c>
      <c r="AI162" s="67">
        <v>135.98615978397251</v>
      </c>
      <c r="AK162" s="67">
        <v>156.56000000000631</v>
      </c>
      <c r="AL162" s="67">
        <v>77.31690780990057</v>
      </c>
      <c r="AM162" s="67">
        <v>38.905472461832566</v>
      </c>
      <c r="AN162" s="67">
        <v>259.23227027439083</v>
      </c>
      <c r="AV162" s="67">
        <v>38.935339946568149</v>
      </c>
      <c r="AW162" s="67">
        <v>110.05847924652041</v>
      </c>
      <c r="AY162" s="67">
        <v>39.34444961241077</v>
      </c>
      <c r="AZ162" s="67">
        <v>125.8535120790969</v>
      </c>
      <c r="BE162" s="67">
        <v>26.361543783972891</v>
      </c>
      <c r="BF162" s="67">
        <v>83.196833748351352</v>
      </c>
    </row>
    <row r="163" spans="22:58" x14ac:dyDescent="0.25">
      <c r="V163" s="67">
        <v>158.00000000000699</v>
      </c>
      <c r="W163" s="67">
        <v>74.557413736010147</v>
      </c>
      <c r="X163" s="67">
        <v>47.1575756649288</v>
      </c>
      <c r="Y163" s="67">
        <v>146.17265166623329</v>
      </c>
      <c r="AA163" s="67">
        <v>157.7600000000069</v>
      </c>
      <c r="AB163" s="67">
        <v>132.67347313166439</v>
      </c>
      <c r="AC163" s="67">
        <v>57.26212282254096</v>
      </c>
      <c r="AD163" s="67">
        <v>398.75347993347759</v>
      </c>
      <c r="AF163" s="67">
        <v>158.00000000000699</v>
      </c>
      <c r="AG163" s="67">
        <v>62.228801876718677</v>
      </c>
      <c r="AH163" s="67">
        <v>32.276454556328531</v>
      </c>
      <c r="AI163" s="67">
        <v>133.61398449420619</v>
      </c>
      <c r="AK163" s="67">
        <v>157.5600000000068</v>
      </c>
      <c r="AL163" s="67">
        <v>77.648436260436966</v>
      </c>
      <c r="AM163" s="67">
        <v>39.069026004759728</v>
      </c>
      <c r="AN163" s="67">
        <v>263.97662085392233</v>
      </c>
      <c r="AV163" s="67">
        <v>38.908747703807933</v>
      </c>
      <c r="AW163" s="67">
        <v>109.76937303367831</v>
      </c>
      <c r="AY163" s="67">
        <v>39.325418535492069</v>
      </c>
      <c r="AZ163" s="67">
        <v>125.6207796518307</v>
      </c>
      <c r="BE163" s="67">
        <v>26.348379328433921</v>
      </c>
      <c r="BF163" s="67">
        <v>83.122851030753978</v>
      </c>
    </row>
    <row r="164" spans="22:58" x14ac:dyDescent="0.25">
      <c r="V164" s="67">
        <v>159.0000000000075</v>
      </c>
      <c r="W164" s="67">
        <v>74.034255715652108</v>
      </c>
      <c r="X164" s="67">
        <v>47.181964001709957</v>
      </c>
      <c r="Y164" s="67">
        <v>143.8004763764668</v>
      </c>
      <c r="AA164" s="67">
        <v>158.76000000000741</v>
      </c>
      <c r="AB164" s="67">
        <v>135.10350343668031</v>
      </c>
      <c r="AC164" s="67">
        <v>57.484349541332563</v>
      </c>
      <c r="AD164" s="67">
        <v>403.49783051301063</v>
      </c>
      <c r="AF164" s="67">
        <v>159.0000000000075</v>
      </c>
      <c r="AG164" s="67">
        <v>61.842431922374807</v>
      </c>
      <c r="AH164" s="67">
        <v>32.306833906792583</v>
      </c>
      <c r="AI164" s="67">
        <v>131.24180920444039</v>
      </c>
      <c r="AK164" s="67">
        <v>158.56000000000731</v>
      </c>
      <c r="AL164" s="67">
        <v>77.98135784803813</v>
      </c>
      <c r="AM164" s="67">
        <v>39.231669138524687</v>
      </c>
      <c r="AN164" s="67">
        <v>268.72097143345388</v>
      </c>
      <c r="AV164" s="67">
        <v>38.882697226013867</v>
      </c>
      <c r="AW164" s="67">
        <v>109.48418153621471</v>
      </c>
      <c r="AY164" s="67">
        <v>39.306815827367011</v>
      </c>
      <c r="AZ164" s="67">
        <v>125.39062760561301</v>
      </c>
      <c r="BE164" s="67">
        <v>26.335499694955409</v>
      </c>
      <c r="BF164" s="67">
        <v>83.050037321917245</v>
      </c>
    </row>
    <row r="165" spans="22:58" x14ac:dyDescent="0.25">
      <c r="V165" s="67">
        <v>160.00000000000799</v>
      </c>
      <c r="W165" s="67">
        <v>73.495903597385279</v>
      </c>
      <c r="X165" s="67">
        <v>47.206663326976411</v>
      </c>
      <c r="Y165" s="67">
        <v>141.42830108670029</v>
      </c>
      <c r="AA165" s="67">
        <v>159.76000000000789</v>
      </c>
      <c r="AB165" s="67">
        <v>137.67419633895381</v>
      </c>
      <c r="AC165" s="67">
        <v>57.70920543798195</v>
      </c>
      <c r="AD165" s="67">
        <v>408.24218109254349</v>
      </c>
      <c r="AF165" s="67">
        <v>160.00000000000799</v>
      </c>
      <c r="AG165" s="67">
        <v>61.437442058567271</v>
      </c>
      <c r="AH165" s="67">
        <v>32.337469590866988</v>
      </c>
      <c r="AI165" s="67">
        <v>128.86963391467469</v>
      </c>
      <c r="AK165" s="67">
        <v>159.56000000000779</v>
      </c>
      <c r="AL165" s="67">
        <v>78.317368571042536</v>
      </c>
      <c r="AM165" s="67">
        <v>39.393535297438227</v>
      </c>
      <c r="AN165" s="67">
        <v>273.46532201298692</v>
      </c>
      <c r="AV165" s="67">
        <v>38.85718222496638</v>
      </c>
      <c r="AW165" s="67">
        <v>109.2028561906679</v>
      </c>
      <c r="AY165" s="67">
        <v>39.288636018502388</v>
      </c>
      <c r="AZ165" s="67">
        <v>125.1630226767976</v>
      </c>
      <c r="BE165" s="67">
        <v>26.322900467586091</v>
      </c>
      <c r="BF165" s="67">
        <v>82.978373170864316</v>
      </c>
    </row>
    <row r="166" spans="22:58" x14ac:dyDescent="0.25">
      <c r="V166" s="67">
        <v>161.00000000000861</v>
      </c>
      <c r="W166" s="67">
        <v>72.94200334326365</v>
      </c>
      <c r="X166" s="67">
        <v>47.231669493254117</v>
      </c>
      <c r="Y166" s="67">
        <v>139.0561257969338</v>
      </c>
      <c r="AA166" s="67">
        <v>160.7600000000084</v>
      </c>
      <c r="AB166" s="67">
        <v>140.39434065514089</v>
      </c>
      <c r="AC166" s="67">
        <v>57.936745658984023</v>
      </c>
      <c r="AD166" s="67">
        <v>412.98653167207652</v>
      </c>
      <c r="AF166" s="67">
        <v>161.00000000000861</v>
      </c>
      <c r="AG166" s="67">
        <v>61.013427100740337</v>
      </c>
      <c r="AH166" s="67">
        <v>32.368350838448812</v>
      </c>
      <c r="AI166" s="67">
        <v>126.497458624909</v>
      </c>
      <c r="AK166" s="67">
        <v>160.5600000000083</v>
      </c>
      <c r="AL166" s="67">
        <v>78.658264094923283</v>
      </c>
      <c r="AM166" s="67">
        <v>39.554765265210733</v>
      </c>
      <c r="AN166" s="67">
        <v>278.20967259251989</v>
      </c>
      <c r="AV166" s="67">
        <v>38.832196470818189</v>
      </c>
      <c r="AW166" s="67">
        <v>108.9253489793111</v>
      </c>
      <c r="AY166" s="67">
        <v>39.270873697446547</v>
      </c>
      <c r="AZ166" s="67">
        <v>124.93793202022439</v>
      </c>
      <c r="BE166" s="67">
        <v>26.310577288367551</v>
      </c>
      <c r="BF166" s="67">
        <v>82.907839440686175</v>
      </c>
    </row>
    <row r="167" spans="22:58" x14ac:dyDescent="0.25">
      <c r="V167" s="67">
        <v>162.00000000000909</v>
      </c>
      <c r="W167" s="67">
        <v>72.372198846247557</v>
      </c>
      <c r="X167" s="67">
        <v>47.256978141862987</v>
      </c>
      <c r="Y167" s="67">
        <v>136.68395050716731</v>
      </c>
      <c r="AA167" s="67">
        <v>161.76000000000889</v>
      </c>
      <c r="AB167" s="67">
        <v>143.2731195880088</v>
      </c>
      <c r="AC167" s="67">
        <v>58.167017938344543</v>
      </c>
      <c r="AD167" s="67">
        <v>417.7308822516095</v>
      </c>
      <c r="AF167" s="67">
        <v>162.00000000000909</v>
      </c>
      <c r="AG167" s="67">
        <v>60.569981958693077</v>
      </c>
      <c r="AH167" s="67">
        <v>32.399467372368058</v>
      </c>
      <c r="AI167" s="67">
        <v>124.12528333514319</v>
      </c>
      <c r="AK167" s="67">
        <v>161.56000000000881</v>
      </c>
      <c r="AL167" s="67">
        <v>79.005919039499645</v>
      </c>
      <c r="AM167" s="67">
        <v>39.715501145464657</v>
      </c>
      <c r="AN167" s="67">
        <v>282.95402317205293</v>
      </c>
      <c r="AV167" s="67">
        <v>38.807733791543683</v>
      </c>
      <c r="AW167" s="67">
        <v>108.65161242382911</v>
      </c>
      <c r="AY167" s="67">
        <v>39.25352351023124</v>
      </c>
      <c r="AZ167" s="67">
        <v>124.7153232039875</v>
      </c>
      <c r="BE167" s="67">
        <v>26.298525856444979</v>
      </c>
      <c r="BF167" s="67">
        <v>82.838417303305661</v>
      </c>
    </row>
    <row r="168" spans="22:58" x14ac:dyDescent="0.25">
      <c r="V168" s="67">
        <v>163.00000000000961</v>
      </c>
      <c r="W168" s="67">
        <v>71.786131980741615</v>
      </c>
      <c r="X168" s="67">
        <v>47.282584738679759</v>
      </c>
      <c r="Y168" s="67">
        <v>134.31177521740079</v>
      </c>
      <c r="AA168" s="67">
        <v>162.76000000000951</v>
      </c>
      <c r="AB168" s="67">
        <v>146.32012858973411</v>
      </c>
      <c r="AC168" s="67">
        <v>58.400061456239882</v>
      </c>
      <c r="AD168" s="67">
        <v>422.47523283114248</v>
      </c>
      <c r="AF168" s="67">
        <v>163.00000000000961</v>
      </c>
      <c r="AG168" s="67">
        <v>60.106701638178379</v>
      </c>
      <c r="AH168" s="67">
        <v>32.430809427571148</v>
      </c>
      <c r="AI168" s="67">
        <v>121.7531080453775</v>
      </c>
      <c r="AK168" s="67">
        <v>162.56000000000941</v>
      </c>
      <c r="AL168" s="67">
        <v>79.362266705716621</v>
      </c>
      <c r="AM168" s="67">
        <v>39.875884120820103</v>
      </c>
      <c r="AN168" s="67">
        <v>287.69837375158579</v>
      </c>
      <c r="AV168" s="67">
        <v>38.783788072394707</v>
      </c>
      <c r="AW168" s="67">
        <v>108.3815995790887</v>
      </c>
      <c r="AY168" s="67">
        <v>39.236580159781028</v>
      </c>
      <c r="AZ168" s="67">
        <v>124.4951642042636</v>
      </c>
      <c r="BE168" s="67">
        <v>26.286741927193891</v>
      </c>
      <c r="BF168" s="67">
        <v>82.77008823431305</v>
      </c>
    </row>
    <row r="169" spans="22:58" x14ac:dyDescent="0.25">
      <c r="V169" s="67">
        <v>164.00000000001009</v>
      </c>
      <c r="W169" s="67">
        <v>71.183442652022563</v>
      </c>
      <c r="X169" s="67">
        <v>47.308484610497658</v>
      </c>
      <c r="Y169" s="67">
        <v>131.9395999276351</v>
      </c>
      <c r="AA169" s="67">
        <v>163.76000000001</v>
      </c>
      <c r="AB169" s="67">
        <v>149.5453957947658</v>
      </c>
      <c r="AC169" s="67">
        <v>58.635906078179573</v>
      </c>
      <c r="AD169" s="67">
        <v>427.21958341067551</v>
      </c>
      <c r="AF169" s="67">
        <v>164.00000000001009</v>
      </c>
      <c r="AG169" s="67">
        <v>59.623181230186539</v>
      </c>
      <c r="AH169" s="67">
        <v>32.462367765326348</v>
      </c>
      <c r="AI169" s="67">
        <v>119.3809327556117</v>
      </c>
      <c r="AK169" s="67">
        <v>163.56000000000989</v>
      </c>
      <c r="AL169" s="67">
        <v>79.729281204596063</v>
      </c>
      <c r="AM169" s="67">
        <v>40.036055329480689</v>
      </c>
      <c r="AN169" s="67">
        <v>292.44272433111882</v>
      </c>
      <c r="AV169" s="67">
        <v>38.760353255364457</v>
      </c>
      <c r="AW169" s="67">
        <v>108.1152640270054</v>
      </c>
      <c r="AY169" s="67">
        <v>39.22003840533462</v>
      </c>
      <c r="AZ169" s="67">
        <v>124.2774234002208</v>
      </c>
      <c r="BE169" s="67">
        <v>26.275221311360969</v>
      </c>
      <c r="BF169" s="67">
        <v>82.702834007884178</v>
      </c>
    </row>
    <row r="170" spans="22:58" x14ac:dyDescent="0.25">
      <c r="V170" s="67">
        <v>165.0000000000106</v>
      </c>
      <c r="W170" s="67">
        <v>70.56376884430631</v>
      </c>
      <c r="X170" s="67">
        <v>47.334672981492083</v>
      </c>
      <c r="Y170" s="67">
        <v>129.56742463786941</v>
      </c>
      <c r="AA170" s="67">
        <v>164.76000000001051</v>
      </c>
      <c r="AB170" s="67">
        <v>152.95940359736929</v>
      </c>
      <c r="AC170" s="67">
        <v>58.87457202394512</v>
      </c>
      <c r="AD170" s="67">
        <v>431.96393399020837</v>
      </c>
      <c r="AF170" s="67">
        <v>165.0000000000106</v>
      </c>
      <c r="AG170" s="67">
        <v>59.119015889268198</v>
      </c>
      <c r="AH170" s="67">
        <v>32.494133682534709</v>
      </c>
      <c r="AI170" s="67">
        <v>117.008757465846</v>
      </c>
      <c r="AK170" s="67">
        <v>164.5600000000104</v>
      </c>
      <c r="AL170" s="67">
        <v>80.108961695826267</v>
      </c>
      <c r="AM170" s="67">
        <v>40.196159107543913</v>
      </c>
      <c r="AN170" s="67">
        <v>297.1870749106518</v>
      </c>
      <c r="AV170" s="67">
        <v>38.737423338659077</v>
      </c>
      <c r="AW170" s="67">
        <v>107.852559870509</v>
      </c>
      <c r="AY170" s="67">
        <v>39.203893061868271</v>
      </c>
      <c r="AZ170" s="67">
        <v>124.0620695689864</v>
      </c>
      <c r="BE170" s="67">
        <v>26.263959874219651</v>
      </c>
      <c r="BF170" s="67">
        <v>82.636636691770363</v>
      </c>
    </row>
    <row r="171" spans="22:58" x14ac:dyDescent="0.25">
      <c r="V171" s="67">
        <v>165.90000000001109</v>
      </c>
      <c r="W171" s="67">
        <v>69.991239970446742</v>
      </c>
      <c r="X171" s="67">
        <v>47.358485180727598</v>
      </c>
      <c r="Y171" s="67">
        <v>127.4324668770802</v>
      </c>
      <c r="AA171" s="67">
        <v>165.76000000001099</v>
      </c>
      <c r="AB171" s="67">
        <v>156.57310975619609</v>
      </c>
      <c r="AC171" s="67">
        <v>59.116069968537772</v>
      </c>
      <c r="AD171" s="67">
        <v>436.70828456974141</v>
      </c>
      <c r="AF171" s="67">
        <v>166.00000000001111</v>
      </c>
      <c r="AG171" s="67">
        <v>58.593800802436952</v>
      </c>
      <c r="AH171" s="67">
        <v>32.526099016266471</v>
      </c>
      <c r="AI171" s="67">
        <v>114.6365821760802</v>
      </c>
      <c r="AK171" s="67">
        <v>165.56000000001089</v>
      </c>
      <c r="AL171" s="67">
        <v>80.503309955478443</v>
      </c>
      <c r="AM171" s="67">
        <v>40.356348064964038</v>
      </c>
      <c r="AN171" s="67">
        <v>301.93142549018478</v>
      </c>
      <c r="AV171" s="67">
        <v>38.714992376176667</v>
      </c>
      <c r="AW171" s="67">
        <v>107.5934417275965</v>
      </c>
      <c r="AY171" s="67">
        <v>39.188138999532221</v>
      </c>
      <c r="AZ171" s="67">
        <v>123.8490718806823</v>
      </c>
      <c r="BE171" s="67">
        <v>26.25295353474398</v>
      </c>
      <c r="BF171" s="67">
        <v>82.571478642370622</v>
      </c>
    </row>
    <row r="172" spans="22:58" x14ac:dyDescent="0.25">
      <c r="V172" s="67">
        <v>166.78000000001151</v>
      </c>
      <c r="W172" s="67">
        <v>70.834965314090439</v>
      </c>
      <c r="X172" s="67">
        <v>48.827921560827797</v>
      </c>
      <c r="Y172" s="67">
        <v>127.4324668770802</v>
      </c>
      <c r="AA172" s="67">
        <v>166.7600000000115</v>
      </c>
      <c r="AB172" s="67">
        <v>160.39796655411371</v>
      </c>
      <c r="AC172" s="67">
        <v>59.360401538875983</v>
      </c>
      <c r="AD172" s="67">
        <v>441.45263514927439</v>
      </c>
      <c r="AF172" s="67">
        <v>167.0000000000116</v>
      </c>
      <c r="AG172" s="67">
        <v>58.047131150360691</v>
      </c>
      <c r="AH172" s="67">
        <v>32.558256143708832</v>
      </c>
      <c r="AI172" s="67">
        <v>112.2644068863145</v>
      </c>
      <c r="AK172" s="67">
        <v>166.5600000000114</v>
      </c>
      <c r="AL172" s="67">
        <v>80.914107474281778</v>
      </c>
      <c r="AM172" s="67">
        <v>40.516792592163142</v>
      </c>
      <c r="AN172" s="67">
        <v>306.67577606971781</v>
      </c>
      <c r="AV172" s="67">
        <v>38.693054476993147</v>
      </c>
      <c r="AW172" s="67">
        <v>107.3378647254907</v>
      </c>
      <c r="AY172" s="67">
        <v>39.172771143089079</v>
      </c>
      <c r="AZ172" s="67">
        <v>123.63839989352429</v>
      </c>
      <c r="BE172" s="67">
        <v>26.242198264799121</v>
      </c>
      <c r="BF172" s="67">
        <v>82.507342499884203</v>
      </c>
    </row>
    <row r="173" spans="22:58" x14ac:dyDescent="0.25">
      <c r="V173" s="67">
        <v>167.780000000012</v>
      </c>
      <c r="W173" s="67">
        <v>71.48438139174165</v>
      </c>
      <c r="X173" s="67">
        <v>49.962258625139498</v>
      </c>
      <c r="Y173" s="67">
        <v>127.4324668770802</v>
      </c>
      <c r="AA173" s="67">
        <v>167.76000000001201</v>
      </c>
      <c r="AB173" s="67">
        <v>164.44593696269141</v>
      </c>
      <c r="AC173" s="67">
        <v>59.60756014074002</v>
      </c>
      <c r="AD173" s="67">
        <v>446.19698572880742</v>
      </c>
      <c r="AF173" s="67">
        <v>168.00000000001211</v>
      </c>
      <c r="AG173" s="67">
        <v>57.478602062661913</v>
      </c>
      <c r="AH173" s="67">
        <v>32.590597977730908</v>
      </c>
      <c r="AI173" s="67">
        <v>109.8922315965488</v>
      </c>
      <c r="AK173" s="67">
        <v>167.56000000001191</v>
      </c>
      <c r="AL173" s="67">
        <v>81.342605101239272</v>
      </c>
      <c r="AM173" s="67">
        <v>40.677715201474939</v>
      </c>
      <c r="AN173" s="67">
        <v>311.42012664925068</v>
      </c>
      <c r="AV173" s="67">
        <v>38.671603804856197</v>
      </c>
      <c r="AW173" s="67">
        <v>107.0857844948781</v>
      </c>
      <c r="AY173" s="67">
        <v>39.157784471365773</v>
      </c>
      <c r="AZ173" s="67">
        <v>123.4300235489918</v>
      </c>
      <c r="BE173" s="67">
        <v>26.231690088345161</v>
      </c>
      <c r="BF173" s="67">
        <v>82.444211183527301</v>
      </c>
    </row>
    <row r="174" spans="22:58" x14ac:dyDescent="0.25">
      <c r="V174" s="67">
        <v>168.78000000001251</v>
      </c>
      <c r="W174" s="67">
        <v>71.912030866162894</v>
      </c>
      <c r="X174" s="67">
        <v>50.710770838402993</v>
      </c>
      <c r="Y174" s="67">
        <v>127.4324668770802</v>
      </c>
      <c r="AA174" s="67">
        <v>168.7600000000125</v>
      </c>
      <c r="AB174" s="67">
        <v>168.7295073258401</v>
      </c>
      <c r="AC174" s="67">
        <v>59.857532030111088</v>
      </c>
      <c r="AD174" s="67">
        <v>450.94133630834028</v>
      </c>
      <c r="AF174" s="67">
        <v>169.00000000001259</v>
      </c>
      <c r="AG174" s="67">
        <v>56.887808569223658</v>
      </c>
      <c r="AH174" s="67">
        <v>32.623117958300213</v>
      </c>
      <c r="AI174" s="67">
        <v>107.520056306783</v>
      </c>
      <c r="AK174" s="67">
        <v>168.56000000001239</v>
      </c>
      <c r="AL174" s="67">
        <v>81.790897714369365</v>
      </c>
      <c r="AM174" s="67">
        <v>40.839384783614783</v>
      </c>
      <c r="AN174" s="67">
        <v>316.16447722878371</v>
      </c>
      <c r="AV174" s="67">
        <v>38.650634577684968</v>
      </c>
      <c r="AW174" s="67">
        <v>106.8371571642349</v>
      </c>
      <c r="AY174" s="67">
        <v>39.143174016708002</v>
      </c>
      <c r="AZ174" s="67">
        <v>123.2239131670546</v>
      </c>
      <c r="BE174" s="67">
        <v>26.221425080662211</v>
      </c>
      <c r="BF174" s="67">
        <v>82.382067886835557</v>
      </c>
    </row>
    <row r="175" spans="22:58" x14ac:dyDescent="0.25">
      <c r="V175" s="67">
        <v>169.78000000001299</v>
      </c>
      <c r="W175" s="67">
        <v>72.193350787298044</v>
      </c>
      <c r="X175" s="67">
        <v>51.203817337866099</v>
      </c>
      <c r="Y175" s="67">
        <v>127.4324668770802</v>
      </c>
      <c r="AA175" s="67">
        <v>169.76000000001301</v>
      </c>
      <c r="AB175" s="67">
        <v>173.26169663030299</v>
      </c>
      <c r="AC175" s="67">
        <v>60.110297531403717</v>
      </c>
      <c r="AD175" s="67">
        <v>455.68568688787332</v>
      </c>
      <c r="AF175" s="67">
        <v>170.00000000001319</v>
      </c>
      <c r="AG175" s="67">
        <v>56.274345549444057</v>
      </c>
      <c r="AH175" s="67">
        <v>32.655810040012803</v>
      </c>
      <c r="AI175" s="67">
        <v>105.1478810170173</v>
      </c>
      <c r="AK175" s="67">
        <v>169.56000000001291</v>
      </c>
      <c r="AL175" s="67">
        <v>82.261491805080624</v>
      </c>
      <c r="AM175" s="67">
        <v>41.002083577224198</v>
      </c>
      <c r="AN175" s="67">
        <v>320.90882780831669</v>
      </c>
      <c r="AV175" s="67">
        <v>38.630141067080437</v>
      </c>
      <c r="AW175" s="67">
        <v>106.59193935426509</v>
      </c>
      <c r="AY175" s="67">
        <v>39.12893486444468</v>
      </c>
      <c r="AZ175" s="67">
        <v>123.02003944146649</v>
      </c>
      <c r="BE175" s="67">
        <v>26.211399367591291</v>
      </c>
      <c r="BF175" s="67">
        <v>82.320896073042775</v>
      </c>
    </row>
    <row r="176" spans="22:58" x14ac:dyDescent="0.25">
      <c r="V176" s="67">
        <v>170.78000000001359</v>
      </c>
      <c r="W176" s="67">
        <v>72.378289717785606</v>
      </c>
      <c r="X176" s="67">
        <v>51.528224448641588</v>
      </c>
      <c r="Y176" s="67">
        <v>127.4324668770802</v>
      </c>
      <c r="AA176" s="67">
        <v>170.76000000001349</v>
      </c>
      <c r="AB176" s="67">
        <v>178.056062843159</v>
      </c>
      <c r="AC176" s="67">
        <v>60.36583230279814</v>
      </c>
      <c r="AD176" s="67">
        <v>460.43003746740629</v>
      </c>
      <c r="AF176" s="67">
        <v>171.0000000000137</v>
      </c>
      <c r="AG176" s="67">
        <v>55.637807681367612</v>
      </c>
      <c r="AH176" s="67">
        <v>32.688668676002351</v>
      </c>
      <c r="AI176" s="67">
        <v>102.77570572725151</v>
      </c>
      <c r="AK176" s="67">
        <v>170.56000000001339</v>
      </c>
      <c r="AL176" s="67">
        <v>82.757179846081797</v>
      </c>
      <c r="AM176" s="67">
        <v>41.166095678796069</v>
      </c>
      <c r="AN176" s="67">
        <v>325.65317838784972</v>
      </c>
      <c r="AV176" s="67">
        <v>38.610117597836847</v>
      </c>
      <c r="AW176" s="67">
        <v>106.3500881723817</v>
      </c>
      <c r="AY176" s="67">
        <v>39.115062152357709</v>
      </c>
      <c r="AZ176" s="67">
        <v>122.8183734351104</v>
      </c>
      <c r="BE176" s="67">
        <v>26.201609124796072</v>
      </c>
      <c r="BF176" s="67">
        <v>82.260679470531571</v>
      </c>
    </row>
    <row r="177" spans="22:58" x14ac:dyDescent="0.25">
      <c r="V177" s="67">
        <v>171.7800000000141</v>
      </c>
      <c r="W177" s="67">
        <v>72.499817173887038</v>
      </c>
      <c r="X177" s="67">
        <v>51.741519495406578</v>
      </c>
      <c r="Y177" s="67">
        <v>127.4324668770802</v>
      </c>
      <c r="AA177" s="67">
        <v>171.76000000001409</v>
      </c>
      <c r="AB177" s="67">
        <v>183.1267070015025</v>
      </c>
      <c r="AC177" s="67">
        <v>60.624108556683723</v>
      </c>
      <c r="AD177" s="67">
        <v>465.17438804693933</v>
      </c>
      <c r="AF177" s="67">
        <v>172.00000000001421</v>
      </c>
      <c r="AG177" s="67">
        <v>54.977789392599988</v>
      </c>
      <c r="AH177" s="67">
        <v>32.721688798534792</v>
      </c>
      <c r="AI177" s="67">
        <v>100.4035304374858</v>
      </c>
      <c r="AK177" s="67">
        <v>171.56000000001401</v>
      </c>
      <c r="AL177" s="67">
        <v>83.281036208620719</v>
      </c>
      <c r="AM177" s="67">
        <v>41.331697932352263</v>
      </c>
      <c r="AN177" s="67">
        <v>330.3975289673827</v>
      </c>
      <c r="AV177" s="67">
        <v>38.590558547466507</v>
      </c>
      <c r="AW177" s="67">
        <v>106.1115612073215</v>
      </c>
      <c r="AY177" s="67">
        <v>39.10155107016115</v>
      </c>
      <c r="AZ177" s="67">
        <v>122.6188865754217</v>
      </c>
      <c r="BE177" s="67">
        <v>26.192050577035619</v>
      </c>
      <c r="BF177" s="67">
        <v>82.201402068351101</v>
      </c>
    </row>
    <row r="178" spans="22:58" x14ac:dyDescent="0.25">
      <c r="V178" s="67">
        <v>172.78000000001461</v>
      </c>
      <c r="W178" s="67">
        <v>72.579654002558684</v>
      </c>
      <c r="X178" s="67">
        <v>51.881694110604371</v>
      </c>
      <c r="Y178" s="67">
        <v>127.4324668770802</v>
      </c>
      <c r="AA178" s="67">
        <v>172.7600000000146</v>
      </c>
      <c r="AB178" s="67">
        <v>188.48827574528869</v>
      </c>
      <c r="AC178" s="67">
        <v>60.885096161005833</v>
      </c>
      <c r="AD178" s="67">
        <v>469.9187386264723</v>
      </c>
      <c r="AF178" s="67">
        <v>173.00000000001469</v>
      </c>
      <c r="AG178" s="67">
        <v>54.293884814819293</v>
      </c>
      <c r="AH178" s="67">
        <v>32.75486579658002</v>
      </c>
      <c r="AI178" s="67">
        <v>98.031355147720021</v>
      </c>
      <c r="AK178" s="67">
        <v>172.5600000000145</v>
      </c>
      <c r="AL178" s="67">
        <v>83.836415357333053</v>
      </c>
      <c r="AM178" s="67">
        <v>41.499151881697742</v>
      </c>
      <c r="AN178" s="67">
        <v>335.14187954691567</v>
      </c>
      <c r="AV178" s="67">
        <v>38.571458345726228</v>
      </c>
      <c r="AW178" s="67">
        <v>105.876316523803</v>
      </c>
      <c r="AY178" s="67">
        <v>39.088396858985867</v>
      </c>
      <c r="AZ178" s="67">
        <v>122.42155064985219</v>
      </c>
      <c r="BE178" s="67">
        <v>26.182719997466972</v>
      </c>
      <c r="BF178" s="67">
        <v>82.143048111826261</v>
      </c>
    </row>
    <row r="179" spans="22:58" x14ac:dyDescent="0.25">
      <c r="V179" s="67">
        <v>173.78000000001509</v>
      </c>
      <c r="W179" s="67">
        <v>72.632093209984973</v>
      </c>
      <c r="X179" s="67">
        <v>51.973787147424218</v>
      </c>
      <c r="Y179" s="67">
        <v>127.4324668770802</v>
      </c>
      <c r="AA179" s="67">
        <v>173.76000000001511</v>
      </c>
      <c r="AB179" s="67">
        <v>194.15596285700559</v>
      </c>
      <c r="AC179" s="67">
        <v>61.148763573200647</v>
      </c>
      <c r="AD179" s="67">
        <v>474.66308920600528</v>
      </c>
      <c r="AF179" s="67">
        <v>174.00000000001521</v>
      </c>
      <c r="AG179" s="67">
        <v>53.585687743599138</v>
      </c>
      <c r="AH179" s="67">
        <v>32.788195490688281</v>
      </c>
      <c r="AI179" s="67">
        <v>95.659179857954285</v>
      </c>
      <c r="AK179" s="67">
        <v>173.56000000001501</v>
      </c>
      <c r="AL179" s="67">
        <v>84.426945597811482</v>
      </c>
      <c r="AM179" s="67">
        <v>41.668697219643207</v>
      </c>
      <c r="AN179" s="67">
        <v>339.8862301264486</v>
      </c>
      <c r="AV179" s="67">
        <v>38.55281147415451</v>
      </c>
      <c r="AW179" s="67">
        <v>105.64431265729171</v>
      </c>
      <c r="AY179" s="67">
        <v>39.075594810872268</v>
      </c>
      <c r="AZ179" s="67">
        <v>122.2263378014097</v>
      </c>
      <c r="BE179" s="67">
        <v>26.173613706956171</v>
      </c>
      <c r="BF179" s="67">
        <v>82.085602098221756</v>
      </c>
    </row>
    <row r="180" spans="22:58" x14ac:dyDescent="0.25">
      <c r="V180" s="67">
        <v>174.7800000000156</v>
      </c>
      <c r="W180" s="67">
        <v>72.666532915894621</v>
      </c>
      <c r="X180" s="67">
        <v>52.03427924557991</v>
      </c>
      <c r="Y180" s="67">
        <v>127.4324668770802</v>
      </c>
      <c r="AA180" s="67">
        <v>174.76000000001559</v>
      </c>
      <c r="AB180" s="67">
        <v>200.1455102039512</v>
      </c>
      <c r="AC180" s="67">
        <v>61.41507858868431</v>
      </c>
      <c r="AD180" s="67">
        <v>479.40743978553832</v>
      </c>
      <c r="AF180" s="67">
        <v>175.00000000001569</v>
      </c>
      <c r="AG180" s="67">
        <v>52.85279160511152</v>
      </c>
      <c r="AH180" s="67">
        <v>32.821674105497998</v>
      </c>
      <c r="AI180" s="67">
        <v>93.287004568188536</v>
      </c>
      <c r="AK180" s="67">
        <v>174.56000000001549</v>
      </c>
      <c r="AL180" s="67">
        <v>85.056518131115254</v>
      </c>
      <c r="AM180" s="67">
        <v>41.84054722618572</v>
      </c>
      <c r="AN180" s="67">
        <v>344.63058070598157</v>
      </c>
      <c r="AV180" s="67">
        <v>38.534612465611588</v>
      </c>
      <c r="AW180" s="67">
        <v>105.415508608834</v>
      </c>
      <c r="AY180" s="67">
        <v>39.063140268268242</v>
      </c>
      <c r="AZ180" s="67">
        <v>122.03322052423751</v>
      </c>
      <c r="BE180" s="67">
        <v>26.164728073414459</v>
      </c>
      <c r="BF180" s="67">
        <v>82.029048772486306</v>
      </c>
    </row>
    <row r="181" spans="22:58" x14ac:dyDescent="0.25">
      <c r="V181" s="67">
        <v>175.78000000001609</v>
      </c>
      <c r="W181" s="67">
        <v>72.689149676378847</v>
      </c>
      <c r="X181" s="67">
        <v>52.074008879218582</v>
      </c>
      <c r="Y181" s="67">
        <v>127.4324668770802</v>
      </c>
      <c r="AA181" s="67">
        <v>175.76000000001611</v>
      </c>
      <c r="AB181" s="67">
        <v>206.4732083527002</v>
      </c>
      <c r="AC181" s="67">
        <v>61.684008915650217</v>
      </c>
      <c r="AD181" s="67">
        <v>484.15179036507118</v>
      </c>
      <c r="AF181" s="67">
        <v>176.0000000000162</v>
      </c>
      <c r="AG181" s="67">
        <v>52.094789431111707</v>
      </c>
      <c r="AH181" s="67">
        <v>32.855298240217451</v>
      </c>
      <c r="AI181" s="67">
        <v>90.914829278422786</v>
      </c>
      <c r="AK181" s="67">
        <v>175.560000000016</v>
      </c>
      <c r="AL181" s="67">
        <v>85.72927331942256</v>
      </c>
      <c r="AM181" s="67">
        <v>42.014886503888818</v>
      </c>
      <c r="AN181" s="67">
        <v>349.37493128551461</v>
      </c>
      <c r="AV181" s="67">
        <v>38.516855903830162</v>
      </c>
      <c r="AW181" s="67">
        <v>105.1898638399732</v>
      </c>
      <c r="AY181" s="67">
        <v>39.051028623535878</v>
      </c>
      <c r="AZ181" s="67">
        <v>121.84217165927041</v>
      </c>
      <c r="BE181" s="67">
        <v>26.15605951115074</v>
      </c>
      <c r="BF181" s="67">
        <v>81.973373123068257</v>
      </c>
    </row>
    <row r="182" spans="22:58" x14ac:dyDescent="0.25">
      <c r="V182" s="67">
        <v>176.7800000000166</v>
      </c>
      <c r="W182" s="67">
        <v>72.704001514065169</v>
      </c>
      <c r="X182" s="67">
        <v>52.100100066659991</v>
      </c>
      <c r="Y182" s="67">
        <v>127.4324668770802</v>
      </c>
      <c r="AA182" s="67">
        <v>176.54000000001651</v>
      </c>
      <c r="AB182" s="67">
        <v>208.99526775239141</v>
      </c>
      <c r="AC182" s="67">
        <v>61.587041362443642</v>
      </c>
      <c r="AD182" s="67">
        <v>486.71373967801912</v>
      </c>
      <c r="AF182" s="67">
        <v>177.00000000001671</v>
      </c>
      <c r="AG182" s="67">
        <v>51.311273843411428</v>
      </c>
      <c r="AH182" s="67">
        <v>32.889064837423753</v>
      </c>
      <c r="AI182" s="67">
        <v>88.542653988657037</v>
      </c>
      <c r="AK182" s="67">
        <v>176.56000000001649</v>
      </c>
      <c r="AL182" s="67">
        <v>86.449587028595261</v>
      </c>
      <c r="AM182" s="67">
        <v>42.191871029402307</v>
      </c>
      <c r="AN182" s="67">
        <v>354.11928186504758</v>
      </c>
      <c r="AV182" s="67">
        <v>38.499536422968283</v>
      </c>
      <c r="AW182" s="67">
        <v>104.9673382677356</v>
      </c>
      <c r="AY182" s="67">
        <v>39.039255318465038</v>
      </c>
      <c r="AZ182" s="67">
        <v>121.6531643899278</v>
      </c>
      <c r="BE182" s="67">
        <v>26.147604480246709</v>
      </c>
      <c r="BF182" s="67">
        <v>81.918560377801299</v>
      </c>
    </row>
    <row r="183" spans="22:58" x14ac:dyDescent="0.25">
      <c r="V183" s="67">
        <v>177.78000000001711</v>
      </c>
      <c r="W183" s="67">
        <v>72.713754017704119</v>
      </c>
      <c r="X183" s="67">
        <v>52.117233686405712</v>
      </c>
      <c r="Y183" s="67">
        <v>127.4324668770802</v>
      </c>
      <c r="AA183" s="67">
        <v>177.54000000001699</v>
      </c>
      <c r="AB183" s="67">
        <v>204.93440442718381</v>
      </c>
      <c r="AC183" s="67">
        <v>60.638042270434767</v>
      </c>
      <c r="AD183" s="67">
        <v>486.71373967801912</v>
      </c>
      <c r="AF183" s="67">
        <v>178.00000000001731</v>
      </c>
      <c r="AG183" s="67">
        <v>50.50183704883711</v>
      </c>
      <c r="AH183" s="67">
        <v>32.922971150528781</v>
      </c>
      <c r="AI183" s="67">
        <v>86.170478698891301</v>
      </c>
      <c r="AK183" s="67">
        <v>177.560000000017</v>
      </c>
      <c r="AL183" s="67">
        <v>87.222060148539654</v>
      </c>
      <c r="AM183" s="67">
        <v>42.371630209051148</v>
      </c>
      <c r="AN183" s="67">
        <v>358.86363244458062</v>
      </c>
      <c r="AV183" s="67">
        <v>38.482648707171677</v>
      </c>
      <c r="AW183" s="67">
        <v>104.747892259704</v>
      </c>
      <c r="AY183" s="67">
        <v>39.027815843790933</v>
      </c>
      <c r="AZ183" s="67">
        <v>121.46617223787599</v>
      </c>
      <c r="BE183" s="67">
        <v>26.13935948594694</v>
      </c>
      <c r="BF183" s="67">
        <v>81.864595999856562</v>
      </c>
    </row>
    <row r="184" spans="22:58" x14ac:dyDescent="0.25">
      <c r="V184" s="67">
        <v>178.78000000001771</v>
      </c>
      <c r="W184" s="67">
        <v>72.720157894308286</v>
      </c>
      <c r="X184" s="67">
        <v>52.12848462257449</v>
      </c>
      <c r="Y184" s="67">
        <v>127.4324668770802</v>
      </c>
      <c r="AA184" s="67">
        <v>178.5400000000175</v>
      </c>
      <c r="AB184" s="67">
        <v>201.28748430791791</v>
      </c>
      <c r="AC184" s="67">
        <v>59.785205443759423</v>
      </c>
      <c r="AD184" s="67">
        <v>486.71373967801912</v>
      </c>
      <c r="AF184" s="67">
        <v>179.00000000001779</v>
      </c>
      <c r="AG184" s="67">
        <v>49.666070845442391</v>
      </c>
      <c r="AH184" s="67">
        <v>32.957014710259052</v>
      </c>
      <c r="AI184" s="67">
        <v>83.798303409125552</v>
      </c>
      <c r="AK184" s="67">
        <v>178.56000000001751</v>
      </c>
      <c r="AL184" s="67">
        <v>88.051513996765337</v>
      </c>
      <c r="AM184" s="67">
        <v>42.55427031418526</v>
      </c>
      <c r="AN184" s="67">
        <v>363.60798302411348</v>
      </c>
      <c r="AV184" s="67">
        <v>38.466187490140904</v>
      </c>
      <c r="AW184" s="67">
        <v>104.5314866291538</v>
      </c>
      <c r="AY184" s="67">
        <v>39.016705738721328</v>
      </c>
      <c r="AZ184" s="67">
        <v>121.28116905883709</v>
      </c>
      <c r="BE184" s="67">
        <v>26.131321078071419</v>
      </c>
      <c r="BF184" s="67">
        <v>81.811465683763117</v>
      </c>
    </row>
    <row r="185" spans="22:58" x14ac:dyDescent="0.25">
      <c r="V185" s="67">
        <v>179.78000000001819</v>
      </c>
      <c r="W185" s="67">
        <v>72.724362873239869</v>
      </c>
      <c r="X185" s="67">
        <v>52.135872469167168</v>
      </c>
      <c r="Y185" s="67">
        <v>127.4324668770802</v>
      </c>
      <c r="AA185" s="67">
        <v>179.54000000001801</v>
      </c>
      <c r="AB185" s="67">
        <v>198.0116771848937</v>
      </c>
      <c r="AC185" s="67">
        <v>59.018668637682246</v>
      </c>
      <c r="AD185" s="67">
        <v>486.71373967801912</v>
      </c>
      <c r="AF185" s="67">
        <v>180.0000000000183</v>
      </c>
      <c r="AG185" s="67">
        <v>48.803566640509068</v>
      </c>
      <c r="AH185" s="67">
        <v>32.991193290497449</v>
      </c>
      <c r="AI185" s="67">
        <v>81.426128119359817</v>
      </c>
      <c r="AK185" s="67">
        <v>179.56000000001811</v>
      </c>
      <c r="AL185" s="67">
        <v>88.942993360419408</v>
      </c>
      <c r="AM185" s="67">
        <v>42.73987844861864</v>
      </c>
      <c r="AN185" s="67">
        <v>368.35233360364651</v>
      </c>
      <c r="AV185" s="67">
        <v>38.450147554704643</v>
      </c>
      <c r="AW185" s="67">
        <v>104.318082630267</v>
      </c>
      <c r="AY185" s="67">
        <v>39.005920590469131</v>
      </c>
      <c r="AZ185" s="67">
        <v>121.09812903845329</v>
      </c>
    </row>
    <row r="186" spans="22:58" x14ac:dyDescent="0.25">
      <c r="V186" s="67">
        <v>180.7800000000187</v>
      </c>
      <c r="W186" s="67">
        <v>72.727123964615245</v>
      </c>
      <c r="X186" s="67">
        <v>52.140723569964223</v>
      </c>
      <c r="Y186" s="67">
        <v>127.4324668770802</v>
      </c>
      <c r="AA186" s="67">
        <v>180.54000000001861</v>
      </c>
      <c r="AB186" s="67">
        <v>195.06866527195919</v>
      </c>
      <c r="AC186" s="67">
        <v>58.329597716545209</v>
      </c>
      <c r="AD186" s="67">
        <v>486.71373967801912</v>
      </c>
      <c r="AF186" s="67">
        <v>181.00000000001879</v>
      </c>
      <c r="AG186" s="67">
        <v>47.913915480624667</v>
      </c>
      <c r="AH186" s="67">
        <v>33.0255048738087</v>
      </c>
      <c r="AI186" s="67">
        <v>79.053952829594053</v>
      </c>
      <c r="AK186" s="67">
        <v>180.56000000001859</v>
      </c>
      <c r="AL186" s="67">
        <v>89.901777580293356</v>
      </c>
      <c r="AM186" s="67">
        <v>42.928526140642589</v>
      </c>
      <c r="AN186" s="67">
        <v>373.09668418317949</v>
      </c>
      <c r="AV186" s="67">
        <v>38.434523732399548</v>
      </c>
      <c r="AW186" s="67">
        <v>104.10764195341039</v>
      </c>
      <c r="AY186" s="67">
        <v>38.995456033790518</v>
      </c>
      <c r="AZ186" s="67">
        <v>120.9170266882015</v>
      </c>
    </row>
    <row r="187" spans="22:58" x14ac:dyDescent="0.25">
      <c r="V187" s="67">
        <v>181.78000000001919</v>
      </c>
      <c r="W187" s="67">
        <v>72.728936953600851</v>
      </c>
      <c r="X187" s="67">
        <v>52.143908928182213</v>
      </c>
      <c r="Y187" s="67">
        <v>127.4324668770802</v>
      </c>
      <c r="AA187" s="67">
        <v>181.54000000001909</v>
      </c>
      <c r="AB187" s="67">
        <v>192.42416313811569</v>
      </c>
      <c r="AC187" s="67">
        <v>57.710077914679459</v>
      </c>
      <c r="AD187" s="67">
        <v>486.71373967801912</v>
      </c>
      <c r="AF187" s="67">
        <v>182.0000000000193</v>
      </c>
      <c r="AG187" s="67">
        <v>46.996708093890838</v>
      </c>
      <c r="AH187" s="67">
        <v>33.059947616980651</v>
      </c>
      <c r="AI187" s="67">
        <v>76.681777539828317</v>
      </c>
      <c r="AK187" s="67">
        <v>181.5600000000191</v>
      </c>
      <c r="AL187" s="67">
        <v>90.933398588887243</v>
      </c>
      <c r="AM187" s="67">
        <v>43.120271806611584</v>
      </c>
      <c r="AN187" s="67">
        <v>377.84103476271252</v>
      </c>
      <c r="AV187" s="67">
        <v>38.419310903054793</v>
      </c>
      <c r="AW187" s="67">
        <v>103.9001267204851</v>
      </c>
      <c r="AY187" s="67">
        <v>38.985307750530801</v>
      </c>
      <c r="AZ187" s="67">
        <v>120.7378368413647</v>
      </c>
    </row>
    <row r="188" spans="22:58" x14ac:dyDescent="0.25">
      <c r="V188" s="67">
        <v>182.7800000000197</v>
      </c>
      <c r="W188" s="67">
        <v>72.730127394572705</v>
      </c>
      <c r="X188" s="67">
        <v>52.146000502685688</v>
      </c>
      <c r="Y188" s="67">
        <v>127.4324668770802</v>
      </c>
      <c r="AA188" s="67">
        <v>182.5400000000196</v>
      </c>
      <c r="AB188" s="67">
        <v>190.0474868618698</v>
      </c>
      <c r="AC188" s="67">
        <v>57.153016468130552</v>
      </c>
      <c r="AD188" s="67">
        <v>486.71373967801912</v>
      </c>
      <c r="AF188" s="67">
        <v>183.00000000001981</v>
      </c>
      <c r="AG188" s="67">
        <v>46.051534944072507</v>
      </c>
      <c r="AH188" s="67">
        <v>33.094519816875788</v>
      </c>
      <c r="AI188" s="67">
        <v>74.309602250062568</v>
      </c>
      <c r="AK188" s="67">
        <v>182.56000000001961</v>
      </c>
      <c r="AL188" s="67">
        <v>92.043663559903464</v>
      </c>
      <c r="AM188" s="67">
        <v>43.315161698542738</v>
      </c>
      <c r="AN188" s="67">
        <v>382.58538534224539</v>
      </c>
      <c r="AV188" s="67">
        <v>38.40450399438447</v>
      </c>
      <c r="AW188" s="67">
        <v>103.6954994803517</v>
      </c>
      <c r="AY188" s="67">
        <v>38.97547146917524</v>
      </c>
      <c r="AZ188" s="67">
        <v>120.5605346490467</v>
      </c>
    </row>
    <row r="189" spans="22:58" x14ac:dyDescent="0.25">
      <c r="V189" s="67">
        <v>183.78000000002021</v>
      </c>
      <c r="W189" s="67">
        <v>72.73090905739889</v>
      </c>
      <c r="X189" s="67">
        <v>52.147373869286469</v>
      </c>
      <c r="Y189" s="67">
        <v>127.4324668770802</v>
      </c>
      <c r="AA189" s="67">
        <v>183.54000000002009</v>
      </c>
      <c r="AB189" s="67">
        <v>187.9111683688478</v>
      </c>
      <c r="AC189" s="67">
        <v>56.652055559607113</v>
      </c>
      <c r="AD189" s="67">
        <v>486.71373967801912</v>
      </c>
      <c r="AF189" s="67">
        <v>184.00000000002029</v>
      </c>
      <c r="AG189" s="67">
        <v>45.077986296270993</v>
      </c>
      <c r="AH189" s="67">
        <v>33.129219876874231</v>
      </c>
      <c r="AI189" s="67">
        <v>71.937426960296833</v>
      </c>
      <c r="AK189" s="67">
        <v>183.5600000000201</v>
      </c>
      <c r="AL189" s="67">
        <v>93.238679184657471</v>
      </c>
      <c r="AM189" s="67">
        <v>43.513229430582783</v>
      </c>
      <c r="AN189" s="67">
        <v>387.32973592177842</v>
      </c>
      <c r="AV189" s="67">
        <v>38.390097981582237</v>
      </c>
      <c r="AW189" s="67">
        <v>103.4937232043015</v>
      </c>
      <c r="AY189" s="67">
        <v>38.965942964407787</v>
      </c>
      <c r="AZ189" s="67">
        <v>120.3850955762435</v>
      </c>
    </row>
    <row r="190" spans="22:58" x14ac:dyDescent="0.25">
      <c r="V190" s="67">
        <v>184.78000000002069</v>
      </c>
      <c r="W190" s="67">
        <v>72.731422309013979</v>
      </c>
      <c r="X190" s="67">
        <v>52.14827564464747</v>
      </c>
      <c r="Y190" s="67">
        <v>127.4324668770802</v>
      </c>
      <c r="AA190" s="67">
        <v>184.5400000000206</v>
      </c>
      <c r="AB190" s="67">
        <v>185.99061089887911</v>
      </c>
      <c r="AC190" s="67">
        <v>56.20149456743934</v>
      </c>
      <c r="AD190" s="67">
        <v>486.71373967801912</v>
      </c>
      <c r="AF190" s="67">
        <v>185.0000000000208</v>
      </c>
      <c r="AG190" s="67">
        <v>44.075652293486137</v>
      </c>
      <c r="AH190" s="67">
        <v>33.164046274164207</v>
      </c>
      <c r="AI190" s="67">
        <v>69.565251670531083</v>
      </c>
      <c r="AK190" s="67">
        <v>184.56000000002061</v>
      </c>
      <c r="AL190" s="67">
        <v>94.524874808092278</v>
      </c>
      <c r="AM190" s="67">
        <v>43.714494625219402</v>
      </c>
      <c r="AN190" s="67">
        <v>392.0740865013114</v>
      </c>
      <c r="AV190" s="67">
        <v>38.37608788692495</v>
      </c>
      <c r="AW190" s="67">
        <v>103.2947612816112</v>
      </c>
      <c r="AY190" s="67">
        <v>38.956718056673111</v>
      </c>
      <c r="AZ190" s="67">
        <v>120.2114953979582</v>
      </c>
    </row>
    <row r="191" spans="22:58" x14ac:dyDescent="0.25">
      <c r="V191" s="67">
        <v>185.7800000000212</v>
      </c>
      <c r="W191" s="67">
        <v>72.731759317404553</v>
      </c>
      <c r="X191" s="67">
        <v>52.148867764226793</v>
      </c>
      <c r="Y191" s="67">
        <v>127.4324668770802</v>
      </c>
      <c r="AA191" s="67">
        <v>185.54000000002111</v>
      </c>
      <c r="AB191" s="67">
        <v>184.26378165195939</v>
      </c>
      <c r="AC191" s="67">
        <v>55.796220671382457</v>
      </c>
      <c r="AD191" s="67">
        <v>486.71373967801912</v>
      </c>
      <c r="AF191" s="67">
        <v>186.00000000002129</v>
      </c>
      <c r="AG191" s="67">
        <v>43.044123043228318</v>
      </c>
      <c r="AH191" s="67">
        <v>33.198997528106531</v>
      </c>
      <c r="AI191" s="67">
        <v>67.193076380765334</v>
      </c>
      <c r="AK191" s="67">
        <v>185.56000000002109</v>
      </c>
      <c r="AL191" s="67">
        <v>95.909022677388691</v>
      </c>
      <c r="AM191" s="67">
        <v>43.918961471747707</v>
      </c>
      <c r="AN191" s="67">
        <v>396.81843708084438</v>
      </c>
      <c r="AV191" s="67">
        <v>38.362468779379469</v>
      </c>
      <c r="AW191" s="67">
        <v>103.09857751514529</v>
      </c>
      <c r="AY191" s="67">
        <v>38.947792611747687</v>
      </c>
      <c r="AZ191" s="67">
        <v>120.03971019536741</v>
      </c>
    </row>
    <row r="192" spans="22:58" x14ac:dyDescent="0.25">
      <c r="V192" s="67">
        <v>186.78000000002169</v>
      </c>
      <c r="W192" s="67">
        <v>72.731980601799975</v>
      </c>
      <c r="X192" s="67">
        <v>52.149256558568773</v>
      </c>
      <c r="Y192" s="67">
        <v>127.4324668770802</v>
      </c>
      <c r="AA192" s="67">
        <v>186.54000000002159</v>
      </c>
      <c r="AB192" s="67">
        <v>182.7109378553387</v>
      </c>
      <c r="AC192" s="67">
        <v>55.431646939075279</v>
      </c>
      <c r="AD192" s="67">
        <v>486.71373967801912</v>
      </c>
      <c r="AF192" s="67">
        <v>187.00000000002191</v>
      </c>
      <c r="AG192" s="67">
        <v>41.98298871315577</v>
      </c>
      <c r="AH192" s="67">
        <v>33.234072169874587</v>
      </c>
      <c r="AI192" s="67">
        <v>64.820901090999584</v>
      </c>
      <c r="AK192" s="67">
        <v>186.5600000000216</v>
      </c>
      <c r="AL192" s="67">
        <v>97.398255019666323</v>
      </c>
      <c r="AM192" s="67">
        <v>44.126617972112967</v>
      </c>
      <c r="AN192" s="67">
        <v>401.56278766037741</v>
      </c>
      <c r="AV192" s="67">
        <v>38.349235774215742</v>
      </c>
      <c r="AW192" s="67">
        <v>102.905136117029</v>
      </c>
      <c r="AY192" s="67">
        <v>38.939162540313433</v>
      </c>
      <c r="AZ192" s="67">
        <v>119.8697163520318</v>
      </c>
    </row>
    <row r="193" spans="22:52" x14ac:dyDescent="0.25">
      <c r="V193" s="67">
        <v>187.58000000002221</v>
      </c>
      <c r="W193" s="67">
        <v>72.732101513879243</v>
      </c>
      <c r="X193" s="67">
        <v>52.149468999944702</v>
      </c>
      <c r="Y193" s="67">
        <v>127.4324668770802</v>
      </c>
      <c r="AA193" s="67">
        <v>187.5400000000221</v>
      </c>
      <c r="AB193" s="67">
        <v>181.31438274539849</v>
      </c>
      <c r="AC193" s="67">
        <v>55.103657092043591</v>
      </c>
      <c r="AD193" s="67">
        <v>486.71373967801912</v>
      </c>
      <c r="AF193" s="67">
        <v>188.0000000000224</v>
      </c>
      <c r="AG193" s="67">
        <v>40.891839634543082</v>
      </c>
      <c r="AH193" s="67">
        <v>33.269268713532313</v>
      </c>
      <c r="AI193" s="67">
        <v>62.448725801233842</v>
      </c>
      <c r="AK193" s="67">
        <v>187.56000000002209</v>
      </c>
      <c r="AL193" s="67">
        <v>99.000079029044628</v>
      </c>
      <c r="AM193" s="67">
        <v>44.337436398127579</v>
      </c>
      <c r="AN193" s="67">
        <v>406.30713823991039</v>
      </c>
      <c r="AV193" s="67">
        <v>38.336384032624267</v>
      </c>
      <c r="AW193" s="67">
        <v>102.7144017043708</v>
      </c>
      <c r="AY193" s="67">
        <v>38.930823797540079</v>
      </c>
      <c r="AZ193" s="67">
        <v>119.7014905501571</v>
      </c>
    </row>
    <row r="194" spans="22:52" x14ac:dyDescent="0.25">
      <c r="V194" s="67">
        <v>188.56000000002271</v>
      </c>
      <c r="W194" s="67">
        <v>72.817168989857095</v>
      </c>
      <c r="X194" s="67">
        <v>51.090392812945652</v>
      </c>
      <c r="Y194" s="67">
        <v>129.75719866105061</v>
      </c>
      <c r="AA194" s="67">
        <v>188.54000000002259</v>
      </c>
      <c r="AB194" s="67">
        <v>180.0582482415343</v>
      </c>
      <c r="AC194" s="67">
        <v>54.80855622558613</v>
      </c>
      <c r="AD194" s="67">
        <v>486.71373967801912</v>
      </c>
      <c r="AF194" s="67">
        <v>188.7800000000228</v>
      </c>
      <c r="AG194" s="67">
        <v>41.290144971490058</v>
      </c>
      <c r="AH194" s="67">
        <v>35.218630207221047</v>
      </c>
      <c r="AI194" s="67">
        <v>62.306395283847898</v>
      </c>
      <c r="AK194" s="67">
        <v>188.56000000002271</v>
      </c>
      <c r="AL194" s="67">
        <v>100.7223916436522</v>
      </c>
      <c r="AM194" s="67">
        <v>44.551375124962142</v>
      </c>
      <c r="AN194" s="67">
        <v>411.05148881944331</v>
      </c>
      <c r="AV194" s="67">
        <v>38.32390876133843</v>
      </c>
      <c r="AW194" s="67">
        <v>102.5263392950483</v>
      </c>
      <c r="AY194" s="67">
        <v>38.922772382670423</v>
      </c>
      <c r="AZ194" s="67">
        <v>119.53500976689369</v>
      </c>
    </row>
    <row r="195" spans="22:52" x14ac:dyDescent="0.25">
      <c r="V195" s="67">
        <v>189.56000000002319</v>
      </c>
      <c r="W195" s="67">
        <v>73.106501673880132</v>
      </c>
      <c r="X195" s="67">
        <v>50.426712819969111</v>
      </c>
      <c r="Y195" s="67">
        <v>132.1293739508163</v>
      </c>
      <c r="AA195" s="67">
        <v>189.54000000002321</v>
      </c>
      <c r="AB195" s="67">
        <v>178.92830138339951</v>
      </c>
      <c r="AC195" s="67">
        <v>54.54302682979494</v>
      </c>
      <c r="AD195" s="67">
        <v>486.71373967801912</v>
      </c>
      <c r="AF195" s="67">
        <v>189.78000000002331</v>
      </c>
      <c r="AG195" s="67">
        <v>41.575544386678473</v>
      </c>
      <c r="AH195" s="67">
        <v>36.41769989452655</v>
      </c>
      <c r="AI195" s="67">
        <v>62.306395283847898</v>
      </c>
      <c r="AK195" s="67">
        <v>189.56000000002319</v>
      </c>
      <c r="AL195" s="67">
        <v>102.57349600768531</v>
      </c>
      <c r="AM195" s="67">
        <v>44.76838167275406</v>
      </c>
      <c r="AN195" s="67">
        <v>415.79583939897628</v>
      </c>
      <c r="AV195" s="67">
        <v>38.311805212263103</v>
      </c>
      <c r="AW195" s="67">
        <v>102.3409143035523</v>
      </c>
      <c r="AY195" s="67">
        <v>38.915004338613947</v>
      </c>
      <c r="AZ195" s="67">
        <v>119.3702512706939</v>
      </c>
    </row>
    <row r="196" spans="22:52" x14ac:dyDescent="0.25">
      <c r="V196" s="67">
        <v>190.56000000002371</v>
      </c>
      <c r="W196" s="67">
        <v>73.519230390638313</v>
      </c>
      <c r="X196" s="67">
        <v>50.02158554985408</v>
      </c>
      <c r="Y196" s="67">
        <v>134.50154924058219</v>
      </c>
      <c r="AA196" s="67">
        <v>190.5400000000237</v>
      </c>
      <c r="AB196" s="67">
        <v>177.9117718932454</v>
      </c>
      <c r="AC196" s="67">
        <v>54.304089527630822</v>
      </c>
      <c r="AD196" s="67">
        <v>486.71373967801912</v>
      </c>
      <c r="AF196" s="67">
        <v>190.78000000002379</v>
      </c>
      <c r="AG196" s="67">
        <v>41.683648757075133</v>
      </c>
      <c r="AH196" s="67">
        <v>36.872519222064973</v>
      </c>
      <c r="AI196" s="67">
        <v>62.306395283847898</v>
      </c>
      <c r="AK196" s="67">
        <v>190.56000000002371</v>
      </c>
      <c r="AL196" s="67">
        <v>104.5621208410106</v>
      </c>
      <c r="AM196" s="67">
        <v>44.988396572873803</v>
      </c>
      <c r="AN196" s="67">
        <v>420.54018997850932</v>
      </c>
      <c r="AV196" s="67">
        <v>38.300068682106598</v>
      </c>
      <c r="AW196" s="67">
        <v>102.1580925368765</v>
      </c>
      <c r="AY196" s="67">
        <v>38.907515751542647</v>
      </c>
      <c r="AZ196" s="67">
        <v>119.2071926176953</v>
      </c>
    </row>
    <row r="197" spans="22:52" x14ac:dyDescent="0.25">
      <c r="V197" s="67">
        <v>191.56000000002419</v>
      </c>
      <c r="W197" s="67">
        <v>74.005400374502457</v>
      </c>
      <c r="X197" s="67">
        <v>49.777131130989119</v>
      </c>
      <c r="Y197" s="67">
        <v>136.87372453034871</v>
      </c>
      <c r="AA197" s="67">
        <v>191.54000000002421</v>
      </c>
      <c r="AB197" s="67">
        <v>176.99719850160969</v>
      </c>
      <c r="AC197" s="67">
        <v>54.089068009355167</v>
      </c>
      <c r="AD197" s="67">
        <v>486.71373967801912</v>
      </c>
      <c r="AF197" s="67">
        <v>191.7800000000243</v>
      </c>
      <c r="AG197" s="67">
        <v>41.724595880565609</v>
      </c>
      <c r="AH197" s="67">
        <v>37.044882756900449</v>
      </c>
      <c r="AI197" s="67">
        <v>62.306395283847898</v>
      </c>
      <c r="AK197" s="67">
        <v>191.56000000002419</v>
      </c>
      <c r="AL197" s="67">
        <v>106.6974429009031</v>
      </c>
      <c r="AM197" s="67">
        <v>45.211357599997477</v>
      </c>
      <c r="AN197" s="67">
        <v>425.28454055804229</v>
      </c>
      <c r="AV197" s="67">
        <v>38.288694512017173</v>
      </c>
      <c r="AW197" s="67">
        <v>101.97784019046961</v>
      </c>
      <c r="AY197" s="67">
        <v>38.900302750494987</v>
      </c>
      <c r="AZ197" s="67">
        <v>119.04581164816609</v>
      </c>
    </row>
    <row r="198" spans="22:52" x14ac:dyDescent="0.25">
      <c r="V198" s="67">
        <v>192.5600000000247</v>
      </c>
      <c r="W198" s="67">
        <v>74.534215598744154</v>
      </c>
      <c r="X198" s="67">
        <v>49.634131805122649</v>
      </c>
      <c r="Y198" s="67">
        <v>139.24589982011511</v>
      </c>
      <c r="AA198" s="67">
        <v>192.54000000002469</v>
      </c>
      <c r="AB198" s="67">
        <v>176.1742919319517</v>
      </c>
      <c r="AC198" s="67">
        <v>53.895557700314733</v>
      </c>
      <c r="AD198" s="67">
        <v>486.71373967801912</v>
      </c>
      <c r="AF198" s="67">
        <v>192.78000000002481</v>
      </c>
      <c r="AG198" s="67">
        <v>41.74010555005502</v>
      </c>
      <c r="AH198" s="67">
        <v>37.110182263966813</v>
      </c>
      <c r="AI198" s="67">
        <v>62.306395283847898</v>
      </c>
      <c r="AK198" s="67">
        <v>192.5600000000247</v>
      </c>
      <c r="AL198" s="67">
        <v>108.9891117139245</v>
      </c>
      <c r="AM198" s="67">
        <v>45.437203946159173</v>
      </c>
      <c r="AN198" s="67">
        <v>430.02889113757527</v>
      </c>
      <c r="AV198" s="67">
        <v>38.27767808722524</v>
      </c>
      <c r="AW198" s="67">
        <v>101.80012384423161</v>
      </c>
      <c r="AY198" s="67">
        <v>38.893361506982018</v>
      </c>
      <c r="AZ198" s="67">
        <v>118.8860864829735</v>
      </c>
    </row>
    <row r="199" spans="22:52" x14ac:dyDescent="0.25">
      <c r="V199" s="67">
        <v>193.56000000002521</v>
      </c>
      <c r="W199" s="67">
        <v>75.086479653916911</v>
      </c>
      <c r="X199" s="67">
        <v>49.55621364784929</v>
      </c>
      <c r="Y199" s="67">
        <v>141.6180751098816</v>
      </c>
      <c r="AA199" s="67">
        <v>193.5400000000252</v>
      </c>
      <c r="AB199" s="67">
        <v>175.43381267505481</v>
      </c>
      <c r="AC199" s="67">
        <v>53.721397751041991</v>
      </c>
      <c r="AD199" s="67">
        <v>486.71373967801912</v>
      </c>
      <c r="AF199" s="67">
        <v>193.7800000000253</v>
      </c>
      <c r="AG199" s="67">
        <v>41.745980196083373</v>
      </c>
      <c r="AH199" s="67">
        <v>37.134917801125312</v>
      </c>
      <c r="AI199" s="67">
        <v>62.306395283847898</v>
      </c>
      <c r="AK199" s="67">
        <v>193.56000000002521</v>
      </c>
      <c r="AL199" s="67">
        <v>111.4472751009682</v>
      </c>
      <c r="AM199" s="67">
        <v>45.665880006890688</v>
      </c>
      <c r="AN199" s="67">
        <v>434.77324171710819</v>
      </c>
      <c r="AV199" s="67">
        <v>38.26701483668819</v>
      </c>
      <c r="AW199" s="67">
        <v>101.6249104585627</v>
      </c>
      <c r="AY199" s="67">
        <v>38.886688234602268</v>
      </c>
      <c r="AZ199" s="67">
        <v>118.7279955201126</v>
      </c>
    </row>
    <row r="200" spans="22:52" x14ac:dyDescent="0.25">
      <c r="V200" s="67">
        <v>194.5600000000257</v>
      </c>
      <c r="W200" s="67">
        <v>75.650109603200349</v>
      </c>
      <c r="X200" s="67">
        <v>49.5207029890488</v>
      </c>
      <c r="Y200" s="67">
        <v>143.99025039964809</v>
      </c>
      <c r="AA200" s="67">
        <v>194.54000000002571</v>
      </c>
      <c r="AB200" s="67">
        <v>174.76746189655091</v>
      </c>
      <c r="AC200" s="67">
        <v>53.564645985124123</v>
      </c>
      <c r="AD200" s="67">
        <v>486.71373967801912</v>
      </c>
      <c r="AF200" s="67">
        <v>194.78000000002581</v>
      </c>
      <c r="AG200" s="67">
        <v>41.748205354455301</v>
      </c>
      <c r="AH200" s="67">
        <v>37.144287222890632</v>
      </c>
      <c r="AI200" s="67">
        <v>62.306395283847898</v>
      </c>
      <c r="AK200" s="67">
        <v>194.5600000000257</v>
      </c>
      <c r="AL200" s="67">
        <v>114.08260386321891</v>
      </c>
      <c r="AM200" s="67">
        <v>45.897338554618841</v>
      </c>
      <c r="AN200" s="67">
        <v>439.51759229664123</v>
      </c>
      <c r="AV200" s="67">
        <v>38.256700232741423</v>
      </c>
      <c r="AW200" s="67">
        <v>101.4521673704663</v>
      </c>
      <c r="AY200" s="67">
        <v>38.880279188657802</v>
      </c>
      <c r="AZ200" s="67">
        <v>118.57151743126531</v>
      </c>
    </row>
    <row r="201" spans="22:52" x14ac:dyDescent="0.25">
      <c r="V201" s="67">
        <v>195.56000000002621</v>
      </c>
      <c r="W201" s="67">
        <v>76.217441810742741</v>
      </c>
      <c r="X201" s="67">
        <v>49.513263143220513</v>
      </c>
      <c r="Y201" s="67">
        <v>146.36242568941461</v>
      </c>
      <c r="AA201" s="67">
        <v>195.5400000000262</v>
      </c>
      <c r="AB201" s="67">
        <v>174.16778401125069</v>
      </c>
      <c r="AC201" s="67">
        <v>53.423556481657783</v>
      </c>
      <c r="AD201" s="67">
        <v>486.71373967801912</v>
      </c>
      <c r="AF201" s="67">
        <v>195.78000000002629</v>
      </c>
      <c r="AG201" s="67">
        <v>41.749048184834827</v>
      </c>
      <c r="AH201" s="67">
        <v>37.147836146665213</v>
      </c>
      <c r="AI201" s="67">
        <v>62.306395283847898</v>
      </c>
      <c r="AK201" s="67">
        <v>195.56000000002621</v>
      </c>
      <c r="AL201" s="67">
        <v>116.9063142968588</v>
      </c>
      <c r="AM201" s="67">
        <v>46.131543160666467</v>
      </c>
      <c r="AN201" s="67">
        <v>444.2619428761742</v>
      </c>
      <c r="AV201" s="67">
        <v>38.246729790751893</v>
      </c>
      <c r="AW201" s="67">
        <v>101.2818622896872</v>
      </c>
      <c r="AY201" s="67">
        <v>38.874130665777038</v>
      </c>
      <c r="AZ201" s="67">
        <v>118.4166311583998</v>
      </c>
    </row>
    <row r="202" spans="22:52" x14ac:dyDescent="0.25">
      <c r="V202" s="67">
        <v>196.56000000002669</v>
      </c>
      <c r="W202" s="67">
        <v>76.783592857447303</v>
      </c>
      <c r="X202" s="67">
        <v>49.524701672249648</v>
      </c>
      <c r="Y202" s="67">
        <v>148.7346009791811</v>
      </c>
      <c r="AA202" s="67">
        <v>196.54000000002671</v>
      </c>
      <c r="AB202" s="67">
        <v>173.62807962714089</v>
      </c>
      <c r="AC202" s="67">
        <v>53.296559505765337</v>
      </c>
      <c r="AD202" s="67">
        <v>486.71373967801912</v>
      </c>
      <c r="AF202" s="67">
        <v>196.78000000002689</v>
      </c>
      <c r="AG202" s="67">
        <v>41.749367426412952</v>
      </c>
      <c r="AH202" s="67">
        <v>37.149180389381463</v>
      </c>
      <c r="AI202" s="67">
        <v>62.306395283847898</v>
      </c>
      <c r="AK202" s="67">
        <v>196.56000000002669</v>
      </c>
      <c r="AL202" s="67">
        <v>119.9301877673167</v>
      </c>
      <c r="AM202" s="67">
        <v>46.368469784312943</v>
      </c>
      <c r="AN202" s="67">
        <v>449.00629345570718</v>
      </c>
      <c r="AV202" s="67">
        <v>38.237099068775713</v>
      </c>
      <c r="AW202" s="67">
        <v>101.113963294909</v>
      </c>
      <c r="AY202" s="67">
        <v>38.868239003541483</v>
      </c>
      <c r="AZ202" s="67">
        <v>118.26331591040859</v>
      </c>
    </row>
    <row r="203" spans="22:52" x14ac:dyDescent="0.25">
      <c r="V203" s="67">
        <v>197.56000000002729</v>
      </c>
      <c r="W203" s="67">
        <v>77.34544938546604</v>
      </c>
      <c r="X203" s="67">
        <v>49.549042556387228</v>
      </c>
      <c r="Y203" s="67">
        <v>151.10677626894761</v>
      </c>
      <c r="AA203" s="67">
        <v>197.54000000002719</v>
      </c>
      <c r="AB203" s="67">
        <v>173.14232771203601</v>
      </c>
      <c r="AC203" s="67">
        <v>53.182243533105243</v>
      </c>
      <c r="AD203" s="67">
        <v>486.71373967801912</v>
      </c>
      <c r="AF203" s="67">
        <v>197.7800000000274</v>
      </c>
      <c r="AG203" s="67">
        <v>41.749488346575298</v>
      </c>
      <c r="AH203" s="67">
        <v>37.149689553309713</v>
      </c>
      <c r="AI203" s="67">
        <v>62.306395283847898</v>
      </c>
      <c r="AK203" s="67">
        <v>197.36000000002721</v>
      </c>
      <c r="AL203" s="67">
        <v>122.5016918845557</v>
      </c>
      <c r="AM203" s="67">
        <v>46.55996314151173</v>
      </c>
      <c r="AN203" s="67">
        <v>452.80177391933358</v>
      </c>
      <c r="AV203" s="67">
        <v>38.227803667221004</v>
      </c>
      <c r="AW203" s="67">
        <v>100.948438829987</v>
      </c>
      <c r="AY203" s="67">
        <v>38.862600580118119</v>
      </c>
      <c r="AZ203" s="67">
        <v>118.1115511597984</v>
      </c>
    </row>
    <row r="204" spans="22:52" x14ac:dyDescent="0.25">
      <c r="V204" s="67">
        <v>198.5600000000278</v>
      </c>
      <c r="W204" s="67">
        <v>77.901037767618178</v>
      </c>
      <c r="X204" s="67">
        <v>49.58234642075621</v>
      </c>
      <c r="Y204" s="67">
        <v>153.4789515587141</v>
      </c>
      <c r="AF204" s="67">
        <v>198.78000000002791</v>
      </c>
      <c r="AG204" s="67">
        <v>41.749534147895552</v>
      </c>
      <c r="AH204" s="67">
        <v>37.149882411086082</v>
      </c>
      <c r="AI204" s="67">
        <v>62.306395283847898</v>
      </c>
      <c r="AK204" s="67">
        <v>198.34000000002769</v>
      </c>
      <c r="AL204" s="67">
        <v>119.1114381207999</v>
      </c>
      <c r="AM204" s="67">
        <v>45.602910522094248</v>
      </c>
      <c r="AN204" s="67">
        <v>452.80177391933358</v>
      </c>
      <c r="AV204" s="67">
        <v>38.218839228512543</v>
      </c>
      <c r="AW204" s="67">
        <v>100.78525770022929</v>
      </c>
      <c r="AY204" s="67">
        <v>38.857211813894793</v>
      </c>
      <c r="AZ204" s="67">
        <v>117.9613166393969</v>
      </c>
    </row>
    <row r="205" spans="22:52" x14ac:dyDescent="0.25">
      <c r="V205" s="67">
        <v>199.56000000002831</v>
      </c>
      <c r="W205" s="67">
        <v>78.449126123080433</v>
      </c>
      <c r="X205" s="67">
        <v>49.621979374797093</v>
      </c>
      <c r="Y205" s="67">
        <v>155.85112684848059</v>
      </c>
      <c r="AF205" s="67">
        <v>199.78000000002839</v>
      </c>
      <c r="AG205" s="67">
        <v>41.749551496209463</v>
      </c>
      <c r="AH205" s="67">
        <v>37.149955460464703</v>
      </c>
      <c r="AI205" s="67">
        <v>62.306395283847898</v>
      </c>
      <c r="AK205" s="67">
        <v>199.3400000000282</v>
      </c>
      <c r="AL205" s="67">
        <v>116.01922753919671</v>
      </c>
      <c r="AM205" s="67">
        <v>44.728537059869673</v>
      </c>
      <c r="AN205" s="67">
        <v>452.80177391933358</v>
      </c>
      <c r="AV205" s="67">
        <v>38.210201436761338</v>
      </c>
      <c r="AW205" s="67">
        <v>100.624389068718</v>
      </c>
      <c r="AY205" s="67">
        <v>38.852069163119467</v>
      </c>
      <c r="AZ205" s="67">
        <v>117.8125923391113</v>
      </c>
    </row>
    <row r="206" spans="22:52" x14ac:dyDescent="0.25">
      <c r="V206" s="67">
        <v>200.56000000002879</v>
      </c>
      <c r="W206" s="67">
        <v>78.98897021302308</v>
      </c>
      <c r="X206" s="67">
        <v>49.666154429979663</v>
      </c>
      <c r="Y206" s="67">
        <v>158.22330213824699</v>
      </c>
      <c r="AF206" s="67">
        <v>200.78000000002891</v>
      </c>
      <c r="AG206" s="67">
        <v>41.74955806728633</v>
      </c>
      <c r="AH206" s="67">
        <v>37.149983129615862</v>
      </c>
      <c r="AI206" s="67">
        <v>62.306395283847898</v>
      </c>
      <c r="AK206" s="67">
        <v>200.34000000002871</v>
      </c>
      <c r="AL206" s="67">
        <v>113.25732642964719</v>
      </c>
      <c r="AM206" s="67">
        <v>43.946320487495882</v>
      </c>
      <c r="AN206" s="67">
        <v>452.80177391933358</v>
      </c>
      <c r="AV206" s="67">
        <v>38.201886017437118</v>
      </c>
      <c r="AW206" s="67">
        <v>100.465802452674</v>
      </c>
      <c r="AY206" s="67">
        <v>38.847169125546152</v>
      </c>
      <c r="AZ206" s="67">
        <v>117.66535850272381</v>
      </c>
    </row>
    <row r="207" spans="22:52" x14ac:dyDescent="0.25">
      <c r="V207" s="67">
        <v>201.56000000002931</v>
      </c>
      <c r="W207" s="67">
        <v>79.520149468865668</v>
      </c>
      <c r="X207" s="67">
        <v>49.713640577799538</v>
      </c>
      <c r="Y207" s="67">
        <v>160.5954774280136</v>
      </c>
      <c r="AF207" s="67">
        <v>201.78000000002939</v>
      </c>
      <c r="AG207" s="67">
        <v>41.749560556234428</v>
      </c>
      <c r="AH207" s="67">
        <v>37.149993609950343</v>
      </c>
      <c r="AI207" s="67">
        <v>62.306395283847898</v>
      </c>
      <c r="AK207" s="67">
        <v>201.34000000002919</v>
      </c>
      <c r="AL207" s="67">
        <v>110.7894519330428</v>
      </c>
      <c r="AM207" s="67">
        <v>43.246325981876168</v>
      </c>
      <c r="AN207" s="67">
        <v>452.80177391933358</v>
      </c>
      <c r="AV207" s="67">
        <v>38.193888737044233</v>
      </c>
      <c r="AW207" s="67">
        <v>100.3094677198566</v>
      </c>
      <c r="AY207" s="67">
        <v>38.842508238081876</v>
      </c>
      <c r="AZ207" s="67">
        <v>117.51959562471269</v>
      </c>
    </row>
    <row r="208" spans="22:52" x14ac:dyDescent="0.25">
      <c r="V208" s="67">
        <v>202.56000000002979</v>
      </c>
      <c r="W208" s="67">
        <v>80.042460102263675</v>
      </c>
      <c r="X208" s="67">
        <v>49.763576189361167</v>
      </c>
      <c r="Y208" s="67">
        <v>162.96765271778011</v>
      </c>
      <c r="AF208" s="67">
        <v>202.7800000000299</v>
      </c>
      <c r="AG208" s="67">
        <v>41.749561498981294</v>
      </c>
      <c r="AH208" s="67">
        <v>37.149997579620283</v>
      </c>
      <c r="AI208" s="67">
        <v>62.306395283847898</v>
      </c>
      <c r="AK208" s="67">
        <v>202.3400000000297</v>
      </c>
      <c r="AL208" s="67">
        <v>108.58341594063261</v>
      </c>
      <c r="AM208" s="67">
        <v>42.619711545376333</v>
      </c>
      <c r="AN208" s="67">
        <v>452.80177391933358</v>
      </c>
      <c r="AV208" s="67">
        <v>38.186205402800447</v>
      </c>
      <c r="AW208" s="67">
        <v>100.155355085013</v>
      </c>
      <c r="AY208" s="67">
        <v>38.838083076439091</v>
      </c>
      <c r="AZ208" s="67">
        <v>117.37528444712331</v>
      </c>
    </row>
    <row r="209" spans="22:52" x14ac:dyDescent="0.25">
      <c r="V209" s="67">
        <v>203.5600000000303</v>
      </c>
      <c r="W209" s="67">
        <v>80.555844740410521</v>
      </c>
      <c r="X209" s="67">
        <v>49.815348039208168</v>
      </c>
      <c r="Y209" s="67">
        <v>165.33982800754649</v>
      </c>
      <c r="AF209" s="67">
        <v>203.78000000003041</v>
      </c>
      <c r="AG209" s="67">
        <v>41.749561856068539</v>
      </c>
      <c r="AH209" s="67">
        <v>37.149999083224941</v>
      </c>
      <c r="AI209" s="67">
        <v>62.306395283847898</v>
      </c>
      <c r="AK209" s="67">
        <v>203.34000000003019</v>
      </c>
      <c r="AL209" s="67">
        <v>106.6106490549426</v>
      </c>
      <c r="AM209" s="67">
        <v>42.05860598211973</v>
      </c>
      <c r="AN209" s="67">
        <v>452.80177391933358</v>
      </c>
      <c r="AV209" s="67">
        <v>38.178831862320123</v>
      </c>
      <c r="AW209" s="67">
        <v>100.00343510634831</v>
      </c>
      <c r="AY209" s="67">
        <v>38.833890254792173</v>
      </c>
      <c r="AZ209" s="67">
        <v>117.2324059564619</v>
      </c>
    </row>
    <row r="210" spans="22:52" x14ac:dyDescent="0.25">
      <c r="V210" s="67">
        <v>204.56000000003081</v>
      </c>
      <c r="W210" s="67">
        <v>81.060345663387224</v>
      </c>
      <c r="X210" s="67">
        <v>49.868512043998919</v>
      </c>
      <c r="Y210" s="67">
        <v>167.712003297313</v>
      </c>
      <c r="AF210" s="67">
        <v>204.78000000003101</v>
      </c>
      <c r="AG210" s="67">
        <v>41.749561991323631</v>
      </c>
      <c r="AH210" s="67">
        <v>37.149999652750182</v>
      </c>
      <c r="AI210" s="67">
        <v>62.306395283847898</v>
      </c>
      <c r="AK210" s="67">
        <v>204.3400000000307</v>
      </c>
      <c r="AL210" s="67">
        <v>104.8457855866459</v>
      </c>
      <c r="AM210" s="67">
        <v>41.556001345688742</v>
      </c>
      <c r="AN210" s="67">
        <v>452.80177391933358</v>
      </c>
      <c r="AV210" s="67">
        <v>38.171764003297653</v>
      </c>
      <c r="AW210" s="67">
        <v>99.853678682051481</v>
      </c>
      <c r="AY210" s="67">
        <v>38.829926425434678</v>
      </c>
      <c r="AZ210" s="67">
        <v>117.09094138062591</v>
      </c>
    </row>
    <row r="211" spans="22:52" x14ac:dyDescent="0.25">
      <c r="V211" s="67">
        <v>205.56000000003141</v>
      </c>
      <c r="W211" s="67">
        <v>81.556073436310953</v>
      </c>
      <c r="X211" s="67">
        <v>49.922740786219492</v>
      </c>
      <c r="Y211" s="67">
        <v>170.08417858707949</v>
      </c>
      <c r="AF211" s="67">
        <v>205.78000000003149</v>
      </c>
      <c r="AG211" s="67">
        <v>41.749562042554679</v>
      </c>
      <c r="AH211" s="67">
        <v>37.149999868471241</v>
      </c>
      <c r="AI211" s="67">
        <v>62.306395283847898</v>
      </c>
      <c r="AK211" s="67">
        <v>205.34000000003121</v>
      </c>
      <c r="AL211" s="67">
        <v>103.266298530528</v>
      </c>
      <c r="AM211" s="67">
        <v>41.105657490034162</v>
      </c>
      <c r="AN211" s="67">
        <v>452.80177391933358</v>
      </c>
      <c r="AV211" s="67">
        <v>38.164997753196758</v>
      </c>
      <c r="AW211" s="67">
        <v>99.706057046845487</v>
      </c>
      <c r="AY211" s="67">
        <v>38.826188278444818</v>
      </c>
      <c r="AZ211" s="67">
        <v>116.9508721858758</v>
      </c>
    </row>
    <row r="212" spans="22:52" x14ac:dyDescent="0.25">
      <c r="V212" s="67">
        <v>206.56000000003189</v>
      </c>
      <c r="W212" s="67">
        <v>82.043185673491536</v>
      </c>
      <c r="X212" s="67">
        <v>49.977788405780593</v>
      </c>
      <c r="Y212" s="67">
        <v>172.45635387684601</v>
      </c>
      <c r="AF212" s="67">
        <v>206.780000000032</v>
      </c>
      <c r="AG212" s="67">
        <v>41.749562061959573</v>
      </c>
      <c r="AH212" s="67">
        <v>37.149999950180302</v>
      </c>
      <c r="AI212" s="67">
        <v>62.306395283847898</v>
      </c>
      <c r="AK212" s="67">
        <v>206.34000000003181</v>
      </c>
      <c r="AL212" s="67">
        <v>101.8521767353344</v>
      </c>
      <c r="AM212" s="67">
        <v>40.702017059655759</v>
      </c>
      <c r="AN212" s="67">
        <v>452.80177391933358</v>
      </c>
      <c r="AV212" s="67">
        <v>38.158529078940212</v>
      </c>
      <c r="AW212" s="67">
        <v>99.560541768570729</v>
      </c>
      <c r="AY212" s="67">
        <v>38.822672541349668</v>
      </c>
      <c r="AZ212" s="67">
        <v>116.8121800738332</v>
      </c>
    </row>
    <row r="213" spans="22:52" x14ac:dyDescent="0.25">
      <c r="V213" s="67">
        <v>207.5600000000324</v>
      </c>
      <c r="W213" s="67">
        <v>82.521872528652153</v>
      </c>
      <c r="X213" s="67">
        <v>50.033466861902411</v>
      </c>
      <c r="Y213" s="67">
        <v>174.8285291666125</v>
      </c>
      <c r="AF213" s="67">
        <v>207.78000000003249</v>
      </c>
      <c r="AG213" s="67">
        <v>41.749562069309661</v>
      </c>
      <c r="AH213" s="67">
        <v>37.149999981129717</v>
      </c>
      <c r="AI213" s="67">
        <v>62.306395283847898</v>
      </c>
      <c r="AK213" s="67">
        <v>207.34000000003229</v>
      </c>
      <c r="AL213" s="67">
        <v>100.5856386098406</v>
      </c>
      <c r="AM213" s="67">
        <v>40.340129687785009</v>
      </c>
      <c r="AN213" s="67">
        <v>452.80177391933358</v>
      </c>
      <c r="AV213" s="67">
        <v>38.152353986604169</v>
      </c>
      <c r="AW213" s="67">
        <v>99.417104744813017</v>
      </c>
      <c r="AY213" s="67">
        <v>38.81937597879508</v>
      </c>
      <c r="AZ213" s="67">
        <v>116.67484697851</v>
      </c>
    </row>
    <row r="214" spans="22:52" x14ac:dyDescent="0.25">
      <c r="V214" s="67">
        <v>208.56000000003289</v>
      </c>
      <c r="W214" s="67">
        <v>82.992346687405387</v>
      </c>
      <c r="X214" s="67">
        <v>50.089629709847031</v>
      </c>
      <c r="Y214" s="67">
        <v>177.20070445637899</v>
      </c>
      <c r="AF214" s="67">
        <v>208.780000000033</v>
      </c>
      <c r="AG214" s="67">
        <v>41.749562072093681</v>
      </c>
      <c r="AH214" s="67">
        <v>37.149999992852493</v>
      </c>
      <c r="AI214" s="67">
        <v>62.306395283847898</v>
      </c>
      <c r="AK214" s="67">
        <v>208.3400000000328</v>
      </c>
      <c r="AL214" s="67">
        <v>99.450878026493484</v>
      </c>
      <c r="AM214" s="67">
        <v>40.01558442572582</v>
      </c>
      <c r="AN214" s="67">
        <v>452.80177391933358</v>
      </c>
      <c r="AV214" s="67">
        <v>38.146468521112517</v>
      </c>
      <c r="AW214" s="67">
        <v>99.275718199558966</v>
      </c>
      <c r="AY214" s="67">
        <v>38.816295392217569</v>
      </c>
      <c r="AZ214" s="67">
        <v>116.538855063376</v>
      </c>
    </row>
    <row r="215" spans="22:52" x14ac:dyDescent="0.25">
      <c r="V215" s="67">
        <v>209.5600000000334</v>
      </c>
      <c r="W215" s="67">
        <v>83.454836397643035</v>
      </c>
      <c r="X215" s="67">
        <v>50.146160891643149</v>
      </c>
      <c r="Y215" s="67">
        <v>179.5728797461455</v>
      </c>
      <c r="AF215" s="67">
        <v>209.74000000003349</v>
      </c>
      <c r="AG215" s="67">
        <v>41.749562073122661</v>
      </c>
      <c r="AH215" s="67">
        <v>37.149999997185319</v>
      </c>
      <c r="AI215" s="67">
        <v>62.306395283847898</v>
      </c>
      <c r="AK215" s="67">
        <v>209.34000000003331</v>
      </c>
      <c r="AL215" s="67">
        <v>98.43383888511724</v>
      </c>
      <c r="AM215" s="67">
        <v>39.724449574746977</v>
      </c>
      <c r="AN215" s="67">
        <v>452.80177391933358</v>
      </c>
      <c r="AV215" s="67">
        <v>38.140868765935522</v>
      </c>
      <c r="AW215" s="67">
        <v>99.136354679874984</v>
      </c>
      <c r="AY215" s="67">
        <v>38.813427619520553</v>
      </c>
      <c r="AZ215" s="67">
        <v>116.40418671845261</v>
      </c>
    </row>
    <row r="216" spans="22:52" x14ac:dyDescent="0.25">
      <c r="V216" s="67">
        <v>210.56000000003391</v>
      </c>
      <c r="W216" s="67">
        <v>83.909580565717022</v>
      </c>
      <c r="X216" s="67">
        <v>50.202966904256407</v>
      </c>
      <c r="Y216" s="67">
        <v>181.94505503591199</v>
      </c>
      <c r="AF216" s="67">
        <v>210.56000000003391</v>
      </c>
      <c r="AG216" s="67">
        <v>43.132063233870738</v>
      </c>
      <c r="AH216" s="67">
        <v>38.941750306147242</v>
      </c>
      <c r="AI216" s="67">
        <v>64.251579021455811</v>
      </c>
      <c r="AK216" s="67">
        <v>210.3400000000338</v>
      </c>
      <c r="AL216" s="67">
        <v>97.522015296036869</v>
      </c>
      <c r="AM216" s="67">
        <v>39.463219182804153</v>
      </c>
      <c r="AN216" s="67">
        <v>452.80177391933358</v>
      </c>
      <c r="AV216" s="67">
        <v>38.13555084279011</v>
      </c>
      <c r="AW216" s="67">
        <v>98.998987052635641</v>
      </c>
      <c r="AY216" s="67">
        <v>38.810769534750378</v>
      </c>
      <c r="AZ216" s="67">
        <v>116.27082455744021</v>
      </c>
    </row>
    <row r="217" spans="22:52" x14ac:dyDescent="0.25">
      <c r="V217" s="67">
        <v>211.56000000003439</v>
      </c>
      <c r="W217" s="67">
        <v>84.356825268083398</v>
      </c>
      <c r="X217" s="67">
        <v>50.259971264996473</v>
      </c>
      <c r="Y217" s="67">
        <v>184.31723032567851</v>
      </c>
      <c r="AF217" s="67">
        <v>211.56000000003439</v>
      </c>
      <c r="AG217" s="67">
        <v>44.4970498167743</v>
      </c>
      <c r="AH217" s="67">
        <v>39.810130138886343</v>
      </c>
      <c r="AI217" s="67">
        <v>66.623754311221546</v>
      </c>
      <c r="AK217" s="67">
        <v>211.34000000003431</v>
      </c>
      <c r="AL217" s="67">
        <v>96.704274674154064</v>
      </c>
      <c r="AM217" s="67">
        <v>39.22876553156118</v>
      </c>
      <c r="AN217" s="67">
        <v>452.80177391933358</v>
      </c>
      <c r="AV217" s="67">
        <v>38.130510911341673</v>
      </c>
      <c r="AW217" s="67">
        <v>98.863588501270002</v>
      </c>
      <c r="AY217" s="67">
        <v>38.808318047779217</v>
      </c>
      <c r="AZ217" s="67">
        <v>116.138751414881</v>
      </c>
    </row>
    <row r="218" spans="22:52" x14ac:dyDescent="0.25">
      <c r="V218" s="67">
        <v>212.5600000000349</v>
      </c>
      <c r="W218" s="67">
        <v>84.796821240235033</v>
      </c>
      <c r="X218" s="67">
        <v>50.317110555033537</v>
      </c>
      <c r="Y218" s="67">
        <v>186.689405615445</v>
      </c>
      <c r="AF218" s="67">
        <v>212.5600000000349</v>
      </c>
      <c r="AG218" s="67">
        <v>45.708144093124538</v>
      </c>
      <c r="AH218" s="67">
        <v>40.136492899706411</v>
      </c>
      <c r="AI218" s="67">
        <v>68.99592960098731</v>
      </c>
      <c r="AK218" s="67">
        <v>212.34000000003479</v>
      </c>
      <c r="AL218" s="67">
        <v>95.970701286201674</v>
      </c>
      <c r="AM218" s="67">
        <v>39.018296990972033</v>
      </c>
      <c r="AN218" s="67">
        <v>452.80177391933358</v>
      </c>
      <c r="AV218" s="67">
        <v>38.125745168909873</v>
      </c>
      <c r="AW218" s="67">
        <v>98.730132522544523</v>
      </c>
      <c r="AY218" s="67">
        <v>38.806070103986457</v>
      </c>
      <c r="AZ218" s="67">
        <v>116.0079503433395</v>
      </c>
    </row>
    <row r="219" spans="22:52" x14ac:dyDescent="0.25">
      <c r="V219" s="67">
        <v>213.56000000003539</v>
      </c>
      <c r="W219" s="67">
        <v>85.229822045838219</v>
      </c>
      <c r="X219" s="67">
        <v>50.374331558220092</v>
      </c>
      <c r="Y219" s="67">
        <v>189.06158090521151</v>
      </c>
      <c r="AF219" s="67">
        <v>213.56000000003539</v>
      </c>
      <c r="AG219" s="67">
        <v>46.84466843585961</v>
      </c>
      <c r="AH219" s="67">
        <v>40.267931049131157</v>
      </c>
      <c r="AI219" s="67">
        <v>71.368104890753045</v>
      </c>
      <c r="AK219" s="67">
        <v>213.3400000000353</v>
      </c>
      <c r="AL219" s="67">
        <v>95.312458007192348</v>
      </c>
      <c r="AM219" s="67">
        <v>38.829320666832587</v>
      </c>
      <c r="AN219" s="67">
        <v>452.80177391933358</v>
      </c>
      <c r="AV219" s="67">
        <v>38.121249850172553</v>
      </c>
      <c r="AW219" s="67">
        <v>98.59859292336354</v>
      </c>
      <c r="AY219" s="67">
        <v>38.804022683944552</v>
      </c>
      <c r="AZ219" s="67">
        <v>115.87840461062559</v>
      </c>
    </row>
    <row r="220" spans="22:52" x14ac:dyDescent="0.25">
      <c r="V220" s="67">
        <v>214.56000000003601</v>
      </c>
      <c r="W220" s="67">
        <v>85.656082723601287</v>
      </c>
      <c r="X220" s="67">
        <v>50.431589168257347</v>
      </c>
      <c r="Y220" s="67">
        <v>191.43375619497789</v>
      </c>
      <c r="AF220" s="67">
        <v>214.56000000003601</v>
      </c>
      <c r="AG220" s="67">
        <v>47.935820706467553</v>
      </c>
      <c r="AH220" s="67">
        <v>40.326128924681093</v>
      </c>
      <c r="AI220" s="67">
        <v>73.740280180518795</v>
      </c>
      <c r="AK220" s="67">
        <v>214.34000000003579</v>
      </c>
      <c r="AL220" s="67">
        <v>94.721664239969101</v>
      </c>
      <c r="AM220" s="67">
        <v>38.659609314141157</v>
      </c>
      <c r="AN220" s="67">
        <v>452.80177391933358</v>
      </c>
      <c r="AV220" s="67">
        <v>38.117021226876368</v>
      </c>
      <c r="AW220" s="67">
        <v>98.468943817622929</v>
      </c>
      <c r="AY220" s="67">
        <v>38.802172803107403</v>
      </c>
      <c r="AZ220" s="67">
        <v>115.75009769704209</v>
      </c>
    </row>
    <row r="221" spans="22:52" x14ac:dyDescent="0.25">
      <c r="V221" s="67">
        <v>215.5600000000365</v>
      </c>
      <c r="W221" s="67">
        <v>86.075858773426773</v>
      </c>
      <c r="X221" s="67">
        <v>50.488844840839079</v>
      </c>
      <c r="Y221" s="67">
        <v>193.80593148474441</v>
      </c>
      <c r="AF221" s="67">
        <v>215.5600000000365</v>
      </c>
      <c r="AG221" s="67">
        <v>48.992899988548579</v>
      </c>
      <c r="AH221" s="67">
        <v>40.355388196327169</v>
      </c>
      <c r="AI221" s="67">
        <v>76.11245547028453</v>
      </c>
      <c r="AK221" s="67">
        <v>215.34000000003641</v>
      </c>
      <c r="AL221" s="67">
        <v>94.191288141664842</v>
      </c>
      <c r="AM221" s="67">
        <v>38.507172036297327</v>
      </c>
      <c r="AN221" s="67">
        <v>452.80177391933358</v>
      </c>
      <c r="AV221" s="67">
        <v>38.113055607544482</v>
      </c>
      <c r="AW221" s="67">
        <v>98.341159623063689</v>
      </c>
      <c r="AY221" s="67">
        <v>38.800517511499258</v>
      </c>
      <c r="AZ221" s="67">
        <v>115.6230132926585</v>
      </c>
    </row>
    <row r="222" spans="22:52" x14ac:dyDescent="0.25">
      <c r="V222" s="67">
        <v>216.56000000003701</v>
      </c>
      <c r="W222" s="67">
        <v>86.489405387041941</v>
      </c>
      <c r="X222" s="67">
        <v>50.546065436726742</v>
      </c>
      <c r="Y222" s="67">
        <v>196.17810677451089</v>
      </c>
      <c r="AF222" s="67">
        <v>216.56000000003701</v>
      </c>
      <c r="AG222" s="67">
        <v>50.020561604316583</v>
      </c>
      <c r="AH222" s="67">
        <v>40.372406210136937</v>
      </c>
      <c r="AI222" s="67">
        <v>78.48463076005028</v>
      </c>
      <c r="AK222" s="67">
        <v>216.34000000003689</v>
      </c>
      <c r="AL222" s="67">
        <v>93.715051483835808</v>
      </c>
      <c r="AM222" s="67">
        <v>38.370228336480523</v>
      </c>
      <c r="AN222" s="67">
        <v>452.80177391933358</v>
      </c>
      <c r="AV222" s="67">
        <v>38.109349337189137</v>
      </c>
      <c r="AW222" s="67">
        <v>98.21521505817546</v>
      </c>
      <c r="AY222" s="67">
        <v>38.799053893407198</v>
      </c>
      <c r="AZ222" s="67">
        <v>115.4971352946197</v>
      </c>
    </row>
    <row r="223" spans="22:52" x14ac:dyDescent="0.25">
      <c r="V223" s="67">
        <v>217.56000000003749</v>
      </c>
      <c r="W223" s="67">
        <v>86.896976858313849</v>
      </c>
      <c r="X223" s="67">
        <v>50.603222348439658</v>
      </c>
      <c r="Y223" s="67">
        <v>198.55028206427741</v>
      </c>
      <c r="AF223" s="67">
        <v>217.56000000003749</v>
      </c>
      <c r="AG223" s="67">
        <v>51.020902690979241</v>
      </c>
      <c r="AH223" s="67">
        <v>40.383666627734499</v>
      </c>
      <c r="AI223" s="67">
        <v>80.856806049816029</v>
      </c>
      <c r="AK223" s="67">
        <v>217.34000000003741</v>
      </c>
      <c r="AL223" s="67">
        <v>93.287345647839828</v>
      </c>
      <c r="AM223" s="67">
        <v>38.247185132179879</v>
      </c>
      <c r="AN223" s="67">
        <v>452.80177391933358</v>
      </c>
      <c r="AV223" s="67">
        <v>38.105898797024047</v>
      </c>
      <c r="AW223" s="67">
        <v>98.091085139113119</v>
      </c>
      <c r="AY223" s="67">
        <v>38.797779067074913</v>
      </c>
      <c r="AZ223" s="67">
        <v>115.3724478044799</v>
      </c>
    </row>
    <row r="224" spans="22:52" x14ac:dyDescent="0.25">
      <c r="V224" s="67">
        <v>218.560000000038</v>
      </c>
      <c r="W224" s="67">
        <v>87.29882612920062</v>
      </c>
      <c r="X224" s="67">
        <v>50.660290834939588</v>
      </c>
      <c r="Y224" s="67">
        <v>200.9224573540439</v>
      </c>
      <c r="AF224" s="67">
        <v>218.560000000038</v>
      </c>
      <c r="AG224" s="67">
        <v>51.994999119069043</v>
      </c>
      <c r="AH224" s="67">
        <v>40.391739896280058</v>
      </c>
      <c r="AI224" s="67">
        <v>83.228981339581779</v>
      </c>
      <c r="AK224" s="67">
        <v>218.34000000003789</v>
      </c>
      <c r="AL224" s="67">
        <v>92.903157421396244</v>
      </c>
      <c r="AM224" s="67">
        <v>38.136616385943398</v>
      </c>
      <c r="AN224" s="67">
        <v>452.80177391933358</v>
      </c>
      <c r="AV224" s="67">
        <v>38.102700404178393</v>
      </c>
      <c r="AW224" s="67">
        <v>97.968745176647815</v>
      </c>
      <c r="AY224" s="67">
        <v>38.796690184397391</v>
      </c>
      <c r="AZ224" s="67">
        <v>115.24893512556071</v>
      </c>
    </row>
    <row r="225" spans="22:52" x14ac:dyDescent="0.25">
      <c r="V225" s="67">
        <v>219.56000000003851</v>
      </c>
      <c r="W225" s="67">
        <v>87.695204441623346</v>
      </c>
      <c r="X225" s="67">
        <v>50.717249510295012</v>
      </c>
      <c r="Y225" s="67">
        <v>203.29463264381039</v>
      </c>
      <c r="AF225" s="67">
        <v>219.56000000003851</v>
      </c>
      <c r="AG225" s="67">
        <v>52.943502964252403</v>
      </c>
      <c r="AH225" s="67">
        <v>40.397645159987803</v>
      </c>
      <c r="AI225" s="67">
        <v>85.601156629347514</v>
      </c>
      <c r="AV225" s="67">
        <v>38.099750611412787</v>
      </c>
      <c r="AW225" s="67">
        <v>97.848170773145199</v>
      </c>
      <c r="AY225" s="67">
        <v>38.795784430619271</v>
      </c>
      <c r="AZ225" s="67">
        <v>115.12658176034719</v>
      </c>
    </row>
    <row r="226" spans="22:52" x14ac:dyDescent="0.25">
      <c r="V226" s="67">
        <v>220.560000000039</v>
      </c>
      <c r="W226" s="67">
        <v>88.086361075475338</v>
      </c>
      <c r="X226" s="67">
        <v>50.774079947171458</v>
      </c>
      <c r="Y226" s="67">
        <v>205.66680793357691</v>
      </c>
      <c r="AF226" s="67">
        <v>220.560000000039</v>
      </c>
      <c r="AG226" s="67">
        <v>53.866881737188628</v>
      </c>
      <c r="AH226" s="67">
        <v>40.401764249344858</v>
      </c>
      <c r="AI226" s="67">
        <v>87.973331919113264</v>
      </c>
      <c r="AV226" s="67">
        <v>38.097045906836001</v>
      </c>
      <c r="AW226" s="67">
        <v>97.729337819561422</v>
      </c>
      <c r="AY226" s="67">
        <v>38.795059024032767</v>
      </c>
      <c r="AZ226" s="67">
        <v>115.00537240790079</v>
      </c>
    </row>
    <row r="227" spans="22:52" x14ac:dyDescent="0.25">
      <c r="V227" s="67">
        <v>221.56000000003951</v>
      </c>
      <c r="W227" s="67">
        <v>88.472543159696798</v>
      </c>
      <c r="X227" s="67">
        <v>50.830766366239459</v>
      </c>
      <c r="Y227" s="67">
        <v>208.03898322334339</v>
      </c>
      <c r="AF227" s="67">
        <v>221.56000000003951</v>
      </c>
      <c r="AG227" s="67">
        <v>54.765516533703227</v>
      </c>
      <c r="AH227" s="67">
        <v>40.404205683144262</v>
      </c>
      <c r="AI227" s="67">
        <v>90.345507208878999</v>
      </c>
      <c r="AV227" s="67">
        <v>38.094582813622537</v>
      </c>
      <c r="AW227" s="67">
        <v>97.61222249247443</v>
      </c>
      <c r="AY227" s="67">
        <v>38.794511215677637</v>
      </c>
      <c r="AZ227" s="67">
        <v>114.885291961305</v>
      </c>
    </row>
    <row r="228" spans="22:52" x14ac:dyDescent="0.25">
      <c r="V228" s="67">
        <v>222.56000000003999</v>
      </c>
      <c r="W228" s="67">
        <v>88.853995547818812</v>
      </c>
      <c r="X228" s="67">
        <v>50.887295389766223</v>
      </c>
      <c r="Y228" s="67">
        <v>210.41115851310991</v>
      </c>
      <c r="AF228" s="67">
        <v>222.56000000003999</v>
      </c>
      <c r="AG228" s="67">
        <v>55.639742853502199</v>
      </c>
      <c r="AH228" s="67">
        <v>40.404953140285841</v>
      </c>
      <c r="AI228" s="67">
        <v>92.717682498644763</v>
      </c>
      <c r="AV228" s="67">
        <v>38.092357889731552</v>
      </c>
      <c r="AW228" s="67">
        <v>97.49680125113359</v>
      </c>
      <c r="AY228" s="67">
        <v>38.794138358396772</v>
      </c>
      <c r="AZ228" s="67">
        <v>114.7663256820792</v>
      </c>
    </row>
    <row r="229" spans="22:52" x14ac:dyDescent="0.25">
      <c r="V229" s="67">
        <v>223.56000000004059</v>
      </c>
      <c r="W229" s="67">
        <v>89.230960752166865</v>
      </c>
      <c r="X229" s="67">
        <v>50.943655842724411</v>
      </c>
      <c r="Y229" s="67">
        <v>212.78333380287631</v>
      </c>
      <c r="AF229" s="67">
        <v>223.56000000004059</v>
      </c>
      <c r="AG229" s="67">
        <v>56.489867339617923</v>
      </c>
      <c r="AH229" s="67">
        <v>40.403926839465157</v>
      </c>
      <c r="AI229" s="67">
        <v>95.089857788410498</v>
      </c>
      <c r="AV229" s="67">
        <v>38.090367727627672</v>
      </c>
      <c r="AW229" s="67">
        <v>97.383050834541521</v>
      </c>
      <c r="AY229" s="67">
        <v>38.793937589038592</v>
      </c>
      <c r="AZ229" s="67">
        <v>114.64845838747711</v>
      </c>
    </row>
    <row r="230" spans="22:52" x14ac:dyDescent="0.25">
      <c r="V230" s="67">
        <v>224.5600000000411</v>
      </c>
      <c r="W230" s="67">
        <v>89.603678932512622</v>
      </c>
      <c r="X230" s="67">
        <v>50.999838588421987</v>
      </c>
      <c r="Y230" s="67">
        <v>215.1555090926428</v>
      </c>
      <c r="AF230" s="67">
        <v>224.5600000000411</v>
      </c>
      <c r="AG230" s="67">
        <v>57.316173983302271</v>
      </c>
      <c r="AH230" s="67">
        <v>40.401008555458077</v>
      </c>
      <c r="AI230" s="67">
        <v>97.462033078176248</v>
      </c>
      <c r="AV230" s="67">
        <v>38.088608954000513</v>
      </c>
      <c r="AW230" s="67">
        <v>97.270948258548643</v>
      </c>
      <c r="AY230" s="67">
        <v>38.793906365303471</v>
      </c>
      <c r="AZ230" s="67">
        <v>114.53167581936231</v>
      </c>
    </row>
    <row r="231" spans="22:52" x14ac:dyDescent="0.25">
      <c r="V231" s="67">
        <v>225.56000000004161</v>
      </c>
      <c r="W231" s="67">
        <v>89.972387935665481</v>
      </c>
      <c r="X231" s="67">
        <v>51.055836388395107</v>
      </c>
      <c r="Y231" s="67">
        <v>217.52768438240929</v>
      </c>
      <c r="AF231" s="67">
        <v>225.56000000004161</v>
      </c>
      <c r="AG231" s="67">
        <v>58.118925412861792</v>
      </c>
      <c r="AH231" s="67">
        <v>40.396050801101467</v>
      </c>
      <c r="AI231" s="67">
        <v>99.834208367941983</v>
      </c>
      <c r="AV231" s="67">
        <v>38.087078229486792</v>
      </c>
      <c r="AW231" s="67">
        <v>97.160470812988336</v>
      </c>
      <c r="AY231" s="67">
        <v>38.794042066245503</v>
      </c>
      <c r="AZ231" s="67">
        <v>114.415963621869</v>
      </c>
    </row>
    <row r="232" spans="22:52" x14ac:dyDescent="0.25">
      <c r="V232" s="67">
        <v>226.56000000004209</v>
      </c>
      <c r="W232" s="67">
        <v>90.337323382668586</v>
      </c>
      <c r="X232" s="67">
        <v>51.111643778451203</v>
      </c>
      <c r="Y232" s="67">
        <v>219.89985967217581</v>
      </c>
      <c r="AF232" s="67">
        <v>226.56000000004209</v>
      </c>
      <c r="AG232" s="67">
        <v>58.898361581536292</v>
      </c>
      <c r="AH232" s="67">
        <v>40.388878589992942</v>
      </c>
      <c r="AI232" s="67">
        <v>102.2063836577077</v>
      </c>
      <c r="AV232" s="67">
        <v>38.085772248393482</v>
      </c>
      <c r="AW232" s="67">
        <v>97.05159605882244</v>
      </c>
      <c r="AY232" s="67">
        <v>38.794342102185027</v>
      </c>
      <c r="AZ232" s="67">
        <v>114.3013076207794</v>
      </c>
    </row>
    <row r="233" spans="22:52" x14ac:dyDescent="0.25">
      <c r="V233" s="67">
        <v>227.56000000004261</v>
      </c>
      <c r="W233" s="67">
        <v>90.698718799994197</v>
      </c>
      <c r="X233" s="67">
        <v>51.167256954471213</v>
      </c>
      <c r="Y233" s="67">
        <v>222.2720349619423</v>
      </c>
      <c r="AF233" s="67">
        <v>227.56000000004261</v>
      </c>
      <c r="AG233" s="67">
        <v>59.65469679980319</v>
      </c>
      <c r="AH233" s="67">
        <v>40.379287327654481</v>
      </c>
      <c r="AI233" s="67">
        <v>104.5785589474735</v>
      </c>
      <c r="AV233" s="67">
        <v>38.084687738419689</v>
      </c>
      <c r="AW233" s="67">
        <v>96.944301825318675</v>
      </c>
      <c r="AY233" s="67">
        <v>38.794804038037292</v>
      </c>
      <c r="AZ233" s="67">
        <v>114.18769413302</v>
      </c>
    </row>
    <row r="234" spans="22:52" x14ac:dyDescent="0.25">
      <c r="V234" s="67">
        <v>228.56000000004309</v>
      </c>
      <c r="W234" s="67">
        <v>91.056805790736249</v>
      </c>
      <c r="X234" s="67">
        <v>51.222673663066018</v>
      </c>
      <c r="Y234" s="67">
        <v>224.64421025170881</v>
      </c>
      <c r="AF234" s="67">
        <v>228.56000000004309</v>
      </c>
      <c r="AG234" s="67">
        <v>60.38811524270394</v>
      </c>
      <c r="AH234" s="67">
        <v>40.367037874071457</v>
      </c>
      <c r="AI234" s="67">
        <v>106.9507342372392</v>
      </c>
      <c r="AV234" s="67">
        <v>38.08382146038133</v>
      </c>
      <c r="AW234" s="67">
        <v>96.838566207252057</v>
      </c>
      <c r="AY234" s="67">
        <v>38.795425134866001</v>
      </c>
      <c r="AZ234" s="67">
        <v>114.0751088074876</v>
      </c>
    </row>
    <row r="235" spans="22:52" x14ac:dyDescent="0.25">
      <c r="V235" s="67">
        <v>229.5600000000436</v>
      </c>
      <c r="W235" s="67">
        <v>91.411814241298998</v>
      </c>
      <c r="X235" s="67">
        <v>51.277893093468087</v>
      </c>
      <c r="Y235" s="67">
        <v>227.0163855414753</v>
      </c>
      <c r="AF235" s="67">
        <v>229.5600000000436</v>
      </c>
      <c r="AG235" s="67">
        <v>61.098764855590161</v>
      </c>
      <c r="AH235" s="67">
        <v>40.351849181354567</v>
      </c>
      <c r="AI235" s="67">
        <v>109.322909527005</v>
      </c>
      <c r="AV235" s="67">
        <v>38.083170207935268</v>
      </c>
      <c r="AW235" s="67">
        <v>96.73436756212179</v>
      </c>
      <c r="AY235" s="67">
        <v>38.796202981594398</v>
      </c>
      <c r="AZ235" s="67">
        <v>113.9635382195215</v>
      </c>
    </row>
    <row r="236" spans="22:52" x14ac:dyDescent="0.25">
      <c r="V236" s="67">
        <v>230.56000000004411</v>
      </c>
      <c r="W236" s="67">
        <v>91.763972558671441</v>
      </c>
      <c r="X236" s="67">
        <v>51.332915768195107</v>
      </c>
      <c r="Y236" s="67">
        <v>229.38856083124179</v>
      </c>
      <c r="AF236" s="67">
        <v>230.56000000004411</v>
      </c>
      <c r="AG236" s="67">
        <v>61.786749165170022</v>
      </c>
      <c r="AH236" s="67">
        <v>40.333387995415308</v>
      </c>
      <c r="AI236" s="67">
        <v>111.6950848167707</v>
      </c>
      <c r="AV236" s="67">
        <v>38.082730807303619</v>
      </c>
      <c r="AW236" s="67">
        <v>96.631684507404785</v>
      </c>
      <c r="AY236" s="67">
        <v>38.797135110693411</v>
      </c>
      <c r="AZ236" s="67">
        <v>113.8529688978288</v>
      </c>
    </row>
    <row r="237" spans="22:52" x14ac:dyDescent="0.25">
      <c r="V237" s="67">
        <v>231.56000000004471</v>
      </c>
      <c r="W237" s="67">
        <v>92.11350793303734</v>
      </c>
      <c r="X237" s="67">
        <v>51.387743431029548</v>
      </c>
      <c r="Y237" s="67">
        <v>231.76073612100831</v>
      </c>
      <c r="AF237" s="67">
        <v>231.56000000004471</v>
      </c>
      <c r="AG237" s="67">
        <v>62.452116187781243</v>
      </c>
      <c r="AH237" s="67">
        <v>40.311254614312929</v>
      </c>
      <c r="AI237" s="67">
        <v>114.06726010653649</v>
      </c>
      <c r="AV237" s="67">
        <v>38.08250011700045</v>
      </c>
      <c r="AW237" s="67">
        <v>96.530495917824879</v>
      </c>
      <c r="AY237" s="67">
        <v>38.798219084443119</v>
      </c>
      <c r="AZ237" s="67">
        <v>113.7433875410451</v>
      </c>
    </row>
    <row r="238" spans="22:52" x14ac:dyDescent="0.25">
      <c r="V238" s="67">
        <v>232.56000000004519</v>
      </c>
      <c r="W238" s="67">
        <v>92.460646620344065</v>
      </c>
      <c r="X238" s="67">
        <v>51.442378931777633</v>
      </c>
      <c r="Y238" s="67">
        <v>234.1329114107748</v>
      </c>
      <c r="AF238" s="67">
        <v>232.56000000004519</v>
      </c>
      <c r="AG238" s="67">
        <v>63.094843122403937</v>
      </c>
      <c r="AH238" s="67">
        <v>40.284962957834857</v>
      </c>
      <c r="AI238" s="67">
        <v>116.4394353963022</v>
      </c>
      <c r="AV238" s="67">
        <v>38.082475027556029</v>
      </c>
      <c r="AW238" s="67">
        <v>96.430780922645084</v>
      </c>
      <c r="AY238" s="67">
        <v>38.799452494643901</v>
      </c>
      <c r="AZ238" s="67">
        <v>113.6347810154676</v>
      </c>
    </row>
    <row r="239" spans="22:52" x14ac:dyDescent="0.25">
      <c r="V239" s="67">
        <v>233.5600000000457</v>
      </c>
      <c r="W239" s="67">
        <v>92.805614239449099</v>
      </c>
      <c r="X239" s="67">
        <v>51.496826108012669</v>
      </c>
      <c r="Y239" s="67">
        <v>236.50508670054131</v>
      </c>
      <c r="AF239" s="67">
        <v>233.5600000000457</v>
      </c>
      <c r="AG239" s="67">
        <v>63.714814672994351</v>
      </c>
      <c r="AH239" s="67">
        <v>40.253912011795251</v>
      </c>
      <c r="AI239" s="67">
        <v>118.81161068606799</v>
      </c>
      <c r="AV239" s="67">
        <v>38.082652461244322</v>
      </c>
      <c r="AW239" s="67">
        <v>96.332518902986536</v>
      </c>
      <c r="AY239" s="67">
        <v>38.800832962325927</v>
      </c>
      <c r="AZ239" s="67">
        <v>113.5271363528114</v>
      </c>
    </row>
    <row r="240" spans="22:52" x14ac:dyDescent="0.25">
      <c r="V240" s="67">
        <v>234.56000000004619</v>
      </c>
      <c r="W240" s="67">
        <v>93.148636078652387</v>
      </c>
      <c r="X240" s="67">
        <v>51.551089664655713</v>
      </c>
      <c r="Y240" s="67">
        <v>238.87726199030769</v>
      </c>
      <c r="AF240" s="67">
        <v>234.56000000004619</v>
      </c>
      <c r="AG240" s="67">
        <v>64.311791347827395</v>
      </c>
      <c r="AH240" s="67">
        <v>40.217343614264223</v>
      </c>
      <c r="AI240" s="67">
        <v>121.1837859758337</v>
      </c>
      <c r="AV240" s="67">
        <v>38.083029371809062</v>
      </c>
      <c r="AW240" s="67">
        <v>96.235689489172032</v>
      </c>
      <c r="AY240" s="67">
        <v>38.802358137461979</v>
      </c>
      <c r="AZ240" s="67">
        <v>113.4204407479955</v>
      </c>
    </row>
    <row r="241" spans="22:52" x14ac:dyDescent="0.25">
      <c r="V241" s="67">
        <v>235.5600000000467</v>
      </c>
      <c r="W241" s="67">
        <v>93.48993740671402</v>
      </c>
      <c r="X241" s="67">
        <v>51.605175052687741</v>
      </c>
      <c r="Y241" s="67">
        <v>241.2494372800742</v>
      </c>
      <c r="AF241" s="67">
        <v>235.5600000000467</v>
      </c>
      <c r="AG241" s="67">
        <v>64.885361240992538</v>
      </c>
      <c r="AH241" s="67">
        <v>40.174277558913843</v>
      </c>
      <c r="AI241" s="67">
        <v>123.55596126559939</v>
      </c>
      <c r="AV241" s="67">
        <v>38.083602744191303</v>
      </c>
      <c r="AW241" s="67">
        <v>96.140272558087887</v>
      </c>
      <c r="AY241" s="67">
        <v>38.804025698678878</v>
      </c>
      <c r="AZ241" s="67">
        <v>113.314681556949</v>
      </c>
    </row>
    <row r="242" spans="22:52" x14ac:dyDescent="0.25">
      <c r="V242" s="67">
        <v>236.56000000004721</v>
      </c>
      <c r="W242" s="67">
        <v>93.829743783987681</v>
      </c>
      <c r="X242" s="67">
        <v>51.659088348705382</v>
      </c>
      <c r="Y242" s="67">
        <v>243.62161256984069</v>
      </c>
      <c r="AF242" s="67">
        <v>236.56000000004721</v>
      </c>
      <c r="AG242" s="67">
        <v>65.434863007693849</v>
      </c>
      <c r="AH242" s="67">
        <v>40.123406808691023</v>
      </c>
      <c r="AI242" s="67">
        <v>125.9281365553652</v>
      </c>
      <c r="AV242" s="67">
        <v>38.084369594256877</v>
      </c>
      <c r="AW242" s="67">
        <v>96.046248230579138</v>
      </c>
      <c r="AY242" s="67">
        <v>38.805833352970303</v>
      </c>
      <c r="AZ242" s="67">
        <v>113.209846294448</v>
      </c>
    </row>
    <row r="243" spans="22:52" x14ac:dyDescent="0.25">
      <c r="V243" s="67">
        <v>237.56000000004769</v>
      </c>
      <c r="W243" s="67">
        <v>94.168281369790421</v>
      </c>
      <c r="X243" s="67">
        <v>51.712836137183501</v>
      </c>
      <c r="Y243" s="67">
        <v>245.99378785960721</v>
      </c>
      <c r="AF243" s="67">
        <v>237.56000000004769</v>
      </c>
      <c r="AG243" s="67">
        <v>65.959254863296039</v>
      </c>
      <c r="AH243" s="67">
        <v>40.06291730109109</v>
      </c>
      <c r="AI243" s="67">
        <v>128.30031184513089</v>
      </c>
      <c r="AV243" s="67">
        <v>38.085326968523361</v>
      </c>
      <c r="AW243" s="67">
        <v>95.953596868853907</v>
      </c>
      <c r="AY243" s="67">
        <v>38.80777883540911</v>
      </c>
      <c r="AZ243" s="67">
        <v>113.1059226319712</v>
      </c>
    </row>
    <row r="244" spans="22:52" x14ac:dyDescent="0.25">
      <c r="V244" s="67">
        <v>238.56000000004821</v>
      </c>
      <c r="W244" s="67">
        <v>94.505777222782044</v>
      </c>
      <c r="X244" s="67">
        <v>51.766425397427042</v>
      </c>
      <c r="Y244" s="67">
        <v>248.3659631493737</v>
      </c>
      <c r="AF244" s="67">
        <v>238.56000000004821</v>
      </c>
      <c r="AG244" s="67">
        <v>66.456872355015776</v>
      </c>
      <c r="AH244" s="67">
        <v>39.990150897058697</v>
      </c>
      <c r="AI244" s="67">
        <v>130.6724871348967</v>
      </c>
      <c r="AV244" s="67">
        <v>38.086471943889478</v>
      </c>
      <c r="AW244" s="67">
        <v>95.862299073925485</v>
      </c>
      <c r="AY244" s="67">
        <v>38.809859908861483</v>
      </c>
      <c r="AZ244" s="67">
        <v>113.0028983955869</v>
      </c>
    </row>
    <row r="245" spans="22:52" x14ac:dyDescent="0.25">
      <c r="V245" s="67">
        <v>239.56000000004869</v>
      </c>
      <c r="W245" s="67">
        <v>94.84245959183599</v>
      </c>
      <c r="X245" s="67">
        <v>51.819863397183667</v>
      </c>
      <c r="Y245" s="67">
        <v>250.73813843914019</v>
      </c>
      <c r="AF245" s="67">
        <v>239.56000000004869</v>
      </c>
      <c r="AG245" s="67">
        <v>66.924924192235324</v>
      </c>
      <c r="AH245" s="67">
        <v>39.900895188136872</v>
      </c>
      <c r="AI245" s="67">
        <v>133.04466242466239</v>
      </c>
      <c r="AV245" s="67">
        <v>38.087801627362303</v>
      </c>
      <c r="AW245" s="67">
        <v>95.772335683068462</v>
      </c>
      <c r="AY245" s="67">
        <v>38.812074363700233</v>
      </c>
      <c r="AZ245" s="67">
        <v>112.9007615638609</v>
      </c>
    </row>
    <row r="246" spans="22:52" x14ac:dyDescent="0.25">
      <c r="V246" s="67">
        <v>240.56000000004931</v>
      </c>
      <c r="W246" s="67">
        <v>95.178558195577097</v>
      </c>
      <c r="X246" s="67">
        <v>51.873157594769957</v>
      </c>
      <c r="Y246" s="67">
        <v>253.1103137289067</v>
      </c>
      <c r="AF246" s="67">
        <v>240.56000000004931</v>
      </c>
      <c r="AG246" s="67">
        <v>67.358229945484908</v>
      </c>
      <c r="AH246" s="67">
        <v>39.787581194251402</v>
      </c>
      <c r="AI246" s="67">
        <v>135.41683771442851</v>
      </c>
      <c r="AV246" s="67">
        <v>38.089313155787522</v>
      </c>
      <c r="AW246" s="67">
        <v>95.683687767308768</v>
      </c>
      <c r="AY246" s="67">
        <v>38.814420017519232</v>
      </c>
      <c r="AZ246" s="67">
        <v>112.79950026579159</v>
      </c>
    </row>
    <row r="247" spans="22:52" x14ac:dyDescent="0.25">
      <c r="V247" s="67">
        <v>241.5600000000498</v>
      </c>
      <c r="W247" s="67">
        <v>95.514304489491408</v>
      </c>
      <c r="X247" s="67">
        <v>51.926315551383823</v>
      </c>
      <c r="Y247" s="67">
        <v>255.48248901867319</v>
      </c>
      <c r="AF247" s="67">
        <v>241.5600000000498</v>
      </c>
      <c r="AG247" s="67">
        <v>67.744720478151962</v>
      </c>
      <c r="AH247" s="67">
        <v>39.632754592661797</v>
      </c>
      <c r="AI247" s="67">
        <v>137.789013004195</v>
      </c>
      <c r="AV247" s="67">
        <v>38.091003695578252</v>
      </c>
      <c r="AW247" s="67">
        <v>95.596336628923808</v>
      </c>
      <c r="AY247" s="67">
        <v>38.816894714847393</v>
      </c>
      <c r="AZ247" s="67">
        <v>112.69910277876571</v>
      </c>
    </row>
    <row r="248" spans="22:52" x14ac:dyDescent="0.25">
      <c r="V248" s="67">
        <v>242.56000000005031</v>
      </c>
      <c r="W248" s="67">
        <v>95.849931920244416</v>
      </c>
      <c r="X248" s="67">
        <v>51.979344855026973</v>
      </c>
      <c r="Y248" s="67">
        <v>257.85466430843968</v>
      </c>
      <c r="AF248" s="67">
        <v>242.56000000005031</v>
      </c>
      <c r="AG248" s="67">
        <v>67.800192379814305</v>
      </c>
      <c r="AH248" s="67">
        <v>39.011751886196457</v>
      </c>
      <c r="AI248" s="67">
        <v>140.16118829396149</v>
      </c>
      <c r="AV248" s="67">
        <v>38.092870442444053</v>
      </c>
      <c r="AW248" s="67">
        <v>95.510263798977959</v>
      </c>
      <c r="AY248" s="67">
        <v>38.819496326864353</v>
      </c>
      <c r="AZ248" s="67">
        <v>112.5995575265451</v>
      </c>
    </row>
    <row r="249" spans="22:52" x14ac:dyDescent="0.25">
      <c r="V249" s="67">
        <v>243.56000000005079</v>
      </c>
      <c r="W249" s="67">
        <v>96.18567616748939</v>
      </c>
      <c r="X249" s="67">
        <v>52.032253057168418</v>
      </c>
      <c r="Y249" s="67">
        <v>260.22683959820608</v>
      </c>
      <c r="AF249" s="67">
        <v>243.56000000005079</v>
      </c>
      <c r="AG249" s="67">
        <v>67.729575405164042</v>
      </c>
      <c r="AH249" s="67">
        <v>38.257314042063058</v>
      </c>
      <c r="AI249" s="67">
        <v>142.533363583728</v>
      </c>
      <c r="AV249" s="67">
        <v>38.094910621121699</v>
      </c>
      <c r="AW249" s="67">
        <v>95.425451034877696</v>
      </c>
      <c r="AY249" s="67">
        <v>38.82222275111625</v>
      </c>
      <c r="AZ249" s="67">
        <v>112.5008530772774</v>
      </c>
    </row>
    <row r="250" spans="22:52" x14ac:dyDescent="0.25">
      <c r="V250" s="67">
        <v>244.5600000000513</v>
      </c>
      <c r="W250" s="67">
        <v>96.521775374098596</v>
      </c>
      <c r="X250" s="67">
        <v>52.085047622946597</v>
      </c>
      <c r="Y250" s="67">
        <v>262.59901488797271</v>
      </c>
      <c r="AF250" s="67">
        <v>244.5600000000513</v>
      </c>
      <c r="AG250" s="67">
        <v>67.727919759080947</v>
      </c>
      <c r="AH250" s="67">
        <v>37.657766097037779</v>
      </c>
      <c r="AI250" s="67">
        <v>144.90553887349449</v>
      </c>
      <c r="AV250" s="67">
        <v>38.097121485105617</v>
      </c>
      <c r="AW250" s="67">
        <v>95.34188031794956</v>
      </c>
      <c r="AY250" s="67">
        <v>38.825071911230452</v>
      </c>
      <c r="AZ250" s="67">
        <v>112.40297814152331</v>
      </c>
    </row>
    <row r="251" spans="22:52" x14ac:dyDescent="0.25">
      <c r="V251" s="67">
        <v>245.56000000005179</v>
      </c>
      <c r="W251" s="67">
        <v>96.858470366254451</v>
      </c>
      <c r="X251" s="67">
        <v>52.137735895361629</v>
      </c>
      <c r="Y251" s="67">
        <v>264.97119017773912</v>
      </c>
      <c r="AF251" s="67">
        <v>245.56000000005179</v>
      </c>
      <c r="AG251" s="67">
        <v>67.832929435761855</v>
      </c>
      <c r="AH251" s="67">
        <v>37.254989777211158</v>
      </c>
      <c r="AI251" s="67">
        <v>147.27771416326101</v>
      </c>
      <c r="AV251" s="67">
        <v>38.099500316379363</v>
      </c>
      <c r="AW251" s="67">
        <v>95.259533851047493</v>
      </c>
      <c r="AY251" s="67">
        <v>38.828041756633198</v>
      </c>
      <c r="AZ251" s="67">
        <v>112.3059215703212</v>
      </c>
    </row>
    <row r="252" spans="22:52" x14ac:dyDescent="0.25">
      <c r="V252" s="67">
        <v>246.5600000000523</v>
      </c>
      <c r="W252" s="67">
        <v>97.196004865287406</v>
      </c>
      <c r="X252" s="67">
        <v>52.190325073551662</v>
      </c>
      <c r="Y252" s="67">
        <v>267.34336546750558</v>
      </c>
      <c r="AF252" s="67">
        <v>246.5600000000523</v>
      </c>
      <c r="AG252" s="67">
        <v>68.003239827919828</v>
      </c>
      <c r="AH252" s="67">
        <v>36.979075186232187</v>
      </c>
      <c r="AI252" s="67">
        <v>149.6498894530275</v>
      </c>
      <c r="AV252" s="67">
        <v>38.102044425146573</v>
      </c>
      <c r="AW252" s="67">
        <v>95.178394056175563</v>
      </c>
      <c r="AY252" s="67">
        <v>38.831130262266292</v>
      </c>
      <c r="AZ252" s="67">
        <v>112.2096723532657</v>
      </c>
    </row>
    <row r="253" spans="22:52" x14ac:dyDescent="0.25">
      <c r="V253" s="67">
        <v>247.56000000005281</v>
      </c>
      <c r="W253" s="67">
        <v>97.534625693443374</v>
      </c>
      <c r="X253" s="67">
        <v>52.242822204897038</v>
      </c>
      <c r="Y253" s="67">
        <v>269.71554075727141</v>
      </c>
      <c r="AF253" s="67">
        <v>247.56000000005281</v>
      </c>
      <c r="AG253" s="67">
        <v>68.215353948788334</v>
      </c>
      <c r="AH253" s="67">
        <v>36.790061724884652</v>
      </c>
      <c r="AI253" s="67">
        <v>152.02206474279399</v>
      </c>
      <c r="AV253" s="67">
        <v>38.10475114956364</v>
      </c>
      <c r="AW253" s="67">
        <v>95.098443572143452</v>
      </c>
      <c r="AY253" s="67">
        <v>38.834335428303618</v>
      </c>
      <c r="AZ253" s="67">
        <v>112.1142196166182</v>
      </c>
    </row>
    <row r="254" spans="22:52" x14ac:dyDescent="0.25">
      <c r="V254" s="67">
        <v>248.56000000005329</v>
      </c>
      <c r="W254" s="67">
        <v>97.874582975909505</v>
      </c>
      <c r="X254" s="67">
        <v>52.295234190353654</v>
      </c>
      <c r="Y254" s="67">
        <v>272.08771604703628</v>
      </c>
      <c r="AF254" s="67">
        <v>248.56000000005329</v>
      </c>
      <c r="AG254" s="67">
        <v>68.454232970278824</v>
      </c>
      <c r="AH254" s="67">
        <v>36.66240982823831</v>
      </c>
      <c r="AI254" s="67">
        <v>154.39424003256039</v>
      </c>
      <c r="AV254" s="67">
        <v>38.107617855489593</v>
      </c>
      <c r="AW254" s="67">
        <v>95.019665252287254</v>
      </c>
      <c r="AY254" s="67">
        <v>38.837655279870347</v>
      </c>
      <c r="AZ254" s="67">
        <v>112.0195526214353</v>
      </c>
    </row>
    <row r="255" spans="22:52" x14ac:dyDescent="0.25">
      <c r="V255" s="67">
        <v>249.56000000005389</v>
      </c>
      <c r="W255" s="67">
        <v>98.216130341447567</v>
      </c>
      <c r="X255" s="67">
        <v>52.347567802126044</v>
      </c>
      <c r="Y255" s="67">
        <v>274.45989133680132</v>
      </c>
      <c r="AF255" s="67">
        <v>249.56000000005389</v>
      </c>
      <c r="AG255" s="67">
        <v>68.709730723769198</v>
      </c>
      <c r="AH255" s="67">
        <v>36.578933745497302</v>
      </c>
      <c r="AI255" s="67">
        <v>156.76641532232699</v>
      </c>
      <c r="AV255" s="67">
        <v>38.110641936124132</v>
      </c>
      <c r="AW255" s="67">
        <v>94.942042161908802</v>
      </c>
      <c r="AY255" s="67">
        <v>38.841087866761669</v>
      </c>
      <c r="AZ255" s="67">
        <v>111.9256607617306</v>
      </c>
    </row>
    <row r="256" spans="22:52" x14ac:dyDescent="0.25">
      <c r="V256" s="67">
        <v>250.5600000000544</v>
      </c>
      <c r="W256" s="67">
        <v>98.559525123784695</v>
      </c>
      <c r="X256" s="67">
        <v>52.399829712514588</v>
      </c>
      <c r="Y256" s="67">
        <v>276.83206662656642</v>
      </c>
      <c r="AF256" s="67">
        <v>250.5600000000544</v>
      </c>
      <c r="AG256" s="67">
        <v>68.974833262136684</v>
      </c>
      <c r="AH256" s="67">
        <v>36.527749355477681</v>
      </c>
      <c r="AI256" s="67">
        <v>159.13859061209351</v>
      </c>
      <c r="AV256" s="67">
        <v>38.113820811960863</v>
      </c>
      <c r="AW256" s="67">
        <v>94.865557576601674</v>
      </c>
      <c r="AY256" s="67">
        <v>38.844631263160657</v>
      </c>
      <c r="AZ256" s="67">
        <v>111.8325335626507</v>
      </c>
    </row>
    <row r="257" spans="22:52" x14ac:dyDescent="0.25">
      <c r="V257" s="67">
        <v>251.56000000005491</v>
      </c>
      <c r="W257" s="67">
        <v>98.905028565543461</v>
      </c>
      <c r="X257" s="67">
        <v>52.452026532563202</v>
      </c>
      <c r="Y257" s="67">
        <v>279.20424191633128</v>
      </c>
      <c r="AF257" s="67">
        <v>251.56000000005491</v>
      </c>
      <c r="AG257" s="67">
        <v>69.244627964647307</v>
      </c>
      <c r="AH257" s="67">
        <v>36.50048552835824</v>
      </c>
      <c r="AI257" s="67">
        <v>161.51076590185991</v>
      </c>
      <c r="AV257" s="67">
        <v>38.117151930281238</v>
      </c>
      <c r="AW257" s="67">
        <v>94.790194979336803</v>
      </c>
      <c r="AY257" s="67">
        <v>38.848283567360731</v>
      </c>
      <c r="AZ257" s="67">
        <v>111.7401606786853</v>
      </c>
    </row>
    <row r="258" spans="22:52" x14ac:dyDescent="0.25">
      <c r="V258" s="67">
        <v>252.5600000000554</v>
      </c>
      <c r="W258" s="67">
        <v>99.2529060259304</v>
      </c>
      <c r="X258" s="67">
        <v>52.504164858995523</v>
      </c>
      <c r="Y258" s="67">
        <v>281.57641720609632</v>
      </c>
      <c r="AF258" s="67">
        <v>252.5600000000554</v>
      </c>
      <c r="AG258" s="67">
        <v>69.515648571480412</v>
      </c>
      <c r="AH258" s="67">
        <v>36.491157509266152</v>
      </c>
      <c r="AI258" s="67">
        <v>163.8829411916264</v>
      </c>
      <c r="AV258" s="67">
        <v>38.12063276499714</v>
      </c>
      <c r="AW258" s="67">
        <v>94.715938058524543</v>
      </c>
      <c r="AY258" s="67">
        <v>38.852042901484729</v>
      </c>
      <c r="AZ258" s="67">
        <v>111.64853189189481</v>
      </c>
    </row>
    <row r="259" spans="22:52" x14ac:dyDescent="0.25">
      <c r="V259" s="67">
        <v>253.56000000005591</v>
      </c>
      <c r="W259" s="67">
        <v>99.603427192557973</v>
      </c>
      <c r="X259" s="67">
        <v>52.556251327860203</v>
      </c>
      <c r="Y259" s="67">
        <v>283.94859249586142</v>
      </c>
      <c r="AF259" s="67">
        <v>253.56000000005591</v>
      </c>
      <c r="AG259" s="67">
        <v>69.785441336272143</v>
      </c>
      <c r="AH259" s="67">
        <v>36.495429956588573</v>
      </c>
      <c r="AI259" s="67">
        <v>166.25511648139289</v>
      </c>
      <c r="AV259" s="67">
        <v>38.124260816414562</v>
      </c>
      <c r="AW259" s="67">
        <v>94.642770705891493</v>
      </c>
      <c r="AY259" s="67">
        <v>38.855907411206978</v>
      </c>
      <c r="AZ259" s="67">
        <v>111.5576371101627</v>
      </c>
    </row>
    <row r="260" spans="22:52" x14ac:dyDescent="0.25">
      <c r="V260" s="67">
        <v>254.56000000005639</v>
      </c>
      <c r="W260" s="67">
        <v>99.95686629663939</v>
      </c>
      <c r="X260" s="67">
        <v>52.608292673353283</v>
      </c>
      <c r="Y260" s="67">
        <v>286.32076778562629</v>
      </c>
      <c r="AF260" s="67">
        <v>254.56000000005639</v>
      </c>
      <c r="AG260" s="67">
        <v>70.052270532803874</v>
      </c>
      <c r="AH260" s="67">
        <v>36.510123586520308</v>
      </c>
      <c r="AI260" s="67">
        <v>168.62729177115941</v>
      </c>
      <c r="AV260" s="67">
        <v>38.128033610930629</v>
      </c>
      <c r="AW260" s="67">
        <v>94.570677014182607</v>
      </c>
      <c r="AY260" s="67">
        <v>38.859875265477257</v>
      </c>
      <c r="AZ260" s="67">
        <v>111.4674663654815</v>
      </c>
    </row>
    <row r="261" spans="22:52" x14ac:dyDescent="0.25">
      <c r="V261" s="67">
        <v>255.5600000000569</v>
      </c>
      <c r="W261" s="67">
        <v>100.31350232909919</v>
      </c>
      <c r="X261" s="67">
        <v>52.660295790452892</v>
      </c>
      <c r="Y261" s="67">
        <v>288.69294307539133</v>
      </c>
      <c r="AF261" s="67">
        <v>255.5600000000569</v>
      </c>
      <c r="AG261" s="67">
        <v>70.314915118675927</v>
      </c>
      <c r="AH261" s="67">
        <v>36.532879314327147</v>
      </c>
      <c r="AI261" s="67">
        <v>170.99946706092589</v>
      </c>
      <c r="AV261" s="67">
        <v>38.131948700785067</v>
      </c>
      <c r="AW261" s="67">
        <v>94.499641275042961</v>
      </c>
      <c r="AY261" s="67">
        <v>38.86394465624204</v>
      </c>
      <c r="AZ261" s="67">
        <v>111.3780098122436</v>
      </c>
    </row>
    <row r="262" spans="22:52" x14ac:dyDescent="0.25">
      <c r="V262" s="67">
        <v>256.56000000005662</v>
      </c>
      <c r="W262" s="67">
        <v>100.6736192525432</v>
      </c>
      <c r="X262" s="67">
        <v>52.712267800384097</v>
      </c>
      <c r="Y262" s="67">
        <v>291.06511836515642</v>
      </c>
      <c r="AF262" s="67">
        <v>256.56000000005662</v>
      </c>
      <c r="AG262" s="67">
        <v>70.572526484522214</v>
      </c>
      <c r="AH262" s="67">
        <v>36.561926531978997</v>
      </c>
      <c r="AI262" s="67">
        <v>173.37164235069241</v>
      </c>
      <c r="AV262" s="67">
        <v>38.136003663801382</v>
      </c>
      <c r="AW262" s="67">
        <v>94.429647976885775</v>
      </c>
      <c r="AY262" s="67">
        <v>38.868113798172047</v>
      </c>
      <c r="AZ262" s="67">
        <v>111.2892577255798</v>
      </c>
    </row>
    <row r="263" spans="22:52" x14ac:dyDescent="0.25">
      <c r="V263" s="67">
        <v>257.56000000005571</v>
      </c>
      <c r="W263" s="67">
        <v>101.0375061993455</v>
      </c>
      <c r="X263" s="67">
        <v>52.764216118608942</v>
      </c>
      <c r="Y263" s="67">
        <v>293.43729365492129</v>
      </c>
      <c r="AF263" s="67">
        <v>257.56000000005571</v>
      </c>
      <c r="AG263" s="67">
        <v>70.824527827012147</v>
      </c>
      <c r="AH263" s="67">
        <v>36.595921367775759</v>
      </c>
      <c r="AI263" s="67">
        <v>175.7438176404589</v>
      </c>
      <c r="AV263" s="67">
        <v>38.140196103130222</v>
      </c>
      <c r="AW263" s="67">
        <v>94.360681802793692</v>
      </c>
      <c r="AY263" s="67">
        <v>38.872380928385248</v>
      </c>
      <c r="AZ263" s="67">
        <v>111.2012004997023</v>
      </c>
    </row>
    <row r="264" spans="22:52" x14ac:dyDescent="0.25">
      <c r="V264" s="67">
        <v>258.5600000000548</v>
      </c>
      <c r="W264" s="67">
        <v>101.4054576365438</v>
      </c>
      <c r="X264" s="67">
        <v>52.816148526352087</v>
      </c>
      <c r="Y264" s="67">
        <v>295.80946894468627</v>
      </c>
      <c r="AF264" s="67">
        <v>258.5600000000548</v>
      </c>
      <c r="AG264" s="67">
        <v>71.070542257459152</v>
      </c>
      <c r="AH264" s="67">
        <v>36.633832597458188</v>
      </c>
      <c r="AI264" s="67">
        <v>178.11599293022539</v>
      </c>
      <c r="AV264" s="67">
        <v>38.144523646994571</v>
      </c>
      <c r="AW264" s="67">
        <v>94.292727628433539</v>
      </c>
      <c r="AY264" s="67">
        <v>38.876744306176107</v>
      </c>
      <c r="AZ264" s="67">
        <v>111.11382864628121</v>
      </c>
    </row>
    <row r="265" spans="22:52" x14ac:dyDescent="0.25">
      <c r="V265" s="67">
        <v>259.56000000005389</v>
      </c>
      <c r="W265" s="67">
        <v>101.7777734546701</v>
      </c>
      <c r="X265" s="67">
        <v>52.86807324937638</v>
      </c>
      <c r="Y265" s="67">
        <v>298.18164423445143</v>
      </c>
      <c r="AF265" s="67">
        <v>259.56000000005389</v>
      </c>
      <c r="AG265" s="67">
        <v>71.310340966654735</v>
      </c>
      <c r="AH265" s="67">
        <v>36.674860370871102</v>
      </c>
      <c r="AI265" s="67">
        <v>180.48816821999191</v>
      </c>
      <c r="AV265" s="67">
        <v>38.148983948436182</v>
      </c>
      <c r="AW265" s="67">
        <v>94.225770520003792</v>
      </c>
      <c r="AY265" s="67">
        <v>38.881202212742693</v>
      </c>
      <c r="AZ265" s="67">
        <v>111.0271327928447</v>
      </c>
    </row>
    <row r="266" spans="22:52" x14ac:dyDescent="0.25">
      <c r="V266" s="67">
        <v>260.56000000005298</v>
      </c>
      <c r="W266" s="67">
        <v>102.15475886404511</v>
      </c>
      <c r="X266" s="67">
        <v>52.919999054352388</v>
      </c>
      <c r="Y266" s="67">
        <v>300.55381952421641</v>
      </c>
      <c r="AF266" s="67">
        <v>260.56000000005298</v>
      </c>
      <c r="AG266" s="67">
        <v>71.543805522847592</v>
      </c>
      <c r="AH266" s="67">
        <v>36.718377768180062</v>
      </c>
      <c r="AI266" s="67">
        <v>182.86034350975839</v>
      </c>
      <c r="AV266" s="67">
        <v>38.153574685063397</v>
      </c>
      <c r="AW266" s="67">
        <v>94.159795732202383</v>
      </c>
      <c r="AY266" s="67">
        <v>38.885752950916732</v>
      </c>
      <c r="AZ266" s="67">
        <v>110.94110368119711</v>
      </c>
    </row>
    <row r="267" spans="22:52" x14ac:dyDescent="0.25">
      <c r="V267" s="67">
        <v>261.56000000005213</v>
      </c>
      <c r="W267" s="67">
        <v>102.53672363690571</v>
      </c>
      <c r="X267" s="67">
        <v>52.971935395315313</v>
      </c>
      <c r="Y267" s="67">
        <v>302.92599481398128</v>
      </c>
      <c r="AF267" s="67">
        <v>261.56000000005213</v>
      </c>
      <c r="AG267" s="67">
        <v>71.770900215510139</v>
      </c>
      <c r="AH267" s="67">
        <v>36.763888388573491</v>
      </c>
      <c r="AI267" s="67">
        <v>185.23251879952491</v>
      </c>
      <c r="AV267" s="67">
        <v>38.158293558803393</v>
      </c>
      <c r="AW267" s="67">
        <v>94.094788706219219</v>
      </c>
      <c r="AY267" s="67">
        <v>38.890394844893663</v>
      </c>
      <c r="AZ267" s="67">
        <v>110.8557321658662</v>
      </c>
    </row>
    <row r="268" spans="22:52" x14ac:dyDescent="0.25">
      <c r="V268" s="67">
        <v>262.56000000005122</v>
      </c>
      <c r="W268" s="67">
        <v>102.9239716211645</v>
      </c>
      <c r="X268" s="67">
        <v>53.023892887848433</v>
      </c>
      <c r="Y268" s="67">
        <v>305.29817010374637</v>
      </c>
      <c r="AF268" s="67">
        <v>262.56000000005122</v>
      </c>
      <c r="AG268" s="67">
        <v>71.991651596216059</v>
      </c>
      <c r="AH268" s="67">
        <v>36.81099529825218</v>
      </c>
      <c r="AI268" s="67">
        <v>187.60469408929131</v>
      </c>
      <c r="AV268" s="67">
        <v>38.163138295654278</v>
      </c>
      <c r="AW268" s="67">
        <v>94.030735067750967</v>
      </c>
      <c r="AY268" s="67">
        <v>38.895126239966821</v>
      </c>
      <c r="AZ268" s="67">
        <v>110.7710092125721</v>
      </c>
    </row>
    <row r="269" spans="22:52" x14ac:dyDescent="0.25">
      <c r="V269" s="67">
        <v>263.56000000005031</v>
      </c>
      <c r="W269" s="67">
        <v>103.31678777856381</v>
      </c>
      <c r="X269" s="67">
        <v>53.075885724811542</v>
      </c>
      <c r="Y269" s="67">
        <v>307.67034539351141</v>
      </c>
      <c r="AF269" s="67">
        <v>263.56000000005031</v>
      </c>
      <c r="AG269" s="67">
        <v>72.206133213424124</v>
      </c>
      <c r="AH269" s="67">
        <v>36.859378095167983</v>
      </c>
      <c r="AI269" s="67">
        <v>189.9768693790578</v>
      </c>
      <c r="AV269" s="67">
        <v>38.168106645440957</v>
      </c>
      <c r="AW269" s="67">
        <v>93.96762062504277</v>
      </c>
      <c r="AY269" s="67">
        <v>38.8999455022606</v>
      </c>
      <c r="AZ269" s="67">
        <v>110.6869258967177</v>
      </c>
    </row>
    <row r="270" spans="22:52" x14ac:dyDescent="0.25">
      <c r="V270" s="67">
        <v>264.56000000004929</v>
      </c>
      <c r="W270" s="67">
        <v>103.7155020087945</v>
      </c>
      <c r="X270" s="67">
        <v>53.127930726732977</v>
      </c>
      <c r="Y270" s="67">
        <v>310.04252068327628</v>
      </c>
      <c r="AF270" s="67">
        <v>264.56000000004929</v>
      </c>
      <c r="AG270" s="67">
        <v>72.414454120361626</v>
      </c>
      <c r="AH270" s="67">
        <v>36.908775820924973</v>
      </c>
      <c r="AI270" s="67">
        <v>192.34904466882429</v>
      </c>
      <c r="AV270" s="67">
        <v>38.173196381573348</v>
      </c>
      <c r="AW270" s="67">
        <v>93.905431366950978</v>
      </c>
      <c r="AY270" s="67">
        <v>38.904851018465934</v>
      </c>
      <c r="AZ270" s="67">
        <v>110.6034734019036</v>
      </c>
    </row>
    <row r="271" spans="22:52" x14ac:dyDescent="0.25">
      <c r="V271" s="67">
        <v>265.56000000004838</v>
      </c>
      <c r="W271" s="67">
        <v>104.1204620611523</v>
      </c>
      <c r="X271" s="67">
        <v>53.180044775400923</v>
      </c>
      <c r="Y271" s="67">
        <v>312.41469597304138</v>
      </c>
      <c r="AF271" s="67">
        <v>265.56000000004838</v>
      </c>
      <c r="AG271" s="67">
        <v>72.616750140351954</v>
      </c>
      <c r="AH271" s="67">
        <v>36.958974118331469</v>
      </c>
      <c r="AI271" s="67">
        <v>194.72121995859081</v>
      </c>
      <c r="AV271" s="67">
        <v>38.178405300807192</v>
      </c>
      <c r="AW271" s="67">
        <v>93.844153461024504</v>
      </c>
      <c r="AY271" s="67">
        <v>38.909841195578323</v>
      </c>
      <c r="AZ271" s="67">
        <v>110.520643018466</v>
      </c>
    </row>
    <row r="272" spans="22:52" x14ac:dyDescent="0.25">
      <c r="V272" s="67">
        <v>266.56000000004752</v>
      </c>
      <c r="W272" s="67">
        <v>104.5320256803886</v>
      </c>
      <c r="X272" s="67">
        <v>53.23224440764784</v>
      </c>
      <c r="Y272" s="67">
        <v>314.78687126280641</v>
      </c>
      <c r="AF272" s="67">
        <v>266.56000000004752</v>
      </c>
      <c r="AG272" s="67">
        <v>72.813177158051488</v>
      </c>
      <c r="AH272" s="67">
        <v>37.009795495606568</v>
      </c>
      <c r="AI272" s="67">
        <v>197.0933952483573</v>
      </c>
      <c r="AV272" s="67">
        <v>38.183731223008067</v>
      </c>
      <c r="AW272" s="67">
        <v>93.78377325162316</v>
      </c>
      <c r="AY272" s="67">
        <v>38.914914460637497</v>
      </c>
      <c r="AZ272" s="67">
        <v>110.4384261420365</v>
      </c>
    </row>
    <row r="273" spans="22:52" x14ac:dyDescent="0.25">
      <c r="V273" s="67">
        <v>267.56000000004661</v>
      </c>
      <c r="W273" s="67">
        <v>104.9505597455872</v>
      </c>
      <c r="X273" s="67">
        <v>53.284545678346383</v>
      </c>
      <c r="Y273" s="67">
        <v>317.15904655257128</v>
      </c>
      <c r="AF273" s="67">
        <v>267.56000000004661</v>
      </c>
      <c r="AG273" s="67">
        <v>73.003905906163098</v>
      </c>
      <c r="AH273" s="67">
        <v>37.061091881200582</v>
      </c>
      <c r="AI273" s="67">
        <v>199.46557053812381</v>
      </c>
      <c r="AV273" s="67">
        <v>38.189171990918169</v>
      </c>
      <c r="AW273" s="67">
        <v>93.724277258038043</v>
      </c>
      <c r="AY273" s="67">
        <v>38.920069260468189</v>
      </c>
      <c r="AZ273" s="67">
        <v>110.3568142721267</v>
      </c>
    </row>
    <row r="274" spans="22:52" x14ac:dyDescent="0.25">
      <c r="V274" s="67">
        <v>268.5600000000457</v>
      </c>
      <c r="W274" s="67">
        <v>105.37644007472601</v>
      </c>
      <c r="X274" s="67">
        <v>53.336964084507493</v>
      </c>
      <c r="Y274" s="67">
        <v>319.53122184233638</v>
      </c>
      <c r="AF274" s="67">
        <v>268.5600000000457</v>
      </c>
      <c r="AG274" s="67">
        <v>73.189117860964458</v>
      </c>
      <c r="AH274" s="67">
        <v>37.112738880570078</v>
      </c>
      <c r="AI274" s="67">
        <v>201.8377458278903</v>
      </c>
      <c r="AV274" s="67">
        <v>38.19472546992705</v>
      </c>
      <c r="AW274" s="67">
        <v>93.66565217265358</v>
      </c>
      <c r="AY274" s="67">
        <v>38.925304061423233</v>
      </c>
      <c r="AZ274" s="67">
        <v>110.2757990107288</v>
      </c>
    </row>
    <row r="275" spans="22:52" x14ac:dyDescent="0.25">
      <c r="V275" s="67">
        <v>269.56000000004479</v>
      </c>
      <c r="W275" s="67">
        <v>105.8100514598472</v>
      </c>
      <c r="X275" s="67">
        <v>53.389514514333648</v>
      </c>
      <c r="Y275" s="67">
        <v>321.90339713210142</v>
      </c>
      <c r="AF275" s="67">
        <v>269.56000000004479</v>
      </c>
      <c r="AG275" s="67">
        <v>73.369001963833654</v>
      </c>
      <c r="AH275" s="67">
        <v>37.164631307573927</v>
      </c>
      <c r="AI275" s="67">
        <v>204.20992111765679</v>
      </c>
      <c r="AV275" s="67">
        <v>38.200389547845703</v>
      </c>
      <c r="AW275" s="67">
        <v>93.607884859119324</v>
      </c>
      <c r="AY275" s="67">
        <v>38.930617349129761</v>
      </c>
      <c r="AZ275" s="67">
        <v>110.19537206094709</v>
      </c>
    </row>
    <row r="276" spans="22:52" x14ac:dyDescent="0.25">
      <c r="V276" s="67">
        <v>270.56000000004389</v>
      </c>
      <c r="W276" s="67">
        <v>106.25178781079499</v>
      </c>
      <c r="X276" s="67">
        <v>53.442211208723727</v>
      </c>
      <c r="Y276" s="67">
        <v>324.27557242186629</v>
      </c>
      <c r="AF276" s="67">
        <v>270.56000000004389</v>
      </c>
      <c r="AG276" s="67">
        <v>73.543751962217485</v>
      </c>
      <c r="AH276" s="67">
        <v>37.216679678735773</v>
      </c>
      <c r="AI276" s="67">
        <v>206.58209640742331</v>
      </c>
      <c r="AV276" s="67">
        <v>38.20616213468287</v>
      </c>
      <c r="AW276" s="67">
        <v>93.550962350544694</v>
      </c>
      <c r="AY276" s="67">
        <v>38.936007628236027</v>
      </c>
      <c r="AZ276" s="67">
        <v>110.1155252256458</v>
      </c>
    </row>
    <row r="277" spans="22:52" x14ac:dyDescent="0.25">
      <c r="V277" s="67">
        <v>271.56000000004298</v>
      </c>
      <c r="W277" s="67">
        <v>106.7020523620865</v>
      </c>
      <c r="X277" s="67">
        <v>53.495067730536562</v>
      </c>
      <c r="Y277" s="67">
        <v>326.64774771163133</v>
      </c>
      <c r="AF277" s="67">
        <v>271.56000000004298</v>
      </c>
      <c r="AG277" s="67">
        <v>73.713564220362599</v>
      </c>
      <c r="AH277" s="67">
        <v>37.268807442014122</v>
      </c>
      <c r="AI277" s="67">
        <v>208.95427169718971</v>
      </c>
      <c r="AV277" s="67">
        <v>38.212041162427788</v>
      </c>
      <c r="AW277" s="67">
        <v>93.49487184772309</v>
      </c>
      <c r="AY277" s="67">
        <v>38.941473422161643</v>
      </c>
      <c r="AZ277" s="67">
        <v>110.036250406119</v>
      </c>
    </row>
    <row r="278" spans="22:52" x14ac:dyDescent="0.25">
      <c r="V278" s="67">
        <v>272.56000000004212</v>
      </c>
      <c r="W278" s="67">
        <v>107.1612579239214</v>
      </c>
      <c r="X278" s="67">
        <v>53.548096940116118</v>
      </c>
      <c r="Y278" s="67">
        <v>329.01992300139642</v>
      </c>
      <c r="AF278" s="67">
        <v>272.56000000004212</v>
      </c>
      <c r="AG278" s="67">
        <v>73.878635893505702</v>
      </c>
      <c r="AH278" s="67">
        <v>37.320948772422298</v>
      </c>
      <c r="AI278" s="67">
        <v>211.3264469869562</v>
      </c>
      <c r="AV278" s="67">
        <v>38.218024584835291</v>
      </c>
      <c r="AW278" s="67">
        <v>93.439600717362794</v>
      </c>
      <c r="AY278" s="67">
        <v>38.947013272848743</v>
      </c>
      <c r="AZ278" s="67">
        <v>109.9575396007813</v>
      </c>
    </row>
    <row r="279" spans="22:52" x14ac:dyDescent="0.25">
      <c r="V279" s="67">
        <v>273.56000000004121</v>
      </c>
      <c r="W279" s="67">
        <v>107.62982716921211</v>
      </c>
      <c r="X279" s="67">
        <v>53.601310976988088</v>
      </c>
      <c r="Y279" s="67">
        <v>331.39209829116129</v>
      </c>
      <c r="AF279" s="67">
        <v>273.56000000004121</v>
      </c>
      <c r="AG279" s="67">
        <v>74.039163393136192</v>
      </c>
      <c r="AH279" s="67">
        <v>37.373046811354698</v>
      </c>
      <c r="AI279" s="67">
        <v>213.69862227672269</v>
      </c>
      <c r="AV279" s="67">
        <v>38.224110377214231</v>
      </c>
      <c r="AW279" s="67">
        <v>93.385136490351485</v>
      </c>
      <c r="AY279" s="67">
        <v>38.952625740518442</v>
      </c>
      <c r="AZ279" s="67">
        <v>109.8793849038871</v>
      </c>
    </row>
    <row r="280" spans="22:52" x14ac:dyDescent="0.25">
      <c r="V280" s="67">
        <v>274.56000000004019</v>
      </c>
      <c r="W280" s="67">
        <v>108.1081929534207</v>
      </c>
      <c r="X280" s="67">
        <v>53.65472124825294</v>
      </c>
      <c r="Y280" s="67">
        <v>333.76427358092627</v>
      </c>
      <c r="AF280" s="67">
        <v>274.56000000004019</v>
      </c>
      <c r="AG280" s="67">
        <v>74.195341097814861</v>
      </c>
      <c r="AH280" s="67">
        <v>37.425052259078541</v>
      </c>
      <c r="AI280" s="67">
        <v>216.0707975664892</v>
      </c>
      <c r="AV280" s="67">
        <v>38.230296536223477</v>
      </c>
      <c r="AW280" s="67">
        <v>93.331466860031355</v>
      </c>
      <c r="AY280" s="67">
        <v>38.958309403425758</v>
      </c>
      <c r="AZ280" s="67">
        <v>109.80177850425891</v>
      </c>
    </row>
    <row r="281" spans="22:52" x14ac:dyDescent="0.25">
      <c r="V281" s="67">
        <v>275.56000000003928</v>
      </c>
      <c r="W281" s="67">
        <v>108.5967986661681</v>
      </c>
      <c r="X281" s="67">
        <v>53.708338424384181</v>
      </c>
      <c r="Y281" s="67">
        <v>336.13644887069142</v>
      </c>
      <c r="AF281" s="67">
        <v>275.56000000003928</v>
      </c>
      <c r="AG281" s="67">
        <v>74.347360285954437</v>
      </c>
      <c r="AH281" s="67">
        <v>37.476922253997259</v>
      </c>
      <c r="AI281" s="67">
        <v>218.44297285625569</v>
      </c>
      <c r="AV281" s="67">
        <v>38.236581079668717</v>
      </c>
      <c r="AW281" s="67">
        <v>93.278579680496151</v>
      </c>
      <c r="AY281" s="67">
        <v>38.964062857619879</v>
      </c>
      <c r="AZ281" s="67">
        <v>109.7247126840446</v>
      </c>
    </row>
    <row r="282" spans="22:52" x14ac:dyDescent="0.25">
      <c r="V282" s="67">
        <v>276.56000000003837</v>
      </c>
      <c r="W282" s="67">
        <v>109.0960986145186</v>
      </c>
      <c r="X282" s="67">
        <v>53.762172443187069</v>
      </c>
      <c r="Y282" s="67">
        <v>338.50862416045629</v>
      </c>
      <c r="AF282" s="67">
        <v>276.56000000003837</v>
      </c>
      <c r="AG282" s="67">
        <v>74.495408283278294</v>
      </c>
      <c r="AH282" s="67">
        <v>37.52861948883276</v>
      </c>
      <c r="AI282" s="67">
        <v>220.81514814602221</v>
      </c>
      <c r="AV282" s="67">
        <v>38.242962046306843</v>
      </c>
      <c r="AW282" s="67">
        <v>93.226462964907697</v>
      </c>
      <c r="AY282" s="67">
        <v>38.969884716707327</v>
      </c>
      <c r="AZ282" s="67">
        <v>109.6481798174962</v>
      </c>
    </row>
    <row r="283" spans="22:52" x14ac:dyDescent="0.25">
      <c r="V283" s="67">
        <v>277.56000000003752</v>
      </c>
      <c r="W283" s="67">
        <v>109.60655843726801</v>
      </c>
      <c r="X283" s="67">
        <v>53.816232522227551</v>
      </c>
      <c r="Y283" s="67">
        <v>340.88079945022128</v>
      </c>
      <c r="AF283" s="67">
        <v>277.56000000003752</v>
      </c>
      <c r="AG283" s="67">
        <v>74.639667830798658</v>
      </c>
      <c r="AH283" s="67">
        <v>37.580111526227817</v>
      </c>
      <c r="AI283" s="67">
        <v>223.1873234357887</v>
      </c>
      <c r="AV283" s="67">
        <v>38.249437495653979</v>
      </c>
      <c r="AW283" s="67">
        <v>93.175104883830471</v>
      </c>
      <c r="AY283" s="67">
        <v>38.975773611614713</v>
      </c>
      <c r="AZ283" s="67">
        <v>109.57217236976039</v>
      </c>
    </row>
    <row r="284" spans="22:52" x14ac:dyDescent="0.25">
      <c r="V284" s="67">
        <v>278.56000000003661</v>
      </c>
      <c r="W284" s="67">
        <v>110.12865555020009</v>
      </c>
      <c r="X284" s="67">
        <v>53.870527180365741</v>
      </c>
      <c r="Y284" s="67">
        <v>343.25297473998643</v>
      </c>
      <c r="AF284" s="67">
        <v>278.56000000003661</v>
      </c>
      <c r="AG284" s="67">
        <v>74.780316685849428</v>
      </c>
      <c r="AH284" s="67">
        <v>37.631370282930277</v>
      </c>
      <c r="AI284" s="67">
        <v>225.55949872555519</v>
      </c>
      <c r="AV284" s="67">
        <v>38.256005507798079</v>
      </c>
      <c r="AW284" s="67">
        <v>93.124493763580148</v>
      </c>
      <c r="AY284" s="67">
        <v>38.981728190358638</v>
      </c>
      <c r="AZ284" s="67">
        <v>109.4966828957</v>
      </c>
    </row>
    <row r="285" spans="22:52" x14ac:dyDescent="0.25">
      <c r="V285" s="67">
        <v>279.5600000000357</v>
      </c>
      <c r="W285" s="67">
        <v>110.6628796199719</v>
      </c>
      <c r="X285" s="67">
        <v>53.925064268025316</v>
      </c>
      <c r="Y285" s="67">
        <v>345.62515002975141</v>
      </c>
      <c r="AF285" s="67">
        <v>279.5600000000357</v>
      </c>
      <c r="AG285" s="67">
        <v>74.917527470856143</v>
      </c>
      <c r="AH285" s="67">
        <v>37.682371655631812</v>
      </c>
      <c r="AI285" s="67">
        <v>227.9316740153217</v>
      </c>
      <c r="AV285" s="67">
        <v>38.262664183218249</v>
      </c>
      <c r="AW285" s="67">
        <v>93.074618084593453</v>
      </c>
      <c r="AY285" s="67">
        <v>38.987747117815047</v>
      </c>
      <c r="AZ285" s="67">
        <v>109.4217040387275</v>
      </c>
    </row>
    <row r="286" spans="22:52" x14ac:dyDescent="0.25">
      <c r="V286" s="67">
        <v>280.56000000003479</v>
      </c>
      <c r="W286" s="67">
        <v>111.2097330644667</v>
      </c>
      <c r="X286" s="67">
        <v>53.979851006113172</v>
      </c>
      <c r="Y286" s="67">
        <v>347.99732531951628</v>
      </c>
      <c r="AF286" s="67">
        <v>280.56000000003479</v>
      </c>
      <c r="AG286" s="67">
        <v>75.051467780445932</v>
      </c>
      <c r="AH286" s="67">
        <v>37.733095262333507</v>
      </c>
      <c r="AI286" s="67">
        <v>230.30384930508819</v>
      </c>
      <c r="AV286" s="67">
        <v>38.269411642607963</v>
      </c>
      <c r="AW286" s="67">
        <v>93.025466479810035</v>
      </c>
      <c r="AY286" s="67">
        <v>38.99382907549154</v>
      </c>
      <c r="AZ286" s="67">
        <v>109.34722852965901</v>
      </c>
    </row>
    <row r="287" spans="22:52" x14ac:dyDescent="0.25">
      <c r="V287" s="67">
        <v>281.56000000003388</v>
      </c>
      <c r="W287" s="67">
        <v>111.76973157568609</v>
      </c>
      <c r="X287" s="67">
        <v>54.034894032897682</v>
      </c>
      <c r="Y287" s="67">
        <v>350.36950060928137</v>
      </c>
      <c r="AF287" s="67">
        <v>281.56000000003388</v>
      </c>
      <c r="AG287" s="67">
        <v>75.182300547997272</v>
      </c>
      <c r="AH287" s="67">
        <v>37.78352427232312</v>
      </c>
      <c r="AI287" s="67">
        <v>232.67602459485471</v>
      </c>
      <c r="AV287" s="67">
        <v>38.276246026705053</v>
      </c>
      <c r="AW287" s="67">
        <v>92.977027733072745</v>
      </c>
      <c r="AY287" s="67">
        <v>38.999972761306637</v>
      </c>
      <c r="AZ287" s="67">
        <v>109.2732491855931</v>
      </c>
    </row>
    <row r="288" spans="22:52" x14ac:dyDescent="0.25">
      <c r="V288" s="67">
        <v>282.56000000003303</v>
      </c>
      <c r="W288" s="67">
        <v>112.3434046603339</v>
      </c>
      <c r="X288" s="67">
        <v>54.090199457952053</v>
      </c>
      <c r="Y288" s="67">
        <v>352.74167589904641</v>
      </c>
      <c r="AF288" s="67">
        <v>282.56000000003303</v>
      </c>
      <c r="AG288" s="67">
        <v>75.310184658739104</v>
      </c>
      <c r="AH288" s="67">
        <v>37.833645296444331</v>
      </c>
      <c r="AI288" s="67">
        <v>235.04819988462111</v>
      </c>
      <c r="AV288" s="67">
        <v>38.283165496125257</v>
      </c>
      <c r="AW288" s="67">
        <v>92.929290777538171</v>
      </c>
      <c r="AY288" s="67">
        <v>39.00617688936623</v>
      </c>
      <c r="AZ288" s="67">
        <v>109.19975890880011</v>
      </c>
    </row>
    <row r="289" spans="22:52" x14ac:dyDescent="0.25">
      <c r="V289" s="67">
        <v>283.56000000003212</v>
      </c>
      <c r="W289" s="67">
        <v>112.93129619218639</v>
      </c>
      <c r="X289" s="67">
        <v>54.145772922009428</v>
      </c>
      <c r="Y289" s="67">
        <v>355.11385118881128</v>
      </c>
      <c r="AF289" s="67">
        <v>283.56000000003212</v>
      </c>
      <c r="AG289" s="67">
        <v>75.435275780269421</v>
      </c>
      <c r="AH289" s="67">
        <v>37.883448308726543</v>
      </c>
      <c r="AI289" s="67">
        <v>237.4203751743876</v>
      </c>
      <c r="AV289" s="67">
        <v>38.290168231204518</v>
      </c>
      <c r="AW289" s="67">
        <v>92.882244694108522</v>
      </c>
      <c r="AY289" s="67">
        <v>39.012440189746727</v>
      </c>
      <c r="AZ289" s="67">
        <v>109.1267506856352</v>
      </c>
    </row>
    <row r="290" spans="22:52" x14ac:dyDescent="0.25">
      <c r="V290" s="67">
        <v>284.56000000003121</v>
      </c>
      <c r="W290" s="67">
        <v>113.53396496945879</v>
      </c>
      <c r="X290" s="67">
        <v>54.201619661325942</v>
      </c>
      <c r="Y290" s="67">
        <v>357.48602647857638</v>
      </c>
      <c r="AF290" s="67">
        <v>284.56000000003121</v>
      </c>
      <c r="AG290" s="67">
        <v>75.557727365419524</v>
      </c>
      <c r="AH290" s="67">
        <v>37.93292657149351</v>
      </c>
      <c r="AI290" s="67">
        <v>239.79255046415409</v>
      </c>
      <c r="AV290" s="67">
        <v>38.297252431844811</v>
      </c>
      <c r="AW290" s="67">
        <v>92.835878709871011</v>
      </c>
      <c r="AY290" s="67">
        <v>39.018761408282273</v>
      </c>
      <c r="AZ290" s="67">
        <v>109.054217585472</v>
      </c>
    </row>
    <row r="291" spans="22:52" x14ac:dyDescent="0.25">
      <c r="V291" s="67">
        <v>285.56000000003019</v>
      </c>
      <c r="W291" s="67">
        <v>114.1519852697823</v>
      </c>
      <c r="X291" s="67">
        <v>54.257744574981871</v>
      </c>
      <c r="Y291" s="67">
        <v>359.85820176834142</v>
      </c>
      <c r="AF291" s="67">
        <v>285.56000000003019</v>
      </c>
      <c r="AG291" s="67">
        <v>75.677691769711572</v>
      </c>
      <c r="AH291" s="67">
        <v>37.982076539528457</v>
      </c>
      <c r="AI291" s="67">
        <v>242.16472575392061</v>
      </c>
      <c r="AV291" s="67">
        <v>38.304416317365387</v>
      </c>
      <c r="AW291" s="67">
        <v>92.790182196545004</v>
      </c>
      <c r="AY291" s="67">
        <v>39.025139306350987</v>
      </c>
      <c r="AZ291" s="67">
        <v>108.9821527596478</v>
      </c>
    </row>
    <row r="292" spans="22:52" x14ac:dyDescent="0.25">
      <c r="V292" s="67">
        <v>286.56000000002928</v>
      </c>
      <c r="W292" s="67">
        <v>114.7859473951177</v>
      </c>
      <c r="X292" s="67">
        <v>54.314152293410018</v>
      </c>
      <c r="Y292" s="67">
        <v>362.23037705810628</v>
      </c>
      <c r="AF292" s="67">
        <v>286.56000000002928</v>
      </c>
      <c r="AG292" s="67">
        <v>75.795321418623999</v>
      </c>
      <c r="AH292" s="67">
        <v>38.030897724761992</v>
      </c>
      <c r="AI292" s="67">
        <v>244.5369010436871</v>
      </c>
      <c r="AV292" s="67">
        <v>38.311658126362367</v>
      </c>
      <c r="AW292" s="67">
        <v>92.745144668954111</v>
      </c>
      <c r="AY292" s="67">
        <v>39.031572660669191</v>
      </c>
      <c r="AZ292" s="67">
        <v>108.9105494404324</v>
      </c>
    </row>
    <row r="293" spans="22:52" x14ac:dyDescent="0.25">
      <c r="V293" s="67">
        <v>287.56000000002842</v>
      </c>
      <c r="W293" s="67">
        <v>115.4364581989725</v>
      </c>
      <c r="X293" s="67">
        <v>54.37084724635406</v>
      </c>
      <c r="Y293" s="67">
        <v>364.60255234787138</v>
      </c>
      <c r="AF293" s="67">
        <v>287.56000000002842</v>
      </c>
      <c r="AG293" s="67">
        <v>75.910769959565471</v>
      </c>
      <c r="AH293" s="67">
        <v>38.079392510602467</v>
      </c>
      <c r="AI293" s="67">
        <v>246.90907633345361</v>
      </c>
      <c r="AV293" s="67">
        <v>38.318976116573033</v>
      </c>
      <c r="AW293" s="67">
        <v>92.700755783496206</v>
      </c>
      <c r="AY293" s="67">
        <v>39.038060263084382</v>
      </c>
      <c r="AZ293" s="67">
        <v>108.83940094000771</v>
      </c>
    </row>
    <row r="294" spans="22:52" x14ac:dyDescent="0.25">
      <c r="V294" s="67">
        <v>288.56000000002751</v>
      </c>
      <c r="W294" s="67">
        <v>116.10414158879961</v>
      </c>
      <c r="X294" s="67">
        <v>54.427833728448491</v>
      </c>
      <c r="Y294" s="67">
        <v>366.97472763763642</v>
      </c>
      <c r="AF294" s="67">
        <v>288.56000000002751</v>
      </c>
      <c r="AG294" s="67">
        <v>76.02419333965959</v>
      </c>
      <c r="AH294" s="67">
        <v>38.127565913368187</v>
      </c>
      <c r="AI294" s="67">
        <v>249.2812516232201</v>
      </c>
      <c r="AV294" s="67">
        <v>38.326368564745621</v>
      </c>
      <c r="AW294" s="67">
        <v>92.65700533663221</v>
      </c>
      <c r="AY294" s="67">
        <v>39.04460092037624</v>
      </c>
      <c r="AZ294" s="67">
        <v>108.7687006494763</v>
      </c>
    </row>
    <row r="295" spans="22:52" x14ac:dyDescent="0.25">
      <c r="V295" s="67">
        <v>289.5600000000266</v>
      </c>
      <c r="W295" s="67">
        <v>116.7896389972735</v>
      </c>
      <c r="X295" s="67">
        <v>54.485115960627347</v>
      </c>
      <c r="Y295" s="67">
        <v>369.34690292740129</v>
      </c>
      <c r="AF295" s="67">
        <v>289.5600000000266</v>
      </c>
      <c r="AG295" s="67">
        <v>76.135750761621651</v>
      </c>
      <c r="AH295" s="67">
        <v>38.175425296051742</v>
      </c>
      <c r="AI295" s="67">
        <v>251.65342691298659</v>
      </c>
      <c r="AV295" s="67">
        <v>38.333833766516022</v>
      </c>
      <c r="AW295" s="67">
        <v>92.613883263376081</v>
      </c>
      <c r="AY295" s="67">
        <v>39.051193454056623</v>
      </c>
      <c r="AZ295" s="67">
        <v>108.6984420378739</v>
      </c>
    </row>
    <row r="296" spans="22:52" x14ac:dyDescent="0.25">
      <c r="V296" s="67">
        <v>290.5600000000257</v>
      </c>
      <c r="W296" s="67">
        <v>117.4936098174523</v>
      </c>
      <c r="X296" s="67">
        <v>54.542698145684369</v>
      </c>
      <c r="Y296" s="67">
        <v>371.71907821716638</v>
      </c>
      <c r="AF296" s="67">
        <v>290.5600000000257</v>
      </c>
      <c r="AG296" s="67">
        <v>76.245605483845821</v>
      </c>
      <c r="AH296" s="67">
        <v>38.222980045729287</v>
      </c>
      <c r="AI296" s="67">
        <v>254.02560220275311</v>
      </c>
      <c r="AV296" s="67">
        <v>38.341370036290748</v>
      </c>
      <c r="AW296" s="67">
        <v>92.571379635803723</v>
      </c>
      <c r="AY296" s="67">
        <v>39.057836700174988</v>
      </c>
      <c r="AZ296" s="67">
        <v>108.628618651202</v>
      </c>
    </row>
    <row r="297" spans="22:52" x14ac:dyDescent="0.25">
      <c r="V297" s="67">
        <v>291.56000000002479</v>
      </c>
      <c r="W297" s="67">
        <v>118.2167317983792</v>
      </c>
      <c r="X297" s="67">
        <v>54.600584516440342</v>
      </c>
      <c r="Y297" s="67">
        <v>374.09125350693142</v>
      </c>
      <c r="AF297" s="67">
        <v>291.56000000002479</v>
      </c>
      <c r="AG297" s="67">
        <v>76.35392544498329</v>
      </c>
      <c r="AH297" s="67">
        <v>38.270241229705327</v>
      </c>
      <c r="AI297" s="67">
        <v>256.39777749251948</v>
      </c>
      <c r="AV297" s="67">
        <v>38.348975707134507</v>
      </c>
      <c r="AW297" s="67">
        <v>92.529484661554676</v>
      </c>
      <c r="AY297" s="67">
        <v>39.064529509129073</v>
      </c>
      <c r="AZ297" s="67">
        <v>108.5592241114874</v>
      </c>
    </row>
    <row r="298" spans="22:52" x14ac:dyDescent="0.25">
      <c r="V298" s="67">
        <v>292.56000000002388</v>
      </c>
      <c r="W298" s="67">
        <v>118.9597013995994</v>
      </c>
      <c r="X298" s="67">
        <v>54.65877937520213</v>
      </c>
      <c r="Y298" s="67">
        <v>376.46342879669629</v>
      </c>
      <c r="AF298" s="67">
        <v>292.56000000002388</v>
      </c>
      <c r="AG298" s="67">
        <v>76.460883705874537</v>
      </c>
      <c r="AH298" s="67">
        <v>38.317221246802553</v>
      </c>
      <c r="AI298" s="67">
        <v>258.76995278228611</v>
      </c>
      <c r="AV298" s="67">
        <v>38.356649130666142</v>
      </c>
      <c r="AW298" s="67">
        <v>92.48818868235702</v>
      </c>
      <c r="AY298" s="67">
        <v>39.071270745473988</v>
      </c>
      <c r="AZ298" s="67">
        <v>108.49025211583989</v>
      </c>
    </row>
    <row r="299" spans="22:52" x14ac:dyDescent="0.25">
      <c r="V299" s="67">
        <v>293.56000000002302</v>
      </c>
      <c r="W299" s="67">
        <v>119.7232341051004</v>
      </c>
      <c r="X299" s="67">
        <v>54.717287123443548</v>
      </c>
      <c r="Y299" s="67">
        <v>378.83560408646139</v>
      </c>
      <c r="AF299" s="67">
        <v>293.56000000002302</v>
      </c>
      <c r="AG299" s="67">
        <v>76.566658711790922</v>
      </c>
      <c r="AH299" s="67">
        <v>38.363933489497242</v>
      </c>
      <c r="AI299" s="67">
        <v>261.14212807205251</v>
      </c>
      <c r="AV299" s="67">
        <v>38.36438867696836</v>
      </c>
      <c r="AW299" s="67">
        <v>92.447482172572776</v>
      </c>
      <c r="AY299" s="67">
        <v>39.078059287740253</v>
      </c>
      <c r="AZ299" s="67">
        <v>108.4216964355398</v>
      </c>
    </row>
    <row r="300" spans="22:52" x14ac:dyDescent="0.25">
      <c r="V300" s="67">
        <v>294.56000000002211</v>
      </c>
      <c r="W300" s="67">
        <v>120.5080646993535</v>
      </c>
      <c r="X300" s="67">
        <v>54.776112280961911</v>
      </c>
      <c r="Y300" s="67">
        <v>381.20777937622643</v>
      </c>
      <c r="AF300" s="67">
        <v>294.56000000002211</v>
      </c>
      <c r="AG300" s="67">
        <v>76.671434385019722</v>
      </c>
      <c r="AH300" s="67">
        <v>38.410392030300393</v>
      </c>
      <c r="AI300" s="67">
        <v>263.51430336181897</v>
      </c>
      <c r="AV300" s="67">
        <v>38.372192734445207</v>
      </c>
      <c r="AW300" s="67">
        <v>92.407355737599474</v>
      </c>
      <c r="AY300" s="67">
        <v>39.084894028251767</v>
      </c>
      <c r="AZ300" s="67">
        <v>108.35355091513451</v>
      </c>
    </row>
    <row r="301" spans="22:52" x14ac:dyDescent="0.25">
      <c r="V301" s="67">
        <v>295.56000000002109</v>
      </c>
      <c r="W301" s="67">
        <v>121.3149475102432</v>
      </c>
      <c r="X301" s="67">
        <v>54.835259494097613</v>
      </c>
      <c r="Y301" s="67">
        <v>383.57995466599141</v>
      </c>
      <c r="AF301" s="67">
        <v>295.56000000002109</v>
      </c>
      <c r="AG301" s="67">
        <v>76.775400062601449</v>
      </c>
      <c r="AH301" s="67">
        <v>38.456611342799533</v>
      </c>
      <c r="AI301" s="67">
        <v>265.88647865158549</v>
      </c>
      <c r="AV301" s="67">
        <v>38.380059709832658</v>
      </c>
      <c r="AW301" s="67">
        <v>92.367800112653299</v>
      </c>
      <c r="AY301" s="67">
        <v>39.091773872948579</v>
      </c>
      <c r="AZ301" s="67">
        <v>108.2858094715501</v>
      </c>
    </row>
    <row r="302" spans="22:52" x14ac:dyDescent="0.25">
      <c r="V302" s="67">
        <v>296.56000000002018</v>
      </c>
      <c r="W302" s="67">
        <v>122.1446566256715</v>
      </c>
      <c r="X302" s="67">
        <v>54.894733532984667</v>
      </c>
      <c r="Y302" s="67">
        <v>385.95212995575628</v>
      </c>
      <c r="AF302" s="67">
        <v>296.56000000002018</v>
      </c>
      <c r="AG302" s="67">
        <v>76.878750296866684</v>
      </c>
      <c r="AH302" s="67">
        <v>38.502606064531847</v>
      </c>
      <c r="AI302" s="67">
        <v>268.25865394135201</v>
      </c>
      <c r="AV302" s="67">
        <v>38.387988028018469</v>
      </c>
      <c r="AW302" s="67">
        <v>92.328806161059092</v>
      </c>
      <c r="AY302" s="67">
        <v>39.098697741213577</v>
      </c>
      <c r="AZ302" s="67">
        <v>108.2184660932227</v>
      </c>
    </row>
    <row r="303" spans="22:52" x14ac:dyDescent="0.25">
      <c r="V303" s="67">
        <v>297.56000000001927</v>
      </c>
      <c r="W303" s="67">
        <v>122.9979860923245</v>
      </c>
      <c r="X303" s="67">
        <v>54.954539278175787</v>
      </c>
      <c r="Y303" s="67">
        <v>388.32430524552137</v>
      </c>
      <c r="AF303" s="67">
        <v>297.56000000001927</v>
      </c>
      <c r="AG303" s="67">
        <v>76.98168453801037</v>
      </c>
      <c r="AH303" s="67">
        <v>38.548390805783527</v>
      </c>
      <c r="AI303" s="67">
        <v>270.63082923111722</v>
      </c>
      <c r="AV303" s="67">
        <v>38.395976132013743</v>
      </c>
      <c r="AW303" s="67">
        <v>92.290364872905187</v>
      </c>
      <c r="AY303" s="67">
        <v>39.105664565700351</v>
      </c>
      <c r="AZ303" s="67">
        <v>108.1515148392342</v>
      </c>
    </row>
    <row r="304" spans="22:52" x14ac:dyDescent="0.25">
      <c r="V304" s="67">
        <v>298.56000000001842</v>
      </c>
      <c r="W304" s="67">
        <v>123.87575010648879</v>
      </c>
      <c r="X304" s="67">
        <v>55.014681697360402</v>
      </c>
      <c r="Y304" s="67">
        <v>390.69648053528641</v>
      </c>
      <c r="AF304" s="67">
        <v>298.56000000001842</v>
      </c>
      <c r="AG304" s="67">
        <v>77.084406718968424</v>
      </c>
      <c r="AH304" s="67">
        <v>38.593980005866342</v>
      </c>
      <c r="AI304" s="67">
        <v>273.00300452088209</v>
      </c>
      <c r="AV304" s="67">
        <v>38.404022482873643</v>
      </c>
      <c r="AW304" s="67">
        <v>92.252467363573217</v>
      </c>
      <c r="AY304" s="67">
        <v>39.112673292169283</v>
      </c>
      <c r="AZ304" s="67">
        <v>108.08494983847601</v>
      </c>
    </row>
    <row r="305" spans="22:52" x14ac:dyDescent="0.25">
      <c r="V305" s="67">
        <v>299.56000000001751</v>
      </c>
      <c r="W305" s="67">
        <v>124.7787832077033</v>
      </c>
      <c r="X305" s="67">
        <v>55.075165813253761</v>
      </c>
      <c r="Y305" s="67">
        <v>393.06865582505128</v>
      </c>
      <c r="AF305" s="67">
        <v>299.56000000001751</v>
      </c>
      <c r="AG305" s="67">
        <v>77.187124763282</v>
      </c>
      <c r="AH305" s="67">
        <v>38.639387836285323</v>
      </c>
      <c r="AI305" s="67">
        <v>275.37517981064718</v>
      </c>
      <c r="AV305" s="67">
        <v>38.412125559629089</v>
      </c>
      <c r="AW305" s="67">
        <v>92.215104872267929</v>
      </c>
      <c r="AY305" s="67">
        <v>39.119722879321749</v>
      </c>
      <c r="AZ305" s="67">
        <v>108.01876528881201</v>
      </c>
    </row>
    <row r="306" spans="22:52" x14ac:dyDescent="0.25">
      <c r="V306" s="67">
        <v>300.5600000000166</v>
      </c>
      <c r="W306" s="67">
        <v>125.7079404864467</v>
      </c>
      <c r="X306" s="67">
        <v>55.135996664027523</v>
      </c>
      <c r="Y306" s="67">
        <v>395.44083111481638</v>
      </c>
      <c r="AF306" s="67">
        <v>300.5600000000166</v>
      </c>
      <c r="AG306" s="67">
        <v>77.290050036694737</v>
      </c>
      <c r="AH306" s="67">
        <v>38.684628148603281</v>
      </c>
      <c r="AI306" s="67">
        <v>277.74735510041222</v>
      </c>
      <c r="AV306" s="67">
        <v>38.420283859227311</v>
      </c>
      <c r="AW306" s="67">
        <v>92.178268760569694</v>
      </c>
      <c r="AY306" s="67">
        <v>39.126812298641283</v>
      </c>
      <c r="AZ306" s="67">
        <v>107.9529554562663</v>
      </c>
    </row>
    <row r="307" spans="22:52" x14ac:dyDescent="0.25">
      <c r="V307" s="67">
        <v>301.56000000001569</v>
      </c>
      <c r="W307" s="67">
        <v>126.66409781694099</v>
      </c>
      <c r="X307" s="67">
        <v>55.197179257920418</v>
      </c>
      <c r="Y307" s="67">
        <v>397.81300640458142</v>
      </c>
      <c r="AF307" s="67">
        <v>301.56000000001569</v>
      </c>
      <c r="AG307" s="67">
        <v>77.393396762659307</v>
      </c>
      <c r="AH307" s="67">
        <v>38.729714463602193</v>
      </c>
      <c r="AI307" s="67">
        <v>280.11953039017709</v>
      </c>
      <c r="AV307" s="67">
        <v>38.428495896474601</v>
      </c>
      <c r="AW307" s="67">
        <v>92.141950510974837</v>
      </c>
      <c r="AY307" s="67">
        <v>39.133940534237567</v>
      </c>
      <c r="AZ307" s="67">
        <v>107.88751467421839</v>
      </c>
    </row>
    <row r="308" spans="22:52" x14ac:dyDescent="0.25">
      <c r="V308" s="67">
        <v>302.56000000001478</v>
      </c>
      <c r="W308" s="67">
        <v>127.6481521253889</v>
      </c>
      <c r="X308" s="67">
        <v>55.258718523824307</v>
      </c>
      <c r="Y308" s="67">
        <v>400.18518169434628</v>
      </c>
      <c r="AF308" s="67">
        <v>302.56000000001478</v>
      </c>
      <c r="AG308" s="67">
        <v>77.497381420392088</v>
      </c>
      <c r="AH308" s="67">
        <v>38.774659997467317</v>
      </c>
      <c r="AI308" s="67">
        <v>282.49170567994207</v>
      </c>
      <c r="AV308" s="67">
        <v>38.436760203983113</v>
      </c>
      <c r="AW308" s="67">
        <v>92.106141725438761</v>
      </c>
      <c r="AY308" s="67">
        <v>39.141106582694199</v>
      </c>
      <c r="AZ308" s="67">
        <v>107.8224373426127</v>
      </c>
    </row>
    <row r="309" spans="22:52" x14ac:dyDescent="0.25">
      <c r="V309" s="67">
        <v>303.56000000001387</v>
      </c>
      <c r="W309" s="67">
        <v>128.66102170270511</v>
      </c>
      <c r="X309" s="67">
        <v>55.320619259747332</v>
      </c>
      <c r="Y309" s="67">
        <v>402.55735698411138</v>
      </c>
      <c r="AF309" s="67">
        <v>303.56000000001387</v>
      </c>
      <c r="AG309" s="67">
        <v>77.602222141093534</v>
      </c>
      <c r="AH309" s="67">
        <v>38.819477720118748</v>
      </c>
      <c r="AI309" s="67">
        <v>284.86388096970722</v>
      </c>
      <c r="AV309" s="67">
        <v>38.445075332124247</v>
      </c>
      <c r="AW309" s="67">
        <v>92.070834123922211</v>
      </c>
      <c r="AY309" s="67">
        <v>39.148309452917687</v>
      </c>
      <c r="AZ309" s="67">
        <v>107.7577179271789</v>
      </c>
    </row>
    <row r="310" spans="22:52" x14ac:dyDescent="0.25">
      <c r="V310" s="67">
        <v>304.56000000001302</v>
      </c>
      <c r="W310" s="67">
        <v>129.70364656900381</v>
      </c>
      <c r="X310" s="67">
        <v>55.382886081054153</v>
      </c>
      <c r="Y310" s="67">
        <v>404.92953227387642</v>
      </c>
      <c r="AF310" s="67">
        <v>304.56000000001302</v>
      </c>
      <c r="AG310" s="67">
        <v>77.70813811255826</v>
      </c>
      <c r="AH310" s="67">
        <v>38.864180440461503</v>
      </c>
      <c r="AI310" s="67">
        <v>287.23605625947221</v>
      </c>
      <c r="AV310" s="67">
        <v>38.453439848984033</v>
      </c>
      <c r="AW310" s="67">
        <v>92.036019542930774</v>
      </c>
      <c r="AY310" s="67">
        <v>39.155548165994809</v>
      </c>
      <c r="AZ310" s="67">
        <v>107.69335095867039</v>
      </c>
    </row>
    <row r="311" spans="22:52" x14ac:dyDescent="0.25">
      <c r="V311" s="67">
        <v>305.56000000001211</v>
      </c>
      <c r="W311" s="67">
        <v>130.7769888948207</v>
      </c>
      <c r="X311" s="67">
        <v>55.445523370305857</v>
      </c>
      <c r="Y311" s="67">
        <v>407.30170756364129</v>
      </c>
      <c r="AF311" s="67">
        <v>305.56000000001211</v>
      </c>
      <c r="AG311" s="67">
        <v>77.815348993110717</v>
      </c>
      <c r="AH311" s="67">
        <v>38.908780913250148</v>
      </c>
      <c r="AI311" s="67">
        <v>289.60823154923708</v>
      </c>
      <c r="AV311" s="67">
        <v>38.461852340321059</v>
      </c>
      <c r="AW311" s="67">
        <v>92.001689934054184</v>
      </c>
      <c r="AY311" s="67">
        <v>39.162821755047823</v>
      </c>
      <c r="AZ311" s="67">
        <v>107.6293310321074</v>
      </c>
    </row>
    <row r="312" spans="22:52" x14ac:dyDescent="0.25">
      <c r="V312" s="67">
        <v>306.56000000001109</v>
      </c>
      <c r="W312" s="67">
        <v>131.88203348146979</v>
      </c>
      <c r="X312" s="67">
        <v>55.508535230373468</v>
      </c>
      <c r="Y312" s="67">
        <v>409.67388285340638</v>
      </c>
      <c r="AF312" s="67">
        <v>306.56000000001109</v>
      </c>
      <c r="AG312" s="67">
        <v>77.924074319264292</v>
      </c>
      <c r="AH312" s="67">
        <v>38.953291962508622</v>
      </c>
      <c r="AI312" s="67">
        <v>291.98040683900223</v>
      </c>
      <c r="AV312" s="67">
        <v>38.470311409529423</v>
      </c>
      <c r="AW312" s="67">
        <v>91.967837362504454</v>
      </c>
      <c r="AY312" s="67">
        <v>39.170129265096513</v>
      </c>
      <c r="AZ312" s="67">
        <v>107.56565280603211</v>
      </c>
    </row>
    <row r="313" spans="22:52" x14ac:dyDescent="0.25">
      <c r="V313" s="67">
        <v>307.56000000001018</v>
      </c>
      <c r="W313" s="67">
        <v>133.01978830008321</v>
      </c>
      <c r="X313" s="67">
        <v>55.571925442267293</v>
      </c>
      <c r="Y313" s="67">
        <v>412.04605814317142</v>
      </c>
      <c r="AF313" s="67">
        <v>307.56000000001018</v>
      </c>
      <c r="AG313" s="67">
        <v>78.03453285988023</v>
      </c>
      <c r="AH313" s="67">
        <v>38.997726617231649</v>
      </c>
      <c r="AI313" s="67">
        <v>294.35258212876721</v>
      </c>
      <c r="AV313" s="67">
        <v>38.478815677603961</v>
      </c>
      <c r="AW313" s="67">
        <v>91.934454005653777</v>
      </c>
      <c r="AY313" s="67">
        <v>39.177469752924793</v>
      </c>
      <c r="AZ313" s="67">
        <v>107.5023110017858</v>
      </c>
    </row>
    <row r="314" spans="22:52" x14ac:dyDescent="0.25">
      <c r="V314" s="67">
        <v>308.56000000000932</v>
      </c>
      <c r="W314" s="67">
        <v>134.19128508601901</v>
      </c>
      <c r="X314" s="67">
        <v>55.63569742887961</v>
      </c>
      <c r="Y314" s="67">
        <v>414.41823343293629</v>
      </c>
      <c r="AF314" s="67">
        <v>308.56000000000932</v>
      </c>
      <c r="AG314" s="67">
        <v>78.14694180108485</v>
      </c>
      <c r="AH314" s="67">
        <v>39.042098256799648</v>
      </c>
      <c r="AI314" s="67">
        <v>296.72475741853208</v>
      </c>
      <c r="AV314" s="67">
        <v>38.487363783107071</v>
      </c>
      <c r="AW314" s="67">
        <v>91.901532151564737</v>
      </c>
      <c r="AY314" s="67">
        <v>39.184842286946257</v>
      </c>
      <c r="AZ314" s="67">
        <v>107.4393004027813</v>
      </c>
    </row>
    <row r="315" spans="22:52" x14ac:dyDescent="0.25">
      <c r="V315" s="67">
        <v>309.56000000000842</v>
      </c>
      <c r="W315" s="67">
        <v>135.3975799824764</v>
      </c>
      <c r="X315" s="67">
        <v>55.699854225531567</v>
      </c>
      <c r="Y315" s="67">
        <v>416.79040872270139</v>
      </c>
      <c r="AF315" s="67">
        <v>309.56000000000842</v>
      </c>
      <c r="AG315" s="67">
        <v>78.261515469242354</v>
      </c>
      <c r="AH315" s="67">
        <v>39.086420767426489</v>
      </c>
      <c r="AI315" s="67">
        <v>299.09693270829717</v>
      </c>
      <c r="AV315" s="67">
        <v>38.495954382137711</v>
      </c>
      <c r="AW315" s="67">
        <v>91.869064197521027</v>
      </c>
      <c r="AY315" s="67">
        <v>39.192245947077907</v>
      </c>
      <c r="AZ315" s="67">
        <v>107.37661585379971</v>
      </c>
    </row>
    <row r="316" spans="22:52" x14ac:dyDescent="0.25">
      <c r="V316" s="67">
        <v>310.56000000000751</v>
      </c>
      <c r="W316" s="67">
        <v>136.6397542246431</v>
      </c>
      <c r="X316" s="67">
        <v>55.764398457922653</v>
      </c>
      <c r="Y316" s="67">
        <v>419.16258401246643</v>
      </c>
      <c r="AF316" s="67">
        <v>310.56000000000751</v>
      </c>
      <c r="AG316" s="67">
        <v>78.378462697857827</v>
      </c>
      <c r="AH316" s="67">
        <v>39.130708721223527</v>
      </c>
      <c r="AI316" s="67">
        <v>301.46910799806221</v>
      </c>
      <c r="AV316" s="67">
        <v>38.50458614830211</v>
      </c>
      <c r="AW316" s="67">
        <v>91.837042648556292</v>
      </c>
      <c r="AY316" s="67">
        <v>39.199679824614428</v>
      </c>
      <c r="AZ316" s="67">
        <v>107.3142522602881</v>
      </c>
    </row>
    <row r="317" spans="22:52" x14ac:dyDescent="0.25">
      <c r="V317" s="67">
        <v>311.5600000000066</v>
      </c>
      <c r="W317" s="67">
        <v>137.91891485353321</v>
      </c>
      <c r="X317" s="67">
        <v>55.829332327784982</v>
      </c>
      <c r="Y317" s="67">
        <v>421.53475930223141</v>
      </c>
      <c r="AF317" s="67">
        <v>311.5600000000066</v>
      </c>
      <c r="AG317" s="67">
        <v>78.497978225596498</v>
      </c>
      <c r="AH317" s="67">
        <v>39.174977629961973</v>
      </c>
      <c r="AI317" s="67">
        <v>303.84128328782708</v>
      </c>
      <c r="AV317" s="67">
        <v>38.513257772685733</v>
      </c>
      <c r="AW317" s="67">
        <v>91.805460115974725</v>
      </c>
      <c r="AY317" s="67">
        <v>39.207143022106557</v>
      </c>
      <c r="AZ317" s="67">
        <v>107.2522045876741</v>
      </c>
    </row>
    <row r="318" spans="22:52" x14ac:dyDescent="0.25">
      <c r="V318" s="67">
        <v>312.56000000000569</v>
      </c>
      <c r="W318" s="67">
        <v>139.23619544709899</v>
      </c>
      <c r="X318" s="67">
        <v>55.894657606271721</v>
      </c>
      <c r="Y318" s="67">
        <v>423.90693459199639</v>
      </c>
      <c r="AF318" s="67">
        <v>312.56000000000569</v>
      </c>
      <c r="AG318" s="67">
        <v>78.620138885268162</v>
      </c>
      <c r="AH318" s="67">
        <v>39.219245021914332</v>
      </c>
      <c r="AI318" s="67">
        <v>306.21345857759218</v>
      </c>
      <c r="AV318" s="67">
        <v>38.521967963826107</v>
      </c>
      <c r="AW318" s="67">
        <v>91.774309315878455</v>
      </c>
      <c r="AY318" s="67">
        <v>39.214634653243159</v>
      </c>
      <c r="AZ318" s="67">
        <v>107.19046786068709</v>
      </c>
    </row>
    <row r="319" spans="22:52" x14ac:dyDescent="0.25">
      <c r="V319" s="67">
        <v>313.56000000000478</v>
      </c>
      <c r="W319" s="67">
        <v>140.59275685526009</v>
      </c>
      <c r="X319" s="67">
        <v>55.960375634870559</v>
      </c>
      <c r="Y319" s="67">
        <v>426.27910988176143</v>
      </c>
      <c r="AF319" s="67">
        <v>313.56000000000478</v>
      </c>
      <c r="AG319" s="67">
        <v>78.745001788124796</v>
      </c>
      <c r="AH319" s="67">
        <v>39.263532716300119</v>
      </c>
      <c r="AI319" s="67">
        <v>308.58563386735722</v>
      </c>
      <c r="AV319" s="67">
        <v>38.530715447684088</v>
      </c>
      <c r="AW319" s="67">
        <v>91.74358306768022</v>
      </c>
      <c r="AY319" s="67">
        <v>39.222153842735523</v>
      </c>
      <c r="AZ319" s="67">
        <v>107.1290371626876</v>
      </c>
    </row>
    <row r="320" spans="22:52" x14ac:dyDescent="0.25">
      <c r="V320" s="67">
        <v>314.56000000000392</v>
      </c>
      <c r="W320" s="67">
        <v>141.989787925244</v>
      </c>
      <c r="X320" s="67">
        <v>56.026487333418338</v>
      </c>
      <c r="Y320" s="67">
        <v>428.65128517152641</v>
      </c>
      <c r="AF320" s="67">
        <v>314.56000000000392</v>
      </c>
      <c r="AG320" s="67">
        <v>78.872759062474529</v>
      </c>
      <c r="AH320" s="67">
        <v>39.307864462279497</v>
      </c>
      <c r="AI320" s="67">
        <v>310.95780915712209</v>
      </c>
      <c r="AV320" s="67">
        <v>38.539498967617419</v>
      </c>
      <c r="AW320" s="67">
        <v>91.713274292621151</v>
      </c>
      <c r="AY320" s="67">
        <v>39.229699726206853</v>
      </c>
      <c r="AZ320" s="67">
        <v>107.06790763501181</v>
      </c>
    </row>
    <row r="321" spans="22:52" x14ac:dyDescent="0.25">
      <c r="V321" s="67">
        <v>315.56000000000301</v>
      </c>
      <c r="W321" s="67">
        <v>143.4285062041435</v>
      </c>
      <c r="X321" s="67">
        <v>56.09299321463061</v>
      </c>
      <c r="Y321" s="67">
        <v>431.02346046129139</v>
      </c>
      <c r="AF321" s="67">
        <v>315.56000000000301</v>
      </c>
      <c r="AG321" s="67">
        <v>79.003628023005746</v>
      </c>
      <c r="AH321" s="67">
        <v>39.352264561727218</v>
      </c>
      <c r="AI321" s="67">
        <v>313.32998444688718</v>
      </c>
      <c r="AV321" s="67">
        <v>38.548317284351981</v>
      </c>
      <c r="AW321" s="67">
        <v>91.683376012286303</v>
      </c>
      <c r="AY321" s="67">
        <v>39.237271450082453</v>
      </c>
      <c r="AZ321" s="67">
        <v>107.00707447631839</v>
      </c>
    </row>
    <row r="322" spans="22:52" x14ac:dyDescent="0.25">
      <c r="V322" s="67">
        <v>316.56000000000199</v>
      </c>
      <c r="W322" s="67">
        <v>144.91015860671109</v>
      </c>
      <c r="X322" s="67">
        <v>56.159893404423769</v>
      </c>
      <c r="Y322" s="67">
        <v>433.39563575105637</v>
      </c>
      <c r="AF322" s="67">
        <v>316.56000000000199</v>
      </c>
      <c r="AG322" s="67">
        <v>79.137842662374467</v>
      </c>
      <c r="AH322" s="67">
        <v>39.396757537283179</v>
      </c>
      <c r="AI322" s="67">
        <v>315.70215973665222</v>
      </c>
      <c r="AV322" s="67">
        <v>38.557169175951692</v>
      </c>
      <c r="AW322" s="67">
        <v>91.653881347112005</v>
      </c>
      <c r="AY322" s="67">
        <v>39.244868171484548</v>
      </c>
      <c r="AZ322" s="67">
        <v>106.9465329419492</v>
      </c>
    </row>
    <row r="323" spans="22:52" x14ac:dyDescent="0.25">
      <c r="V323" s="67">
        <v>317.56000000000108</v>
      </c>
      <c r="W323" s="67">
        <v>146.4360220382095</v>
      </c>
      <c r="X323" s="67">
        <v>56.22718766720692</v>
      </c>
      <c r="Y323" s="67">
        <v>435.76781104082141</v>
      </c>
      <c r="AF323" s="67">
        <v>317.56000000000108</v>
      </c>
      <c r="AG323" s="67">
        <v>79.275652012260736</v>
      </c>
      <c r="AH323" s="67">
        <v>39.441367897691983</v>
      </c>
      <c r="AI323" s="67">
        <v>318.07433502641709</v>
      </c>
      <c r="AV323" s="67">
        <v>38.566053437788639</v>
      </c>
      <c r="AW323" s="67">
        <v>91.624783514900827</v>
      </c>
      <c r="AY323" s="67">
        <v>39.252489058131083</v>
      </c>
      <c r="AZ323" s="67">
        <v>106.886278343296</v>
      </c>
    </row>
    <row r="324" spans="22:52" x14ac:dyDescent="0.25">
      <c r="V324" s="67">
        <v>318.56000000000017</v>
      </c>
      <c r="W324" s="67">
        <v>148.0074039642482</v>
      </c>
      <c r="X324" s="67">
        <v>56.294875435254539</v>
      </c>
      <c r="Y324" s="67">
        <v>438.1399863305864</v>
      </c>
      <c r="AF324" s="67">
        <v>318.56000000000017</v>
      </c>
      <c r="AG324" s="67">
        <v>79.41731986896869</v>
      </c>
      <c r="AH324" s="67">
        <v>39.486119934928752</v>
      </c>
      <c r="AI324" s="67">
        <v>320.44651031618218</v>
      </c>
      <c r="AV324" s="67">
        <v>38.574968882508642</v>
      </c>
      <c r="AW324" s="67">
        <v>91.596075829325727</v>
      </c>
      <c r="AY324" s="67">
        <v>39.260133288234599</v>
      </c>
      <c r="AZ324" s="67">
        <v>106.8263060471768</v>
      </c>
    </row>
    <row r="325" spans="22:52" x14ac:dyDescent="0.25">
      <c r="V325" s="67">
        <v>319.55999999999932</v>
      </c>
      <c r="W325" s="67">
        <v>149.62564292208469</v>
      </c>
      <c r="X325" s="67">
        <v>56.362955841222401</v>
      </c>
      <c r="Y325" s="67">
        <v>440.51216162035138</v>
      </c>
      <c r="AF325" s="67">
        <v>319.55999999999932</v>
      </c>
      <c r="AG325" s="67">
        <v>79.563124951915754</v>
      </c>
      <c r="AH325" s="67">
        <v>39.53103753856476</v>
      </c>
      <c r="AI325" s="67">
        <v>322.81868560594722</v>
      </c>
      <c r="AV325" s="67">
        <v>38.583914339995999</v>
      </c>
      <c r="AW325" s="67">
        <v>91.567751698439906</v>
      </c>
      <c r="AY325" s="67">
        <v>39.267800050407729</v>
      </c>
      <c r="AZ325" s="67">
        <v>106.7666114752183</v>
      </c>
    </row>
    <row r="326" spans="22:52" x14ac:dyDescent="0.25">
      <c r="V326" s="67">
        <v>320.55999999999841</v>
      </c>
      <c r="W326" s="67">
        <v>151.29210897040991</v>
      </c>
      <c r="X326" s="67">
        <v>56.431427752855143</v>
      </c>
      <c r="Y326" s="67">
        <v>442.88433691011642</v>
      </c>
      <c r="AF326" s="67">
        <v>320.55999999999841</v>
      </c>
      <c r="AG326" s="67">
        <v>79.713361191268149</v>
      </c>
      <c r="AH326" s="67">
        <v>39.576144024918619</v>
      </c>
      <c r="AI326" s="67">
        <v>325.19086089571209</v>
      </c>
      <c r="AV326" s="67">
        <v>38.592888657335038</v>
      </c>
      <c r="AW326" s="67">
        <v>91.539804623184054</v>
      </c>
      <c r="AY326" s="67">
        <v>39.275488543568741</v>
      </c>
      <c r="AZ326" s="67">
        <v>106.70719010325119</v>
      </c>
    </row>
    <row r="327" spans="22:52" x14ac:dyDescent="0.25">
      <c r="V327" s="67">
        <v>321.5599999999975</v>
      </c>
      <c r="W327" s="67">
        <v>153.0082040771596</v>
      </c>
      <c r="X327" s="67">
        <v>56.500289808926482</v>
      </c>
      <c r="Y327" s="67">
        <v>445.25651219988129</v>
      </c>
      <c r="AF327" s="67">
        <v>321.5599999999975</v>
      </c>
      <c r="AG327" s="67">
        <v>79.86833801674392</v>
      </c>
      <c r="AH327" s="67">
        <v>39.621461982750127</v>
      </c>
      <c r="AI327" s="67">
        <v>327.56303618547719</v>
      </c>
      <c r="AV327" s="67">
        <v>38.601890698767527</v>
      </c>
      <c r="AW327" s="67">
        <v>91.512228195894608</v>
      </c>
      <c r="AY327" s="67">
        <v>39.283197976851483</v>
      </c>
      <c r="AZ327" s="67">
        <v>106.6480374607054</v>
      </c>
    </row>
    <row r="328" spans="22:52" x14ac:dyDescent="0.25">
      <c r="V328" s="67">
        <v>322.55999999999659</v>
      </c>
      <c r="W328" s="67">
        <v>154.7753624471828</v>
      </c>
      <c r="X328" s="67">
        <v>56.569540455472918</v>
      </c>
      <c r="Y328" s="67">
        <v>447.62868748964638</v>
      </c>
      <c r="AF328" s="67">
        <v>322.55999999999659</v>
      </c>
      <c r="AG328" s="67">
        <v>80.028380586024369</v>
      </c>
      <c r="AH328" s="67">
        <v>39.667013138769683</v>
      </c>
      <c r="AI328" s="67">
        <v>329.93521147524223</v>
      </c>
      <c r="AV328" s="67">
        <v>38.610919345647801</v>
      </c>
      <c r="AW328" s="67">
        <v>91.485016098815464</v>
      </c>
      <c r="AY328" s="67">
        <v>39.290927569517407</v>
      </c>
      <c r="AZ328" s="67">
        <v>106.5891491300179</v>
      </c>
    </row>
    <row r="329" spans="22:52" x14ac:dyDescent="0.25">
      <c r="V329" s="67">
        <v>323.55999999999568</v>
      </c>
      <c r="W329" s="67">
        <v>156.59505079354699</v>
      </c>
      <c r="X329" s="67">
        <v>56.639177981426769</v>
      </c>
      <c r="Y329" s="67">
        <v>450.00086277941142</v>
      </c>
      <c r="AF329" s="67">
        <v>323.55999999999568</v>
      </c>
      <c r="AG329" s="67">
        <v>80.19382992245994</v>
      </c>
      <c r="AH329" s="67">
        <v>39.71281824660349</v>
      </c>
      <c r="AI329" s="67">
        <v>332.30738676500721</v>
      </c>
      <c r="AV329" s="67">
        <v>38.619973496391367</v>
      </c>
      <c r="AW329" s="67">
        <v>91.458162102605442</v>
      </c>
      <c r="AY329" s="67">
        <v>39.298676550872727</v>
      </c>
      <c r="AZ329" s="67">
        <v>106.53052074605181</v>
      </c>
    </row>
    <row r="330" spans="22:52" x14ac:dyDescent="0.25">
      <c r="V330" s="67">
        <v>324.55999999999477</v>
      </c>
      <c r="W330" s="67">
        <v>158.46876855764879</v>
      </c>
      <c r="X330" s="67">
        <v>56.709200552793618</v>
      </c>
      <c r="Y330" s="67">
        <v>452.37303806917629</v>
      </c>
      <c r="AF330" s="67">
        <v>324.55999999999477</v>
      </c>
      <c r="AG330" s="67">
        <v>80.365042949391778</v>
      </c>
      <c r="AH330" s="67">
        <v>39.758897002560623</v>
      </c>
      <c r="AI330" s="67">
        <v>334.67956205477219</v>
      </c>
      <c r="AV330" s="67">
        <v>38.629052066422332</v>
      </c>
      <c r="AW330" s="67">
        <v>91.431660064859983</v>
      </c>
      <c r="AY330" s="67">
        <v>39.306444160182501</v>
      </c>
      <c r="AZ330" s="67">
        <v>106.4721479955076</v>
      </c>
    </row>
    <row r="331" spans="22:52" x14ac:dyDescent="0.25">
      <c r="V331" s="67">
        <v>325.55999999999392</v>
      </c>
      <c r="W331" s="67">
        <v>160.39804808432081</v>
      </c>
      <c r="X331" s="67">
        <v>56.779606244607521</v>
      </c>
      <c r="Y331" s="67">
        <v>454.74521335894138</v>
      </c>
      <c r="AF331" s="67">
        <v>325.55999999999392</v>
      </c>
      <c r="AG331" s="67">
        <v>80.542392420065568</v>
      </c>
      <c r="AH331" s="67">
        <v>39.805267990883749</v>
      </c>
      <c r="AI331" s="67">
        <v>337.05173734453717</v>
      </c>
      <c r="AV331" s="67">
        <v>38.63815398811181</v>
      </c>
      <c r="AW331" s="67">
        <v>91.40550392862113</v>
      </c>
      <c r="AY331" s="67">
        <v>39.314229646595123</v>
      </c>
      <c r="AZ331" s="67">
        <v>106.4140266163591</v>
      </c>
    </row>
    <row r="332" spans="22:52" x14ac:dyDescent="0.25">
      <c r="V332" s="67">
        <v>326.55999999999301</v>
      </c>
      <c r="W332" s="67">
        <v>162.38445475851631</v>
      </c>
      <c r="X332" s="67">
        <v>56.850393069983397</v>
      </c>
      <c r="Y332" s="67">
        <v>457.11738864870642</v>
      </c>
      <c r="AF332" s="67">
        <v>326.55999999999301</v>
      </c>
      <c r="AG332" s="67">
        <v>80.726266750665289</v>
      </c>
      <c r="AH332" s="67">
        <v>39.851948660184632</v>
      </c>
      <c r="AI332" s="67">
        <v>339.42391263430221</v>
      </c>
      <c r="AV332" s="67">
        <v>38.647278210715172</v>
      </c>
      <c r="AW332" s="67">
        <v>91.37968772090943</v>
      </c>
      <c r="AY332" s="67">
        <v>39.322032269063001</v>
      </c>
      <c r="AZ332" s="67">
        <v>106.3561523972843</v>
      </c>
    </row>
    <row r="333" spans="22:52" x14ac:dyDescent="0.25">
      <c r="V333" s="67">
        <v>327.55999999999199</v>
      </c>
      <c r="W333" s="67">
        <v>164.42958711007799</v>
      </c>
      <c r="X333" s="67">
        <v>56.921559005693439</v>
      </c>
      <c r="Y333" s="67">
        <v>459.48956393847129</v>
      </c>
      <c r="AF333" s="67">
        <v>327.55999999999199</v>
      </c>
      <c r="AG333" s="67">
        <v>80.917069770695377</v>
      </c>
      <c r="AH333" s="67">
        <v>39.898955331592958</v>
      </c>
      <c r="AI333" s="67">
        <v>341.79608792406708</v>
      </c>
      <c r="AV333" s="67">
        <v>38.656423700301332</v>
      </c>
      <c r="AW333" s="67">
        <v>91.354205551250502</v>
      </c>
      <c r="AY333" s="67">
        <v>39.329851296269112</v>
      </c>
      <c r="AZ333" s="67">
        <v>106.2985211771057</v>
      </c>
    </row>
    <row r="334" spans="22:52" x14ac:dyDescent="0.25">
      <c r="V334" s="67">
        <v>328.55999999999108</v>
      </c>
      <c r="W334" s="67">
        <v>166.53507689268491</v>
      </c>
      <c r="X334" s="67">
        <v>56.993102013829287</v>
      </c>
      <c r="Y334" s="67">
        <v>461.86173922823639</v>
      </c>
      <c r="AF334" s="67">
        <v>328.55999999999108</v>
      </c>
      <c r="AG334" s="67">
        <v>81.115220410318031</v>
      </c>
      <c r="AH334" s="67">
        <v>39.946303237810639</v>
      </c>
      <c r="AI334" s="67">
        <v>344.16826321383218</v>
      </c>
      <c r="AV334" s="67">
        <v>38.66558943967641</v>
      </c>
      <c r="AW334" s="67">
        <v>91.329051610211081</v>
      </c>
      <c r="AY334" s="67">
        <v>39.337686006555117</v>
      </c>
      <c r="AZ334" s="67">
        <v>106.2411288442369</v>
      </c>
    </row>
    <row r="335" spans="22:52" x14ac:dyDescent="0.25">
      <c r="V335" s="67">
        <v>329.55999999999023</v>
      </c>
      <c r="W335" s="67">
        <v>168.7025891422447</v>
      </c>
      <c r="X335" s="67">
        <v>57.065020059240851</v>
      </c>
      <c r="Y335" s="67">
        <v>464.23391451800143</v>
      </c>
      <c r="AF335" s="67">
        <v>329.55999999999023</v>
      </c>
      <c r="AG335" s="67">
        <v>81.321152348355227</v>
      </c>
      <c r="AH335" s="67">
        <v>39.994006590803913</v>
      </c>
      <c r="AI335" s="67">
        <v>346.54043850359722</v>
      </c>
      <c r="AV335" s="67">
        <v>38.674774428301824</v>
      </c>
      <c r="AW335" s="67">
        <v>91.304220167943271</v>
      </c>
      <c r="AY335" s="67">
        <v>39.345535687852077</v>
      </c>
      <c r="AZ335" s="67">
        <v>106.1839713361358</v>
      </c>
    </row>
    <row r="336" spans="22:52" x14ac:dyDescent="0.25">
      <c r="V336" s="67">
        <v>330.55999999998932</v>
      </c>
      <c r="W336" s="67">
        <v>170.93382221903639</v>
      </c>
      <c r="X336" s="67">
        <v>57.137311122597112</v>
      </c>
      <c r="Y336" s="67">
        <v>466.60608980776641</v>
      </c>
      <c r="AF336" s="67">
        <v>330.55999999998932</v>
      </c>
      <c r="AG336" s="67">
        <v>81.53531364764325</v>
      </c>
      <c r="AH336" s="67">
        <v>40.042078674346207</v>
      </c>
      <c r="AI336" s="67">
        <v>348.91261379336208</v>
      </c>
      <c r="AV336" s="67">
        <v>38.683977682207001</v>
      </c>
      <c r="AW336" s="67">
        <v>91.279705572739601</v>
      </c>
      <c r="AY336" s="67">
        <v>39.353399637612533</v>
      </c>
      <c r="AZ336" s="67">
        <v>106.1270446387614</v>
      </c>
    </row>
    <row r="337" spans="22:52" x14ac:dyDescent="0.25">
      <c r="V337" s="67">
        <v>331.55999999998841</v>
      </c>
      <c r="W337" s="67">
        <v>173.23050783692219</v>
      </c>
      <c r="X337" s="67">
        <v>57.209973209070199</v>
      </c>
      <c r="Y337" s="67">
        <v>468.97826509753139</v>
      </c>
      <c r="AF337" s="67">
        <v>331.55999999998841</v>
      </c>
      <c r="AG337" s="67">
        <v>81.75816640606044</v>
      </c>
      <c r="AH337" s="67">
        <v>40.090531956094878</v>
      </c>
      <c r="AI337" s="67">
        <v>351.28478908312718</v>
      </c>
      <c r="AV337" s="67">
        <v>38.693198233893902</v>
      </c>
      <c r="AW337" s="67">
        <v>91.255502249597996</v>
      </c>
      <c r="AY337" s="67">
        <v>39.361277162746582</v>
      </c>
      <c r="AZ337" s="67">
        <v>106.0703447860391</v>
      </c>
    </row>
    <row r="338" spans="22:52" x14ac:dyDescent="0.25">
      <c r="V338" s="67">
        <v>332.5599999999875</v>
      </c>
      <c r="W338" s="67">
        <v>175.5944110818505</v>
      </c>
      <c r="X338" s="67">
        <v>57.28300435278959</v>
      </c>
      <c r="Y338" s="67">
        <v>471.35044038729637</v>
      </c>
      <c r="AF338" s="67">
        <v>332.5599999999875</v>
      </c>
      <c r="AG338" s="67">
        <v>81.99018645183493</v>
      </c>
      <c r="AH338" s="67">
        <v>40.139378212429961</v>
      </c>
      <c r="AI338" s="67">
        <v>353.65696437289222</v>
      </c>
      <c r="AV338" s="67">
        <v>38.702435132244602</v>
      </c>
      <c r="AW338" s="67">
        <v>91.231604698815246</v>
      </c>
      <c r="AY338" s="67">
        <v>39.369167579558777</v>
      </c>
      <c r="AZ338" s="67">
        <v>106.0138678593276</v>
      </c>
    </row>
    <row r="339" spans="22:52" x14ac:dyDescent="0.25">
      <c r="V339" s="67">
        <v>333.55999999998659</v>
      </c>
      <c r="W339" s="67">
        <v>178.0273304211058</v>
      </c>
      <c r="X339" s="67">
        <v>57.356402617363301</v>
      </c>
      <c r="Y339" s="67">
        <v>473.72261567706141</v>
      </c>
      <c r="AF339" s="67">
        <v>333.55999999998659</v>
      </c>
      <c r="AG339" s="67">
        <v>82.231863110487382</v>
      </c>
      <c r="AH339" s="67">
        <v>40.188628658012817</v>
      </c>
      <c r="AI339" s="67">
        <v>356.02913966265709</v>
      </c>
      <c r="AV339" s="67">
        <v>38.711687442355867</v>
      </c>
      <c r="AW339" s="67">
        <v>91.208007494446107</v>
      </c>
      <c r="AY339" s="67">
        <v>39.377070213687517</v>
      </c>
      <c r="AZ339" s="67">
        <v>105.9576099868957</v>
      </c>
    </row>
    <row r="340" spans="22:52" x14ac:dyDescent="0.25">
      <c r="V340" s="67">
        <v>334.55999999998568</v>
      </c>
      <c r="W340" s="67">
        <v>180.5310977040437</v>
      </c>
      <c r="X340" s="67">
        <v>57.43016609289549</v>
      </c>
      <c r="Y340" s="67">
        <v>476.09479096682639</v>
      </c>
      <c r="AF340" s="67">
        <v>334.55999999998568</v>
      </c>
      <c r="AG340" s="67">
        <v>82.483699067926779</v>
      </c>
      <c r="AH340" s="67">
        <v>40.238294071069618</v>
      </c>
      <c r="AI340" s="67">
        <v>358.40131495242218</v>
      </c>
      <c r="AV340" s="67">
        <v>38.720954245575847</v>
      </c>
      <c r="AW340" s="67">
        <v>91.18470528324643</v>
      </c>
      <c r="AY340" s="67">
        <v>39.384984400046207</v>
      </c>
      <c r="AZ340" s="67">
        <v>105.9015673433975</v>
      </c>
    </row>
    <row r="341" spans="22:52" x14ac:dyDescent="0.25">
      <c r="V341" s="67">
        <v>335.55999999998483</v>
      </c>
      <c r="W341" s="67">
        <v>183.1075781547494</v>
      </c>
      <c r="X341" s="67">
        <v>57.504292890051367</v>
      </c>
      <c r="Y341" s="67">
        <v>478.46696625659138</v>
      </c>
      <c r="AF341" s="67">
        <v>335.55999999998483</v>
      </c>
      <c r="AG341" s="67">
        <v>82.746210349722872</v>
      </c>
      <c r="AH341" s="67">
        <v>40.288384904909996</v>
      </c>
      <c r="AI341" s="67">
        <v>360.77349024218722</v>
      </c>
      <c r="AV341" s="67">
        <v>38.730234639158539</v>
      </c>
      <c r="AW341" s="67">
        <v>91.161692782786446</v>
      </c>
      <c r="AY341" s="67">
        <v>39.392909482767919</v>
      </c>
      <c r="AZ341" s="67">
        <v>105.8457361493613</v>
      </c>
    </row>
    <row r="342" spans="22:52" x14ac:dyDescent="0.25">
      <c r="V342" s="67">
        <v>336.55999999998392</v>
      </c>
      <c r="W342" s="67">
        <v>185.75867035685479</v>
      </c>
      <c r="X342" s="67">
        <v>57.578781131797307</v>
      </c>
      <c r="Y342" s="67">
        <v>480.83914154635642</v>
      </c>
      <c r="AF342" s="67">
        <v>336.55999999998392</v>
      </c>
      <c r="AG342" s="67">
        <v>83.019926430597565</v>
      </c>
      <c r="AH342" s="67">
        <v>40.338911376345443</v>
      </c>
      <c r="AI342" s="67">
        <v>363.14566553195209</v>
      </c>
      <c r="AV342" s="67">
        <v>38.739527736371201</v>
      </c>
      <c r="AW342" s="67">
        <v>91.138964780616078</v>
      </c>
      <c r="AY342" s="67">
        <v>39.400844815149142</v>
      </c>
      <c r="AZ342" s="67">
        <v>105.7901126706748</v>
      </c>
    </row>
    <row r="343" spans="22:52" x14ac:dyDescent="0.25">
      <c r="V343" s="67">
        <v>337.55999999998289</v>
      </c>
      <c r="W343" s="67">
        <v>188.48630623103671</v>
      </c>
      <c r="X343" s="67">
        <v>57.65362894352802</v>
      </c>
      <c r="Y343" s="67">
        <v>483.2113168361214</v>
      </c>
      <c r="AF343" s="67">
        <v>337.55999999998289</v>
      </c>
      <c r="AG343" s="67">
        <v>83.305390480656541</v>
      </c>
      <c r="AH343" s="67">
        <v>40.389883522467301</v>
      </c>
      <c r="AI343" s="67">
        <v>365.51784082171719</v>
      </c>
      <c r="AV343" s="67">
        <v>38.748832666140572</v>
      </c>
      <c r="AW343" s="67">
        <v>91.11651613241898</v>
      </c>
      <c r="AY343" s="67">
        <v>39.40878975959842</v>
      </c>
      <c r="AZ343" s="67">
        <v>105.7346932180802</v>
      </c>
    </row>
    <row r="344" spans="22:52" x14ac:dyDescent="0.25">
      <c r="V344" s="67">
        <v>338.55999999998198</v>
      </c>
      <c r="W344" s="67">
        <v>191.29245100611149</v>
      </c>
      <c r="X344" s="67">
        <v>57.728834442329003</v>
      </c>
      <c r="Y344" s="67">
        <v>485.58349212588638</v>
      </c>
      <c r="AF344" s="67">
        <v>338.55999999998198</v>
      </c>
      <c r="AG344" s="67">
        <v>83.603159747330778</v>
      </c>
      <c r="AH344" s="67">
        <v>40.441311219232723</v>
      </c>
      <c r="AI344" s="67">
        <v>367.89001611148223</v>
      </c>
      <c r="AV344" s="67">
        <v>38.758148573075971</v>
      </c>
      <c r="AW344" s="67">
        <v>91.09434176106177</v>
      </c>
      <c r="AY344" s="67">
        <v>39.416743687584663</v>
      </c>
      <c r="AZ344" s="67">
        <v>105.67947414667</v>
      </c>
    </row>
    <row r="345" spans="22:52" x14ac:dyDescent="0.25">
      <c r="V345" s="67">
        <v>339.55999999998107</v>
      </c>
      <c r="W345" s="67">
        <v>194.17910318524579</v>
      </c>
      <c r="X345" s="67">
        <v>57.804395726122657</v>
      </c>
      <c r="Y345" s="67">
        <v>487.95566741565142</v>
      </c>
      <c r="AF345" s="67">
        <v>339.55999999998107</v>
      </c>
      <c r="AG345" s="67">
        <v>83.913806062285971</v>
      </c>
      <c r="AH345" s="67">
        <v>40.493204157245827</v>
      </c>
      <c r="AI345" s="67">
        <v>370.26219140124721</v>
      </c>
      <c r="AV345" s="67">
        <v>38.767474617242392</v>
      </c>
      <c r="AW345" s="67">
        <v>91.072436655098045</v>
      </c>
      <c r="AY345" s="67">
        <v>39.424705979587387</v>
      </c>
      <c r="AZ345" s="67">
        <v>105.6244518553911</v>
      </c>
    </row>
    <row r="346" spans="22:52" x14ac:dyDescent="0.25">
      <c r="V346" s="67">
        <v>340.55999999998022</v>
      </c>
      <c r="W346" s="67">
        <v>197.1482945096086</v>
      </c>
      <c r="X346" s="67">
        <v>57.88031086343824</v>
      </c>
      <c r="Y346" s="67">
        <v>490.3278427054164</v>
      </c>
      <c r="AF346" s="67">
        <v>340.55999999998022</v>
      </c>
      <c r="AG346" s="67">
        <v>84.237916456077741</v>
      </c>
      <c r="AH346" s="67">
        <v>40.545571773938953</v>
      </c>
      <c r="AI346" s="67">
        <v>372.63436669101219</v>
      </c>
      <c r="AV346" s="67">
        <v>38.776809974020132</v>
      </c>
      <c r="AW346" s="67">
        <v>91.050795867519099</v>
      </c>
      <c r="AY346" s="67">
        <v>39.43267602505</v>
      </c>
      <c r="AZ346" s="67">
        <v>105.5696227865503</v>
      </c>
    </row>
    <row r="347" spans="22:52" x14ac:dyDescent="0.25">
      <c r="V347" s="67">
        <v>341.55999999997931</v>
      </c>
      <c r="W347" s="67">
        <v>200.20208992258489</v>
      </c>
      <c r="X347" s="67">
        <v>57.956577884493413</v>
      </c>
      <c r="Y347" s="67">
        <v>492.70001799518138</v>
      </c>
      <c r="AF347" s="67">
        <v>341.55999999997931</v>
      </c>
      <c r="AG347" s="67">
        <v>84.576093855455326</v>
      </c>
      <c r="AH347" s="67">
        <v>40.598423144359458</v>
      </c>
      <c r="AI347" s="67">
        <v>375.00654198077717</v>
      </c>
      <c r="AV347" s="67">
        <v>38.786153833943501</v>
      </c>
      <c r="AW347" s="67">
        <v>91.029414514482454</v>
      </c>
      <c r="AY347" s="67">
        <v>39.440653222333196</v>
      </c>
      <c r="AZ347" s="67">
        <v>105.5149834253239</v>
      </c>
    </row>
    <row r="348" spans="22:52" x14ac:dyDescent="0.25">
      <c r="V348" s="67">
        <v>342.5599999999784</v>
      </c>
      <c r="W348" s="67">
        <v>203.3425875385314</v>
      </c>
      <c r="X348" s="67">
        <v>58.033194774213477</v>
      </c>
      <c r="Y348" s="67">
        <v>495.07219328494642</v>
      </c>
      <c r="AF348" s="67">
        <v>342.5599999999784</v>
      </c>
      <c r="AG348" s="67">
        <v>84.928957834022484</v>
      </c>
      <c r="AH348" s="67">
        <v>40.651766836544141</v>
      </c>
      <c r="AI348" s="67">
        <v>377.37871727054221</v>
      </c>
      <c r="AV348" s="67">
        <v>38.795505402530686</v>
      </c>
      <c r="AW348" s="67">
        <v>91.008287774061415</v>
      </c>
      <c r="AY348" s="67">
        <v>39.44863697867001</v>
      </c>
      <c r="AZ348" s="67">
        <v>105.4605302992741</v>
      </c>
    </row>
    <row r="349" spans="22:52" x14ac:dyDescent="0.25">
      <c r="V349" s="67">
        <v>343.55999999997749</v>
      </c>
      <c r="W349" s="67">
        <v>206.57191862079449</v>
      </c>
      <c r="X349" s="67">
        <v>58.110159467714311</v>
      </c>
      <c r="Y349" s="67">
        <v>497.4443685747114</v>
      </c>
      <c r="AF349" s="67">
        <v>343.55999999997749</v>
      </c>
      <c r="AG349" s="67">
        <v>85.297145384693337</v>
      </c>
      <c r="AH349" s="67">
        <v>40.705610740558541</v>
      </c>
      <c r="AI349" s="67">
        <v>379.75089256030719</v>
      </c>
      <c r="AV349" s="67">
        <v>38.804863900109979</v>
      </c>
      <c r="AW349" s="67">
        <v>90.987410885026023</v>
      </c>
      <c r="AY349" s="67">
        <v>39.456626710122848</v>
      </c>
      <c r="AZ349" s="67">
        <v>105.4062599778624</v>
      </c>
    </row>
    <row r="350" spans="22:52" x14ac:dyDescent="0.25">
      <c r="V350" s="67">
        <v>344.55999999997658</v>
      </c>
      <c r="W350" s="67">
        <v>209.89224757431151</v>
      </c>
      <c r="X350" s="67">
        <v>58.187469848673857</v>
      </c>
      <c r="Y350" s="67">
        <v>499.81654386447639</v>
      </c>
      <c r="AF350" s="67">
        <v>344.55999999997658</v>
      </c>
      <c r="AG350" s="67">
        <v>85.681311683036682</v>
      </c>
      <c r="AH350" s="67">
        <v>40.759961882650089</v>
      </c>
      <c r="AI350" s="67">
        <v>382.12306785007218</v>
      </c>
      <c r="AV350" s="67">
        <v>38.814228561638231</v>
      </c>
      <c r="AW350" s="67">
        <v>90.966779145641212</v>
      </c>
      <c r="AY350" s="67">
        <v>39.464621841541479</v>
      </c>
      <c r="AZ350" s="67">
        <v>105.3521690719777</v>
      </c>
    </row>
    <row r="351" spans="22:52" x14ac:dyDescent="0.25">
      <c r="V351" s="67">
        <v>345.33999999997587</v>
      </c>
      <c r="W351" s="67">
        <v>208.0007117369849</v>
      </c>
      <c r="X351" s="67">
        <v>57.74604840856324</v>
      </c>
      <c r="Y351" s="67">
        <v>499.91143087606702</v>
      </c>
      <c r="AF351" s="67">
        <v>345.55999999997567</v>
      </c>
      <c r="AG351" s="67">
        <v>86.082130814044248</v>
      </c>
      <c r="AH351" s="67">
        <v>40.814826237276293</v>
      </c>
      <c r="AI351" s="67">
        <v>384.49524313983721</v>
      </c>
      <c r="AV351" s="67">
        <v>38.823598636515207</v>
      </c>
      <c r="AW351" s="67">
        <v>90.9463879124919</v>
      </c>
      <c r="AY351" s="67">
        <v>39.472621806522092</v>
      </c>
      <c r="AZ351" s="67">
        <v>105.29825423345591</v>
      </c>
    </row>
    <row r="352" spans="22:52" x14ac:dyDescent="0.25">
      <c r="V352" s="67">
        <v>346.33999999997502</v>
      </c>
      <c r="W352" s="67">
        <v>205.4993114389134</v>
      </c>
      <c r="X352" s="67">
        <v>57.197102558749862</v>
      </c>
      <c r="Y352" s="67">
        <v>499.91143087606702</v>
      </c>
      <c r="AF352" s="67">
        <v>346.55999999997482</v>
      </c>
      <c r="AG352" s="67">
        <v>86.500296440531045</v>
      </c>
      <c r="AH352" s="67">
        <v>40.870208549861388</v>
      </c>
      <c r="AI352" s="67">
        <v>386.8674184296022</v>
      </c>
      <c r="AV352" s="67">
        <v>38.832973388390883</v>
      </c>
      <c r="AW352" s="67">
        <v>90.926232599338945</v>
      </c>
      <c r="AY352" s="67">
        <v>39.480626047368929</v>
      </c>
      <c r="AZ352" s="67">
        <v>105.2445121546137</v>
      </c>
    </row>
    <row r="353" spans="22:52" x14ac:dyDescent="0.25">
      <c r="V353" s="67">
        <v>347.33999999997411</v>
      </c>
      <c r="W353" s="67">
        <v>203.24519422608921</v>
      </c>
      <c r="X353" s="67">
        <v>56.702237595160682</v>
      </c>
      <c r="Y353" s="67">
        <v>499.91143087606702</v>
      </c>
      <c r="AF353" s="67">
        <v>347.55999999997391</v>
      </c>
      <c r="AG353" s="67">
        <v>86.936522398841845</v>
      </c>
      <c r="AH353" s="67">
        <v>40.926112182066731</v>
      </c>
      <c r="AI353" s="67">
        <v>389.23959371936718</v>
      </c>
      <c r="AV353" s="67">
        <v>38.842352094969272</v>
      </c>
      <c r="AW353" s="67">
        <v>90.906308675994723</v>
      </c>
      <c r="AY353" s="67">
        <v>39.488634015054153</v>
      </c>
      <c r="AZ353" s="67">
        <v>105.1909395677782</v>
      </c>
    </row>
    <row r="354" spans="22:52" x14ac:dyDescent="0.25">
      <c r="V354" s="67">
        <v>348.33999999997309</v>
      </c>
      <c r="W354" s="67">
        <v>201.21367909732751</v>
      </c>
      <c r="X354" s="67">
        <v>56.256086533720797</v>
      </c>
      <c r="Y354" s="67">
        <v>499.91143087606702</v>
      </c>
      <c r="AF354" s="67">
        <v>348.55999999997289</v>
      </c>
      <c r="AG354" s="67">
        <v>87.391543215616508</v>
      </c>
      <c r="AH354" s="67">
        <v>40.982538989277259</v>
      </c>
      <c r="AI354" s="67">
        <v>391.61176900913222</v>
      </c>
      <c r="AV354" s="67">
        <v>38.851734047805451</v>
      </c>
      <c r="AW354" s="67">
        <v>90.886611667230895</v>
      </c>
      <c r="AY354" s="67">
        <v>39.496645169181967</v>
      </c>
      <c r="AZ354" s="67">
        <v>105.1375332448243</v>
      </c>
    </row>
    <row r="355" spans="22:52" x14ac:dyDescent="0.25">
      <c r="V355" s="67">
        <v>349.33999999997218</v>
      </c>
      <c r="W355" s="67">
        <v>199.3825842591786</v>
      </c>
      <c r="X355" s="67">
        <v>55.853821184974208</v>
      </c>
      <c r="Y355" s="67">
        <v>499.91143087606702</v>
      </c>
      <c r="AF355" s="67">
        <v>349.55999999997198</v>
      </c>
      <c r="AG355" s="67">
        <v>87.866114547520056</v>
      </c>
      <c r="AH355" s="67">
        <v>41.03948923727944</v>
      </c>
      <c r="AI355" s="67">
        <v>393.9839442988972</v>
      </c>
      <c r="AV355" s="67">
        <v>38.861118552100038</v>
      </c>
      <c r="AW355" s="67">
        <v>90.86713715171183</v>
      </c>
      <c r="AY355" s="67">
        <v>39.504658977952268</v>
      </c>
      <c r="AZ355" s="67">
        <v>105.0842899967153</v>
      </c>
    </row>
    <row r="356" spans="22:52" x14ac:dyDescent="0.25">
      <c r="V356" s="67">
        <v>350.33999999997133</v>
      </c>
      <c r="W356" s="67">
        <v>197.73196947805911</v>
      </c>
      <c r="X356" s="67">
        <v>55.491097204951188</v>
      </c>
      <c r="Y356" s="67">
        <v>499.91143087606702</v>
      </c>
      <c r="AF356" s="67">
        <v>350.55999999997113</v>
      </c>
      <c r="AG356" s="67">
        <v>88.361013552973532</v>
      </c>
      <c r="AH356" s="67">
        <v>41.096961562011302</v>
      </c>
      <c r="AI356" s="67">
        <v>396.35611958866218</v>
      </c>
      <c r="AV356" s="67">
        <v>38.870504926488543</v>
      </c>
      <c r="AW356" s="67">
        <v>90.84788076096045</v>
      </c>
      <c r="AY356" s="67">
        <v>39.512674918124347</v>
      </c>
      <c r="AZ356" s="67">
        <v>105.03120667304201</v>
      </c>
    </row>
    <row r="357" spans="22:52" x14ac:dyDescent="0.25">
      <c r="V357" s="67">
        <v>351.33999999997042</v>
      </c>
      <c r="W357" s="67">
        <v>196.2439053071104</v>
      </c>
      <c r="X357" s="67">
        <v>55.16400483438531</v>
      </c>
      <c r="Y357" s="67">
        <v>499.91143087606702</v>
      </c>
      <c r="AF357" s="67">
        <v>351.55999999997022</v>
      </c>
      <c r="AG357" s="67">
        <v>88.877039210966871</v>
      </c>
      <c r="AH357" s="67">
        <v>41.154952973379011</v>
      </c>
      <c r="AI357" s="67">
        <v>398.72829487842722</v>
      </c>
      <c r="AV357" s="67">
        <v>38.879892502826351</v>
      </c>
      <c r="AW357" s="67">
        <v>90.828838178344384</v>
      </c>
      <c r="AY357" s="67">
        <v>39.520692474982717</v>
      </c>
      <c r="AZ357" s="67">
        <v>104.9782801615717</v>
      </c>
    </row>
    <row r="358" spans="22:52" x14ac:dyDescent="0.25">
      <c r="V358" s="67">
        <v>352.33999999996951</v>
      </c>
      <c r="W358" s="67">
        <v>194.90226646001989</v>
      </c>
      <c r="X358" s="67">
        <v>54.869024740788632</v>
      </c>
      <c r="Y358" s="67">
        <v>499.91143087606702</v>
      </c>
      <c r="AF358" s="67">
        <v>352.55999999996931</v>
      </c>
      <c r="AG358" s="67">
        <v>89.415012604609856</v>
      </c>
      <c r="AH358" s="67">
        <v>41.213458900962223</v>
      </c>
      <c r="AI358" s="67">
        <v>401.10047016819209</v>
      </c>
      <c r="AV358" s="67">
        <v>38.889280625972113</v>
      </c>
      <c r="AW358" s="67">
        <v>90.810005138106007</v>
      </c>
      <c r="AY358" s="67">
        <v>39.528711142304807</v>
      </c>
      <c r="AZ358" s="67">
        <v>104.92550738780101</v>
      </c>
    </row>
    <row r="359" spans="22:52" x14ac:dyDescent="0.25">
      <c r="V359" s="67">
        <v>353.3399999999686</v>
      </c>
      <c r="W359" s="67">
        <v>193.69254683460611</v>
      </c>
      <c r="X359" s="67">
        <v>54.602988432914231</v>
      </c>
      <c r="Y359" s="67">
        <v>499.91143087606702</v>
      </c>
      <c r="AF359" s="67">
        <v>353.5599999999684</v>
      </c>
      <c r="AG359" s="67">
        <v>89.975777191391373</v>
      </c>
      <c r="AH359" s="67">
        <v>41.272473278248697</v>
      </c>
      <c r="AI359" s="67">
        <v>403.47264545795719</v>
      </c>
      <c r="AV359" s="67">
        <v>38.898668653566062</v>
      </c>
      <c r="AW359" s="67">
        <v>90.791377424405852</v>
      </c>
      <c r="AY359" s="67">
        <v>39.536730422325682</v>
      </c>
      <c r="AZ359" s="67">
        <v>104.8728853145012</v>
      </c>
    </row>
    <row r="360" spans="22:52" x14ac:dyDescent="0.25">
      <c r="V360" s="67">
        <v>354.33999999996769</v>
      </c>
      <c r="W360" s="67">
        <v>192.60169391682979</v>
      </c>
      <c r="X360" s="67">
        <v>54.363042769052527</v>
      </c>
      <c r="Y360" s="67">
        <v>499.91143087606702</v>
      </c>
      <c r="AF360" s="67">
        <v>354.55999999996749</v>
      </c>
      <c r="AG360" s="67">
        <v>90.560199078648154</v>
      </c>
      <c r="AH360" s="67">
        <v>41.3319886592991</v>
      </c>
      <c r="AI360" s="67">
        <v>405.84482074772222</v>
      </c>
      <c r="AV360" s="67">
        <v>38.908055955806837</v>
      </c>
      <c r="AW360" s="67">
        <v>90.772950870407115</v>
      </c>
      <c r="AY360" s="67">
        <v>39.544749825707648</v>
      </c>
      <c r="AZ360" s="67">
        <v>104.8204109412808</v>
      </c>
    </row>
    <row r="361" spans="22:52" x14ac:dyDescent="0.25">
      <c r="V361" s="67">
        <v>355.33999999996678</v>
      </c>
      <c r="W361" s="67">
        <v>191.6179605148898</v>
      </c>
      <c r="X361" s="67">
        <v>54.146618128939167</v>
      </c>
      <c r="Y361" s="67">
        <v>499.91143087606702</v>
      </c>
      <c r="AF361" s="67">
        <v>355.55999999996658</v>
      </c>
      <c r="AG361" s="67">
        <v>91.169167323408814</v>
      </c>
      <c r="AH361" s="67">
        <v>41.391996361869083</v>
      </c>
      <c r="AI361" s="67">
        <v>408.21699603748709</v>
      </c>
      <c r="AV361" s="67">
        <v>38.91744191522514</v>
      </c>
      <c r="AW361" s="67">
        <v>90.754721357386742</v>
      </c>
      <c r="AY361" s="67">
        <v>39.552768871507723</v>
      </c>
      <c r="AZ361" s="67">
        <v>104.7680813041419</v>
      </c>
    </row>
    <row r="362" spans="22:52" x14ac:dyDescent="0.25">
      <c r="V362" s="67">
        <v>356.33999999996593</v>
      </c>
      <c r="W362" s="67">
        <v>190.73077197938389</v>
      </c>
      <c r="X362" s="67">
        <v>53.951399863484198</v>
      </c>
      <c r="Y362" s="67">
        <v>499.91143087606702</v>
      </c>
      <c r="AF362" s="67">
        <v>356.55999999996573</v>
      </c>
      <c r="AG362" s="67">
        <v>91.803594271060106</v>
      </c>
      <c r="AH362" s="67">
        <v>41.452486630237438</v>
      </c>
      <c r="AI362" s="67">
        <v>410.58917132725219</v>
      </c>
      <c r="AV362" s="67">
        <v>38.926825926458321</v>
      </c>
      <c r="AW362" s="67">
        <v>90.73668481388053</v>
      </c>
      <c r="AY362" s="67">
        <v>39.560787087146558</v>
      </c>
      <c r="AZ362" s="67">
        <v>104.7158934750446</v>
      </c>
    </row>
    <row r="363" spans="22:52" x14ac:dyDescent="0.25">
      <c r="V363" s="67">
        <v>357.33999999996502</v>
      </c>
      <c r="W363" s="67">
        <v>189.93060725640731</v>
      </c>
      <c r="X363" s="67">
        <v>53.775302677035818</v>
      </c>
      <c r="Y363" s="67">
        <v>499.91143087606702</v>
      </c>
      <c r="AF363" s="67">
        <v>357.55999999996482</v>
      </c>
      <c r="AG363" s="67">
        <v>92.464415943386498</v>
      </c>
      <c r="AH363" s="67">
        <v>41.513448811353037</v>
      </c>
      <c r="AI363" s="67">
        <v>412.96134661701723</v>
      </c>
      <c r="AV363" s="67">
        <v>38.936207396017551</v>
      </c>
      <c r="AW363" s="67">
        <v>90.718837214847227</v>
      </c>
      <c r="AY363" s="67">
        <v>39.568804008378713</v>
      </c>
      <c r="AZ363" s="67">
        <v>104.66384456147129</v>
      </c>
    </row>
    <row r="364" spans="22:52" x14ac:dyDescent="0.25">
      <c r="V364" s="67">
        <v>358.33999999996399</v>
      </c>
      <c r="W364" s="67">
        <v>189.20889229560231</v>
      </c>
      <c r="X364" s="67">
        <v>53.616447633557641</v>
      </c>
      <c r="Y364" s="67">
        <v>499.91143087606702</v>
      </c>
      <c r="AF364" s="67">
        <v>358.55999999996379</v>
      </c>
      <c r="AG364" s="67">
        <v>93.152592481728121</v>
      </c>
      <c r="AH364" s="67">
        <v>41.574871538445002</v>
      </c>
      <c r="AI364" s="67">
        <v>415.33352190678221</v>
      </c>
      <c r="AV364" s="67">
        <v>38.9455857420607</v>
      </c>
      <c r="AW364" s="67">
        <v>90.701174580874707</v>
      </c>
      <c r="AY364" s="67">
        <v>39.576819179261129</v>
      </c>
      <c r="AZ364" s="67">
        <v>104.61193170599979</v>
      </c>
    </row>
    <row r="365" spans="22:52" x14ac:dyDescent="0.25">
      <c r="V365" s="67">
        <v>359.33999999996308</v>
      </c>
      <c r="W365" s="67">
        <v>188.55790449375681</v>
      </c>
      <c r="X365" s="67">
        <v>53.473141511097417</v>
      </c>
      <c r="Y365" s="67">
        <v>499.91143087606702</v>
      </c>
      <c r="AF365" s="67">
        <v>359.55999999996288</v>
      </c>
      <c r="AG365" s="67">
        <v>93.869108646164861</v>
      </c>
      <c r="AH365" s="67">
        <v>41.636742917028982</v>
      </c>
      <c r="AI365" s="67">
        <v>417.70569719654719</v>
      </c>
      <c r="AV365" s="67">
        <v>38.954960394160203</v>
      </c>
      <c r="AW365" s="67">
        <v>90.683692977416868</v>
      </c>
      <c r="AY365" s="67">
        <v>39.584832152124307</v>
      </c>
      <c r="AZ365" s="67">
        <v>104.5601520858728</v>
      </c>
    </row>
    <row r="366" spans="22:52" x14ac:dyDescent="0.25">
      <c r="V366" s="67">
        <v>360.33999999996217</v>
      </c>
      <c r="W366" s="67">
        <v>187.9706869976751</v>
      </c>
      <c r="X366" s="67">
        <v>53.343858258510863</v>
      </c>
      <c r="Y366" s="67">
        <v>499.91143087606702</v>
      </c>
      <c r="AF366" s="67">
        <v>360.55999999996197</v>
      </c>
      <c r="AG366" s="67">
        <v>94.614974367357192</v>
      </c>
      <c r="AH366" s="67">
        <v>41.699050709128763</v>
      </c>
      <c r="AI366" s="67">
        <v>420.07787248631217</v>
      </c>
      <c r="AV366" s="67">
        <v>38.964330793072008</v>
      </c>
      <c r="AW366" s="67">
        <v>90.666388514049146</v>
      </c>
      <c r="AY366" s="67">
        <v>39.592842487543322</v>
      </c>
      <c r="AZ366" s="67">
        <v>104.50850291257559</v>
      </c>
    </row>
    <row r="367" spans="22:52" x14ac:dyDescent="0.25">
      <c r="V367" s="67">
        <v>361.33999999996132</v>
      </c>
      <c r="W367" s="67">
        <v>187.44097181837381</v>
      </c>
      <c r="X367" s="67">
        <v>53.227222334883443</v>
      </c>
      <c r="Y367" s="67">
        <v>499.91143087606702</v>
      </c>
      <c r="AF367" s="67">
        <v>361.55999999996112</v>
      </c>
      <c r="AG367" s="67">
        <v>95.391225343968785</v>
      </c>
      <c r="AH367" s="67">
        <v>41.761782512413284</v>
      </c>
      <c r="AI367" s="67">
        <v>422.45004777607721</v>
      </c>
      <c r="AV367" s="67">
        <v>38.973696390504642</v>
      </c>
      <c r="AW367" s="67">
        <v>90.649257343762926</v>
      </c>
      <c r="AY367" s="67">
        <v>39.600849754308022</v>
      </c>
      <c r="AZ367" s="67">
        <v>104.4569814314204</v>
      </c>
    </row>
    <row r="368" spans="22:52" x14ac:dyDescent="0.25">
      <c r="V368" s="67">
        <v>362.33999999996041</v>
      </c>
      <c r="W368" s="67">
        <v>186.96311082314779</v>
      </c>
      <c r="X368" s="67">
        <v>53.12199373567239</v>
      </c>
      <c r="Y368" s="67">
        <v>499.91143087606702</v>
      </c>
      <c r="AF368" s="67">
        <v>362.55999999996021</v>
      </c>
      <c r="AG368" s="67">
        <v>96.19892367605641</v>
      </c>
      <c r="AH368" s="67">
        <v>41.824925931789039</v>
      </c>
      <c r="AI368" s="67">
        <v>424.82222306584219</v>
      </c>
      <c r="AV368" s="67">
        <v>38.983056648887207</v>
      </c>
      <c r="AW368" s="67">
        <v>90.632295662288143</v>
      </c>
      <c r="AY368" s="67">
        <v>39.608853529394437</v>
      </c>
      <c r="AZ368" s="67">
        <v>104.4055849211227</v>
      </c>
    </row>
    <row r="369" spans="22:52" x14ac:dyDescent="0.25">
      <c r="V369" s="67">
        <v>363.3399999999595</v>
      </c>
      <c r="W369" s="67">
        <v>186.53201377423269</v>
      </c>
      <c r="X369" s="67">
        <v>53.027054530646069</v>
      </c>
      <c r="Y369" s="67">
        <v>499.91143087606702</v>
      </c>
      <c r="AF369" s="67">
        <v>363.5599999999593</v>
      </c>
      <c r="AG369" s="67">
        <v>97.039158523299378</v>
      </c>
      <c r="AH369" s="67">
        <v>41.888468741677912</v>
      </c>
      <c r="AI369" s="67">
        <v>427.19439835560718</v>
      </c>
      <c r="AV369" s="67">
        <v>38.992411041141047</v>
      </c>
      <c r="AW369" s="67">
        <v>90.615499707440009</v>
      </c>
      <c r="AY369" s="67">
        <v>39.616853397936659</v>
      </c>
      <c r="AZ369" s="67">
        <v>104.3543106933986</v>
      </c>
    </row>
    <row r="370" spans="22:52" x14ac:dyDescent="0.25">
      <c r="V370" s="67">
        <v>364.33999999995859</v>
      </c>
      <c r="W370" s="67">
        <v>186.14309267359241</v>
      </c>
      <c r="X370" s="67">
        <v>52.941396757409848</v>
      </c>
      <c r="Y370" s="67">
        <v>499.91143087606702</v>
      </c>
      <c r="AF370" s="67">
        <v>364.55999999995839</v>
      </c>
      <c r="AG370" s="67">
        <v>97.913046776637259</v>
      </c>
      <c r="AH370" s="67">
        <v>41.952399037783657</v>
      </c>
      <c r="AI370" s="67">
        <v>429.56657364537222</v>
      </c>
      <c r="AV370" s="67">
        <v>39.001759050450573</v>
      </c>
      <c r="AW370" s="67">
        <v>90.598865758505966</v>
      </c>
      <c r="AY370" s="67">
        <v>39.624848953198217</v>
      </c>
      <c r="AZ370" s="67">
        <v>104.303156092549</v>
      </c>
    </row>
    <row r="371" spans="22:52" x14ac:dyDescent="0.25">
      <c r="V371" s="67">
        <v>365.33999999995768</v>
      </c>
      <c r="W371" s="67">
        <v>185.79221175401571</v>
      </c>
      <c r="X371" s="67">
        <v>52.864111530980267</v>
      </c>
      <c r="Y371" s="67">
        <v>499.91143087606702</v>
      </c>
      <c r="AF371" s="67">
        <v>365.55999999995748</v>
      </c>
      <c r="AG371" s="67">
        <v>98.821733732689083</v>
      </c>
      <c r="AH371" s="67">
        <v>42.016705377567348</v>
      </c>
      <c r="AI371" s="67">
        <v>431.9387489351372</v>
      </c>
      <c r="AV371" s="67">
        <v>39.011100170035043</v>
      </c>
      <c r="AW371" s="67">
        <v>90.582390135643877</v>
      </c>
      <c r="AY371" s="67">
        <v>39.632839796544289</v>
      </c>
      <c r="AZ371" s="67">
        <v>104.2521184950632</v>
      </c>
    </row>
    <row r="372" spans="22:52" x14ac:dyDescent="0.25">
      <c r="V372" s="67">
        <v>366.27999999995677</v>
      </c>
      <c r="W372" s="67">
        <v>185.49373206051641</v>
      </c>
      <c r="X372" s="67">
        <v>52.798364033491907</v>
      </c>
      <c r="Y372" s="67">
        <v>499.91143087606702</v>
      </c>
      <c r="AF372" s="67">
        <v>366.55999999995657</v>
      </c>
      <c r="AG372" s="67">
        <v>99.766393762004839</v>
      </c>
      <c r="AH372" s="67">
        <v>42.081376908908112</v>
      </c>
      <c r="AI372" s="67">
        <v>434.31092422490218</v>
      </c>
      <c r="AV372" s="67">
        <v>39.02043390292414</v>
      </c>
      <c r="AW372" s="67">
        <v>90.566069199323948</v>
      </c>
      <c r="AY372" s="67">
        <v>39.64082553741293</v>
      </c>
      <c r="AZ372" s="67">
        <v>104.2011953092132</v>
      </c>
    </row>
    <row r="373" spans="22:52" x14ac:dyDescent="0.25">
      <c r="AF373" s="67">
        <v>367.55999999995572</v>
      </c>
      <c r="AG373" s="67">
        <v>100.7482309645854</v>
      </c>
      <c r="AH373" s="67">
        <v>42.14640348658213</v>
      </c>
      <c r="AI373" s="67">
        <v>436.68309951466722</v>
      </c>
      <c r="AV373" s="67">
        <v>39.02975976173434</v>
      </c>
      <c r="AW373" s="67">
        <v>90.54989934978714</v>
      </c>
      <c r="AY373" s="67">
        <v>39.648805793288084</v>
      </c>
      <c r="AZ373" s="67">
        <v>104.1503839746653</v>
      </c>
    </row>
    <row r="374" spans="22:52" x14ac:dyDescent="0.25">
      <c r="AF374" s="67">
        <v>368.55999999995481</v>
      </c>
      <c r="AG374" s="67">
        <v>101.7684798088747</v>
      </c>
      <c r="AH374" s="67">
        <v>42.211775776224272</v>
      </c>
      <c r="AI374" s="67">
        <v>439.0552748044322</v>
      </c>
      <c r="AV374" s="67">
        <v>39.039077268448182</v>
      </c>
      <c r="AW374" s="67">
        <v>90.5338770265367</v>
      </c>
      <c r="AY374" s="67">
        <v>39.656780189671643</v>
      </c>
      <c r="AZ374" s="67">
        <v>104.0996819620882</v>
      </c>
    </row>
    <row r="375" spans="22:52" x14ac:dyDescent="0.25">
      <c r="AF375" s="67">
        <v>369.55999999995379</v>
      </c>
      <c r="AG375" s="67">
        <v>102.8284057531974</v>
      </c>
      <c r="AH375" s="67">
        <v>42.277485345411151</v>
      </c>
      <c r="AI375" s="67">
        <v>441.42745009419718</v>
      </c>
      <c r="AV375" s="67">
        <v>39.048385954196021</v>
      </c>
      <c r="AW375" s="67">
        <v>90.51799870785257</v>
      </c>
      <c r="AY375" s="67">
        <v>39.66474836005542</v>
      </c>
      <c r="AZ375" s="67">
        <v>104.04908677277059</v>
      </c>
    </row>
    <row r="376" spans="22:52" x14ac:dyDescent="0.25">
      <c r="AF376" s="67">
        <v>370.55999999995288</v>
      </c>
      <c r="AG376" s="67">
        <v>103.9293058512411</v>
      </c>
      <c r="AH376" s="67">
        <v>42.34352474142338</v>
      </c>
      <c r="AI376" s="67">
        <v>443.79962538396222</v>
      </c>
      <c r="AV376" s="67">
        <v>39.057685359040818</v>
      </c>
      <c r="AW376" s="67">
        <v>90.502260910327692</v>
      </c>
      <c r="AY376" s="67">
        <v>39.672709945893828</v>
      </c>
      <c r="AZ376" s="67">
        <v>103.9985959382422</v>
      </c>
    </row>
    <row r="377" spans="22:52" x14ac:dyDescent="0.25">
      <c r="AF377" s="67">
        <v>371.55999999995203</v>
      </c>
      <c r="AG377" s="67">
        <v>105.0725093451544</v>
      </c>
      <c r="AH377" s="67">
        <v>42.409887555160253</v>
      </c>
      <c r="AI377" s="67">
        <v>446.1718006737272</v>
      </c>
      <c r="AV377" s="67">
        <v>39.066975031767072</v>
      </c>
      <c r="AW377" s="67">
        <v>90.486660188438449</v>
      </c>
      <c r="AY377" s="67">
        <v>39.680664596576378</v>
      </c>
      <c r="AZ377" s="67">
        <v>103.9482070199045</v>
      </c>
    </row>
    <row r="378" spans="22:52" x14ac:dyDescent="0.25">
      <c r="AF378" s="67">
        <v>372.55999999995112</v>
      </c>
      <c r="AG378" s="67">
        <v>106.2593782511979</v>
      </c>
      <c r="AH378" s="67">
        <v>42.476568470597734</v>
      </c>
      <c r="AI378" s="67">
        <v>448.54397596349219</v>
      </c>
      <c r="AV378" s="67">
        <v>39.07625452967261</v>
      </c>
      <c r="AW378" s="67">
        <v>90.471193134129123</v>
      </c>
      <c r="AY378" s="67">
        <v>39.688611969399872</v>
      </c>
      <c r="AZ378" s="67">
        <v>103.8979176086639</v>
      </c>
    </row>
    <row r="379" spans="22:52" x14ac:dyDescent="0.25">
      <c r="AF379" s="67">
        <v>373.55999999995021</v>
      </c>
      <c r="AG379" s="67">
        <v>107.49130794329059</v>
      </c>
      <c r="AH379" s="67">
        <v>42.543563299149582</v>
      </c>
      <c r="AI379" s="67">
        <v>450.91615125325723</v>
      </c>
      <c r="AV379" s="67">
        <v>39.085523418363209</v>
      </c>
      <c r="AW379" s="67">
        <v>90.455856376422545</v>
      </c>
      <c r="AY379" s="67">
        <v>39.696551729542072</v>
      </c>
      <c r="AZ379" s="67">
        <v>103.847725324576</v>
      </c>
    </row>
    <row r="380" spans="22:52" x14ac:dyDescent="0.25">
      <c r="AF380" s="67">
        <v>374.5599999999493</v>
      </c>
      <c r="AG380" s="67">
        <v>108.76972773929791</v>
      </c>
      <c r="AH380" s="67">
        <v>42.610868998290243</v>
      </c>
      <c r="AI380" s="67">
        <v>453.28832654302221</v>
      </c>
      <c r="AV380" s="67">
        <v>39.0947812715537</v>
      </c>
      <c r="AW380" s="67">
        <v>90.440646581058374</v>
      </c>
      <c r="AY380" s="67">
        <v>39.704483550034233</v>
      </c>
      <c r="AZ380" s="67">
        <v>103.7976278164997</v>
      </c>
    </row>
    <row r="381" spans="22:52" x14ac:dyDescent="0.25">
      <c r="AF381" s="67">
        <v>375.55999999994839</v>
      </c>
      <c r="AG381" s="67">
        <v>110.0961014935252</v>
      </c>
      <c r="AH381" s="67">
        <v>42.678483673876137</v>
      </c>
      <c r="AI381" s="67">
        <v>455.66050183278719</v>
      </c>
      <c r="AV381" s="67">
        <v>39.104027670870153</v>
      </c>
      <c r="AW381" s="67">
        <v>90.425560450139628</v>
      </c>
      <c r="AY381" s="67">
        <v>39.712407111732851</v>
      </c>
      <c r="AZ381" s="67">
        <v>103.74762276175031</v>
      </c>
    </row>
    <row r="382" spans="22:52" x14ac:dyDescent="0.25">
      <c r="AF382" s="67">
        <v>376.55999999994748</v>
      </c>
      <c r="AG382" s="67">
        <v>111.47192819674039</v>
      </c>
      <c r="AH382" s="67">
        <v>42.746406565749737</v>
      </c>
      <c r="AI382" s="67">
        <v>458.03267712255217</v>
      </c>
      <c r="AV382" s="67">
        <v>39.113262205659957</v>
      </c>
      <c r="AW382" s="67">
        <v>90.410594721818583</v>
      </c>
      <c r="AY382" s="67">
        <v>39.720322103295068</v>
      </c>
      <c r="AZ382" s="67">
        <v>103.69770786577961</v>
      </c>
    </row>
    <row r="383" spans="22:52" x14ac:dyDescent="0.25">
      <c r="AF383" s="67">
        <v>377.55999999994663</v>
      </c>
      <c r="AG383" s="67">
        <v>112.8987425822821</v>
      </c>
      <c r="AH383" s="67">
        <v>42.8146380164128</v>
      </c>
      <c r="AI383" s="67">
        <v>460.40485241231721</v>
      </c>
      <c r="AV383" s="67">
        <v>39.122484472802853</v>
      </c>
      <c r="AW383" s="67">
        <v>90.395746169981606</v>
      </c>
      <c r="AY383" s="67">
        <v>39.72822822115026</v>
      </c>
      <c r="AZ383" s="67">
        <v>103.64788086185</v>
      </c>
    </row>
    <row r="384" spans="22:52" x14ac:dyDescent="0.25">
      <c r="AF384" s="67">
        <v>378.55999999994572</v>
      </c>
      <c r="AG384" s="67">
        <v>114.3781157337046</v>
      </c>
      <c r="AH384" s="67">
        <v>42.883179422823559</v>
      </c>
      <c r="AI384" s="67">
        <v>462.77702770208219</v>
      </c>
      <c r="AV384" s="67">
        <v>39.131694076529932</v>
      </c>
      <c r="AW384" s="67">
        <v>90.381011603971217</v>
      </c>
      <c r="AY384" s="67">
        <v>39.736125169475173</v>
      </c>
      <c r="AZ384" s="67">
        <v>103.5981395107343</v>
      </c>
    </row>
    <row r="385" spans="32:52" x14ac:dyDescent="0.25">
      <c r="AF385" s="67">
        <v>379.55999999994481</v>
      </c>
      <c r="AG385" s="67">
        <v>115.9116556862849</v>
      </c>
      <c r="AH385" s="67">
        <v>42.952033171709843</v>
      </c>
      <c r="AI385" s="67">
        <v>465.14920299184718</v>
      </c>
      <c r="AV385" s="67">
        <v>39.140890628244222</v>
      </c>
      <c r="AW385" s="67">
        <v>90.366387868311648</v>
      </c>
      <c r="AY385" s="67">
        <v>39.744012660168657</v>
      </c>
      <c r="AZ385" s="67">
        <v>103.5484816004254</v>
      </c>
    </row>
    <row r="386" spans="32:52" x14ac:dyDescent="0.25">
      <c r="AF386" s="67">
        <v>380.55999999994378</v>
      </c>
      <c r="AG386" s="67">
        <v>117.501008011647</v>
      </c>
      <c r="AH386" s="67">
        <v>43.021202559124447</v>
      </c>
      <c r="AI386" s="67">
        <v>467.52137828161221</v>
      </c>
      <c r="AV386" s="67">
        <v>39.150073746349847</v>
      </c>
      <c r="AW386" s="67">
        <v>90.351871842463481</v>
      </c>
      <c r="AY386" s="67">
        <v>39.751890412824572</v>
      </c>
      <c r="AZ386" s="67">
        <v>103.4989049458589</v>
      </c>
    </row>
    <row r="387" spans="32:52" x14ac:dyDescent="0.25">
      <c r="AF387" s="67">
        <v>381.55999999994287</v>
      </c>
      <c r="AG387" s="67">
        <v>119.1478563722887</v>
      </c>
      <c r="AH387" s="67">
        <v>43.090691695364463</v>
      </c>
      <c r="AI387" s="67">
        <v>469.8935535713772</v>
      </c>
      <c r="AV387" s="67">
        <v>39.159243056083653</v>
      </c>
      <c r="AW387" s="67">
        <v>90.337460440583726</v>
      </c>
      <c r="AY387" s="67">
        <v>39.759758154710021</v>
      </c>
      <c r="AZ387" s="67">
        <v>103.4494073886635</v>
      </c>
    </row>
    <row r="388" spans="32:52" x14ac:dyDescent="0.25">
      <c r="AF388" s="67">
        <v>382.55999999994202</v>
      </c>
      <c r="AG388" s="67">
        <v>120.8539230308902</v>
      </c>
      <c r="AH388" s="67">
        <v>43.160505396745457</v>
      </c>
      <c r="AI388" s="67">
        <v>472.26572886114218</v>
      </c>
      <c r="AV388" s="67">
        <v>39.168398189351933</v>
      </c>
      <c r="AW388" s="67">
        <v>90.323150611309075</v>
      </c>
      <c r="AY388" s="67">
        <v>39.767615620740983</v>
      </c>
      <c r="AZ388" s="67">
        <v>103.3999867969291</v>
      </c>
    </row>
    <row r="389" spans="32:52" x14ac:dyDescent="0.25">
      <c r="AF389" s="67">
        <v>383.49999999994122</v>
      </c>
      <c r="AG389" s="67">
        <v>122.5131942504963</v>
      </c>
      <c r="AH389" s="67">
        <v>43.226431035778937</v>
      </c>
      <c r="AI389" s="67">
        <v>474.49557363352119</v>
      </c>
      <c r="AV389" s="67">
        <v>39.177538784574317</v>
      </c>
      <c r="AW389" s="67">
        <v>90.308939337549006</v>
      </c>
      <c r="AY389" s="67">
        <v>39.775462553459811</v>
      </c>
      <c r="AZ389" s="67">
        <v>103.3506410650007</v>
      </c>
    </row>
    <row r="390" spans="32:52" x14ac:dyDescent="0.25">
      <c r="AF390" s="67">
        <v>384.3399999999404</v>
      </c>
      <c r="AG390" s="67">
        <v>120.4902174889631</v>
      </c>
      <c r="AH390" s="67">
        <v>42.712596924590457</v>
      </c>
      <c r="AI390" s="67">
        <v>474.49557363352119</v>
      </c>
      <c r="AV390" s="67">
        <v>39.186664486532088</v>
      </c>
      <c r="AW390" s="67">
        <v>90.294823636297849</v>
      </c>
      <c r="AY390" s="67">
        <v>39.783298703015369</v>
      </c>
      <c r="AZ390" s="67">
        <v>103.30136811330669</v>
      </c>
    </row>
    <row r="391" spans="32:52" x14ac:dyDescent="0.25">
      <c r="AF391" s="67">
        <v>385.33999999993949</v>
      </c>
      <c r="AG391" s="67">
        <v>118.3085109673283</v>
      </c>
      <c r="AH391" s="67">
        <v>42.157911284974887</v>
      </c>
      <c r="AI391" s="67">
        <v>474.49557363352119</v>
      </c>
      <c r="AV391" s="67">
        <v>39.195774946220133</v>
      </c>
      <c r="AW391" s="67">
        <v>90.280800558449997</v>
      </c>
      <c r="AY391" s="67">
        <v>39.791123827144148</v>
      </c>
      <c r="AZ391" s="67">
        <v>103.2521658882258</v>
      </c>
    </row>
    <row r="392" spans="32:52" x14ac:dyDescent="0.25">
      <c r="AF392" s="67">
        <v>386.33999999993858</v>
      </c>
      <c r="AG392" s="67">
        <v>116.34873995699419</v>
      </c>
      <c r="AH392" s="67">
        <v>41.659161664050153</v>
      </c>
      <c r="AI392" s="67">
        <v>474.49557363352119</v>
      </c>
      <c r="AV392" s="67">
        <v>39.204869820707813</v>
      </c>
      <c r="AW392" s="67">
        <v>90.266867188637761</v>
      </c>
      <c r="AY392" s="67">
        <v>39.798937691154393</v>
      </c>
      <c r="AZ392" s="67">
        <v>103.203032362001</v>
      </c>
    </row>
    <row r="393" spans="32:52" x14ac:dyDescent="0.25">
      <c r="AF393" s="67">
        <v>387.33999999993767</v>
      </c>
      <c r="AG393" s="67">
        <v>114.58782373366471</v>
      </c>
      <c r="AH393" s="67">
        <v>41.210609703975081</v>
      </c>
      <c r="AI393" s="67">
        <v>474.49557363352119</v>
      </c>
      <c r="AV393" s="67">
        <v>39.213948773001682</v>
      </c>
      <c r="AW393" s="67">
        <v>90.25302064507089</v>
      </c>
      <c r="AY393" s="67">
        <v>39.806740067910809</v>
      </c>
      <c r="AZ393" s="67">
        <v>103.15396553270369</v>
      </c>
    </row>
    <row r="394" spans="32:52" x14ac:dyDescent="0.25">
      <c r="AF394" s="67">
        <v>388.33999999993682</v>
      </c>
      <c r="AG394" s="67">
        <v>113.0051535691174</v>
      </c>
      <c r="AH394" s="67">
        <v>40.807119590969933</v>
      </c>
      <c r="AI394" s="67">
        <v>474.49557363352119</v>
      </c>
      <c r="AV394" s="67">
        <v>39.223011471916379</v>
      </c>
      <c r="AW394" s="67">
        <v>90.239258079394531</v>
      </c>
      <c r="AY394" s="67">
        <v>39.814530737826964</v>
      </c>
      <c r="AZ394" s="67">
        <v>103.1049634242856</v>
      </c>
    </row>
    <row r="395" spans="32:52" x14ac:dyDescent="0.25">
      <c r="AF395" s="67">
        <v>389.33999999993591</v>
      </c>
      <c r="AG395" s="67">
        <v>111.58231892516569</v>
      </c>
      <c r="AH395" s="67">
        <v>40.444093087679512</v>
      </c>
      <c r="AI395" s="67">
        <v>474.49557363352119</v>
      </c>
      <c r="AV395" s="67">
        <v>39.232057591948553</v>
      </c>
      <c r="AW395" s="67">
        <v>90.225576676547263</v>
      </c>
      <c r="AY395" s="67">
        <v>39.822309488859311</v>
      </c>
      <c r="AZ395" s="67">
        <v>103.0560240867088</v>
      </c>
    </row>
    <row r="396" spans="32:52" x14ac:dyDescent="0.25">
      <c r="AF396" s="67">
        <v>390.33999999993489</v>
      </c>
      <c r="AG396" s="67">
        <v>110.30286508436519</v>
      </c>
      <c r="AH396" s="67">
        <v>40.117411752130117</v>
      </c>
      <c r="AI396" s="67">
        <v>474.49557363352119</v>
      </c>
      <c r="AV396" s="67">
        <v>39.241086813159647</v>
      </c>
      <c r="AW396" s="67">
        <v>90.2119736546382</v>
      </c>
      <c r="AY396" s="67">
        <v>39.830076116506881</v>
      </c>
      <c r="AZ396" s="67">
        <v>103.00714559620241</v>
      </c>
    </row>
    <row r="397" spans="32:52" x14ac:dyDescent="0.25">
      <c r="AF397" s="67">
        <v>391.33999999993398</v>
      </c>
      <c r="AG397" s="67">
        <v>109.1520783786777</v>
      </c>
      <c r="AH397" s="67">
        <v>39.823385516719668</v>
      </c>
      <c r="AI397" s="67">
        <v>474.49557363352119</v>
      </c>
      <c r="AV397" s="67">
        <v>39.250098821060078</v>
      </c>
      <c r="AW397" s="67">
        <v>90.19844626482039</v>
      </c>
      <c r="AY397" s="67">
        <v>39.837830423821593</v>
      </c>
      <c r="AZ397" s="67">
        <v>102.958326055681</v>
      </c>
    </row>
    <row r="398" spans="32:52" x14ac:dyDescent="0.25">
      <c r="AF398" s="67">
        <v>392.33999999993313</v>
      </c>
      <c r="AG398" s="67">
        <v>108.11679574245331</v>
      </c>
      <c r="AH398" s="67">
        <v>39.558706911222998</v>
      </c>
      <c r="AI398" s="67">
        <v>474.49557363352119</v>
      </c>
      <c r="AV398" s="67">
        <v>39.259093306501313</v>
      </c>
      <c r="AW398" s="67">
        <v>90.184991791179328</v>
      </c>
      <c r="AY398" s="67">
        <v>39.84557222142459</v>
      </c>
      <c r="AZ398" s="67">
        <v>102.9095635953759</v>
      </c>
    </row>
    <row r="399" spans="32:52" x14ac:dyDescent="0.25">
      <c r="AF399" s="67">
        <v>393.33999999993222</v>
      </c>
      <c r="AG399" s="67">
        <v>107.1852357574567</v>
      </c>
      <c r="AH399" s="67">
        <v>39.320410301644927</v>
      </c>
      <c r="AI399" s="67">
        <v>474.49557363352119</v>
      </c>
      <c r="AV399" s="67">
        <v>39.268069965573027</v>
      </c>
      <c r="AW399" s="67">
        <v>90.171607550622639</v>
      </c>
      <c r="AY399" s="67">
        <v>39.853301327538396</v>
      </c>
      <c r="AZ399" s="67">
        <v>102.8608563737784</v>
      </c>
    </row>
    <row r="400" spans="32:52" x14ac:dyDescent="0.25">
      <c r="AF400" s="67">
        <v>394.33999999993131</v>
      </c>
      <c r="AG400" s="67">
        <v>106.34684871303109</v>
      </c>
      <c r="AH400" s="67">
        <v>39.105835589194498</v>
      </c>
      <c r="AI400" s="67">
        <v>474.49557363352119</v>
      </c>
      <c r="AV400" s="67">
        <v>39.277028499505043</v>
      </c>
      <c r="AW400" s="67">
        <v>90.158290892779789</v>
      </c>
      <c r="AY400" s="67">
        <v>39.861017568035862</v>
      </c>
      <c r="AZ400" s="67">
        <v>102.8122025790264</v>
      </c>
    </row>
    <row r="401" spans="32:52" x14ac:dyDescent="0.25">
      <c r="AF401" s="67">
        <v>395.3399999999304</v>
      </c>
      <c r="AG401" s="67">
        <v>105.5921835000576</v>
      </c>
      <c r="AH401" s="67">
        <v>38.912595875417821</v>
      </c>
      <c r="AI401" s="67">
        <v>474.49557363352119</v>
      </c>
      <c r="AV401" s="67">
        <v>39.285968614574358</v>
      </c>
      <c r="AW401" s="67">
        <v>90.145039199899571</v>
      </c>
      <c r="AY401" s="67">
        <v>39.868720776514088</v>
      </c>
      <c r="AZ401" s="67">
        <v>102.7636004309785</v>
      </c>
    </row>
    <row r="402" spans="32:52" x14ac:dyDescent="0.25">
      <c r="AF402" s="67">
        <v>396.33999999992949</v>
      </c>
      <c r="AG402" s="67">
        <v>104.91276940991</v>
      </c>
      <c r="AH402" s="67">
        <v>38.738548653504147</v>
      </c>
      <c r="AI402" s="67">
        <v>474.49557363352119</v>
      </c>
      <c r="AV402" s="67">
        <v>39.294890022018762</v>
      </c>
      <c r="AW402" s="67">
        <v>90.131849886758445</v>
      </c>
      <c r="AY402" s="67">
        <v>39.876410794405288</v>
      </c>
      <c r="AZ402" s="67">
        <v>102.71504818439119</v>
      </c>
    </row>
    <row r="403" spans="32:52" x14ac:dyDescent="0.25">
      <c r="AF403" s="67">
        <v>397.33999999992858</v>
      </c>
      <c r="AG403" s="67">
        <v>104.3010111298107</v>
      </c>
      <c r="AH403" s="67">
        <v>38.581770133701347</v>
      </c>
      <c r="AI403" s="67">
        <v>474.49557363352119</v>
      </c>
      <c r="AV403" s="67">
        <v>39.30379243795403</v>
      </c>
      <c r="AW403" s="67">
        <v>90.118720400565905</v>
      </c>
      <c r="AY403" s="67">
        <v>39.884087471141861</v>
      </c>
      <c r="AZ403" s="67">
        <v>102.6665441340273</v>
      </c>
    </row>
    <row r="404" spans="32:52" x14ac:dyDescent="0.25">
      <c r="AF404" s="67">
        <v>398.33999999992773</v>
      </c>
      <c r="AG404" s="67">
        <v>103.750095420449</v>
      </c>
      <c r="AH404" s="67">
        <v>38.44053235369006</v>
      </c>
      <c r="AI404" s="67">
        <v>474.49557363352119</v>
      </c>
      <c r="AV404" s="67">
        <v>39.31267558329688</v>
      </c>
      <c r="AW404" s="67">
        <v>90.105648220875949</v>
      </c>
      <c r="AY404" s="67">
        <v>39.891750664413927</v>
      </c>
      <c r="AZ404" s="67">
        <v>102.6180866235365</v>
      </c>
    </row>
    <row r="405" spans="32:52" x14ac:dyDescent="0.25">
      <c r="AF405" s="67">
        <v>399.33999999992682</v>
      </c>
      <c r="AG405" s="67">
        <v>103.2539081346398</v>
      </c>
      <c r="AH405" s="67">
        <v>38.313282763303221</v>
      </c>
      <c r="AI405" s="67">
        <v>474.49557363352119</v>
      </c>
      <c r="AV405" s="67">
        <v>39.321539183692323</v>
      </c>
      <c r="AW405" s="67">
        <v>90.092630859500133</v>
      </c>
      <c r="AY405" s="67">
        <v>39.89940024059517</v>
      </c>
      <c r="AZ405" s="67">
        <v>102.569674063031</v>
      </c>
    </row>
    <row r="406" spans="32:52" x14ac:dyDescent="0.25">
      <c r="AF406" s="67">
        <v>400.33999999992591</v>
      </c>
      <c r="AG406" s="67">
        <v>102.8069603900131</v>
      </c>
      <c r="AH406" s="67">
        <v>38.198626007603991</v>
      </c>
      <c r="AI406" s="67">
        <v>474.49557363352119</v>
      </c>
      <c r="AV406" s="67">
        <v>39.330382969446248</v>
      </c>
      <c r="AW406" s="67">
        <v>90.079665860415247</v>
      </c>
      <c r="AY406" s="67">
        <v>39.907036075553727</v>
      </c>
      <c r="AZ406" s="67">
        <v>102.52130497443071</v>
      </c>
    </row>
    <row r="407" spans="32:52" x14ac:dyDescent="0.25">
      <c r="AF407" s="67">
        <v>401.33999999992488</v>
      </c>
      <c r="AG407" s="67">
        <v>102.4043228461625</v>
      </c>
      <c r="AH407" s="67">
        <v>38.095307663362057</v>
      </c>
      <c r="AI407" s="67">
        <v>474.49557363352119</v>
      </c>
      <c r="AV407" s="67">
        <v>39.339206675464077</v>
      </c>
      <c r="AW407" s="67">
        <v>90.066750799686091</v>
      </c>
      <c r="AY407" s="67">
        <v>39.91465805748966</v>
      </c>
      <c r="AZ407" s="67">
        <v>102.47297841977201</v>
      </c>
    </row>
    <row r="408" spans="32:52" x14ac:dyDescent="0.25">
      <c r="AF408" s="67">
        <v>402.33999999992398</v>
      </c>
      <c r="AG408" s="67">
        <v>102.0415671590949</v>
      </c>
      <c r="AH408" s="67">
        <v>38.002199711718617</v>
      </c>
      <c r="AI408" s="67">
        <v>474.49557363352119</v>
      </c>
      <c r="AV408" s="67">
        <v>39.348010041192033</v>
      </c>
      <c r="AW408" s="67">
        <v>90.0538832853711</v>
      </c>
      <c r="AY408" s="67">
        <v>39.922266101702107</v>
      </c>
      <c r="AZ408" s="67">
        <v>102.4246946375565</v>
      </c>
    </row>
    <row r="409" spans="32:52" x14ac:dyDescent="0.25">
      <c r="AF409" s="67">
        <v>403.33999999992312</v>
      </c>
      <c r="AG409" s="67">
        <v>101.7147137944612</v>
      </c>
      <c r="AH409" s="67">
        <v>37.918287554565438</v>
      </c>
      <c r="AI409" s="67">
        <v>474.49557363352119</v>
      </c>
      <c r="AV409" s="67">
        <v>39.356792810563213</v>
      </c>
      <c r="AW409" s="67">
        <v>90.041060957434738</v>
      </c>
      <c r="AY409" s="67">
        <v>39.929860147509537</v>
      </c>
      <c r="AZ409" s="67">
        <v>102.3764525712359</v>
      </c>
    </row>
    <row r="410" spans="32:52" x14ac:dyDescent="0.25">
      <c r="AF410" s="67">
        <v>404.33999999992221</v>
      </c>
      <c r="AG410" s="67">
        <v>101.42018547741181</v>
      </c>
      <c r="AH410" s="67">
        <v>37.842658404148949</v>
      </c>
      <c r="AI410" s="67">
        <v>474.49557363352119</v>
      </c>
      <c r="AV410" s="67">
        <v>39.365554731950454</v>
      </c>
      <c r="AW410" s="67">
        <v>90.028281487665154</v>
      </c>
      <c r="AY410" s="67">
        <v>39.937440144281489</v>
      </c>
      <c r="AZ410" s="67">
        <v>102.32825079289481</v>
      </c>
    </row>
    <row r="411" spans="32:52" x14ac:dyDescent="0.25">
      <c r="AF411" s="67">
        <v>405.17999999992139</v>
      </c>
      <c r="AG411" s="67">
        <v>101.195399595952</v>
      </c>
      <c r="AH411" s="67">
        <v>37.78492766555371</v>
      </c>
      <c r="AI411" s="67">
        <v>474.49557363352119</v>
      </c>
      <c r="AV411" s="67">
        <v>39.3742955581194</v>
      </c>
      <c r="AW411" s="67">
        <v>90.015542579574955</v>
      </c>
      <c r="AY411" s="67">
        <v>39.945006048946041</v>
      </c>
      <c r="AZ411" s="67">
        <v>102.28008780150969</v>
      </c>
    </row>
    <row r="412" spans="32:52" x14ac:dyDescent="0.25">
      <c r="AV412" s="67">
        <v>39.383015046191083</v>
      </c>
      <c r="AW412" s="67">
        <v>90.00284196831646</v>
      </c>
      <c r="AY412" s="67">
        <v>39.95255782498154</v>
      </c>
      <c r="AZ412" s="67">
        <v>102.2319620614452</v>
      </c>
    </row>
    <row r="413" spans="32:52" x14ac:dyDescent="0.25">
      <c r="AV413" s="67">
        <v>39.391712957603723</v>
      </c>
      <c r="AW413" s="67">
        <v>89.990177420579627</v>
      </c>
      <c r="AY413" s="67">
        <v>39.960095441776737</v>
      </c>
      <c r="AZ413" s="67">
        <v>102.1838720181395</v>
      </c>
    </row>
    <row r="414" spans="32:52" x14ac:dyDescent="0.25">
      <c r="AV414" s="67">
        <v>39.400389058081601</v>
      </c>
      <c r="AW414" s="67">
        <v>89.977546734497182</v>
      </c>
      <c r="AY414" s="67">
        <v>39.967618874167677</v>
      </c>
      <c r="AZ414" s="67">
        <v>102.1358161062242</v>
      </c>
    </row>
    <row r="415" spans="32:52" x14ac:dyDescent="0.25">
      <c r="AV415" s="67">
        <v>39.409043117606977</v>
      </c>
      <c r="AW415" s="67">
        <v>89.964947739540463</v>
      </c>
      <c r="AY415" s="67">
        <v>39.975128102074663</v>
      </c>
      <c r="AZ415" s="67">
        <v>102.0877927542861</v>
      </c>
    </row>
    <row r="416" spans="32:52" x14ac:dyDescent="0.25">
      <c r="AV416" s="67">
        <v>39.417674910394339</v>
      </c>
      <c r="AW416" s="67">
        <v>89.952378296411894</v>
      </c>
      <c r="AY416" s="67">
        <v>39.982623110203278</v>
      </c>
      <c r="AZ416" s="67">
        <v>102.0398003878886</v>
      </c>
    </row>
    <row r="417" spans="48:52" x14ac:dyDescent="0.25">
      <c r="AV417" s="67">
        <v>39.426284214870577</v>
      </c>
      <c r="AW417" s="67">
        <v>89.939836296935511</v>
      </c>
      <c r="AY417" s="67">
        <v>39.990103887790397</v>
      </c>
      <c r="AZ417" s="67">
        <v>101.9918374315907</v>
      </c>
    </row>
    <row r="418" spans="48:52" x14ac:dyDescent="0.25">
      <c r="AV418" s="67">
        <v>39.434870813657596</v>
      </c>
      <c r="AW418" s="67">
        <v>89.927319663940963</v>
      </c>
      <c r="AY418" s="67">
        <v>39.997570428381543</v>
      </c>
      <c r="AZ418" s="67">
        <v>101.9439023103524</v>
      </c>
    </row>
    <row r="419" spans="48:52" x14ac:dyDescent="0.25">
      <c r="AV419" s="67">
        <v>39.443434493558129</v>
      </c>
      <c r="AW419" s="67">
        <v>89.914826351143347</v>
      </c>
      <c r="AY419" s="67">
        <v>40.005022729632493</v>
      </c>
      <c r="AZ419" s="67">
        <v>101.89599345052881</v>
      </c>
    </row>
    <row r="420" spans="48:52" x14ac:dyDescent="0.25">
      <c r="AV420" s="67">
        <v>39.451975045544657</v>
      </c>
      <c r="AW420" s="67">
        <v>89.902354343017024</v>
      </c>
      <c r="AY420" s="67">
        <v>40.012460793129819</v>
      </c>
      <c r="AZ420" s="67">
        <v>101.84810928059601</v>
      </c>
    </row>
    <row r="421" spans="48:52" x14ac:dyDescent="0.25">
      <c r="AV421" s="67">
        <v>39.460492264750428</v>
      </c>
      <c r="AW421" s="67">
        <v>89.889901654658814</v>
      </c>
      <c r="AY421" s="67">
        <v>40.019884624226457</v>
      </c>
      <c r="AZ421" s="67">
        <v>101.8002482316773</v>
      </c>
    </row>
    <row r="422" spans="48:52" x14ac:dyDescent="0.25">
      <c r="AV422" s="67">
        <v>39.468985950467413</v>
      </c>
      <c r="AW422" s="67">
        <v>89.877466331661907</v>
      </c>
      <c r="AY422" s="67">
        <v>40.027294231889698</v>
      </c>
      <c r="AZ422" s="67">
        <v>101.7524087379368</v>
      </c>
    </row>
    <row r="423" spans="48:52" x14ac:dyDescent="0.25">
      <c r="AV423" s="67">
        <v>39.477455906142147</v>
      </c>
      <c r="AW423" s="67">
        <v>89.865046449962534</v>
      </c>
      <c r="AY423" s="67">
        <v>40.034689628560002</v>
      </c>
      <c r="AZ423" s="67">
        <v>101.7045892368632</v>
      </c>
    </row>
    <row r="424" spans="48:52" x14ac:dyDescent="0.25">
      <c r="AV424" s="67">
        <v>39.485901939376618</v>
      </c>
      <c r="AW424" s="67">
        <v>89.852640115694726</v>
      </c>
      <c r="AY424" s="67">
        <v>40.042070830017067</v>
      </c>
      <c r="AZ424" s="67">
        <v>101.6567881694791</v>
      </c>
    </row>
    <row r="425" spans="48:52" x14ac:dyDescent="0.25">
      <c r="AV425" s="67">
        <v>39.49432386193223</v>
      </c>
      <c r="AW425" s="67">
        <v>89.840245465034471</v>
      </c>
      <c r="AY425" s="67">
        <v>40.049437855255682</v>
      </c>
      <c r="AZ425" s="67">
        <v>101.6090039804928</v>
      </c>
    </row>
    <row r="426" spans="48:52" x14ac:dyDescent="0.25">
      <c r="AV426" s="67">
        <v>39.502721489734093</v>
      </c>
      <c r="AW426" s="67">
        <v>89.82786066403618</v>
      </c>
      <c r="AY426" s="67">
        <v>40.056790726366422</v>
      </c>
      <c r="AZ426" s="67">
        <v>101.56123511839991</v>
      </c>
    </row>
    <row r="427" spans="48:52" x14ac:dyDescent="0.25">
      <c r="AV427" s="67">
        <v>39.511094642879698</v>
      </c>
      <c r="AW427" s="67">
        <v>89.815483908465112</v>
      </c>
      <c r="AY427" s="67">
        <v>40.064129468422877</v>
      </c>
      <c r="AZ427" s="67">
        <v>101.51348003555221</v>
      </c>
    </row>
    <row r="428" spans="48:52" x14ac:dyDescent="0.25">
      <c r="AV428" s="67">
        <v>39.519443145648268</v>
      </c>
      <c r="AW428" s="67">
        <v>89.803113423621355</v>
      </c>
      <c r="AY428" s="67">
        <v>40.071454109374997</v>
      </c>
      <c r="AZ428" s="67">
        <v>101.4657371882012</v>
      </c>
    </row>
    <row r="429" spans="48:52" x14ac:dyDescent="0.25">
      <c r="AV429" s="67">
        <v>39.527766826513577</v>
      </c>
      <c r="AW429" s="67">
        <v>89.790747464160944</v>
      </c>
      <c r="AY429" s="67">
        <v>40.078764679945252</v>
      </c>
      <c r="AZ429" s="67">
        <v>101.41800503651309</v>
      </c>
    </row>
    <row r="430" spans="48:52" x14ac:dyDescent="0.25">
      <c r="AV430" s="67">
        <v>39.536065518156533</v>
      </c>
      <c r="AW430" s="67">
        <v>89.77838431390559</v>
      </c>
      <c r="AY430" s="67">
        <v>40.086061213531423</v>
      </c>
      <c r="AZ430" s="67">
        <v>101.37028204457231</v>
      </c>
    </row>
    <row r="431" spans="48:52" x14ac:dyDescent="0.25">
      <c r="AV431" s="67">
        <v>39.544339057480947</v>
      </c>
      <c r="AW431" s="67">
        <v>89.766022285646272</v>
      </c>
      <c r="AY431" s="67">
        <v>40.093343746111181</v>
      </c>
      <c r="AZ431" s="67">
        <v>101.32256668036911</v>
      </c>
    </row>
    <row r="432" spans="48:52" x14ac:dyDescent="0.25">
      <c r="AV432" s="67">
        <v>39.552587285630921</v>
      </c>
      <c r="AW432" s="67">
        <v>89.753659720944782</v>
      </c>
      <c r="AY432" s="67">
        <v>40.100612316152812</v>
      </c>
      <c r="AZ432" s="67">
        <v>101.27485741577431</v>
      </c>
    </row>
    <row r="433" spans="48:52" x14ac:dyDescent="0.25">
      <c r="AV433" s="67">
        <v>39.560810048008989</v>
      </c>
      <c r="AW433" s="67">
        <v>89.741294989926928</v>
      </c>
      <c r="AY433" s="67">
        <v>40.107866964527297</v>
      </c>
      <c r="AZ433" s="67">
        <v>101.2271527265101</v>
      </c>
    </row>
    <row r="434" spans="48:52" x14ac:dyDescent="0.25">
      <c r="AV434" s="67">
        <v>39.569007194296319</v>
      </c>
      <c r="AW434" s="67">
        <v>89.728926491069743</v>
      </c>
      <c r="AY434" s="67">
        <v>40.115107734424747</v>
      </c>
      <c r="AZ434" s="67">
        <v>101.1794510921104</v>
      </c>
    </row>
    <row r="435" spans="48:52" x14ac:dyDescent="0.25">
      <c r="AV435" s="67">
        <v>39.57717857847274</v>
      </c>
      <c r="AW435" s="67">
        <v>89.716552650976894</v>
      </c>
      <c r="AY435" s="67">
        <v>40.12233467127367</v>
      </c>
      <c r="AZ435" s="67">
        <v>101.1317509958766</v>
      </c>
    </row>
    <row r="436" spans="48:52" x14ac:dyDescent="0.25">
      <c r="AV436" s="67">
        <v>39.585324058839717</v>
      </c>
      <c r="AW436" s="67">
        <v>89.704171924160335</v>
      </c>
      <c r="AY436" s="67">
        <v>40.129547822663397</v>
      </c>
      <c r="AZ436" s="67">
        <v>101.0840509248311</v>
      </c>
    </row>
    <row r="437" spans="48:52" x14ac:dyDescent="0.25">
      <c r="AV437" s="67">
        <v>39.593443498044167</v>
      </c>
      <c r="AW437" s="67">
        <v>89.691782792808581</v>
      </c>
      <c r="AY437" s="67">
        <v>40.136747238268903</v>
      </c>
      <c r="AZ437" s="67">
        <v>101.0363493696659</v>
      </c>
    </row>
    <row r="438" spans="48:52" x14ac:dyDescent="0.25">
      <c r="AV438" s="67">
        <v>39.601536763100107</v>
      </c>
      <c r="AW438" s="67">
        <v>89.679383766547772</v>
      </c>
      <c r="AY438" s="67">
        <v>40.14393296977925</v>
      </c>
      <c r="AZ438" s="67">
        <v>100.9886448246922</v>
      </c>
    </row>
    <row r="439" spans="48:52" x14ac:dyDescent="0.25">
      <c r="AV439" s="67">
        <v>39.6096037254149</v>
      </c>
      <c r="AW439" s="67">
        <v>89.666973382205157</v>
      </c>
      <c r="AY439" s="67">
        <v>40.151105070827391</v>
      </c>
      <c r="AZ439" s="67">
        <v>100.9409357877845</v>
      </c>
    </row>
    <row r="440" spans="48:52" x14ac:dyDescent="0.25">
      <c r="AV440" s="67">
        <v>39.617644260815098</v>
      </c>
      <c r="AW440" s="67">
        <v>89.654550203565634</v>
      </c>
      <c r="AY440" s="67">
        <v>40.158263596923049</v>
      </c>
      <c r="AZ440" s="67">
        <v>100.8932207603268</v>
      </c>
    </row>
    <row r="441" spans="48:52" x14ac:dyDescent="0.25">
      <c r="AV441" s="67">
        <v>39.625658249569483</v>
      </c>
      <c r="AW441" s="67">
        <v>89.64211282111917</v>
      </c>
      <c r="AY441" s="67">
        <v>40.165408605389203</v>
      </c>
      <c r="AZ441" s="67">
        <v>100.8454982471594</v>
      </c>
    </row>
    <row r="442" spans="48:52" x14ac:dyDescent="0.25">
      <c r="AV442" s="67">
        <v>39.633645576418992</v>
      </c>
      <c r="AW442" s="67">
        <v>89.629659851816982</v>
      </c>
      <c r="AY442" s="67">
        <v>40.172540155298208</v>
      </c>
      <c r="AZ442" s="67">
        <v>100.7977667565215</v>
      </c>
    </row>
    <row r="443" spans="48:52" x14ac:dyDescent="0.25">
      <c r="AV443" s="67">
        <v>39.641606130600678</v>
      </c>
      <c r="AW443" s="67">
        <v>89.617189938812047</v>
      </c>
      <c r="AY443" s="67">
        <v>40.179658307413959</v>
      </c>
      <c r="AZ443" s="67">
        <v>100.7500248000007</v>
      </c>
    </row>
    <row r="444" spans="48:52" x14ac:dyDescent="0.25">
      <c r="AV444" s="67">
        <v>39.64953980587444</v>
      </c>
      <c r="AW444" s="67">
        <v>89.604701751204189</v>
      </c>
      <c r="AY444" s="67">
        <v>40.186763124132312</v>
      </c>
      <c r="AZ444" s="67">
        <v>100.70227089247589</v>
      </c>
    </row>
    <row r="445" spans="48:52" x14ac:dyDescent="0.25">
      <c r="AV445" s="67">
        <v>39.657446500550982</v>
      </c>
      <c r="AW445" s="67">
        <v>89.592193983788732</v>
      </c>
      <c r="AY445" s="67">
        <v>40.193854669426742</v>
      </c>
      <c r="AZ445" s="67">
        <v>100.6545035520671</v>
      </c>
    </row>
    <row r="446" spans="48:52" x14ac:dyDescent="0.25">
      <c r="AV446" s="67">
        <v>39.665326117518987</v>
      </c>
      <c r="AW446" s="67">
        <v>89.579665356796426</v>
      </c>
      <c r="AY446" s="67">
        <v>40.200933008795751</v>
      </c>
      <c r="AZ446" s="67">
        <v>100.6067213000853</v>
      </c>
    </row>
    <row r="447" spans="48:52" x14ac:dyDescent="0.25">
      <c r="AV447" s="67">
        <v>39.673178564270302</v>
      </c>
      <c r="AW447" s="67">
        <v>89.567114615637394</v>
      </c>
      <c r="AY447" s="67">
        <v>40.207998209210068</v>
      </c>
      <c r="AZ447" s="67">
        <v>100.55892266097879</v>
      </c>
    </row>
    <row r="448" spans="48:52" x14ac:dyDescent="0.25">
      <c r="AV448" s="67">
        <v>39.681003752928007</v>
      </c>
      <c r="AW448" s="67">
        <v>89.554540530652204</v>
      </c>
      <c r="AY448" s="67">
        <v>40.215050339065748</v>
      </c>
      <c r="AZ448" s="67">
        <v>100.51110616228659</v>
      </c>
    </row>
    <row r="449" spans="48:52" x14ac:dyDescent="0.25">
      <c r="AV449" s="67">
        <v>39.688801600273557</v>
      </c>
      <c r="AW449" s="67">
        <v>89.541941896860465</v>
      </c>
      <c r="AY449" s="67">
        <v>40.222089468136062</v>
      </c>
      <c r="AZ449" s="67">
        <v>100.46327033459271</v>
      </c>
    </row>
    <row r="450" spans="48:52" x14ac:dyDescent="0.25">
      <c r="AV450" s="67">
        <v>39.696572027771587</v>
      </c>
      <c r="AW450" s="67">
        <v>89.529317533717432</v>
      </c>
      <c r="AY450" s="67">
        <v>40.229115667526933</v>
      </c>
      <c r="AZ450" s="67">
        <v>100.4154137114781</v>
      </c>
    </row>
    <row r="451" spans="48:52" x14ac:dyDescent="0.25">
      <c r="AV451" s="67">
        <v>39.704314961597049</v>
      </c>
      <c r="AW451" s="67">
        <v>89.516666284876678</v>
      </c>
      <c r="AY451" s="67">
        <v>40.236129009634453</v>
      </c>
      <c r="AZ451" s="67">
        <v>100.367534829476</v>
      </c>
    </row>
    <row r="452" spans="48:52" x14ac:dyDescent="0.25">
      <c r="AV452" s="67">
        <v>39.712030332661868</v>
      </c>
      <c r="AW452" s="67">
        <v>89.503987017965954</v>
      </c>
      <c r="AY452" s="67">
        <v>40.243129568104457</v>
      </c>
      <c r="AZ452" s="67">
        <v>100.3196322280325</v>
      </c>
    </row>
    <row r="453" spans="48:52" x14ac:dyDescent="0.25">
      <c r="AV453" s="67">
        <v>39.719718076638863</v>
      </c>
      <c r="AW453" s="67">
        <v>89.491278624368874</v>
      </c>
      <c r="AY453" s="67">
        <v>40.250117417792453</v>
      </c>
      <c r="AZ453" s="67">
        <v>100.2717044494615</v>
      </c>
    </row>
    <row r="454" spans="48:52" x14ac:dyDescent="0.25">
      <c r="AV454" s="67">
        <v>39.727378133988047</v>
      </c>
      <c r="AW454" s="67">
        <v>89.478540019023811</v>
      </c>
      <c r="AY454" s="67">
        <v>40.257092634728203</v>
      </c>
      <c r="AZ454" s="67">
        <v>100.22375003890841</v>
      </c>
    </row>
    <row r="455" spans="48:52" x14ac:dyDescent="0.25">
      <c r="AV455" s="67">
        <v>39.735010449980962</v>
      </c>
      <c r="AW455" s="67">
        <v>89.465770140245553</v>
      </c>
      <c r="AY455" s="67">
        <v>40.264055296080187</v>
      </c>
      <c r="AZ455" s="67">
        <v>100.1757675443101</v>
      </c>
    </row>
    <row r="456" spans="48:52" x14ac:dyDescent="0.25">
      <c r="AV456" s="67">
        <v>39.742614974726052</v>
      </c>
      <c r="AW456" s="67">
        <v>89.452967949562336</v>
      </c>
      <c r="AY456" s="67">
        <v>40.271005480122987</v>
      </c>
      <c r="AZ456" s="67">
        <v>100.1277555163594</v>
      </c>
    </row>
    <row r="457" spans="48:52" x14ac:dyDescent="0.25">
      <c r="AV457" s="67">
        <v>39.750191663192368</v>
      </c>
      <c r="AW457" s="67">
        <v>89.440132431585795</v>
      </c>
      <c r="AY457" s="67">
        <v>40.277943266205362</v>
      </c>
      <c r="AZ457" s="67">
        <v>100.07971250847</v>
      </c>
    </row>
    <row r="458" spans="48:52" x14ac:dyDescent="0.25">
      <c r="AV458" s="67">
        <v>39.75774047523339</v>
      </c>
      <c r="AW458" s="67">
        <v>89.427262593909788</v>
      </c>
      <c r="AY458" s="67">
        <v>40.284868734721407</v>
      </c>
      <c r="AZ458" s="67">
        <v>100.03163707674079</v>
      </c>
    </row>
    <row r="459" spans="48:52" x14ac:dyDescent="0.25">
      <c r="AV459" s="67">
        <v>39.765261375612063</v>
      </c>
      <c r="AW459" s="67">
        <v>89.414357467056405</v>
      </c>
      <c r="AY459" s="67">
        <v>40.2917819670838</v>
      </c>
      <c r="AZ459" s="67">
        <v>99.983527779926547</v>
      </c>
    </row>
    <row r="460" spans="48:52" x14ac:dyDescent="0.25">
      <c r="AV460" s="67">
        <v>39.772754334023773</v>
      </c>
      <c r="AW460" s="67">
        <v>89.40141610446652</v>
      </c>
      <c r="AY460" s="67">
        <v>40.298683045697118</v>
      </c>
      <c r="AZ460" s="67">
        <v>99.935383179404511</v>
      </c>
    </row>
    <row r="461" spans="48:52" x14ac:dyDescent="0.25">
      <c r="AV461" s="67">
        <v>39.780219325120747</v>
      </c>
      <c r="AW461" s="67">
        <v>89.388437582555326</v>
      </c>
      <c r="AY461" s="67">
        <v>40.305572053934441</v>
      </c>
      <c r="AZ461" s="67">
        <v>99.887201839144581</v>
      </c>
    </row>
    <row r="462" spans="48:52" x14ac:dyDescent="0.25">
      <c r="AV462" s="67">
        <v>39.787656328536571</v>
      </c>
      <c r="AW462" s="67">
        <v>89.375421000845009</v>
      </c>
      <c r="AY462" s="67">
        <v>40.312449076116152</v>
      </c>
      <c r="AZ462" s="67">
        <v>99.838982325683332</v>
      </c>
    </row>
    <row r="463" spans="48:52" x14ac:dyDescent="0.25">
      <c r="AV463" s="67">
        <v>39.795065328912358</v>
      </c>
      <c r="AW463" s="67">
        <v>89.362365482191208</v>
      </c>
      <c r="AY463" s="67">
        <v>40.319314197488197</v>
      </c>
      <c r="AZ463" s="67">
        <v>99.790723208090967</v>
      </c>
    </row>
    <row r="464" spans="48:52" x14ac:dyDescent="0.25">
      <c r="AV464" s="67">
        <v>39.802446315921713</v>
      </c>
      <c r="AW464" s="67">
        <v>89.349270173133661</v>
      </c>
      <c r="AY464" s="67">
        <v>40.326167504204072</v>
      </c>
      <c r="AZ464" s="67">
        <v>99.742423057949381</v>
      </c>
    </row>
    <row r="465" spans="48:52" x14ac:dyDescent="0.25">
      <c r="AV465" s="67">
        <v>39.809799284298776</v>
      </c>
      <c r="AW465" s="67">
        <v>89.33613424439406</v>
      </c>
      <c r="AY465" s="67">
        <v>40.333009083308262</v>
      </c>
      <c r="AZ465" s="67">
        <v>99.694080449322016</v>
      </c>
    </row>
    <row r="466" spans="48:52" x14ac:dyDescent="0.25">
      <c r="AV466" s="67">
        <v>39.817124233869087</v>
      </c>
      <c r="AW466" s="67">
        <v>89.322956891583146</v>
      </c>
      <c r="AY466" s="67">
        <v>40.339839022720938</v>
      </c>
      <c r="AZ466" s="67">
        <v>99.645693958732721</v>
      </c>
    </row>
    <row r="467" spans="48:52" x14ac:dyDescent="0.25">
      <c r="AV467" s="67">
        <v>39.824421169582187</v>
      </c>
      <c r="AW467" s="67">
        <v>89.309737336157909</v>
      </c>
      <c r="AY467" s="67">
        <v>40.346657411224122</v>
      </c>
      <c r="AZ467" s="67">
        <v>99.597262165137238</v>
      </c>
    </row>
    <row r="468" spans="48:52" x14ac:dyDescent="0.25">
      <c r="AV468" s="67">
        <v>39.831690101547281</v>
      </c>
      <c r="AW468" s="67">
        <v>89.296474826732521</v>
      </c>
      <c r="AY468" s="67">
        <v>40.353464338449761</v>
      </c>
      <c r="AZ468" s="67">
        <v>99.548783649900898</v>
      </c>
    </row>
    <row r="469" spans="48:52" x14ac:dyDescent="0.25">
      <c r="AV469" s="67">
        <v>39.838931045078482</v>
      </c>
      <c r="AW469" s="67">
        <v>89.283168640871551</v>
      </c>
      <c r="AY469" s="67">
        <v>40.360259894869877</v>
      </c>
      <c r="AZ469" s="67">
        <v>99.50025699677596</v>
      </c>
    </row>
    <row r="470" spans="48:52" x14ac:dyDescent="0.25">
      <c r="AV470" s="67">
        <v>39.846144020743743</v>
      </c>
      <c r="AW470" s="67">
        <v>89.26981808755049</v>
      </c>
      <c r="AY470" s="67">
        <v>40.367044171786858</v>
      </c>
      <c r="AZ470" s="67">
        <v>99.451680791874793</v>
      </c>
    </row>
    <row r="471" spans="48:52" x14ac:dyDescent="0.25">
      <c r="AV471" s="67">
        <v>39.853329054427661</v>
      </c>
      <c r="AW471" s="67">
        <v>89.256422510605219</v>
      </c>
      <c r="AY471" s="67">
        <v>40.373817261327481</v>
      </c>
      <c r="AZ471" s="67">
        <v>99.403053623650479</v>
      </c>
    </row>
    <row r="472" spans="48:52" x14ac:dyDescent="0.25">
      <c r="AV472" s="67">
        <v>39.860486177407267</v>
      </c>
      <c r="AW472" s="67">
        <v>89.242981293670354</v>
      </c>
      <c r="AY472" s="67">
        <v>40.380579256436029</v>
      </c>
      <c r="AZ472" s="67">
        <v>99.354374082872454</v>
      </c>
    </row>
    <row r="473" spans="48:52" x14ac:dyDescent="0.25">
      <c r="AV473" s="67">
        <v>39.867615426453597</v>
      </c>
      <c r="AW473" s="67">
        <v>89.229493867526799</v>
      </c>
      <c r="AY473" s="67">
        <v>40.387330250870257</v>
      </c>
      <c r="AZ473" s="67">
        <v>99.305640762602351</v>
      </c>
    </row>
    <row r="474" spans="48:52" x14ac:dyDescent="0.25">
      <c r="AV474" s="67">
        <v>39.87471684396661</v>
      </c>
      <c r="AW474" s="67">
        <v>89.215959721588533</v>
      </c>
      <c r="AY474" s="67">
        <v>40.394070339199281</v>
      </c>
      <c r="AZ474" s="67">
        <v>99.25685225817179</v>
      </c>
    </row>
    <row r="475" spans="48:52" x14ac:dyDescent="0.25">
      <c r="AV475" s="67">
        <v>39.881790478167602</v>
      </c>
      <c r="AW475" s="67">
        <v>89.202378423303514</v>
      </c>
      <c r="AY475" s="67">
        <v>40.400799616801322</v>
      </c>
      <c r="AZ475" s="67">
        <v>99.208007167160346</v>
      </c>
    </row>
    <row r="476" spans="48:52" x14ac:dyDescent="0.25">
      <c r="AV476" s="67">
        <v>39.888836383398541</v>
      </c>
      <c r="AW476" s="67">
        <v>89.188749655153174</v>
      </c>
      <c r="AY476" s="67">
        <v>40.407518179864077</v>
      </c>
      <c r="AZ476" s="67">
        <v>99.159104089369123</v>
      </c>
    </row>
    <row r="477" spans="48:52" x14ac:dyDescent="0.25">
      <c r="AV477" s="67">
        <v>39.895854620638488</v>
      </c>
      <c r="AW477" s="67">
        <v>89.175073303092248</v>
      </c>
      <c r="AY477" s="67">
        <v>40.41422612538635</v>
      </c>
      <c r="AZ477" s="67">
        <v>99.110141626800484</v>
      </c>
    </row>
    <row r="478" spans="48:52" x14ac:dyDescent="0.25">
      <c r="AV478" s="67">
        <v>39.902845258869043</v>
      </c>
      <c r="AW478" s="67">
        <v>89.161350050809844</v>
      </c>
      <c r="AY478" s="67">
        <v>40.42092355117984</v>
      </c>
      <c r="AZ478" s="67">
        <v>99.061118383630259</v>
      </c>
    </row>
    <row r="479" spans="48:52" x14ac:dyDescent="0.25">
      <c r="AV479" s="67">
        <v>39.909808383798008</v>
      </c>
      <c r="AW479" s="67">
        <v>89.147583965867852</v>
      </c>
      <c r="AY479" s="67">
        <v>40.427610555873699</v>
      </c>
      <c r="AZ479" s="67">
        <v>99.012032966183654</v>
      </c>
    </row>
    <row r="480" spans="48:52" x14ac:dyDescent="0.25">
      <c r="AV480" s="67">
        <v>39.91674410090468</v>
      </c>
      <c r="AW480" s="67">
        <v>89.133776507748976</v>
      </c>
      <c r="AY480" s="67">
        <v>40.434287238919559</v>
      </c>
      <c r="AZ480" s="67">
        <v>98.962883982910881</v>
      </c>
    </row>
    <row r="481" spans="48:52" x14ac:dyDescent="0.25">
      <c r="AV481" s="67">
        <v>39.923652524293743</v>
      </c>
      <c r="AW481" s="67">
        <v>89.119927573398016</v>
      </c>
      <c r="AY481" s="67">
        <v>40.440953700597767</v>
      </c>
      <c r="AZ481" s="67">
        <v>98.913670044357559</v>
      </c>
    </row>
    <row r="482" spans="48:52" x14ac:dyDescent="0.25">
      <c r="AV482" s="67">
        <v>39.930533774166797</v>
      </c>
      <c r="AW482" s="67">
        <v>89.106036799636684</v>
      </c>
      <c r="AY482" s="67">
        <v>40.447610042024543</v>
      </c>
      <c r="AZ482" s="67">
        <v>98.864389763139187</v>
      </c>
    </row>
    <row r="483" spans="48:52" x14ac:dyDescent="0.25">
      <c r="AV483" s="67">
        <v>39.937387976029299</v>
      </c>
      <c r="AW483" s="67">
        <v>89.092103690926763</v>
      </c>
      <c r="AY483" s="67">
        <v>40.454256365161719</v>
      </c>
      <c r="AZ483" s="67">
        <v>98.815041753912524</v>
      </c>
    </row>
    <row r="484" spans="48:52" x14ac:dyDescent="0.25">
      <c r="AV484" s="67">
        <v>39.944215260203073</v>
      </c>
      <c r="AW484" s="67">
        <v>89.078127668019135</v>
      </c>
      <c r="AY484" s="67">
        <v>40.460892772824891</v>
      </c>
      <c r="AZ484" s="67">
        <v>98.765624633344672</v>
      </c>
    </row>
    <row r="485" spans="48:52" x14ac:dyDescent="0.25">
      <c r="AV485" s="67">
        <v>39.95101576147681</v>
      </c>
      <c r="AW485" s="67">
        <v>89.064108092700025</v>
      </c>
      <c r="AY485" s="67">
        <v>40.467519368695108</v>
      </c>
      <c r="AZ485" s="67">
        <v>98.71613702008176</v>
      </c>
    </row>
    <row r="486" spans="48:52" x14ac:dyDescent="0.25">
      <c r="AV486" s="67">
        <v>39.957789618826332</v>
      </c>
      <c r="AW486" s="67">
        <v>89.050044282333161</v>
      </c>
      <c r="AY486" s="67">
        <v>40.474136257330407</v>
      </c>
      <c r="AZ486" s="67">
        <v>98.666577534718073</v>
      </c>
    </row>
    <row r="487" spans="48:52" x14ac:dyDescent="0.25">
      <c r="AV487" s="67">
        <v>39.964536975182341</v>
      </c>
      <c r="AW487" s="67">
        <v>89.035935519209474</v>
      </c>
      <c r="AY487" s="67">
        <v>40.480743544178452</v>
      </c>
      <c r="AZ487" s="67">
        <v>98.616944799760674</v>
      </c>
    </row>
    <row r="488" spans="48:52" x14ac:dyDescent="0.25">
      <c r="AV488" s="67">
        <v>39.971257977230437</v>
      </c>
      <c r="AW488" s="67">
        <v>89.021781056954211</v>
      </c>
      <c r="AY488" s="67">
        <v>40.487341335589647</v>
      </c>
      <c r="AZ488" s="67">
        <v>98.567237439593953</v>
      </c>
    </row>
    <row r="489" spans="48:52" x14ac:dyDescent="0.25">
      <c r="AV489" s="67">
        <v>39.97795277522988</v>
      </c>
      <c r="AW489" s="67">
        <v>89.007580125110564</v>
      </c>
      <c r="AY489" s="67">
        <v>40.493929738832747</v>
      </c>
      <c r="AZ489" s="67">
        <v>98.517454080444935</v>
      </c>
    </row>
    <row r="490" spans="48:52" x14ac:dyDescent="0.25">
      <c r="AV490" s="67">
        <v>39.984621522849856</v>
      </c>
      <c r="AW490" s="67">
        <v>88.99333193254418</v>
      </c>
      <c r="AY490" s="67">
        <v>40.500508862108568</v>
      </c>
      <c r="AZ490" s="67">
        <v>98.46759335034109</v>
      </c>
    </row>
    <row r="491" spans="48:52" x14ac:dyDescent="0.25">
      <c r="AV491" s="67">
        <v>39.991264377018872</v>
      </c>
      <c r="AW491" s="67">
        <v>88.979035670042862</v>
      </c>
      <c r="AY491" s="67">
        <v>40.507078814567173</v>
      </c>
      <c r="AZ491" s="67">
        <v>98.417653879072105</v>
      </c>
    </row>
    <row r="492" spans="48:52" x14ac:dyDescent="0.25">
      <c r="AV492" s="67">
        <v>39.997881497780952</v>
      </c>
      <c r="AW492" s="67">
        <v>88.96469051234169</v>
      </c>
      <c r="AY492" s="67">
        <v>40.513639706324298</v>
      </c>
      <c r="AZ492" s="67">
        <v>98.367634298147635</v>
      </c>
    </row>
    <row r="493" spans="48:52" x14ac:dyDescent="0.25">
      <c r="AV493" s="67">
        <v>40.004473048162993</v>
      </c>
      <c r="AW493" s="67">
        <v>88.950295619741169</v>
      </c>
      <c r="AY493" s="67">
        <v>40.520191648477628</v>
      </c>
      <c r="AZ493" s="67">
        <v>98.317533240750137</v>
      </c>
    </row>
    <row r="494" spans="48:52" x14ac:dyDescent="0.25">
      <c r="AV494" s="67">
        <v>40.011039194046191</v>
      </c>
      <c r="AW494" s="67">
        <v>88.935850139413304</v>
      </c>
      <c r="AY494" s="67">
        <v>40.526734753127123</v>
      </c>
      <c r="AZ494" s="67">
        <v>98.267349341692778</v>
      </c>
    </row>
    <row r="495" spans="48:52" x14ac:dyDescent="0.25">
      <c r="AV495" s="67">
        <v>40.017580104044043</v>
      </c>
      <c r="AW495" s="67">
        <v>88.921353206476454</v>
      </c>
      <c r="AY495" s="67">
        <v>40.533269133391741</v>
      </c>
      <c r="AZ495" s="67">
        <v>98.217081237368319</v>
      </c>
    </row>
    <row r="496" spans="48:52" x14ac:dyDescent="0.25">
      <c r="AV496" s="67">
        <v>40.024095949385533</v>
      </c>
      <c r="AW496" s="67">
        <v>88.906803944891223</v>
      </c>
      <c r="AY496" s="67">
        <v>40.539794903428692</v>
      </c>
      <c r="AZ496" s="67">
        <v>98.166727565697187</v>
      </c>
    </row>
    <row r="497" spans="48:52" x14ac:dyDescent="0.25">
      <c r="AV497" s="67">
        <v>40.030586903801122</v>
      </c>
      <c r="AW497" s="67">
        <v>88.89220146821134</v>
      </c>
      <c r="AY497" s="67">
        <v>40.546312178453888</v>
      </c>
      <c r="AZ497" s="67">
        <v>98.116286966077482</v>
      </c>
    </row>
    <row r="498" spans="48:52" x14ac:dyDescent="0.25">
      <c r="AV498" s="67">
        <v>40.037053143413353</v>
      </c>
      <c r="AW498" s="67">
        <v>88.877544880229905</v>
      </c>
      <c r="AY498" s="67">
        <v>40.552821074762143</v>
      </c>
      <c r="AZ498" s="67">
        <v>98.065758079329598</v>
      </c>
    </row>
    <row r="499" spans="48:52" x14ac:dyDescent="0.25">
      <c r="AV499" s="67">
        <v>40.043494846631518</v>
      </c>
      <c r="AW499" s="67">
        <v>88.862833275531713</v>
      </c>
      <c r="AY499" s="67">
        <v>40.559321709745753</v>
      </c>
      <c r="AZ499" s="67">
        <v>98.015139547635115</v>
      </c>
    </row>
    <row r="500" spans="48:52" x14ac:dyDescent="0.25">
      <c r="AV500" s="67">
        <v>40.049912194048829</v>
      </c>
      <c r="AW500" s="67">
        <v>88.848065739977301</v>
      </c>
      <c r="AY500" s="67">
        <v>40.565814201917448</v>
      </c>
      <c r="AZ500" s="67">
        <v>97.964430014481508</v>
      </c>
    </row>
    <row r="501" spans="48:52" x14ac:dyDescent="0.25">
      <c r="AV501" s="67">
        <v>40.056305368341953</v>
      </c>
      <c r="AW501" s="67">
        <v>88.833241351128208</v>
      </c>
      <c r="AY501" s="67">
        <v>40.572298670930039</v>
      </c>
      <c r="AZ501" s="67">
        <v>97.913628124596272</v>
      </c>
    </row>
    <row r="502" spans="48:52" x14ac:dyDescent="0.25">
      <c r="AV502" s="67">
        <v>40.062674554174457</v>
      </c>
      <c r="AW502" s="67">
        <v>88.818359178626167</v>
      </c>
      <c r="AY502" s="67">
        <v>40.578775237598187</v>
      </c>
      <c r="AZ502" s="67">
        <v>97.862732523884247</v>
      </c>
    </row>
    <row r="503" spans="48:52" x14ac:dyDescent="0.25">
      <c r="AV503" s="67">
        <v>40.069019938102826</v>
      </c>
      <c r="AW503" s="67">
        <v>88.803418284531304</v>
      </c>
      <c r="AY503" s="67">
        <v>40.585244023919607</v>
      </c>
      <c r="AZ503" s="67">
        <v>97.811741859358321</v>
      </c>
    </row>
    <row r="504" spans="48:52" x14ac:dyDescent="0.25">
      <c r="AV504" s="67">
        <v>40.075341708483897</v>
      </c>
      <c r="AW504" s="67">
        <v>88.788417723633643</v>
      </c>
      <c r="AY504" s="67">
        <v>40.591705153096761</v>
      </c>
      <c r="AZ504" s="67">
        <v>97.760654779070691</v>
      </c>
    </row>
    <row r="505" spans="48:52" x14ac:dyDescent="0.25">
      <c r="AV505" s="67">
        <v>40.081640055387197</v>
      </c>
      <c r="AW505" s="67">
        <v>88.773356543735886</v>
      </c>
      <c r="AY505" s="67">
        <v>40.598158749558628</v>
      </c>
      <c r="AZ505" s="67">
        <v>97.709469932039738</v>
      </c>
    </row>
    <row r="506" spans="48:52" x14ac:dyDescent="0.25">
      <c r="AV506" s="67">
        <v>40.087915170506562</v>
      </c>
      <c r="AW506" s="67">
        <v>88.758233785913518</v>
      </c>
      <c r="AY506" s="67">
        <v>40.604604938981467</v>
      </c>
      <c r="AZ506" s="67">
        <v>97.65818596817455</v>
      </c>
    </row>
    <row r="507" spans="48:52" x14ac:dyDescent="0.25">
      <c r="AV507" s="67">
        <v>40.094167247077792</v>
      </c>
      <c r="AW507" s="67">
        <v>88.743048484762269</v>
      </c>
      <c r="AY507" s="67">
        <v>40.611043848311681</v>
      </c>
      <c r="AZ507" s="67">
        <v>97.606801538196137</v>
      </c>
    </row>
    <row r="508" spans="48:52" x14ac:dyDescent="0.25">
      <c r="AV508" s="67">
        <v>40.100396479795343</v>
      </c>
      <c r="AW508" s="67">
        <v>88.727799668628052</v>
      </c>
      <c r="AY508" s="67">
        <v>40.617475605786382</v>
      </c>
      <c r="AZ508" s="67">
        <v>97.555315293558891</v>
      </c>
    </row>
    <row r="509" spans="48:52" x14ac:dyDescent="0.25">
      <c r="AV509" s="67">
        <v>40.106603064733967</v>
      </c>
      <c r="AW509" s="67">
        <v>88.712486359826144</v>
      </c>
      <c r="AY509" s="67">
        <v>40.623900340954521</v>
      </c>
      <c r="AZ509" s="67">
        <v>97.503725886363668</v>
      </c>
    </row>
    <row r="510" spans="48:52" x14ac:dyDescent="0.25">
      <c r="AV510" s="67">
        <v>40.112787199272077</v>
      </c>
      <c r="AW510" s="67">
        <v>88.697107574852907</v>
      </c>
      <c r="AY510" s="67">
        <v>40.63031818469986</v>
      </c>
      <c r="AZ510" s="67">
        <v>97.452031969275552</v>
      </c>
    </row>
    <row r="511" spans="48:52" x14ac:dyDescent="0.25">
      <c r="AV511" s="67">
        <v>40.118949082016059</v>
      </c>
      <c r="AW511" s="67">
        <v>88.6816623245861</v>
      </c>
      <c r="AY511" s="67">
        <v>40.636729269260087</v>
      </c>
      <c r="AZ511" s="67">
        <v>97.400232195432395</v>
      </c>
    </row>
    <row r="512" spans="48:52" x14ac:dyDescent="0.25">
      <c r="AV512" s="67">
        <v>40.125088912729503</v>
      </c>
      <c r="AW512" s="67">
        <v>88.666149614484425</v>
      </c>
      <c r="AY512" s="67">
        <v>40.64313372824747</v>
      </c>
      <c r="AZ512" s="67">
        <v>97.348325218352102</v>
      </c>
    </row>
    <row r="513" spans="48:52" x14ac:dyDescent="0.25">
      <c r="AV513" s="67">
        <v>40.131206892263037</v>
      </c>
      <c r="AW513" s="67">
        <v>88.650568444777946</v>
      </c>
      <c r="AY513" s="67">
        <v>40.649531696670898</v>
      </c>
      <c r="AZ513" s="67">
        <v>97.296309691842069</v>
      </c>
    </row>
    <row r="514" spans="48:52" x14ac:dyDescent="0.25">
      <c r="AV514" s="67">
        <v>40.137303222487283</v>
      </c>
      <c r="AW514" s="67">
        <v>88.634917810658479</v>
      </c>
      <c r="AY514" s="67">
        <v>40.6559233109543</v>
      </c>
      <c r="AZ514" s="67">
        <v>97.244184269897062</v>
      </c>
    </row>
    <row r="515" spans="48:52" x14ac:dyDescent="0.25">
      <c r="AV515" s="67">
        <v>40.143378106227999</v>
      </c>
      <c r="AW515" s="67">
        <v>88.619196702463483</v>
      </c>
      <c r="AY515" s="67">
        <v>40.662308708956203</v>
      </c>
      <c r="AZ515" s="67">
        <v>97.191947606602483</v>
      </c>
    </row>
    <row r="516" spans="48:52" x14ac:dyDescent="0.25">
      <c r="AV516" s="67">
        <v>40.14943174720446</v>
      </c>
      <c r="AW516" s="67">
        <v>88.603404105863348</v>
      </c>
      <c r="AY516" s="67">
        <v>40.668688029989617</v>
      </c>
      <c r="AZ516" s="67">
        <v>97.139598356031229</v>
      </c>
    </row>
    <row r="517" spans="48:52" x14ac:dyDescent="0.25">
      <c r="AV517" s="67">
        <v>40.155464349968163</v>
      </c>
      <c r="AW517" s="67">
        <v>88.587539002040401</v>
      </c>
      <c r="AY517" s="67">
        <v>40.675061414840378</v>
      </c>
      <c r="AZ517" s="67">
        <v>97.087135172137323</v>
      </c>
    </row>
    <row r="518" spans="48:52" x14ac:dyDescent="0.25">
      <c r="AV518" s="67">
        <v>40.161476119847691</v>
      </c>
      <c r="AW518" s="67">
        <v>88.571600367874112</v>
      </c>
      <c r="AY518" s="67">
        <v>40.681429005784388</v>
      </c>
      <c r="AZ518" s="67">
        <v>97.034556708648367</v>
      </c>
    </row>
    <row r="519" spans="48:52" x14ac:dyDescent="0.25">
      <c r="AV519" s="67">
        <v>40.167467262892671</v>
      </c>
      <c r="AW519" s="67">
        <v>88.555587176121236</v>
      </c>
      <c r="AY519" s="67">
        <v>40.687790946605269</v>
      </c>
      <c r="AZ519" s="67">
        <v>96.98186161895471</v>
      </c>
    </row>
    <row r="520" spans="48:52" x14ac:dyDescent="0.25">
      <c r="AV520" s="67">
        <v>40.173437985821352</v>
      </c>
      <c r="AW520" s="67">
        <v>88.539498395596624</v>
      </c>
      <c r="AY520" s="67">
        <v>40.69414738261159</v>
      </c>
      <c r="AZ520" s="67">
        <v>96.929048555995379</v>
      </c>
    </row>
    <row r="521" spans="48:52" x14ac:dyDescent="0.25">
      <c r="AV521" s="67">
        <v>40.179388495972262</v>
      </c>
      <c r="AW521" s="67">
        <v>88.523332991356341</v>
      </c>
      <c r="AY521" s="67">
        <v>40.700498460652227</v>
      </c>
      <c r="AZ521" s="67">
        <v>96.876116172143014</v>
      </c>
    </row>
    <row r="522" spans="48:52" x14ac:dyDescent="0.25">
      <c r="AV522" s="67">
        <v>40.185319001255607</v>
      </c>
      <c r="AW522" s="67">
        <v>88.507089924877263</v>
      </c>
      <c r="AY522" s="67">
        <v>40.706844329131151</v>
      </c>
      <c r="AZ522" s="67">
        <v>96.823063119084736</v>
      </c>
    </row>
    <row r="523" spans="48:52" x14ac:dyDescent="0.25">
      <c r="AV523" s="67">
        <v>40.191229710109837</v>
      </c>
      <c r="AW523" s="67">
        <v>88.490768154241593</v>
      </c>
      <c r="AY523" s="67">
        <v>40.713185138022553</v>
      </c>
      <c r="AZ523" s="67">
        <v>96.769888047699965</v>
      </c>
    </row>
    <row r="524" spans="48:52" x14ac:dyDescent="0.25">
      <c r="AV524" s="67">
        <v>40.19712083145896</v>
      </c>
      <c r="AW524" s="67">
        <v>88.47436663431688</v>
      </c>
      <c r="AY524" s="67">
        <v>40.719521038884508</v>
      </c>
      <c r="AZ524" s="67">
        <v>96.716589607939056</v>
      </c>
    </row>
    <row r="525" spans="48:52" x14ac:dyDescent="0.25">
      <c r="AV525" s="67">
        <v>40.202992574674113</v>
      </c>
      <c r="AW525" s="67">
        <v>88.457884316941588</v>
      </c>
      <c r="AY525" s="67">
        <v>40.725852184870327</v>
      </c>
      <c r="AZ525" s="67">
        <v>96.663166448695009</v>
      </c>
    </row>
    <row r="526" spans="48:52" x14ac:dyDescent="0.25">
      <c r="AV526" s="67">
        <v>40.208845149535357</v>
      </c>
      <c r="AW526" s="67">
        <v>88.441320151105799</v>
      </c>
      <c r="AY526" s="67">
        <v>40.732178730742213</v>
      </c>
      <c r="AZ526" s="67">
        <v>96.609617217676131</v>
      </c>
    </row>
    <row r="527" spans="48:52" x14ac:dyDescent="0.25">
      <c r="AV527" s="67">
        <v>40.214678766199597</v>
      </c>
      <c r="AW527" s="67">
        <v>88.424673083138018</v>
      </c>
      <c r="AY527" s="67">
        <v>40.738500832880227</v>
      </c>
      <c r="AZ527" s="67">
        <v>96.555940561275051</v>
      </c>
    </row>
    <row r="528" spans="48:52" x14ac:dyDescent="0.25">
      <c r="AV528" s="67">
        <v>40.220493635167088</v>
      </c>
      <c r="AW528" s="67">
        <v>88.407942056886483</v>
      </c>
      <c r="AY528" s="67">
        <v>40.744818649293528</v>
      </c>
      <c r="AZ528" s="67">
        <v>96.502135124435384</v>
      </c>
    </row>
    <row r="529" spans="48:52" x14ac:dyDescent="0.25">
      <c r="AV529" s="67">
        <v>40.226289967253017</v>
      </c>
      <c r="AW529" s="67">
        <v>88.391126013904412</v>
      </c>
      <c r="AY529" s="67">
        <v>40.751132339627979</v>
      </c>
      <c r="AZ529" s="67">
        <v>96.448199550517245</v>
      </c>
    </row>
    <row r="530" spans="48:52" x14ac:dyDescent="0.25">
      <c r="AV530" s="67">
        <v>40.232067973561527</v>
      </c>
      <c r="AW530" s="67">
        <v>88.374223893635701</v>
      </c>
      <c r="AY530" s="67">
        <v>40.757442065174338</v>
      </c>
      <c r="AZ530" s="67">
        <v>96.394132481158834</v>
      </c>
    </row>
    <row r="531" spans="48:52" x14ac:dyDescent="0.25">
      <c r="AV531" s="67">
        <v>40.237827865462457</v>
      </c>
      <c r="AW531" s="67">
        <v>88.357234633597955</v>
      </c>
      <c r="AY531" s="67">
        <v>40.763747988874869</v>
      </c>
      <c r="AZ531" s="67">
        <v>96.339932556137384</v>
      </c>
    </row>
    <row r="532" spans="48:52" x14ac:dyDescent="0.25">
      <c r="AV532" s="67">
        <v>40.243569854568356</v>
      </c>
      <c r="AW532" s="67">
        <v>88.34015716956597</v>
      </c>
      <c r="AY532" s="67">
        <v>40.770050275329183</v>
      </c>
      <c r="AZ532" s="67">
        <v>96.285598413228428</v>
      </c>
    </row>
    <row r="533" spans="48:52" x14ac:dyDescent="0.25">
      <c r="AV533" s="67">
        <v>40.249294152718157</v>
      </c>
      <c r="AW533" s="67">
        <v>88.322990435755869</v>
      </c>
      <c r="AY533" s="67">
        <v>40.776349090797353</v>
      </c>
      <c r="AZ533" s="67">
        <v>96.231128688062043</v>
      </c>
    </row>
    <row r="534" spans="48:52" x14ac:dyDescent="0.25">
      <c r="AV534" s="67">
        <v>40.25500097195868</v>
      </c>
      <c r="AW534" s="67">
        <v>88.305733365008265</v>
      </c>
      <c r="AY534" s="67">
        <v>40.782644603204751</v>
      </c>
      <c r="AZ534" s="67">
        <v>96.176522013978143</v>
      </c>
    </row>
    <row r="535" spans="48:52" x14ac:dyDescent="0.25">
      <c r="AV535" s="67">
        <v>40.260690524533629</v>
      </c>
      <c r="AW535" s="67">
        <v>88.288384888969418</v>
      </c>
      <c r="AY535" s="67">
        <v>40.788936982141621</v>
      </c>
      <c r="AZ535" s="67">
        <v>96.121777021877861</v>
      </c>
    </row>
    <row r="536" spans="48:52" x14ac:dyDescent="0.25">
      <c r="AV536" s="67">
        <v>40.266363022870678</v>
      </c>
      <c r="AW536" s="67">
        <v>88.270943938271984</v>
      </c>
      <c r="AY536" s="67">
        <v>40.79522639886661</v>
      </c>
      <c r="AZ536" s="67">
        <v>96.066892340078596</v>
      </c>
    </row>
    <row r="537" spans="48:52" x14ac:dyDescent="0.25">
      <c r="AV537" s="67">
        <v>40.272018679573591</v>
      </c>
      <c r="AW537" s="67">
        <v>88.253409442714371</v>
      </c>
      <c r="AY537" s="67">
        <v>40.801513026303589</v>
      </c>
      <c r="AZ537" s="67">
        <v>96.011866594160978</v>
      </c>
    </row>
    <row r="538" spans="48:52" x14ac:dyDescent="0.25">
      <c r="AV538" s="67">
        <v>40.277657707417063</v>
      </c>
      <c r="AW538" s="67">
        <v>88.235780331439642</v>
      </c>
      <c r="AY538" s="67">
        <v>40.807797039040587</v>
      </c>
      <c r="AZ538" s="67">
        <v>95.95669840681856</v>
      </c>
    </row>
    <row r="539" spans="48:52" x14ac:dyDescent="0.25">
      <c r="AV539" s="67">
        <v>40.283280319341827</v>
      </c>
      <c r="AW539" s="67">
        <v>88.218055533109421</v>
      </c>
      <c r="AY539" s="67">
        <v>40.814078613327837</v>
      </c>
      <c r="AZ539" s="67">
        <v>95.901386397705949</v>
      </c>
    </row>
    <row r="540" spans="48:52" x14ac:dyDescent="0.25">
      <c r="AV540" s="67">
        <v>40.288886728453797</v>
      </c>
      <c r="AW540" s="67">
        <v>88.20023397607757</v>
      </c>
      <c r="AY540" s="67">
        <v>40.820357927071171</v>
      </c>
      <c r="AZ540" s="67">
        <v>95.845929183283488</v>
      </c>
    </row>
    <row r="541" spans="48:52" x14ac:dyDescent="0.25">
      <c r="AV541" s="67">
        <v>40.294477148026431</v>
      </c>
      <c r="AW541" s="67">
        <v>88.18231458856404</v>
      </c>
      <c r="AY541" s="67">
        <v>40.826635159827269</v>
      </c>
      <c r="AZ541" s="67">
        <v>95.790325376662651</v>
      </c>
    </row>
    <row r="542" spans="48:52" x14ac:dyDescent="0.25">
      <c r="AV542" s="67">
        <v>40.300051791503051</v>
      </c>
      <c r="AW542" s="67">
        <v>88.164296298819721</v>
      </c>
      <c r="AY542" s="67">
        <v>40.832910492796422</v>
      </c>
      <c r="AZ542" s="67">
        <v>95.734573587450583</v>
      </c>
    </row>
    <row r="543" spans="48:52" x14ac:dyDescent="0.25">
      <c r="AV543" s="67">
        <v>40.305610872502832</v>
      </c>
      <c r="AW543" s="67">
        <v>88.146178035293758</v>
      </c>
      <c r="AY543" s="67">
        <v>40.839184108813967</v>
      </c>
      <c r="AZ543" s="67">
        <v>95.678672421592935</v>
      </c>
    </row>
    <row r="544" spans="48:52" x14ac:dyDescent="0.25">
      <c r="AV544" s="67">
        <v>40.311154604829767</v>
      </c>
      <c r="AW544" s="67">
        <v>88.127958726795711</v>
      </c>
      <c r="AY544" s="67">
        <v>40.845456192339697</v>
      </c>
      <c r="AZ544" s="67">
        <v>95.622620481215321</v>
      </c>
    </row>
    <row r="545" spans="48:52" x14ac:dyDescent="0.25">
      <c r="AV545" s="67">
        <v>40.316683202482352</v>
      </c>
      <c r="AW545" s="67">
        <v>88.109637302653695</v>
      </c>
      <c r="AY545" s="67">
        <v>40.851726929447231</v>
      </c>
      <c r="AZ545" s="67">
        <v>95.566416364465937</v>
      </c>
    </row>
    <row r="546" spans="48:52" x14ac:dyDescent="0.25">
      <c r="AV546" s="67">
        <v>40.322196879665853</v>
      </c>
      <c r="AW546" s="67">
        <v>88.091212692869163</v>
      </c>
      <c r="AY546" s="67">
        <v>40.857996507810483</v>
      </c>
      <c r="AZ546" s="67">
        <v>95.510058665355459</v>
      </c>
    </row>
    <row r="547" spans="48:52" x14ac:dyDescent="0.25">
      <c r="AV547" s="67">
        <v>40.32769585080797</v>
      </c>
      <c r="AW547" s="67">
        <v>88.072683828267586</v>
      </c>
      <c r="AY547" s="67">
        <v>40.864265116689872</v>
      </c>
      <c r="AZ547" s="67">
        <v>95.453545973599006</v>
      </c>
    </row>
    <row r="548" spans="48:52" x14ac:dyDescent="0.25">
      <c r="AV548" s="67">
        <v>40.333180330574351</v>
      </c>
      <c r="AW548" s="67">
        <v>88.054049640644564</v>
      </c>
      <c r="AY548" s="67">
        <v>40.870532946916597</v>
      </c>
      <c r="AZ548" s="67">
        <v>95.396876874453966</v>
      </c>
    </row>
    <row r="549" spans="48:52" x14ac:dyDescent="0.25">
      <c r="AV549" s="67">
        <v>40.338650533888092</v>
      </c>
      <c r="AW549" s="67">
        <v>88.03530906290716</v>
      </c>
      <c r="AY549" s="67">
        <v>40.876800190876359</v>
      </c>
      <c r="AZ549" s="67">
        <v>95.340049948563632</v>
      </c>
    </row>
    <row r="550" spans="48:52" x14ac:dyDescent="0.25">
      <c r="AV550" s="67">
        <v>40.344106675949831</v>
      </c>
      <c r="AW550" s="67">
        <v>88.016461029210348</v>
      </c>
      <c r="AY550" s="67">
        <v>40.883067042489309</v>
      </c>
      <c r="AZ550" s="67">
        <v>95.283063771794815</v>
      </c>
    </row>
    <row r="551" spans="48:52" x14ac:dyDescent="0.25">
      <c r="AV551" s="67">
        <v>40.349548972260827</v>
      </c>
      <c r="AW551" s="67">
        <v>87.997504475088959</v>
      </c>
      <c r="AY551" s="67">
        <v>40.889333697191738</v>
      </c>
      <c r="AZ551" s="67">
        <v>95.225916915077178</v>
      </c>
    </row>
    <row r="552" spans="48:52" x14ac:dyDescent="0.25">
      <c r="AV552" s="67">
        <v>40.354977638646183</v>
      </c>
      <c r="AW552" s="67">
        <v>87.978438337581323</v>
      </c>
      <c r="AY552" s="67">
        <v>40.895600351914148</v>
      </c>
      <c r="AZ552" s="67">
        <v>95.168607944245409</v>
      </c>
    </row>
    <row r="553" spans="48:52" x14ac:dyDescent="0.25">
      <c r="AV553" s="67">
        <v>40.360392891282061</v>
      </c>
      <c r="AW553" s="67">
        <v>87.959261555352512</v>
      </c>
      <c r="AY553" s="67">
        <v>40.901867205058863</v>
      </c>
      <c r="AZ553" s="67">
        <v>95.111135419879147</v>
      </c>
    </row>
    <row r="554" spans="48:52" x14ac:dyDescent="0.25">
      <c r="AV554" s="67">
        <v>40.365794946722701</v>
      </c>
      <c r="AW554" s="67">
        <v>87.93997306880469</v>
      </c>
      <c r="AY554" s="67">
        <v>40.908134456475707</v>
      </c>
      <c r="AZ554" s="67">
        <v>95.053497897143103</v>
      </c>
    </row>
    <row r="555" spans="48:52" x14ac:dyDescent="0.25">
      <c r="AV555" s="67">
        <v>40.371184021929928</v>
      </c>
      <c r="AW555" s="67">
        <v>87.920571820186623</v>
      </c>
      <c r="AY555" s="67">
        <v>40.914402307436838</v>
      </c>
      <c r="AZ555" s="67">
        <v>94.995693925630036</v>
      </c>
    </row>
    <row r="556" spans="48:52" x14ac:dyDescent="0.25">
      <c r="AV556" s="67">
        <v>40.376560334303463</v>
      </c>
      <c r="AW556" s="67">
        <v>87.901056753693283</v>
      </c>
      <c r="AY556" s="67">
        <v>40.92067096061065</v>
      </c>
      <c r="AZ556" s="67">
        <v>94.937722049201795</v>
      </c>
    </row>
    <row r="557" spans="48:52" x14ac:dyDescent="0.25">
      <c r="AV557" s="67">
        <v>40.381924101714048</v>
      </c>
      <c r="AW557" s="67">
        <v>87.881426815561881</v>
      </c>
      <c r="AY557" s="67">
        <v>40.926940620031587</v>
      </c>
      <c r="AZ557" s="67">
        <v>94.879580805832191</v>
      </c>
    </row>
    <row r="558" spans="48:52" x14ac:dyDescent="0.25">
      <c r="AV558" s="67">
        <v>40.38727554253569</v>
      </c>
      <c r="AW558" s="67">
        <v>87.861680954155958</v>
      </c>
      <c r="AY558" s="67">
        <v>40.933211491073209</v>
      </c>
      <c r="AZ558" s="67">
        <v>94.821268727452221</v>
      </c>
    </row>
    <row r="559" spans="48:52" x14ac:dyDescent="0.25">
      <c r="AV559" s="67">
        <v>40.392614875681488</v>
      </c>
      <c r="AW559" s="67">
        <v>87.841818120047549</v>
      </c>
      <c r="AY559" s="67">
        <v>40.939483780416317</v>
      </c>
      <c r="AZ559" s="67">
        <v>94.762784339794678</v>
      </c>
    </row>
    <row r="560" spans="48:52" x14ac:dyDescent="0.25">
      <c r="AV560" s="67">
        <v>40.397942320639572</v>
      </c>
      <c r="AW560" s="67">
        <v>87.821837266088039</v>
      </c>
      <c r="AY560" s="67">
        <v>40.945757696016337</v>
      </c>
      <c r="AZ560" s="67">
        <v>94.704126162239803</v>
      </c>
    </row>
    <row r="561" spans="48:52" x14ac:dyDescent="0.25">
      <c r="AV561" s="67">
        <v>40.403258097509422</v>
      </c>
      <c r="AW561" s="67">
        <v>87.801737347472624</v>
      </c>
      <c r="AY561" s="67">
        <v>40.952033447070832</v>
      </c>
      <c r="AZ561" s="67">
        <v>94.645292707662847</v>
      </c>
    </row>
    <row r="562" spans="48:52" x14ac:dyDescent="0.25">
      <c r="AV562" s="67">
        <v>40.408562427040238</v>
      </c>
      <c r="AW562" s="67">
        <v>87.781517321796358</v>
      </c>
      <c r="AY562" s="67">
        <v>40.958311243985158</v>
      </c>
      <c r="AZ562" s="67">
        <v>94.586282482284901</v>
      </c>
    </row>
    <row r="563" spans="48:52" x14ac:dyDescent="0.25">
      <c r="AV563" s="67">
        <v>40.413855530670219</v>
      </c>
      <c r="AW563" s="67">
        <v>87.761176149103306</v>
      </c>
      <c r="AY563" s="67">
        <v>40.964591298335442</v>
      </c>
      <c r="AZ563" s="67">
        <v>94.527093985521105</v>
      </c>
    </row>
    <row r="564" spans="48:52" x14ac:dyDescent="0.25">
      <c r="AV564" s="67">
        <v>40.419137630565672</v>
      </c>
      <c r="AW564" s="67">
        <v>87.740712791924565</v>
      </c>
      <c r="AY564" s="67">
        <v>40.970873822833212</v>
      </c>
      <c r="AZ564" s="67">
        <v>94.467725709835037</v>
      </c>
    </row>
    <row r="565" spans="48:52" x14ac:dyDescent="0.25">
      <c r="AV565" s="67">
        <v>40.424408949661817</v>
      </c>
      <c r="AW565" s="67">
        <v>87.72012621531124</v>
      </c>
      <c r="AY565" s="67">
        <v>40.977159031285808</v>
      </c>
      <c r="AZ565" s="67">
        <v>94.408176140591635</v>
      </c>
    </row>
    <row r="566" spans="48:52" x14ac:dyDescent="0.25">
      <c r="AV566" s="67">
        <v>40.429669711703873</v>
      </c>
      <c r="AW566" s="67">
        <v>87.699415386856401</v>
      </c>
      <c r="AY566" s="67">
        <v>40.983447138558162</v>
      </c>
      <c r="AZ566" s="67">
        <v>94.34844375591409</v>
      </c>
    </row>
    <row r="567" spans="48:52" x14ac:dyDescent="0.25">
      <c r="AV567" s="67">
        <v>40.434920141287883</v>
      </c>
      <c r="AW567" s="67">
        <v>87.678579276707353</v>
      </c>
      <c r="AY567" s="67">
        <v>40.989738360531817</v>
      </c>
      <c r="AZ567" s="67">
        <v>94.288527026541416</v>
      </c>
    </row>
    <row r="568" spans="48:52" x14ac:dyDescent="0.25">
      <c r="AV568" s="67">
        <v>40.440160463903169</v>
      </c>
      <c r="AW568" s="67">
        <v>87.657616857571327</v>
      </c>
      <c r="AY568" s="67">
        <v>40.996032914063662</v>
      </c>
      <c r="AZ568" s="67">
        <v>94.228424415689943</v>
      </c>
    </row>
    <row r="569" spans="48:52" x14ac:dyDescent="0.25">
      <c r="AV569" s="67">
        <v>40.445390905974591</v>
      </c>
      <c r="AW569" s="67">
        <v>87.636527104711305</v>
      </c>
      <c r="AY569" s="67">
        <v>41.002331016943863</v>
      </c>
      <c r="AZ569" s="67">
        <v>94.168134378914473</v>
      </c>
    </row>
    <row r="570" spans="48:52" x14ac:dyDescent="0.25">
      <c r="AV570" s="67">
        <v>40.450611694904012</v>
      </c>
      <c r="AW570" s="67">
        <v>87.615308995929098</v>
      </c>
      <c r="AY570" s="67">
        <v>41.008632887852222</v>
      </c>
      <c r="AZ570" s="67">
        <v>94.107655363975496</v>
      </c>
    </row>
    <row r="571" spans="48:52" x14ac:dyDescent="0.25">
      <c r="AV571" s="67">
        <v>40.455823059113868</v>
      </c>
      <c r="AW571" s="67">
        <v>87.593961511545757</v>
      </c>
      <c r="AY571" s="67">
        <v>41.014938746313213</v>
      </c>
      <c r="AZ571" s="67">
        <v>94.046985810705124</v>
      </c>
    </row>
    <row r="572" spans="48:52" x14ac:dyDescent="0.25">
      <c r="AV572" s="67">
        <v>40.461025228088538</v>
      </c>
      <c r="AW572" s="67">
        <v>87.572483634364573</v>
      </c>
      <c r="AY572" s="67">
        <v>41.021248812651017</v>
      </c>
      <c r="AZ572" s="67">
        <v>93.986124150877416</v>
      </c>
    </row>
    <row r="573" spans="48:52" x14ac:dyDescent="0.25">
      <c r="AV573" s="67">
        <v>40.466218432416717</v>
      </c>
      <c r="AW573" s="67">
        <v>87.550874349630107</v>
      </c>
      <c r="AY573" s="67">
        <v>41.02756330794432</v>
      </c>
      <c r="AZ573" s="67">
        <v>93.925068808082727</v>
      </c>
    </row>
    <row r="574" spans="48:52" x14ac:dyDescent="0.25">
      <c r="AV574" s="67">
        <v>40.471402903833393</v>
      </c>
      <c r="AW574" s="67">
        <v>87.529132644974908</v>
      </c>
      <c r="AY574" s="67">
        <v>41.033882453977988</v>
      </c>
      <c r="AZ574" s="67">
        <v>93.863818197603024</v>
      </c>
    </row>
    <row r="575" spans="48:52" x14ac:dyDescent="0.25">
      <c r="AV575" s="67">
        <v>40.476578875262128</v>
      </c>
      <c r="AW575" s="67">
        <v>87.507257510358244</v>
      </c>
      <c r="AY575" s="67">
        <v>41.04020647319588</v>
      </c>
      <c r="AZ575" s="67">
        <v>93.802370726290121</v>
      </c>
    </row>
    <row r="576" spans="48:52" x14ac:dyDescent="0.25">
      <c r="AV576" s="67">
        <v>40.481746580854349</v>
      </c>
      <c r="AW576" s="67">
        <v>87.485247937991048</v>
      </c>
      <c r="AY576" s="67">
        <v>41.046535588652191</v>
      </c>
      <c r="AZ576" s="67">
        <v>93.74072479244812</v>
      </c>
    </row>
    <row r="577" spans="48:52" x14ac:dyDescent="0.25">
      <c r="AV577" s="67">
        <v>40.48690625603183</v>
      </c>
      <c r="AW577" s="67">
        <v>87.463102922256596</v>
      </c>
      <c r="AY577" s="67">
        <v>41.052870023963138</v>
      </c>
      <c r="AZ577" s="67">
        <v>93.678878785719419</v>
      </c>
    </row>
    <row r="578" spans="48:52" x14ac:dyDescent="0.25">
      <c r="AV578" s="67">
        <v>40.492058137524111</v>
      </c>
      <c r="AW578" s="67">
        <v>87.440821459614526</v>
      </c>
      <c r="AY578" s="67">
        <v>41.059210003255252</v>
      </c>
      <c r="AZ578" s="67">
        <v>93.616831086969668</v>
      </c>
    </row>
    <row r="579" spans="48:52" x14ac:dyDescent="0.25">
      <c r="AV579" s="67">
        <v>40.497202463409913</v>
      </c>
      <c r="AW579" s="67">
        <v>87.418402548502627</v>
      </c>
      <c r="AY579" s="67">
        <v>41.065555751116968</v>
      </c>
      <c r="AZ579" s="67">
        <v>93.55458006818283</v>
      </c>
    </row>
    <row r="580" spans="48:52" x14ac:dyDescent="0.25">
      <c r="AV580" s="67">
        <v>40.502339473153143</v>
      </c>
      <c r="AW580" s="67">
        <v>87.39584518922068</v>
      </c>
      <c r="AY580" s="67">
        <v>41.071907492546693</v>
      </c>
      <c r="AZ580" s="67">
        <v>93.492124092354956</v>
      </c>
    </row>
    <row r="581" spans="48:52" x14ac:dyDescent="0.25">
      <c r="AV581" s="67">
        <v>40.507469407640201</v>
      </c>
      <c r="AW581" s="67">
        <v>87.373148383808925</v>
      </c>
      <c r="AY581" s="67">
        <v>41.078265452901782</v>
      </c>
      <c r="AZ581" s="67">
        <v>93.429461513391516</v>
      </c>
    </row>
    <row r="582" spans="48:52" x14ac:dyDescent="0.25">
      <c r="AV582" s="67">
        <v>40.512592509216233</v>
      </c>
      <c r="AW582" s="67">
        <v>87.350311135916499</v>
      </c>
      <c r="AY582" s="67">
        <v>41.084629857845833</v>
      </c>
      <c r="AZ582" s="67">
        <v>93.366590676010077</v>
      </c>
    </row>
    <row r="583" spans="48:52" x14ac:dyDescent="0.25">
      <c r="AV583" s="67">
        <v>40.51770902171927</v>
      </c>
      <c r="AW583" s="67">
        <v>87.327332450659</v>
      </c>
      <c r="AY583" s="67">
        <v>41.091000933297053</v>
      </c>
      <c r="AZ583" s="67">
        <v>93.303509915645179</v>
      </c>
    </row>
    <row r="584" spans="48:52" x14ac:dyDescent="0.25">
      <c r="AV584" s="67">
        <v>40.522819190512678</v>
      </c>
      <c r="AW584" s="67">
        <v>87.304211334463446</v>
      </c>
      <c r="AY584" s="67">
        <v>41.097378905376388</v>
      </c>
      <c r="AZ584" s="67">
        <v>93.240217558358808</v>
      </c>
    </row>
    <row r="585" spans="48:52" x14ac:dyDescent="0.25">
      <c r="AV585" s="67">
        <v>40.527923262518023</v>
      </c>
      <c r="AW585" s="67">
        <v>87.280946794910605</v>
      </c>
      <c r="AY585" s="67">
        <v>41.103764000353223</v>
      </c>
      <c r="AZ585" s="67">
        <v>93.1767119207516</v>
      </c>
    </row>
    <row r="586" spans="48:52" x14ac:dyDescent="0.25">
      <c r="AV586" s="67">
        <v>40.533021486243342</v>
      </c>
      <c r="AW586" s="67">
        <v>87.257537840557603</v>
      </c>
      <c r="AY586" s="67">
        <v>41.110156444592967</v>
      </c>
      <c r="AZ586" s="67">
        <v>93.112991309879831</v>
      </c>
    </row>
    <row r="587" spans="48:52" x14ac:dyDescent="0.25">
      <c r="AV587" s="67">
        <v>40.538114111812661</v>
      </c>
      <c r="AW587" s="67">
        <v>87.233983480760898</v>
      </c>
      <c r="AY587" s="67">
        <v>41.116556464503518</v>
      </c>
      <c r="AZ587" s="67">
        <v>93.049054023175799</v>
      </c>
    </row>
    <row r="588" spans="48:52" x14ac:dyDescent="0.25">
      <c r="AV588" s="67">
        <v>40.543201390992522</v>
      </c>
      <c r="AW588" s="67">
        <v>87.210282725482372</v>
      </c>
      <c r="AY588" s="67">
        <v>41.122964286482102</v>
      </c>
      <c r="AZ588" s="67">
        <v>92.984898348372212</v>
      </c>
    </row>
    <row r="589" spans="48:52" x14ac:dyDescent="0.25">
      <c r="AV589" s="67">
        <v>40.548283577215223</v>
      </c>
      <c r="AW589" s="67">
        <v>87.186434585089501</v>
      </c>
      <c r="AY589" s="67">
        <v>41.129380136862061</v>
      </c>
      <c r="AZ589" s="67">
        <v>92.920522563430353</v>
      </c>
    </row>
    <row r="590" spans="48:52" x14ac:dyDescent="0.25">
      <c r="AV590" s="67">
        <v>40.553360925603037</v>
      </c>
      <c r="AW590" s="67">
        <v>87.162438070145683</v>
      </c>
      <c r="AY590" s="67">
        <v>41.135804241858231</v>
      </c>
      <c r="AZ590" s="67">
        <v>92.855924936471396</v>
      </c>
    </row>
    <row r="591" spans="48:52" x14ac:dyDescent="0.25">
      <c r="AV591" s="67">
        <v>40.558433692987421</v>
      </c>
      <c r="AW591" s="67">
        <v>87.138292191190345</v>
      </c>
      <c r="AY591" s="67">
        <v>41.142236827513493</v>
      </c>
      <c r="AZ591" s="67">
        <v>92.791103725711963</v>
      </c>
    </row>
    <row r="592" spans="48:52" x14ac:dyDescent="0.25">
      <c r="AV592" s="67">
        <v>40.563502137928253</v>
      </c>
      <c r="AW592" s="67">
        <v>87.113995958513073</v>
      </c>
      <c r="AY592" s="67">
        <v>41.148678119647158</v>
      </c>
      <c r="AZ592" s="67">
        <v>92.72605717940543</v>
      </c>
    </row>
    <row r="593" spans="48:52" x14ac:dyDescent="0.25">
      <c r="AV593" s="67">
        <v>40.568566520728382</v>
      </c>
      <c r="AW593" s="67">
        <v>87.08954838191265</v>
      </c>
      <c r="AY593" s="67">
        <v>41.155128343799163</v>
      </c>
      <c r="AZ593" s="67">
        <v>92.660783535784944</v>
      </c>
    </row>
    <row r="594" spans="48:52" x14ac:dyDescent="0.25">
      <c r="AV594" s="67">
        <v>40.573627103449716</v>
      </c>
      <c r="AW594" s="67">
        <v>87.064948470458077</v>
      </c>
      <c r="AY594" s="67">
        <v>41.161587725178528</v>
      </c>
      <c r="AZ594" s="67">
        <v>92.595281023010571</v>
      </c>
    </row>
    <row r="595" spans="48:52" x14ac:dyDescent="0.25">
      <c r="AV595" s="67">
        <v>40.578684149922033</v>
      </c>
      <c r="AW595" s="67">
        <v>87.040195232229536</v>
      </c>
      <c r="AY595" s="67">
        <v>41.168056488609778</v>
      </c>
      <c r="AZ595" s="67">
        <v>92.529547859121919</v>
      </c>
    </row>
    <row r="596" spans="48:52" x14ac:dyDescent="0.25">
      <c r="AV596" s="67">
        <v>40.583737925753667</v>
      </c>
      <c r="AW596" s="67">
        <v>87.015287674059977</v>
      </c>
      <c r="AY596" s="67">
        <v>41.174534858479973</v>
      </c>
      <c r="AZ596" s="67">
        <v>92.463582251994239</v>
      </c>
    </row>
    <row r="597" spans="48:52" x14ac:dyDescent="0.25">
      <c r="AV597" s="67">
        <v>40.588788698336323</v>
      </c>
      <c r="AW597" s="67">
        <v>86.99022480126547</v>
      </c>
      <c r="AY597" s="67">
        <v>41.181023058687117</v>
      </c>
      <c r="AZ597" s="67">
        <v>92.397382399296689</v>
      </c>
    </row>
    <row r="598" spans="48:52" x14ac:dyDescent="0.25">
      <c r="AV598" s="67">
        <v>40.593836736850221</v>
      </c>
      <c r="AW598" s="67">
        <v>86.965005617367922</v>
      </c>
      <c r="AY598" s="67">
        <v>41.187521312587378</v>
      </c>
      <c r="AZ598" s="67">
        <v>92.330946488457329</v>
      </c>
    </row>
    <row r="599" spans="48:52" x14ac:dyDescent="0.25">
      <c r="AV599" s="67">
        <v>40.598882312263576</v>
      </c>
      <c r="AW599" s="67">
        <v>86.939629123811457</v>
      </c>
      <c r="AY599" s="67">
        <v>41.194029842944033</v>
      </c>
      <c r="AZ599" s="67">
        <v>92.2642726966303</v>
      </c>
    </row>
    <row r="600" spans="48:52" x14ac:dyDescent="0.25">
      <c r="AV600" s="67">
        <v>40.603925697331697</v>
      </c>
      <c r="AW600" s="67">
        <v>86.914094319672714</v>
      </c>
      <c r="AY600" s="67">
        <v>41.20054887187537</v>
      </c>
      <c r="AZ600" s="67">
        <v>92.197359190668038</v>
      </c>
    </row>
    <row r="601" spans="48:52" x14ac:dyDescent="0.25">
      <c r="AV601" s="67">
        <v>40.608967166592208</v>
      </c>
      <c r="AW601" s="67">
        <v>86.888400201361037</v>
      </c>
      <c r="AY601" s="67">
        <v>41.207078620805277</v>
      </c>
      <c r="AZ601" s="67">
        <v>92.130204127095283</v>
      </c>
    </row>
    <row r="602" spans="48:52" x14ac:dyDescent="0.25">
      <c r="AV602" s="67">
        <v>40.614006996358171</v>
      </c>
      <c r="AW602" s="67">
        <v>86.862545762318405</v>
      </c>
      <c r="AY602" s="67">
        <v>41.213619310412312</v>
      </c>
      <c r="AZ602" s="67">
        <v>92.062805652090688</v>
      </c>
    </row>
    <row r="603" spans="48:52" x14ac:dyDescent="0.25">
      <c r="AV603" s="67">
        <v>40.61904546470771</v>
      </c>
      <c r="AW603" s="67">
        <v>86.836529992708421</v>
      </c>
      <c r="AY603" s="67">
        <v>41.220171160579831</v>
      </c>
      <c r="AZ603" s="67">
        <v>91.995161901468222</v>
      </c>
    </row>
    <row r="604" spans="48:52" x14ac:dyDescent="0.25">
      <c r="AV604" s="67">
        <v>40.624082851470121</v>
      </c>
      <c r="AW604" s="67">
        <v>86.81035187910129</v>
      </c>
      <c r="AY604" s="67">
        <v>41.226734390348227</v>
      </c>
      <c r="AZ604" s="67">
        <v>91.927271000665812</v>
      </c>
    </row>
    <row r="605" spans="48:52" x14ac:dyDescent="0.25">
      <c r="AV605" s="67">
        <v>40.629119438211887</v>
      </c>
      <c r="AW605" s="67">
        <v>86.78401040415531</v>
      </c>
      <c r="AY605" s="67">
        <v>41.233309217864758</v>
      </c>
      <c r="AZ605" s="67">
        <v>91.859131064733887</v>
      </c>
    </row>
    <row r="606" spans="48:52" x14ac:dyDescent="0.25">
      <c r="AV606" s="67">
        <v>40.634155508216338</v>
      </c>
      <c r="AW606" s="67">
        <v>86.757504546291145</v>
      </c>
      <c r="AY606" s="67">
        <v>41.239895860338109</v>
      </c>
      <c r="AZ606" s="67">
        <v>91.790740198333324</v>
      </c>
    </row>
    <row r="607" spans="48:52" x14ac:dyDescent="0.25">
      <c r="AV607" s="67">
        <v>40.639191346462503</v>
      </c>
      <c r="AW607" s="67">
        <v>86.730833279365186</v>
      </c>
      <c r="AY607" s="67">
        <v>41.246494533988901</v>
      </c>
      <c r="AZ607" s="67">
        <v>91.722096495729744</v>
      </c>
    </row>
    <row r="608" spans="48:52" x14ac:dyDescent="0.25">
      <c r="AV608" s="67">
        <v>40.644227239601037</v>
      </c>
      <c r="AW608" s="67">
        <v>86.703995572335231</v>
      </c>
      <c r="AY608" s="67">
        <v>41.253105454005777</v>
      </c>
      <c r="AZ608" s="67">
        <v>91.65319804079914</v>
      </c>
    </row>
    <row r="609" spans="48:52" x14ac:dyDescent="0.25">
      <c r="AV609" s="67">
        <v>40.649263475926659</v>
      </c>
      <c r="AW609" s="67">
        <v>86.676990388926285</v>
      </c>
      <c r="AY609" s="67">
        <v>41.259728834498873</v>
      </c>
      <c r="AZ609" s="67">
        <v>91.584042907030494</v>
      </c>
    </row>
    <row r="610" spans="48:52" x14ac:dyDescent="0.25">
      <c r="AV610" s="67">
        <v>40.654300345347337</v>
      </c>
      <c r="AW610" s="67">
        <v>86.64981668729078</v>
      </c>
      <c r="AY610" s="67">
        <v>41.266364888455527</v>
      </c>
      <c r="AZ610" s="67">
        <v>91.514629157536703</v>
      </c>
    </row>
    <row r="611" spans="48:52" x14ac:dyDescent="0.25">
      <c r="AV611" s="67">
        <v>40.659338139352201</v>
      </c>
      <c r="AW611" s="67">
        <v>86.62247341966895</v>
      </c>
      <c r="AY611" s="67">
        <v>41.273013827696047</v>
      </c>
      <c r="AZ611" s="67">
        <v>91.444954845064558</v>
      </c>
    </row>
    <row r="612" spans="48:52" x14ac:dyDescent="0.25">
      <c r="AV612" s="67">
        <v>40.664377150975611</v>
      </c>
      <c r="AW612" s="67">
        <v>86.594959532044328</v>
      </c>
      <c r="AY612" s="67">
        <v>41.279675862831581</v>
      </c>
      <c r="AZ612" s="67">
        <v>91.375018012013399</v>
      </c>
    </row>
    <row r="613" spans="48:52" x14ac:dyDescent="0.25">
      <c r="AV613" s="67">
        <v>40.669417674757312</v>
      </c>
      <c r="AW613" s="67">
        <v>86.567273963799366</v>
      </c>
      <c r="AY613" s="67">
        <v>41.286351203221777</v>
      </c>
      <c r="AZ613" s="67">
        <v>91.304816690451759</v>
      </c>
    </row>
    <row r="614" spans="48:52" x14ac:dyDescent="0.25">
      <c r="AV614" s="67">
        <v>40.674460006703328</v>
      </c>
      <c r="AW614" s="67">
        <v>86.539415647372877</v>
      </c>
      <c r="AY614" s="67">
        <v>41.293040056932909</v>
      </c>
      <c r="AZ614" s="67">
        <v>91.234348902139502</v>
      </c>
    </row>
    <row r="615" spans="48:52" x14ac:dyDescent="0.25">
      <c r="AV615" s="67">
        <v>40.679504444240592</v>
      </c>
      <c r="AW615" s="67">
        <v>86.511383507909571</v>
      </c>
      <c r="AY615" s="67">
        <v>41.299742630699313</v>
      </c>
      <c r="AZ615" s="67">
        <v>91.16361265855582</v>
      </c>
    </row>
    <row r="616" spans="48:52" x14ac:dyDescent="0.25">
      <c r="AV616" s="67">
        <v>40.684551286170688</v>
      </c>
      <c r="AW616" s="67">
        <v>86.483176462916617</v>
      </c>
      <c r="AY616" s="67">
        <v>41.30645912988296</v>
      </c>
      <c r="AZ616" s="67">
        <v>91.092605960924146</v>
      </c>
    </row>
    <row r="617" spans="48:52" x14ac:dyDescent="0.25">
      <c r="AV617" s="67">
        <v>40.689600832621643</v>
      </c>
      <c r="AW617" s="67">
        <v>86.454793421918822</v>
      </c>
      <c r="AY617" s="67">
        <v>41.31318975843508</v>
      </c>
      <c r="AZ617" s="67">
        <v>91.021326800245319</v>
      </c>
    </row>
    <row r="618" spans="48:52" x14ac:dyDescent="0.25">
      <c r="AV618" s="67">
        <v>40.694653384995661</v>
      </c>
      <c r="AW618" s="67">
        <v>86.426233286111895</v>
      </c>
      <c r="AY618" s="67">
        <v>41.319934718859827</v>
      </c>
      <c r="AZ618" s="67">
        <v>90.949773157331478</v>
      </c>
    </row>
    <row r="619" spans="48:52" x14ac:dyDescent="0.25">
      <c r="AV619" s="67">
        <v>40.699709245916146</v>
      </c>
      <c r="AW619" s="67">
        <v>86.397494948021119</v>
      </c>
      <c r="AY619" s="67">
        <v>41.326694212177323</v>
      </c>
      <c r="AZ619" s="67">
        <v>90.877943002843054</v>
      </c>
    </row>
    <row r="620" spans="48:52" x14ac:dyDescent="0.25">
      <c r="AV620" s="67">
        <v>40.704768719171447</v>
      </c>
      <c r="AW620" s="67">
        <v>86.368577291159781</v>
      </c>
      <c r="AY620" s="67">
        <v>41.333468437888911</v>
      </c>
      <c r="AZ620" s="67">
        <v>90.805834297328744</v>
      </c>
    </row>
    <row r="621" spans="48:52" x14ac:dyDescent="0.25">
      <c r="AV621" s="67">
        <v>40.709832109656759</v>
      </c>
      <c r="AW621" s="67">
        <v>86.339479189690451</v>
      </c>
      <c r="AY621" s="67">
        <v>41.340257593941423</v>
      </c>
      <c r="AZ621" s="67">
        <v>90.733444991265756</v>
      </c>
    </row>
    <row r="622" spans="48:52" x14ac:dyDescent="0.25">
      <c r="AV622" s="67">
        <v>40.714899723314552</v>
      </c>
      <c r="AW622" s="67">
        <v>86.31019950808944</v>
      </c>
      <c r="AY622" s="67">
        <v>41.347061876696927</v>
      </c>
      <c r="AZ622" s="67">
        <v>90.660773025108497</v>
      </c>
    </row>
    <row r="623" spans="48:52" x14ac:dyDescent="0.25">
      <c r="AV623" s="67">
        <v>40.719971867071543</v>
      </c>
      <c r="AW623" s="67">
        <v>86.280737100815585</v>
      </c>
      <c r="AY623" s="67">
        <v>41.353881480897151</v>
      </c>
      <c r="AZ623" s="67">
        <v>90.587816329331304</v>
      </c>
    </row>
    <row r="624" spans="48:52" x14ac:dyDescent="0.25">
      <c r="AV624" s="67">
        <v>40.725048848775941</v>
      </c>
      <c r="AW624" s="67">
        <v>86.251090811980063</v>
      </c>
      <c r="AY624" s="67">
        <v>41.360716599634372</v>
      </c>
      <c r="AZ624" s="67">
        <v>90.514572824480965</v>
      </c>
    </row>
    <row r="625" spans="48:52" x14ac:dyDescent="0.25">
      <c r="AV625" s="67">
        <v>40.730130977131182</v>
      </c>
      <c r="AW625" s="67">
        <v>86.22125947502559</v>
      </c>
      <c r="AY625" s="67">
        <v>41.367567424321351</v>
      </c>
      <c r="AZ625" s="67">
        <v>90.441040421227783</v>
      </c>
    </row>
    <row r="626" spans="48:52" x14ac:dyDescent="0.25">
      <c r="AV626" s="67">
        <v>40.735218561628933</v>
      </c>
      <c r="AW626" s="67">
        <v>86.191241912404706</v>
      </c>
      <c r="AY626" s="67">
        <v>41.374434144661492</v>
      </c>
      <c r="AZ626" s="67">
        <v>90.367217020419204</v>
      </c>
    </row>
    <row r="627" spans="48:52" x14ac:dyDescent="0.25">
      <c r="AV627" s="67">
        <v>40.740311912480372</v>
      </c>
      <c r="AW627" s="67">
        <v>86.161036935267404</v>
      </c>
      <c r="AY627" s="67">
        <v>41.381316948620999</v>
      </c>
      <c r="AZ627" s="67">
        <v>90.29310051313503</v>
      </c>
    </row>
    <row r="628" spans="48:52" x14ac:dyDescent="0.25">
      <c r="AV628" s="67">
        <v>40.745411340547321</v>
      </c>
      <c r="AW628" s="67">
        <v>86.1306433431551</v>
      </c>
      <c r="AY628" s="67">
        <v>41.388216022402212</v>
      </c>
      <c r="AZ628" s="67">
        <v>90.218688780746305</v>
      </c>
    </row>
    <row r="629" spans="48:52" x14ac:dyDescent="0.25">
      <c r="AV629" s="67">
        <v>40.750517157269996</v>
      </c>
      <c r="AW629" s="67">
        <v>86.100059923696875</v>
      </c>
      <c r="AY629" s="67">
        <v>41.395131550417318</v>
      </c>
      <c r="AZ629" s="67">
        <v>90.143979694974348</v>
      </c>
    </row>
    <row r="630" spans="48:52" x14ac:dyDescent="0.25">
      <c r="AV630" s="67">
        <v>40.755629674595177</v>
      </c>
      <c r="AW630" s="67">
        <v>86.069285452315782</v>
      </c>
      <c r="AY630" s="67">
        <v>41.402063715263843</v>
      </c>
      <c r="AZ630" s="67">
        <v>90.068971117952415</v>
      </c>
    </row>
    <row r="631" spans="48:52" x14ac:dyDescent="0.25">
      <c r="AV631" s="67">
        <v>40.760749204903448</v>
      </c>
      <c r="AW631" s="67">
        <v>86.038318691940944</v>
      </c>
      <c r="AY631" s="67">
        <v>41.409012697700781</v>
      </c>
      <c r="AZ631" s="67">
        <v>89.99366090228871</v>
      </c>
    </row>
    <row r="632" spans="48:52" x14ac:dyDescent="0.25">
      <c r="AV632" s="67">
        <v>40.76587606093517</v>
      </c>
      <c r="AW632" s="67">
        <v>86.007158392727121</v>
      </c>
      <c r="AY632" s="67">
        <v>41.415978676626082</v>
      </c>
      <c r="AZ632" s="67">
        <v>89.918046891131311</v>
      </c>
    </row>
    <row r="633" spans="48:52" x14ac:dyDescent="0.25">
      <c r="AV633" s="67">
        <v>40.771010555717339</v>
      </c>
      <c r="AW633" s="67">
        <v>85.975803291783848</v>
      </c>
      <c r="AY633" s="67">
        <v>41.422961829053698</v>
      </c>
      <c r="AZ633" s="67">
        <v>89.842126918232921</v>
      </c>
    </row>
    <row r="634" spans="48:52" x14ac:dyDescent="0.25">
      <c r="AV634" s="67">
        <v>40.776153002500557</v>
      </c>
      <c r="AW634" s="67">
        <v>85.944252112925611</v>
      </c>
      <c r="AY634" s="67">
        <v>41.429962330093559</v>
      </c>
      <c r="AZ634" s="67">
        <v>89.765898808019173</v>
      </c>
    </row>
    <row r="635" spans="48:52" x14ac:dyDescent="0.25">
      <c r="AV635" s="67">
        <v>40.781303714604057</v>
      </c>
      <c r="AW635" s="67">
        <v>85.912503566317469</v>
      </c>
      <c r="AY635" s="67">
        <v>41.436980352932778</v>
      </c>
      <c r="AZ635" s="67">
        <v>89.689360375658026</v>
      </c>
    </row>
    <row r="636" spans="48:52" x14ac:dyDescent="0.25">
      <c r="AV636" s="67">
        <v>40.786463005532369</v>
      </c>
      <c r="AW636" s="67">
        <v>85.880556348466484</v>
      </c>
      <c r="AY636" s="67">
        <v>41.44401606881506</v>
      </c>
      <c r="AZ636" s="67">
        <v>89.612509427128003</v>
      </c>
    </row>
    <row r="637" spans="48:52" x14ac:dyDescent="0.25">
      <c r="AV637" s="67">
        <v>40.791631188657327</v>
      </c>
      <c r="AW637" s="67">
        <v>85.848409141682069</v>
      </c>
      <c r="AY637" s="67">
        <v>41.451069647023971</v>
      </c>
      <c r="AZ637" s="67">
        <v>89.535343759289731</v>
      </c>
    </row>
    <row r="638" spans="48:52" x14ac:dyDescent="0.25">
      <c r="AV638" s="67">
        <v>40.796808577315119</v>
      </c>
      <c r="AW638" s="67">
        <v>85.816060614062579</v>
      </c>
      <c r="AY638" s="67">
        <v>41.458141254866518</v>
      </c>
      <c r="AZ638" s="67">
        <v>89.457861159958554</v>
      </c>
    </row>
    <row r="639" spans="48:52" x14ac:dyDescent="0.25">
      <c r="AV639" s="67">
        <v>40.801995484665333</v>
      </c>
      <c r="AW639" s="67">
        <v>85.78350941919318</v>
      </c>
      <c r="AY639" s="67">
        <v>41.465231057655942</v>
      </c>
      <c r="AZ639" s="67">
        <v>89.380059407976162</v>
      </c>
    </row>
    <row r="640" spans="48:52" x14ac:dyDescent="0.25">
      <c r="AV640" s="67">
        <v>40.807192223626537</v>
      </c>
      <c r="AW640" s="67">
        <v>85.750754195951359</v>
      </c>
      <c r="AY640" s="67">
        <v>41.472339218697662</v>
      </c>
      <c r="AZ640" s="67">
        <v>89.30193627328417</v>
      </c>
    </row>
    <row r="641" spans="48:52" x14ac:dyDescent="0.25">
      <c r="AV641" s="67">
        <v>40.812399106800228</v>
      </c>
      <c r="AW641" s="67">
        <v>85.717793568304259</v>
      </c>
      <c r="AY641" s="67">
        <v>41.479465899275553</v>
      </c>
      <c r="AZ641" s="67">
        <v>89.223489517000004</v>
      </c>
    </row>
    <row r="642" spans="48:52" x14ac:dyDescent="0.25">
      <c r="AV642" s="67">
        <v>40.817616446399938</v>
      </c>
      <c r="AW642" s="67">
        <v>85.684626145124767</v>
      </c>
      <c r="AY642" s="67">
        <v>41.486611258638803</v>
      </c>
      <c r="AZ642" s="67">
        <v>89.144716891490802</v>
      </c>
    </row>
    <row r="643" spans="48:52" x14ac:dyDescent="0.25">
      <c r="AV643" s="67">
        <v>40.822844554175838</v>
      </c>
      <c r="AW643" s="67">
        <v>85.651250520008006</v>
      </c>
      <c r="AY643" s="67">
        <v>41.493775453988484</v>
      </c>
      <c r="AZ643" s="67">
        <v>89.065616140447403</v>
      </c>
    </row>
    <row r="644" spans="48:52" x14ac:dyDescent="0.25">
      <c r="AV644" s="67">
        <v>40.828083741343448</v>
      </c>
      <c r="AW644" s="67">
        <v>85.617665271105992</v>
      </c>
      <c r="AY644" s="67">
        <v>41.500958640467402</v>
      </c>
      <c r="AZ644" s="67">
        <v>88.986184998963452</v>
      </c>
    </row>
    <row r="645" spans="48:52" x14ac:dyDescent="0.25">
      <c r="AV645" s="67">
        <v>40.833334318511447</v>
      </c>
      <c r="AW645" s="67">
        <v>85.583868960968445</v>
      </c>
      <c r="AY645" s="67">
        <v>41.508160971149842</v>
      </c>
      <c r="AZ645" s="67">
        <v>88.906421193609873</v>
      </c>
    </row>
    <row r="646" spans="48:52" x14ac:dyDescent="0.25">
      <c r="AV646" s="67">
        <v>40.838596595612223</v>
      </c>
      <c r="AW646" s="67">
        <v>85.549860136395651</v>
      </c>
      <c r="AY646" s="67">
        <v>41.515382597031341</v>
      </c>
      <c r="AZ646" s="67">
        <v>88.826322442511483</v>
      </c>
    </row>
    <row r="647" spans="48:52" x14ac:dyDescent="0.25">
      <c r="AV647" s="67">
        <v>40.84387088183189</v>
      </c>
      <c r="AW647" s="67">
        <v>85.515637328302489</v>
      </c>
      <c r="AY647" s="67">
        <v>41.522623667019651</v>
      </c>
      <c r="AZ647" s="67">
        <v>88.745886455425506</v>
      </c>
    </row>
    <row r="648" spans="48:52" x14ac:dyDescent="0.25">
      <c r="AV648" s="67">
        <v>40.849157485542491</v>
      </c>
      <c r="AW648" s="67">
        <v>85.481199051591375</v>
      </c>
      <c r="AY648" s="67">
        <v>41.52988432792786</v>
      </c>
      <c r="AZ648" s="67">
        <v>88.665110933817246</v>
      </c>
    </row>
    <row r="649" spans="48:52" x14ac:dyDescent="0.25">
      <c r="AV649" s="67">
        <v>40.85445671423588</v>
      </c>
      <c r="AW649" s="67">
        <v>85.446543805038743</v>
      </c>
      <c r="AY649" s="67">
        <v>41.537164724465192</v>
      </c>
      <c r="AZ649" s="67">
        <v>88.583993570937892</v>
      </c>
    </row>
    <row r="650" spans="48:52" x14ac:dyDescent="0.25">
      <c r="AV650" s="67">
        <v>40.859768874457593</v>
      </c>
      <c r="AW650" s="67">
        <v>85.41167007118888</v>
      </c>
      <c r="AY650" s="67">
        <v>41.544464999233227</v>
      </c>
      <c r="AZ650" s="67">
        <v>88.502532051902762</v>
      </c>
    </row>
    <row r="651" spans="48:52" x14ac:dyDescent="0.25">
      <c r="AV651" s="67">
        <v>40.865094271742919</v>
      </c>
      <c r="AW651" s="67">
        <v>85.376576316259133</v>
      </c>
      <c r="AY651" s="67">
        <v>41.551785292718328</v>
      </c>
      <c r="AZ651" s="67">
        <v>88.420724053768197</v>
      </c>
    </row>
    <row r="652" spans="48:52" x14ac:dyDescent="0.25">
      <c r="AV652" s="67">
        <v>40.870433210556477</v>
      </c>
      <c r="AW652" s="67">
        <v>85.341260990060064</v>
      </c>
      <c r="AY652" s="67">
        <v>41.559125743286842</v>
      </c>
      <c r="AZ652" s="67">
        <v>88.338567245608147</v>
      </c>
    </row>
    <row r="653" spans="48:52" x14ac:dyDescent="0.25">
      <c r="AV653" s="67">
        <v>40.875785994228977</v>
      </c>
      <c r="AW653" s="67">
        <v>85.305722525917645</v>
      </c>
      <c r="AY653" s="67">
        <v>41.566486487181322</v>
      </c>
      <c r="AZ653" s="67">
        <v>88.256059288592638</v>
      </c>
    </row>
    <row r="654" spans="48:52" x14ac:dyDescent="0.25">
      <c r="AV654" s="67">
        <v>40.881152924900157</v>
      </c>
      <c r="AW654" s="67">
        <v>85.269959340613369</v>
      </c>
      <c r="AY654" s="67">
        <v>41.573867658516932</v>
      </c>
      <c r="AZ654" s="67">
        <v>88.173197836064347</v>
      </c>
    </row>
    <row r="655" spans="48:52" x14ac:dyDescent="0.25">
      <c r="AV655" s="67">
        <v>40.886534303460849</v>
      </c>
      <c r="AW655" s="67">
        <v>85.233969834331234</v>
      </c>
      <c r="AY655" s="67">
        <v>41.581269389277828</v>
      </c>
      <c r="AZ655" s="67">
        <v>88.089980533615261</v>
      </c>
    </row>
    <row r="656" spans="48:52" x14ac:dyDescent="0.25">
      <c r="AV656" s="67">
        <v>40.891930429497677</v>
      </c>
      <c r="AW656" s="67">
        <v>85.197752390615022</v>
      </c>
      <c r="AY656" s="67">
        <v>41.588691809315762</v>
      </c>
      <c r="AZ656" s="67">
        <v>88.006405019163495</v>
      </c>
    </row>
    <row r="657" spans="48:52" x14ac:dyDescent="0.25">
      <c r="AV657" s="67">
        <v>40.897341601238963</v>
      </c>
      <c r="AW657" s="67">
        <v>85.16130537633471</v>
      </c>
      <c r="AY657" s="67">
        <v>41.59613504634823</v>
      </c>
      <c r="AZ657" s="67">
        <v>87.922468923030067</v>
      </c>
    </row>
    <row r="658" spans="48:52" x14ac:dyDescent="0.25">
      <c r="AV658" s="67">
        <v>40.90276811550325</v>
      </c>
      <c r="AW658" s="67">
        <v>85.124627141664135</v>
      </c>
      <c r="AY658" s="67">
        <v>41.603599225957097</v>
      </c>
      <c r="AZ658" s="67">
        <v>87.838169868014305</v>
      </c>
    </row>
    <row r="659" spans="48:52" x14ac:dyDescent="0.25">
      <c r="AV659" s="67">
        <v>40.908210267649508</v>
      </c>
      <c r="AW659" s="67">
        <v>85.087716020068285</v>
      </c>
      <c r="AY659" s="67">
        <v>41.611084471588107</v>
      </c>
      <c r="AZ659" s="67">
        <v>87.75350546946882</v>
      </c>
    </row>
    <row r="660" spans="48:52" x14ac:dyDescent="0.25">
      <c r="AV660" s="67">
        <v>40.913668351528088</v>
      </c>
      <c r="AW660" s="67">
        <v>85.050570328297013</v>
      </c>
      <c r="AY660" s="67">
        <v>41.618590904550963</v>
      </c>
      <c r="AZ660" s="67">
        <v>87.668473335375623</v>
      </c>
    </row>
    <row r="661" spans="48:52" x14ac:dyDescent="0.25">
      <c r="AV661" s="67">
        <v>40.919142659435352</v>
      </c>
      <c r="AW661" s="67">
        <v>85.013188366391077</v>
      </c>
      <c r="AY661" s="67">
        <v>41.626118644020913</v>
      </c>
      <c r="AZ661" s="67">
        <v>87.58307106642053</v>
      </c>
    </row>
    <row r="662" spans="48:52" x14ac:dyDescent="0.25">
      <c r="AV662" s="67">
        <v>40.9246334820686</v>
      </c>
      <c r="AW662" s="67">
        <v>84.975568417695712</v>
      </c>
      <c r="AY662" s="67">
        <v>41.633667807039132</v>
      </c>
      <c r="AZ662" s="67">
        <v>87.49729625606723</v>
      </c>
    </row>
    <row r="663" spans="48:52" x14ac:dyDescent="0.25">
      <c r="AV663" s="67">
        <v>40.930141108484293</v>
      </c>
      <c r="AW663" s="67">
        <v>84.937708748881576</v>
      </c>
      <c r="AY663" s="67">
        <v>41.641238508513467</v>
      </c>
      <c r="AZ663" s="67">
        <v>87.411146490629747</v>
      </c>
    </row>
    <row r="664" spans="48:52" x14ac:dyDescent="0.25">
      <c r="AV664" s="67">
        <v>40.935665826056209</v>
      </c>
      <c r="AW664" s="67">
        <v>84.899607609975376</v>
      </c>
      <c r="AY664" s="67">
        <v>41.648830861222528</v>
      </c>
      <c r="AZ664" s="67">
        <v>87.324619349347302</v>
      </c>
    </row>
    <row r="665" spans="48:52" x14ac:dyDescent="0.25">
      <c r="AV665" s="67">
        <v>40.941207920437819</v>
      </c>
      <c r="AW665" s="67">
        <v>84.861263234398507</v>
      </c>
      <c r="AY665" s="67">
        <v>41.65644497581777</v>
      </c>
      <c r="AZ665" s="67">
        <v>87.237712404455792</v>
      </c>
    </row>
    <row r="666" spans="48:52" x14ac:dyDescent="0.25">
      <c r="AV666" s="67">
        <v>40.946767675524541</v>
      </c>
      <c r="AW666" s="67">
        <v>84.822673839012666</v>
      </c>
      <c r="AY666" s="67">
        <v>41.664080960825473</v>
      </c>
      <c r="AZ666" s="67">
        <v>87.150423221259004</v>
      </c>
    </row>
    <row r="667" spans="48:52" x14ac:dyDescent="0.25">
      <c r="AV667" s="67">
        <v>40.952345373419007</v>
      </c>
      <c r="AW667" s="67">
        <v>84.783837624172861</v>
      </c>
      <c r="AY667" s="67">
        <v>41.67173892265118</v>
      </c>
      <c r="AZ667" s="67">
        <v>87.06274935820079</v>
      </c>
    </row>
    <row r="668" spans="48:52" x14ac:dyDescent="0.25">
      <c r="AV668" s="67">
        <v>40.957941294396512</v>
      </c>
      <c r="AW668" s="67">
        <v>84.744752773787198</v>
      </c>
      <c r="AY668" s="67">
        <v>41.679418965584567</v>
      </c>
      <c r="AZ668" s="67">
        <v>86.9746883669347</v>
      </c>
    </row>
    <row r="669" spans="48:52" x14ac:dyDescent="0.25">
      <c r="AV669" s="67">
        <v>40.963555716875483</v>
      </c>
      <c r="AW669" s="67">
        <v>84.705417455385643</v>
      </c>
      <c r="AY669" s="67">
        <v>41.687121191801452</v>
      </c>
      <c r="AZ669" s="67">
        <v>86.886237792394354</v>
      </c>
    </row>
    <row r="670" spans="48:52" x14ac:dyDescent="0.25">
      <c r="AV670" s="67">
        <v>40.969188917385047</v>
      </c>
      <c r="AW670" s="67">
        <v>84.665829820191618</v>
      </c>
      <c r="AY670" s="67">
        <v>41.694845701371101</v>
      </c>
      <c r="AZ670" s="67">
        <v>86.79739517286211</v>
      </c>
    </row>
    <row r="671" spans="48:52" x14ac:dyDescent="0.25">
      <c r="AV671" s="67">
        <v>40.974841170538298</v>
      </c>
      <c r="AW671" s="67">
        <v>84.625988003202878</v>
      </c>
      <c r="AY671" s="67">
        <v>41.702592592259563</v>
      </c>
      <c r="AZ671" s="67">
        <v>86.70815804003783</v>
      </c>
    </row>
    <row r="672" spans="48:52" x14ac:dyDescent="0.25">
      <c r="AV672" s="67">
        <v>40.980512749005577</v>
      </c>
      <c r="AW672" s="67">
        <v>84.585890123277665</v>
      </c>
      <c r="AY672" s="67">
        <v>41.710361960336307</v>
      </c>
      <c r="AZ672" s="67">
        <v>86.618523919105883</v>
      </c>
    </row>
    <row r="673" spans="48:52" x14ac:dyDescent="0.25">
      <c r="AV673" s="67">
        <v>40.986203923488461</v>
      </c>
      <c r="AW673" s="67">
        <v>84.545534283223716</v>
      </c>
      <c r="AY673" s="67">
        <v>41.718153899379153</v>
      </c>
      <c r="AZ673" s="67">
        <v>86.528490328802576</v>
      </c>
    </row>
    <row r="674" spans="48:52" x14ac:dyDescent="0.25">
      <c r="AV674" s="67">
        <v>40.991914962696853</v>
      </c>
      <c r="AW674" s="67">
        <v>84.50491856989693</v>
      </c>
      <c r="AY674" s="67">
        <v>41.725968501081013</v>
      </c>
      <c r="AZ674" s="67">
        <v>86.438054781482293</v>
      </c>
    </row>
    <row r="675" spans="48:52" x14ac:dyDescent="0.25">
      <c r="AV675" s="67">
        <v>40.997646133326839</v>
      </c>
      <c r="AW675" s="67">
        <v>84.464041054301632</v>
      </c>
      <c r="AY675" s="67">
        <v>41.733805855056481</v>
      </c>
      <c r="AZ675" s="67">
        <v>86.347214783182523</v>
      </c>
    </row>
    <row r="676" spans="48:52" x14ac:dyDescent="0.25">
      <c r="AV676" s="67">
        <v>41.003397700038697</v>
      </c>
      <c r="AW676" s="67">
        <v>84.422899791694917</v>
      </c>
      <c r="AY676" s="67">
        <v>41.741666048848387</v>
      </c>
      <c r="AZ676" s="67">
        <v>86.255967833689226</v>
      </c>
    </row>
    <row r="677" spans="48:52" x14ac:dyDescent="0.25">
      <c r="AV677" s="67">
        <v>41.009169925439778</v>
      </c>
      <c r="AW677" s="67">
        <v>84.381492821699567</v>
      </c>
      <c r="AY677" s="67">
        <v>41.749549167934632</v>
      </c>
      <c r="AZ677" s="67">
        <v>86.164311426599554</v>
      </c>
    </row>
    <row r="678" spans="48:52" x14ac:dyDescent="0.25">
      <c r="AV678" s="67">
        <v>41.014963070064603</v>
      </c>
      <c r="AW678" s="67">
        <v>84.339818168416059</v>
      </c>
      <c r="AY678" s="67">
        <v>41.757455295735987</v>
      </c>
      <c r="AZ678" s="67">
        <v>86.07224304938596</v>
      </c>
    </row>
    <row r="679" spans="48:52" x14ac:dyDescent="0.25">
      <c r="AV679" s="67">
        <v>41.020777392358468</v>
      </c>
      <c r="AW679" s="67">
        <v>84.297873840541257</v>
      </c>
      <c r="AY679" s="67">
        <v>41.765384513623928</v>
      </c>
      <c r="AZ679" s="67">
        <v>85.979760183458481</v>
      </c>
    </row>
    <row r="680" spans="48:52" x14ac:dyDescent="0.25">
      <c r="AV680" s="67">
        <v>41.026613148661973</v>
      </c>
      <c r="AW680" s="67">
        <v>84.255657831488847</v>
      </c>
      <c r="AY680" s="67">
        <v>41.773336900927639</v>
      </c>
      <c r="AZ680" s="67">
        <v>85.88686030422565</v>
      </c>
    </row>
    <row r="681" spans="48:52" x14ac:dyDescent="0.25">
      <c r="AV681" s="67">
        <v>41.032470593196081</v>
      </c>
      <c r="AW681" s="67">
        <v>84.213168119514421</v>
      </c>
      <c r="AY681" s="67">
        <v>41.781312534943062</v>
      </c>
      <c r="AZ681" s="67">
        <v>85.793540881155991</v>
      </c>
    </row>
    <row r="682" spans="48:52" x14ac:dyDescent="0.25">
      <c r="AV682" s="67">
        <v>41.038349978048473</v>
      </c>
      <c r="AW682" s="67">
        <v>84.170402667840889</v>
      </c>
      <c r="AY682" s="67">
        <v>41.789311490940882</v>
      </c>
      <c r="AZ682" s="67">
        <v>85.69979937783792</v>
      </c>
    </row>
    <row r="683" spans="48:52" x14ac:dyDescent="0.25">
      <c r="AV683" s="67">
        <v>41.044251553161303</v>
      </c>
      <c r="AW683" s="67">
        <v>84.127359424790185</v>
      </c>
      <c r="AY683" s="67">
        <v>41.797333842175057</v>
      </c>
      <c r="AZ683" s="67">
        <v>85.605633252038913</v>
      </c>
    </row>
    <row r="684" spans="48:52" x14ac:dyDescent="0.25">
      <c r="AV684" s="67">
        <v>41.050175566319297</v>
      </c>
      <c r="AW684" s="67">
        <v>84.084036323913395</v>
      </c>
      <c r="AY684" s="67">
        <v>41.805379659891777</v>
      </c>
      <c r="AZ684" s="67">
        <v>85.511039955763707</v>
      </c>
    </row>
    <row r="685" spans="48:52" x14ac:dyDescent="0.25">
      <c r="AV685" s="67">
        <v>41.056122263138832</v>
      </c>
      <c r="AW685" s="67">
        <v>84.040431284125191</v>
      </c>
      <c r="AY685" s="67">
        <v>41.813449013338698</v>
      </c>
      <c r="AZ685" s="67">
        <v>85.416016935313664</v>
      </c>
    </row>
    <row r="686" spans="48:52" x14ac:dyDescent="0.25">
      <c r="AV686" s="67">
        <v>41.062091887057932</v>
      </c>
      <c r="AW686" s="67">
        <v>83.996542209838708</v>
      </c>
      <c r="AY686" s="67">
        <v>41.821541969774117</v>
      </c>
      <c r="AZ686" s="67">
        <v>85.32056163134186</v>
      </c>
    </row>
    <row r="687" spans="48:52" x14ac:dyDescent="0.25">
      <c r="AV687" s="67">
        <v>41.068084679326716</v>
      </c>
      <c r="AW687" s="67">
        <v>83.952366991103688</v>
      </c>
      <c r="AY687" s="67">
        <v>41.829658594475553</v>
      </c>
      <c r="AZ687" s="67">
        <v>85.224671478910409</v>
      </c>
    </row>
    <row r="688" spans="48:52" x14ac:dyDescent="0.25">
      <c r="AV688" s="67">
        <v>41.074100878998713</v>
      </c>
      <c r="AW688" s="67">
        <v>83.907903503743114</v>
      </c>
      <c r="AY688" s="67">
        <v>41.837798950751093</v>
      </c>
      <c r="AZ688" s="67">
        <v>85.128343907546864</v>
      </c>
    </row>
    <row r="689" spans="48:52" x14ac:dyDescent="0.25">
      <c r="AV689" s="67">
        <v>41.08014072292309</v>
      </c>
      <c r="AW689" s="67">
        <v>83.863149609493661</v>
      </c>
      <c r="AY689" s="67">
        <v>41.845963099947397</v>
      </c>
      <c r="AZ689" s="67">
        <v>85.031576341297509</v>
      </c>
    </row>
    <row r="690" spans="48:52" x14ac:dyDescent="0.25">
      <c r="AV690" s="67">
        <v>41.086204445736307</v>
      </c>
      <c r="AW690" s="67">
        <v>83.818103156145</v>
      </c>
      <c r="AY690" s="67">
        <v>41.854151101461618</v>
      </c>
      <c r="AZ690" s="67">
        <v>84.934366198783138</v>
      </c>
    </row>
    <row r="691" spans="48:52" x14ac:dyDescent="0.25">
      <c r="AV691" s="67">
        <v>41.092292279855997</v>
      </c>
      <c r="AW691" s="67">
        <v>83.77276197768127</v>
      </c>
      <c r="AY691" s="67">
        <v>41.862363012749313</v>
      </c>
      <c r="AZ691" s="67">
        <v>84.836710893251578</v>
      </c>
    </row>
    <row r="692" spans="48:52" x14ac:dyDescent="0.25">
      <c r="AV692" s="67">
        <v>41.098404455472973</v>
      </c>
      <c r="AW692" s="67">
        <v>83.727123894420131</v>
      </c>
      <c r="AY692" s="67">
        <v>41.87059888933635</v>
      </c>
      <c r="AZ692" s="67">
        <v>84.738607832631018</v>
      </c>
    </row>
    <row r="693" spans="48:52" x14ac:dyDescent="0.25">
      <c r="AV693" s="67">
        <v>41.104541200545611</v>
      </c>
      <c r="AW693" s="67">
        <v>83.681186713155967</v>
      </c>
      <c r="AY693" s="67">
        <v>41.878858784828978</v>
      </c>
      <c r="AZ693" s="67">
        <v>84.6400544195821</v>
      </c>
    </row>
    <row r="694" spans="48:52" x14ac:dyDescent="0.25">
      <c r="AV694" s="67">
        <v>41.110702740794181</v>
      </c>
      <c r="AW694" s="67">
        <v>83.634948227300313</v>
      </c>
      <c r="AY694" s="67">
        <v>41.887142750925157</v>
      </c>
      <c r="AZ694" s="67">
        <v>84.541048051550504</v>
      </c>
    </row>
    <row r="695" spans="48:52" x14ac:dyDescent="0.25">
      <c r="AV695" s="67">
        <v>41.11688929969381</v>
      </c>
      <c r="AW695" s="67">
        <v>83.588406217021827</v>
      </c>
      <c r="AY695" s="67">
        <v>41.895450837423589</v>
      </c>
      <c r="AZ695" s="67">
        <v>84.44158612081543</v>
      </c>
    </row>
    <row r="696" spans="48:52" x14ac:dyDescent="0.25">
      <c r="AV696" s="67">
        <v>41.123101098470222</v>
      </c>
      <c r="AW696" s="67">
        <v>83.541558449388205</v>
      </c>
      <c r="AY696" s="67">
        <v>41.903783092236758</v>
      </c>
      <c r="AZ696" s="67">
        <v>84.341666014542994</v>
      </c>
    </row>
    <row r="697" spans="48:52" x14ac:dyDescent="0.25">
      <c r="AV697" s="67">
        <v>41.129338356092767</v>
      </c>
      <c r="AW697" s="67">
        <v>83.494402678505651</v>
      </c>
      <c r="AY697" s="67">
        <v>41.912139561400373</v>
      </c>
      <c r="AZ697" s="67">
        <v>84.241285114833502</v>
      </c>
    </row>
    <row r="698" spans="48:52" x14ac:dyDescent="0.25">
      <c r="AV698" s="67">
        <v>41.135601289270539</v>
      </c>
      <c r="AW698" s="67">
        <v>83.446936645658383</v>
      </c>
      <c r="AY698" s="67">
        <v>41.920520289085502</v>
      </c>
      <c r="AZ698" s="67">
        <v>84.140440798772033</v>
      </c>
    </row>
    <row r="699" spans="48:52" x14ac:dyDescent="0.25">
      <c r="AV699" s="67">
        <v>41.141890112445708</v>
      </c>
      <c r="AW699" s="67">
        <v>83.399158079447261</v>
      </c>
      <c r="AY699" s="67">
        <v>41.928925317610137</v>
      </c>
      <c r="AZ699" s="67">
        <v>84.039130438476136</v>
      </c>
    </row>
    <row r="700" spans="48:52" x14ac:dyDescent="0.25">
      <c r="AV700" s="67">
        <v>41.148205037789467</v>
      </c>
      <c r="AW700" s="67">
        <v>83.351064695927747</v>
      </c>
      <c r="AY700" s="67">
        <v>41.937354687450082</v>
      </c>
      <c r="AZ700" s="67">
        <v>83.937351401144639</v>
      </c>
    </row>
    <row r="701" spans="48:52" x14ac:dyDescent="0.25">
      <c r="AV701" s="67">
        <v>41.154546275196203</v>
      </c>
      <c r="AW701" s="67">
        <v>83.302654198747135</v>
      </c>
      <c r="AY701" s="67">
        <v>41.945808437250747</v>
      </c>
      <c r="AZ701" s="67">
        <v>83.835101049104253</v>
      </c>
    </row>
    <row r="702" spans="48:52" x14ac:dyDescent="0.25">
      <c r="AV702" s="67">
        <v>41.16091403227739</v>
      </c>
      <c r="AW702" s="67">
        <v>83.253924279278394</v>
      </c>
      <c r="AY702" s="67">
        <v>41.954286603839137</v>
      </c>
      <c r="AZ702" s="67">
        <v>83.732376739856676</v>
      </c>
    </row>
    <row r="703" spans="48:52" x14ac:dyDescent="0.25">
      <c r="AV703" s="67">
        <v>41.167308514356989</v>
      </c>
      <c r="AW703" s="67">
        <v>83.204872616756731</v>
      </c>
      <c r="AY703" s="67">
        <v>41.962789222236253</v>
      </c>
      <c r="AZ703" s="67">
        <v>83.629175826125902</v>
      </c>
    </row>
    <row r="704" spans="48:52" x14ac:dyDescent="0.25">
      <c r="AV704" s="67">
        <v>41.173729924466329</v>
      </c>
      <c r="AW704" s="67">
        <v>83.155496878411839</v>
      </c>
      <c r="AY704" s="67">
        <v>41.971316325668631</v>
      </c>
      <c r="AZ704" s="67">
        <v>83.525495655902844</v>
      </c>
    </row>
    <row r="705" spans="48:52" x14ac:dyDescent="0.25">
      <c r="AV705" s="67">
        <v>41.18017846333629</v>
      </c>
      <c r="AW705" s="67">
        <v>83.105794719598421</v>
      </c>
      <c r="AY705" s="67">
        <v>41.979867945579571</v>
      </c>
      <c r="AZ705" s="67">
        <v>83.421333572490582</v>
      </c>
    </row>
    <row r="706" spans="48:52" x14ac:dyDescent="0.25">
      <c r="AV706" s="67">
        <v>41.186654329394507</v>
      </c>
      <c r="AW706" s="67">
        <v>83.055763783929081</v>
      </c>
      <c r="AY706" s="67">
        <v>41.9884441116441</v>
      </c>
      <c r="AZ706" s="67">
        <v>83.316686914551255</v>
      </c>
    </row>
    <row r="707" spans="48:52" x14ac:dyDescent="0.25">
      <c r="AV707" s="67">
        <v>41.193157718755458</v>
      </c>
      <c r="AW707" s="67">
        <v>83.005401703399073</v>
      </c>
      <c r="AY707" s="67">
        <v>41.997044851779037</v>
      </c>
      <c r="AZ707" s="67">
        <v>83.211553016148486</v>
      </c>
    </row>
    <row r="708" spans="48:52" x14ac:dyDescent="0.25">
      <c r="AV708" s="67">
        <v>41.199688825217891</v>
      </c>
      <c r="AW708" s="67">
        <v>82.954706098517619</v>
      </c>
      <c r="AY708" s="67">
        <v>42.005670192156508</v>
      </c>
      <c r="AZ708" s="67">
        <v>83.105929206791728</v>
      </c>
    </row>
    <row r="709" spans="48:52" x14ac:dyDescent="0.25">
      <c r="AV709" s="67">
        <v>41.206247840254832</v>
      </c>
      <c r="AW709" s="67">
        <v>82.903674578430184</v>
      </c>
      <c r="AY709" s="67">
        <v>42.01432015721705</v>
      </c>
      <c r="AZ709" s="67">
        <v>82.99981281148068</v>
      </c>
    </row>
    <row r="710" spans="48:52" x14ac:dyDescent="0.25">
      <c r="AV710" s="67">
        <v>41.212834953009803</v>
      </c>
      <c r="AW710" s="67">
        <v>82.85230474104371</v>
      </c>
      <c r="AY710" s="67">
        <v>42.022994769681851</v>
      </c>
      <c r="AZ710" s="67">
        <v>82.893201150747757</v>
      </c>
    </row>
    <row r="711" spans="48:52" x14ac:dyDescent="0.25">
      <c r="AV711" s="67">
        <v>41.219450350286927</v>
      </c>
      <c r="AW711" s="67">
        <v>82.800594173147957</v>
      </c>
      <c r="AY711" s="67">
        <v>42.031694050566323</v>
      </c>
      <c r="AZ711" s="67">
        <v>82.786091540700781</v>
      </c>
    </row>
    <row r="712" spans="48:52" x14ac:dyDescent="0.25">
      <c r="AV712" s="67">
        <v>41.226094216545562</v>
      </c>
      <c r="AW712" s="67">
        <v>82.748540450536652</v>
      </c>
      <c r="AY712" s="67">
        <v>42.040418019192657</v>
      </c>
      <c r="AZ712" s="67">
        <v>82.67848129306563</v>
      </c>
    </row>
    <row r="713" spans="48:52" x14ac:dyDescent="0.25">
      <c r="AV713" s="67">
        <v>41.232766733890628</v>
      </c>
      <c r="AW713" s="67">
        <v>82.696141138123735</v>
      </c>
      <c r="AY713" s="67">
        <v>42.049166693204072</v>
      </c>
      <c r="AZ713" s="67">
        <v>82.570367715228215</v>
      </c>
    </row>
    <row r="714" spans="48:52" x14ac:dyDescent="0.25">
      <c r="AV714" s="67">
        <v>41.239468082066033</v>
      </c>
      <c r="AW714" s="67">
        <v>82.643393790062433</v>
      </c>
      <c r="AY714" s="67">
        <v>42.057940088576693</v>
      </c>
      <c r="AZ714" s="67">
        <v>82.461748110275494</v>
      </c>
    </row>
    <row r="715" spans="48:52" x14ac:dyDescent="0.25">
      <c r="AV715" s="67">
        <v>41.24619843844556</v>
      </c>
      <c r="AW715" s="67">
        <v>82.590295949859254</v>
      </c>
      <c r="AY715" s="67">
        <v>42.066738219635148</v>
      </c>
      <c r="AZ715" s="67">
        <v>82.352619777037617</v>
      </c>
    </row>
    <row r="716" spans="48:52" x14ac:dyDescent="0.25">
      <c r="AV716" s="67">
        <v>41.252957978024092</v>
      </c>
      <c r="AW716" s="67">
        <v>82.53684515048603</v>
      </c>
      <c r="AY716" s="67">
        <v>42.075561099064771</v>
      </c>
      <c r="AZ716" s="67">
        <v>82.242980010127951</v>
      </c>
    </row>
    <row r="717" spans="48:52" x14ac:dyDescent="0.25">
      <c r="AV717" s="67">
        <v>41.259746873408517</v>
      </c>
      <c r="AW717" s="67">
        <v>82.483038914492198</v>
      </c>
      <c r="AY717" s="67">
        <v>42.084408737925777</v>
      </c>
      <c r="AZ717" s="67">
        <v>82.132826099984129</v>
      </c>
    </row>
    <row r="718" spans="48:52" x14ac:dyDescent="0.25">
      <c r="AV718" s="67">
        <v>41.266565294808863</v>
      </c>
      <c r="AW718" s="67">
        <v>82.428874754113991</v>
      </c>
      <c r="AY718" s="67">
        <v>42.09328114566766</v>
      </c>
      <c r="AZ718" s="67">
        <v>82.022155332908198</v>
      </c>
    </row>
    <row r="719" spans="48:52" x14ac:dyDescent="0.25">
      <c r="AV719" s="67">
        <v>41.273413410027267</v>
      </c>
      <c r="AW719" s="67">
        <v>82.374350171381295</v>
      </c>
      <c r="AY719" s="67">
        <v>42.102178330143417</v>
      </c>
      <c r="AZ719" s="67">
        <v>81.910964991106454</v>
      </c>
    </row>
    <row r="720" spans="48:52" x14ac:dyDescent="0.25">
      <c r="AV720" s="67">
        <v>41.280291384449193</v>
      </c>
      <c r="AW720" s="67">
        <v>82.319462658224168</v>
      </c>
      <c r="AY720" s="67">
        <v>42.111100297622727</v>
      </c>
      <c r="AZ720" s="67">
        <v>81.799252352729013</v>
      </c>
    </row>
    <row r="721" spans="48:52" x14ac:dyDescent="0.25">
      <c r="AV721" s="67">
        <v>41.28719938103211</v>
      </c>
      <c r="AW721" s="67">
        <v>82.264209696576629</v>
      </c>
      <c r="AY721" s="67">
        <v>42.120047052807571</v>
      </c>
      <c r="AZ721" s="67">
        <v>81.687014691909098</v>
      </c>
    </row>
    <row r="722" spans="48:52" x14ac:dyDescent="0.25">
      <c r="AV722" s="67">
        <v>41.294137560295098</v>
      </c>
      <c r="AW722" s="67">
        <v>82.208588758478115</v>
      </c>
      <c r="AY722" s="67">
        <v>42.129018598846358</v>
      </c>
      <c r="AZ722" s="67">
        <v>81.574249278802185</v>
      </c>
    </row>
    <row r="723" spans="48:52" x14ac:dyDescent="0.25">
      <c r="AV723" s="67">
        <v>41.301106080307527</v>
      </c>
      <c r="AW723" s="67">
        <v>82.152597306175281</v>
      </c>
      <c r="AY723" s="67">
        <v>42.138014937349283</v>
      </c>
      <c r="AZ723" s="67">
        <v>81.460953379625423</v>
      </c>
    </row>
    <row r="724" spans="48:52" x14ac:dyDescent="0.25">
      <c r="AV724" s="67">
        <v>41.308105096677536</v>
      </c>
      <c r="AW724" s="67">
        <v>82.096232792219283</v>
      </c>
      <c r="AY724" s="67">
        <v>42.147036068401363</v>
      </c>
      <c r="AZ724" s="67">
        <v>81.347124256694286</v>
      </c>
    </row>
    <row r="725" spans="48:52" x14ac:dyDescent="0.25">
      <c r="AV725" s="67">
        <v>41.315134762540993</v>
      </c>
      <c r="AW725" s="67">
        <v>82.039492659564246</v>
      </c>
      <c r="AY725" s="67">
        <v>42.156081990579857</v>
      </c>
      <c r="AZ725" s="67">
        <v>81.232759168463105</v>
      </c>
    </row>
    <row r="726" spans="48:52" x14ac:dyDescent="0.25">
      <c r="AV726" s="67">
        <v>41.322195228548367</v>
      </c>
      <c r="AW726" s="67">
        <v>81.982374341661625</v>
      </c>
      <c r="AY726" s="67">
        <v>42.16515270096766</v>
      </c>
      <c r="AZ726" s="67">
        <v>81.117855369561113</v>
      </c>
    </row>
    <row r="727" spans="48:52" x14ac:dyDescent="0.25">
      <c r="AV727" s="67">
        <v>41.32928664285339</v>
      </c>
      <c r="AW727" s="67">
        <v>81.924875262554693</v>
      </c>
      <c r="AY727" s="67">
        <v>42.174248195169511</v>
      </c>
      <c r="AZ727" s="67">
        <v>81.002410110831718</v>
      </c>
    </row>
    <row r="728" spans="48:52" x14ac:dyDescent="0.25">
      <c r="AV728" s="67">
        <v>41.336409151100383</v>
      </c>
      <c r="AW728" s="67">
        <v>81.866992836970809</v>
      </c>
      <c r="AY728" s="67">
        <v>42.183368467327149</v>
      </c>
      <c r="AZ728" s="67">
        <v>80.886420639369163</v>
      </c>
    </row>
    <row r="729" spans="48:52" x14ac:dyDescent="0.25">
      <c r="AV729" s="67">
        <v>41.343562896410731</v>
      </c>
      <c r="AW729" s="67">
        <v>81.80872447041186</v>
      </c>
      <c r="AY729" s="67">
        <v>42.192513510135242</v>
      </c>
      <c r="AZ729" s="67">
        <v>80.76988419855607</v>
      </c>
    </row>
    <row r="730" spans="48:52" x14ac:dyDescent="0.25">
      <c r="AV730" s="67">
        <v>41.350748019370428</v>
      </c>
      <c r="AW730" s="67">
        <v>81.750067559243732</v>
      </c>
      <c r="AY730" s="67">
        <v>42.20168331485614</v>
      </c>
      <c r="AZ730" s="67">
        <v>80.652798028099866</v>
      </c>
    </row>
    <row r="731" spans="48:52" x14ac:dyDescent="0.25">
      <c r="AV731" s="67">
        <v>41.357964658016947</v>
      </c>
      <c r="AW731" s="67">
        <v>81.691019490784299</v>
      </c>
      <c r="AY731" s="67">
        <v>42.210877871337402</v>
      </c>
      <c r="AZ731" s="67">
        <v>80.535159364070964</v>
      </c>
    </row>
    <row r="732" spans="48:52" x14ac:dyDescent="0.25">
      <c r="AV732" s="67">
        <v>41.365212947825277</v>
      </c>
      <c r="AW732" s="67">
        <v>81.631577643389591</v>
      </c>
      <c r="AY732" s="67">
        <v>42.220097168026903</v>
      </c>
      <c r="AZ732" s="67">
        <v>80.416965438938561</v>
      </c>
    </row>
    <row r="733" spans="48:52" x14ac:dyDescent="0.25">
      <c r="AV733" s="67">
        <v>41.372493021694368</v>
      </c>
      <c r="AW733" s="67">
        <v>81.571739386539136</v>
      </c>
      <c r="AY733" s="67">
        <v>42.229341191989107</v>
      </c>
      <c r="AZ733" s="67">
        <v>80.298213481607405</v>
      </c>
    </row>
    <row r="734" spans="48:52" x14ac:dyDescent="0.25">
      <c r="AV734" s="67">
        <v>41.379805009933698</v>
      </c>
      <c r="AW734" s="67">
        <v>81.511502080920025</v>
      </c>
      <c r="AY734" s="67">
        <v>42.238609928921342</v>
      </c>
      <c r="AZ734" s="67">
        <v>80.178900717453075</v>
      </c>
    </row>
    <row r="735" spans="48:52" x14ac:dyDescent="0.25">
      <c r="AV735" s="67">
        <v>41.387149040248971</v>
      </c>
      <c r="AW735" s="67">
        <v>81.450863078509059</v>
      </c>
      <c r="AY735" s="67">
        <v>42.247903363170458</v>
      </c>
      <c r="AZ735" s="67">
        <v>80.059024368359132</v>
      </c>
    </row>
    <row r="736" spans="48:52" x14ac:dyDescent="0.25">
      <c r="AV736" s="67">
        <v>41.394525237727812</v>
      </c>
      <c r="AW736" s="67">
        <v>81.38981972265438</v>
      </c>
      <c r="AY736" s="67">
        <v>42.257221477750932</v>
      </c>
      <c r="AZ736" s="67">
        <v>79.938581652753356</v>
      </c>
    </row>
    <row r="737" spans="48:52" x14ac:dyDescent="0.25">
      <c r="AV737" s="67">
        <v>41.401933724825881</v>
      </c>
      <c r="AW737" s="67">
        <v>81.328369348155761</v>
      </c>
      <c r="AY737" s="67">
        <v>42.26656425435884</v>
      </c>
      <c r="AZ737" s="67">
        <v>79.817569785641993</v>
      </c>
    </row>
    <row r="738" spans="48:52" x14ac:dyDescent="0.25">
      <c r="AV738" s="67">
        <v>41.409374621352981</v>
      </c>
      <c r="AW738" s="67">
        <v>81.266509281344213</v>
      </c>
      <c r="AY738" s="67">
        <v>42.275931673390893</v>
      </c>
      <c r="AZ738" s="67">
        <v>79.695985978645538</v>
      </c>
    </row>
    <row r="739" spans="48:52" x14ac:dyDescent="0.25">
      <c r="AV739" s="67">
        <v>41.416848044457772</v>
      </c>
      <c r="AW739" s="67">
        <v>81.204236840159567</v>
      </c>
      <c r="AY739" s="67">
        <v>42.285323713961567</v>
      </c>
      <c r="AZ739" s="67">
        <v>79.573827440035402</v>
      </c>
    </row>
    <row r="740" spans="48:52" x14ac:dyDescent="0.25">
      <c r="AV740" s="67">
        <v>41.424354108614118</v>
      </c>
      <c r="AW740" s="67">
        <v>81.141549334227633</v>
      </c>
      <c r="AY740" s="67">
        <v>42.294740353919337</v>
      </c>
      <c r="AZ740" s="67">
        <v>79.451091374767145</v>
      </c>
    </row>
    <row r="741" spans="48:52" x14ac:dyDescent="0.25">
      <c r="AV741" s="67">
        <v>41.431892925606583</v>
      </c>
      <c r="AW741" s="67">
        <v>81.078444064937202</v>
      </c>
      <c r="AY741" s="67">
        <v>42.304181569864987</v>
      </c>
      <c r="AZ741" s="67">
        <v>79.327774984516722</v>
      </c>
    </row>
    <row r="742" spans="48:52" x14ac:dyDescent="0.25">
      <c r="AV742" s="67">
        <v>41.439464604516097</v>
      </c>
      <c r="AW742" s="67">
        <v>81.014918325515069</v>
      </c>
      <c r="AY742" s="67">
        <v>42.313647337168923</v>
      </c>
      <c r="AZ742" s="67">
        <v>79.203875467714653</v>
      </c>
    </row>
    <row r="743" spans="48:52" x14ac:dyDescent="0.25">
      <c r="AV743" s="67">
        <v>41.447069251704761</v>
      </c>
      <c r="AW743" s="67">
        <v>80.95096940109994</v>
      </c>
      <c r="AY743" s="67">
        <v>42.323137629988828</v>
      </c>
      <c r="AZ743" s="67">
        <v>79.079390019580785</v>
      </c>
    </row>
    <row r="744" spans="48:52" x14ac:dyDescent="0.25">
      <c r="AV744" s="67">
        <v>41.454706970803102</v>
      </c>
      <c r="AW744" s="67">
        <v>80.886594568817515</v>
      </c>
      <c r="AY744" s="67">
        <v>42.332652421287342</v>
      </c>
      <c r="AZ744" s="67">
        <v>78.954315832158372</v>
      </c>
    </row>
    <row r="745" spans="48:52" x14ac:dyDescent="0.25">
      <c r="AV745" s="67">
        <v>41.462377862695007</v>
      </c>
      <c r="AW745" s="67">
        <v>80.821791097852682</v>
      </c>
      <c r="AY745" s="67">
        <v>42.342191682850981</v>
      </c>
      <c r="AZ745" s="67">
        <v>78.828650094349115</v>
      </c>
    </row>
    <row r="746" spans="48:52" x14ac:dyDescent="0.25">
      <c r="AV746" s="67">
        <v>41.470082025503018</v>
      </c>
      <c r="AW746" s="67">
        <v>80.756556249522276</v>
      </c>
      <c r="AY746" s="67">
        <v>42.351755385306909</v>
      </c>
      <c r="AZ746" s="67">
        <v>78.702389991945921</v>
      </c>
    </row>
    <row r="747" spans="48:52" x14ac:dyDescent="0.25">
      <c r="AV747" s="67">
        <v>41.477819554575937</v>
      </c>
      <c r="AW747" s="67">
        <v>80.690887277346917</v>
      </c>
      <c r="AY747" s="67">
        <v>42.361343498142013</v>
      </c>
      <c r="AZ747" s="67">
        <v>78.575532707667634</v>
      </c>
    </row>
    <row r="748" spans="48:52" x14ac:dyDescent="0.25">
      <c r="AV748" s="67">
        <v>41.485590542473737</v>
      </c>
      <c r="AW748" s="67">
        <v>80.624781427121874</v>
      </c>
      <c r="AY748" s="67">
        <v>42.370955989721871</v>
      </c>
      <c r="AZ748" s="67">
        <v>78.448075421193053</v>
      </c>
    </row>
    <row r="749" spans="48:52" x14ac:dyDescent="0.25">
      <c r="AV749" s="67">
        <v>41.493395078954052</v>
      </c>
      <c r="AW749" s="67">
        <v>80.558235936988439</v>
      </c>
      <c r="AY749" s="67">
        <v>42.380592827307339</v>
      </c>
      <c r="AZ749" s="67">
        <v>78.32001530919311</v>
      </c>
    </row>
    <row r="750" spans="48:52" x14ac:dyDescent="0.25">
      <c r="AV750" s="67">
        <v>41.501233250959842</v>
      </c>
      <c r="AW750" s="67">
        <v>80.491248037503894</v>
      </c>
      <c r="AY750" s="67">
        <v>42.390253977075638</v>
      </c>
      <c r="AZ750" s="67">
        <v>78.191349545365597</v>
      </c>
    </row>
    <row r="751" spans="48:52" x14ac:dyDescent="0.25">
      <c r="AV751" s="67">
        <v>41.50910514260471</v>
      </c>
      <c r="AW751" s="67">
        <v>80.423814951710852</v>
      </c>
      <c r="AY751" s="67">
        <v>42.39993940413769</v>
      </c>
      <c r="AZ751" s="67">
        <v>78.062075300467654</v>
      </c>
    </row>
    <row r="752" spans="48:52" x14ac:dyDescent="0.25">
      <c r="AV752" s="67">
        <v>41.517010835161393</v>
      </c>
      <c r="AW752" s="67">
        <v>80.355933895207798</v>
      </c>
      <c r="AY752" s="67">
        <v>42.409649072556881</v>
      </c>
      <c r="AZ752" s="67">
        <v>77.932189742348712</v>
      </c>
    </row>
    <row r="753" spans="48:52" x14ac:dyDescent="0.25">
      <c r="AV753" s="67">
        <v>41.524950407047747</v>
      </c>
      <c r="AW753" s="67">
        <v>80.28760207621697</v>
      </c>
      <c r="AY753" s="67">
        <v>42.419382945368973</v>
      </c>
      <c r="AZ753" s="67">
        <v>77.80169003598337</v>
      </c>
    </row>
    <row r="754" spans="48:52" x14ac:dyDescent="0.25">
      <c r="AV754" s="67">
        <v>41.532923933815823</v>
      </c>
      <c r="AW754" s="67">
        <v>80.218816695654255</v>
      </c>
      <c r="AY754" s="67">
        <v>42.429140984600167</v>
      </c>
      <c r="AZ754" s="67">
        <v>77.670573343503918</v>
      </c>
    </row>
    <row r="755" spans="48:52" x14ac:dyDescent="0.25">
      <c r="AV755" s="67">
        <v>41.540931488138881</v>
      </c>
      <c r="AW755" s="67">
        <v>80.149574947197266</v>
      </c>
      <c r="AY755" s="67">
        <v>42.438923151287582</v>
      </c>
      <c r="AZ755" s="67">
        <v>77.538836824233172</v>
      </c>
    </row>
    <row r="756" spans="48:52" x14ac:dyDescent="0.25">
      <c r="AV756" s="67">
        <v>41.548973139799671</v>
      </c>
      <c r="AW756" s="67">
        <v>80.079874017353205</v>
      </c>
      <c r="AY756" s="67">
        <v>42.448729405497147</v>
      </c>
      <c r="AZ756" s="67">
        <v>77.406477634716339</v>
      </c>
    </row>
    <row r="757" spans="48:52" x14ac:dyDescent="0.25">
      <c r="AV757" s="67">
        <v>41.55704895568033</v>
      </c>
      <c r="AW757" s="67">
        <v>80.009711085528352</v>
      </c>
      <c r="AY757" s="67">
        <v>42.45855970634458</v>
      </c>
      <c r="AZ757" s="67">
        <v>77.273492928753072</v>
      </c>
    </row>
    <row r="758" spans="48:52" x14ac:dyDescent="0.25">
      <c r="AV758" s="67">
        <v>41.565158999749997</v>
      </c>
      <c r="AW758" s="67">
        <v>79.939083324094938</v>
      </c>
      <c r="AY758" s="67">
        <v>42.468414012012907</v>
      </c>
      <c r="AZ758" s="67">
        <v>77.139879857429193</v>
      </c>
    </row>
    <row r="759" spans="48:52" x14ac:dyDescent="0.25">
      <c r="AV759" s="67">
        <v>41.573303333055428</v>
      </c>
      <c r="AW759" s="67">
        <v>79.867987898459532</v>
      </c>
      <c r="AY759" s="67">
        <v>42.478292279774543</v>
      </c>
      <c r="AZ759" s="67">
        <v>77.005635569149277</v>
      </c>
    </row>
    <row r="760" spans="48:52" x14ac:dyDescent="0.25">
      <c r="AV760" s="67">
        <v>41.58148201371057</v>
      </c>
      <c r="AW760" s="67">
        <v>79.796421967130968</v>
      </c>
      <c r="AY760" s="67">
        <v>42.488194466008167</v>
      </c>
      <c r="AZ760" s="67">
        <v>76.870757209666451</v>
      </c>
    </row>
    <row r="761" spans="48:52" x14ac:dyDescent="0.25">
      <c r="AV761" s="67">
        <v>41.589695096887233</v>
      </c>
      <c r="AW761" s="67">
        <v>79.72438268178847</v>
      </c>
      <c r="AY761" s="67">
        <v>42.498120526221122</v>
      </c>
      <c r="AZ761" s="67">
        <v>76.73524192211552</v>
      </c>
    </row>
    <row r="762" spans="48:52" x14ac:dyDescent="0.25">
      <c r="AV762" s="67">
        <v>41.59794263480552</v>
      </c>
      <c r="AW762" s="67">
        <v>79.651867187348344</v>
      </c>
      <c r="AY762" s="67">
        <v>42.508070415066939</v>
      </c>
      <c r="AZ762" s="67">
        <v>76.599086847042685</v>
      </c>
    </row>
    <row r="763" spans="48:52" x14ac:dyDescent="0.25">
      <c r="AV763" s="67">
        <v>41.606224676726363</v>
      </c>
      <c r="AW763" s="67">
        <v>79.578872622034069</v>
      </c>
      <c r="AY763" s="67">
        <v>42.518044086366878</v>
      </c>
      <c r="AZ763" s="67">
        <v>76.46228912243717</v>
      </c>
    </row>
    <row r="764" spans="48:52" x14ac:dyDescent="0.25">
      <c r="AV764" s="67">
        <v>41.614541268942283</v>
      </c>
      <c r="AW764" s="67">
        <v>79.50539611744145</v>
      </c>
      <c r="AY764" s="67">
        <v>42.528041493128868</v>
      </c>
      <c r="AZ764" s="67">
        <v>76.324845883761483</v>
      </c>
    </row>
    <row r="765" spans="48:52" x14ac:dyDescent="0.25">
      <c r="AV765" s="67">
        <v>41.622892454771197</v>
      </c>
      <c r="AW765" s="67">
        <v>79.431434798609075</v>
      </c>
      <c r="AY765" s="67">
        <v>42.538062587567673</v>
      </c>
      <c r="AZ765" s="67">
        <v>76.186754263982323</v>
      </c>
    </row>
    <row r="766" spans="48:52" x14ac:dyDescent="0.25">
      <c r="AV766" s="67">
        <v>41.631278274548272</v>
      </c>
      <c r="AW766" s="67">
        <v>79.356985784085296</v>
      </c>
      <c r="AY766" s="67">
        <v>42.548107321125251</v>
      </c>
      <c r="AZ766" s="67">
        <v>76.048011393600675</v>
      </c>
    </row>
    <row r="767" spans="48:52" x14ac:dyDescent="0.25">
      <c r="AV767" s="67">
        <v>41.639698765620842</v>
      </c>
      <c r="AW767" s="67">
        <v>79.282046185996322</v>
      </c>
      <c r="AY767" s="67">
        <v>42.55817564449039</v>
      </c>
      <c r="AZ767" s="67">
        <v>75.908614400681529</v>
      </c>
    </row>
    <row r="768" spans="48:52" x14ac:dyDescent="0.25">
      <c r="AV768" s="67">
        <v>41.648153962342008</v>
      </c>
      <c r="AW768" s="67">
        <v>79.2066131101152</v>
      </c>
      <c r="AY768" s="67">
        <v>42.568267507619069</v>
      </c>
      <c r="AZ768" s="67">
        <v>75.768560410884533</v>
      </c>
    </row>
    <row r="769" spans="48:52" x14ac:dyDescent="0.25">
      <c r="AV769" s="67">
        <v>41.656643896066377</v>
      </c>
      <c r="AW769" s="67">
        <v>79.130683655930326</v>
      </c>
      <c r="AY769" s="67">
        <v>42.578382859753823</v>
      </c>
      <c r="AZ769" s="67">
        <v>75.62784654749251</v>
      </c>
    </row>
    <row r="770" spans="48:52" x14ac:dyDescent="0.25">
      <c r="AV770" s="67">
        <v>41.665168595144621</v>
      </c>
      <c r="AW770" s="67">
        <v>79.054254916714072</v>
      </c>
      <c r="AY770" s="67">
        <v>42.588521649444722</v>
      </c>
      <c r="AZ770" s="67">
        <v>75.48646993144223</v>
      </c>
    </row>
    <row r="771" spans="48:52" x14ac:dyDescent="0.25">
      <c r="AV771" s="67">
        <v>41.673728084920697</v>
      </c>
      <c r="AW771" s="67">
        <v>78.977323979591119</v>
      </c>
      <c r="AY771" s="67">
        <v>42.598683824568973</v>
      </c>
      <c r="AZ771" s="67">
        <v>75.344427681352329</v>
      </c>
    </row>
    <row r="772" spans="48:52" x14ac:dyDescent="0.25">
      <c r="AV772" s="67">
        <v>41.682322387728732</v>
      </c>
      <c r="AW772" s="67">
        <v>78.899887925609619</v>
      </c>
      <c r="AY772" s="67">
        <v>42.608869332350672</v>
      </c>
      <c r="AZ772" s="67">
        <v>75.201716913553241</v>
      </c>
    </row>
    <row r="773" spans="48:52" x14ac:dyDescent="0.25">
      <c r="AV773" s="67">
        <v>41.690951522890323</v>
      </c>
      <c r="AW773" s="67">
        <v>78.821943829808049</v>
      </c>
      <c r="AY773" s="67">
        <v>42.619078119382102</v>
      </c>
      <c r="AZ773" s="67">
        <v>75.058334742115818</v>
      </c>
    </row>
    <row r="774" spans="48:52" x14ac:dyDescent="0.25">
      <c r="AV774" s="67">
        <v>41.699615506713769</v>
      </c>
      <c r="AW774" s="67">
        <v>78.743488761287352</v>
      </c>
      <c r="AY774" s="67">
        <v>42.62931013164215</v>
      </c>
      <c r="AZ774" s="67">
        <v>74.914278278879422</v>
      </c>
    </row>
    <row r="775" spans="48:52" x14ac:dyDescent="0.25">
      <c r="AV775" s="67">
        <v>41.708314352492273</v>
      </c>
      <c r="AW775" s="67">
        <v>78.664519783278976</v>
      </c>
      <c r="AY775" s="67">
        <v>42.639565314517533</v>
      </c>
      <c r="AZ775" s="67">
        <v>74.769544633480649</v>
      </c>
    </row>
    <row r="776" spans="48:52" x14ac:dyDescent="0.25">
      <c r="AV776" s="67">
        <v>41.717048070504752</v>
      </c>
      <c r="AW776" s="67">
        <v>78.585033953216396</v>
      </c>
      <c r="AY776" s="67">
        <v>42.649843612822067</v>
      </c>
      <c r="AZ776" s="67">
        <v>74.624130913381478</v>
      </c>
    </row>
    <row r="777" spans="48:52" x14ac:dyDescent="0.25">
      <c r="AV777" s="67">
        <v>41.725816668016357</v>
      </c>
      <c r="AW777" s="67">
        <v>78.505028322804776</v>
      </c>
      <c r="AY777" s="67">
        <v>42.660144970816923</v>
      </c>
      <c r="AZ777" s="67">
        <v>74.478034223897055</v>
      </c>
    </row>
    <row r="778" spans="48:52" x14ac:dyDescent="0.25">
      <c r="AV778" s="67">
        <v>41.734620149278904</v>
      </c>
      <c r="AW778" s="67">
        <v>78.424499938092154</v>
      </c>
      <c r="AY778" s="67">
        <v>42.67046933223024</v>
      </c>
      <c r="AZ778" s="67">
        <v>74.331251668222905</v>
      </c>
    </row>
    <row r="779" spans="48:52" x14ac:dyDescent="0.25">
      <c r="AV779" s="67">
        <v>41.743458515535281</v>
      </c>
      <c r="AW779" s="67">
        <v>78.343445839540479</v>
      </c>
      <c r="AY779" s="67">
        <v>42.680816640278003</v>
      </c>
      <c r="AZ779" s="67">
        <v>74.183780347463824</v>
      </c>
    </row>
    <row r="780" spans="48:52" x14ac:dyDescent="0.25">
      <c r="AV780" s="67">
        <v>41.752331765020763</v>
      </c>
      <c r="AW780" s="67">
        <v>78.261863062097063</v>
      </c>
      <c r="AY780" s="67">
        <v>42.691186837680753</v>
      </c>
      <c r="AZ780" s="67">
        <v>74.035617360658591</v>
      </c>
    </row>
    <row r="781" spans="48:52" x14ac:dyDescent="0.25">
      <c r="AV781" s="67">
        <v>41.761239892967637</v>
      </c>
      <c r="AW781" s="67">
        <v>78.17974863526571</v>
      </c>
      <c r="AY781" s="67">
        <v>42.701579866687823</v>
      </c>
      <c r="AZ781" s="67">
        <v>73.886759804809969</v>
      </c>
    </row>
    <row r="782" spans="48:52" x14ac:dyDescent="0.25">
      <c r="AV782" s="67">
        <v>41.770182891609643</v>
      </c>
      <c r="AW782" s="67">
        <v>78.097099583178817</v>
      </c>
    </row>
    <row r="783" spans="48:52" x14ac:dyDescent="0.25">
      <c r="AV783" s="67">
        <v>41.779160750188339</v>
      </c>
      <c r="AW783" s="67">
        <v>78.013912924670237</v>
      </c>
    </row>
    <row r="784" spans="48:52" x14ac:dyDescent="0.25">
      <c r="AV784" s="67">
        <v>41.788173454958503</v>
      </c>
      <c r="AW784" s="67">
        <v>77.930185673346898</v>
      </c>
    </row>
    <row r="785" spans="48:49" x14ac:dyDescent="0.25">
      <c r="AV785" s="67">
        <v>41.797220989196767</v>
      </c>
      <c r="AW785" s="67">
        <v>77.845914837662008</v>
      </c>
    </row>
    <row r="786" spans="48:49" x14ac:dyDescent="0.25">
      <c r="AV786" s="67">
        <v>41.80630333320812</v>
      </c>
      <c r="AW786" s="67">
        <v>77.761097420987582</v>
      </c>
    </row>
    <row r="787" spans="48:49" x14ac:dyDescent="0.25">
      <c r="AV787" s="67">
        <v>41.81542046433691</v>
      </c>
      <c r="AW787" s="67">
        <v>77.675730421688598</v>
      </c>
    </row>
    <row r="788" spans="48:49" x14ac:dyDescent="0.25">
      <c r="AV788" s="67">
        <v>41.824572356974947</v>
      </c>
      <c r="AW788" s="67">
        <v>77.589810833195557</v>
      </c>
    </row>
    <row r="789" spans="48:49" x14ac:dyDescent="0.25">
      <c r="AV789" s="67">
        <v>41.833758982574182</v>
      </c>
      <c r="AW789" s="67">
        <v>77.503335644079172</v>
      </c>
    </row>
    <row r="790" spans="48:49" x14ac:dyDescent="0.25">
      <c r="AV790" s="67">
        <v>41.842980309656703</v>
      </c>
      <c r="AW790" s="67">
        <v>77.416301838123431</v>
      </c>
    </row>
    <row r="791" spans="48:49" x14ac:dyDescent="0.25">
      <c r="AV791" s="67">
        <v>41.852236303828931</v>
      </c>
      <c r="AW791" s="67">
        <v>77.328706394400612</v>
      </c>
    </row>
    <row r="792" spans="48:49" x14ac:dyDescent="0.25">
      <c r="AV792" s="67">
        <v>41.8615269277945</v>
      </c>
      <c r="AW792" s="67">
        <v>77.240546287345481</v>
      </c>
    </row>
    <row r="793" spans="48:49" x14ac:dyDescent="0.25">
      <c r="AV793" s="67">
        <v>41.870852141368353</v>
      </c>
      <c r="AW793" s="67">
        <v>77.151818486829612</v>
      </c>
    </row>
    <row r="794" spans="48:49" x14ac:dyDescent="0.25">
      <c r="AV794" s="67">
        <v>41.880211901493112</v>
      </c>
      <c r="AW794" s="67">
        <v>77.062519958236663</v>
      </c>
    </row>
    <row r="795" spans="48:49" x14ac:dyDescent="0.25">
      <c r="AV795" s="67">
        <v>41.889606162254609</v>
      </c>
      <c r="AW795" s="67">
        <v>76.972647662537</v>
      </c>
    </row>
    <row r="796" spans="48:49" x14ac:dyDescent="0.25">
      <c r="AV796" s="67">
        <v>41.899034874900053</v>
      </c>
      <c r="AW796" s="67">
        <v>76.882198556363164</v>
      </c>
    </row>
    <row r="797" spans="48:49" x14ac:dyDescent="0.25">
      <c r="AV797" s="67">
        <v>41.908497987854673</v>
      </c>
      <c r="AW797" s="67">
        <v>76.79116959208433</v>
      </c>
    </row>
    <row r="798" spans="48:49" x14ac:dyDescent="0.25">
      <c r="AV798" s="67">
        <v>41.917995446742509</v>
      </c>
      <c r="AW798" s="67">
        <v>76.699557717882641</v>
      </c>
    </row>
    <row r="799" spans="48:49" x14ac:dyDescent="0.25">
      <c r="AV799" s="67">
        <v>41.927527194405513</v>
      </c>
      <c r="AW799" s="67">
        <v>76.607359877828145</v>
      </c>
    </row>
    <row r="800" spans="48:49" x14ac:dyDescent="0.25">
      <c r="AV800" s="67">
        <v>41.937093170924641</v>
      </c>
      <c r="AW800" s="67">
        <v>76.514573011953956</v>
      </c>
    </row>
    <row r="801" spans="48:49" x14ac:dyDescent="0.25">
      <c r="AV801" s="67">
        <v>41.946693313641838</v>
      </c>
      <c r="AW801" s="67">
        <v>76.421194056332482</v>
      </c>
    </row>
    <row r="802" spans="48:49" x14ac:dyDescent="0.25">
      <c r="AV802" s="67">
        <v>41.956327557182817</v>
      </c>
      <c r="AW802" s="67">
        <v>76.327219943150482</v>
      </c>
    </row>
    <row r="803" spans="48:49" x14ac:dyDescent="0.25">
      <c r="AV803" s="67">
        <v>41.965995833480122</v>
      </c>
      <c r="AW803" s="67">
        <v>76.232647600784574</v>
      </c>
    </row>
    <row r="804" spans="48:49" x14ac:dyDescent="0.25">
      <c r="AV804" s="67">
        <v>41.975698071798938</v>
      </c>
      <c r="AW804" s="67">
        <v>76.137473953877077</v>
      </c>
    </row>
    <row r="805" spans="48:49" x14ac:dyDescent="0.25">
      <c r="AV805" s="67">
        <v>41.985434198761538</v>
      </c>
      <c r="AW805" s="67">
        <v>76.041695923411282</v>
      </c>
    </row>
    <row r="806" spans="48:49" x14ac:dyDescent="0.25">
      <c r="AV806" s="67">
        <v>41.995204138374163</v>
      </c>
      <c r="AW806" s="67">
        <v>75.945310426787074</v>
      </c>
    </row>
    <row r="807" spans="48:49" x14ac:dyDescent="0.25">
      <c r="AV807" s="67">
        <v>42.005007812054373</v>
      </c>
      <c r="AW807" s="67">
        <v>75.848314377895747</v>
      </c>
    </row>
    <row r="808" spans="48:49" x14ac:dyDescent="0.25">
      <c r="AV808" s="67">
        <v>42.014845138658359</v>
      </c>
      <c r="AW808" s="67">
        <v>75.750704687195409</v>
      </c>
    </row>
    <row r="809" spans="48:49" x14ac:dyDescent="0.25">
      <c r="AV809" s="67">
        <v>42.024716034511471</v>
      </c>
      <c r="AW809" s="67">
        <v>75.65247826178647</v>
      </c>
    </row>
    <row r="810" spans="48:49" x14ac:dyDescent="0.25">
      <c r="AV810" s="67">
        <v>42.034620413436528</v>
      </c>
      <c r="AW810" s="67">
        <v>75.553632005485426</v>
      </c>
    </row>
    <row r="811" spans="48:49" x14ac:dyDescent="0.25">
      <c r="AV811" s="67">
        <v>42.044558186785757</v>
      </c>
      <c r="AW811" s="67">
        <v>75.454162818900556</v>
      </c>
    </row>
    <row r="812" spans="48:49" x14ac:dyDescent="0.25">
      <c r="AV812" s="67">
        <v>42.05452926347192</v>
      </c>
      <c r="AW812" s="67">
        <v>75.354067599505797</v>
      </c>
    </row>
    <row r="813" spans="48:49" x14ac:dyDescent="0.25">
      <c r="AV813" s="67">
        <v>42.064533550000483</v>
      </c>
      <c r="AW813" s="67">
        <v>75.253343241714745</v>
      </c>
    </row>
    <row r="814" spans="48:49" x14ac:dyDescent="0.25">
      <c r="AV814" s="67">
        <v>42.074570950503407</v>
      </c>
      <c r="AW814" s="67">
        <v>75.151986636955073</v>
      </c>
    </row>
    <row r="815" spans="48:49" x14ac:dyDescent="0.25">
      <c r="AV815" s="67">
        <v>42.084641366772871</v>
      </c>
      <c r="AW815" s="67">
        <v>75.049994673741267</v>
      </c>
    </row>
    <row r="816" spans="48:49" x14ac:dyDescent="0.25">
      <c r="AV816" s="67">
        <v>42.094744698296147</v>
      </c>
      <c r="AW816" s="67">
        <v>74.947364237748602</v>
      </c>
    </row>
    <row r="817" spans="48:49" x14ac:dyDescent="0.25">
      <c r="AV817" s="67">
        <v>42.10488084229155</v>
      </c>
      <c r="AW817" s="67">
        <v>74.844092211885766</v>
      </c>
    </row>
    <row r="818" spans="48:49" x14ac:dyDescent="0.25">
      <c r="AV818" s="67">
        <v>42.115049693743913</v>
      </c>
      <c r="AW818" s="67">
        <v>74.740175476366531</v>
      </c>
    </row>
    <row r="819" spans="48:49" x14ac:dyDescent="0.25">
      <c r="AV819" s="67">
        <v>42.125251145443087</v>
      </c>
      <c r="AW819" s="67">
        <v>74.635610908782908</v>
      </c>
    </row>
    <row r="820" spans="48:49" x14ac:dyDescent="0.25">
      <c r="AV820" s="67">
        <v>42.135485088020857</v>
      </c>
      <c r="AW820" s="67">
        <v>74.530395384176202</v>
      </c>
    </row>
    <row r="821" spans="48:49" x14ac:dyDescent="0.25">
      <c r="AV821" s="67">
        <v>42.145751409989657</v>
      </c>
      <c r="AW821" s="67">
        <v>74.424525775107682</v>
      </c>
    </row>
  </sheetData>
  <conditionalFormatting sqref="J5:N19 B5:H29 AP5:AQ64 P5:T75 BH5:BM76 AS5:AT95 BB5:BC131 BE5:BF184 AA5:AD203 AK5:AN224 V5:Y372 AF5:AI411 AY5:AZ781 AV5:AW821">
    <cfRule type="expression" dxfId="0" priority="1">
      <formula>NOT(Stand_ok)</formula>
    </cfRule>
  </conditionalFormatting>
  <hyperlinks>
    <hyperlink ref="B3" location="'Übersicht'!A1" display="Gassäulen tief (Stillstand)" xr:uid="{00000000-0004-0000-08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89</vt:i4>
      </vt:variant>
    </vt:vector>
  </HeadingPairs>
  <TitlesOfParts>
    <vt:vector size="98" baseType="lpstr">
      <vt:lpstr>Übersicht</vt:lpstr>
      <vt:lpstr>01 Stillstand</vt:lpstr>
      <vt:lpstr>02 Arbeitsgas &amp; Teufe</vt:lpstr>
      <vt:lpstr>03 Raten</vt:lpstr>
      <vt:lpstr>04 Bohrlochkopf</vt:lpstr>
      <vt:lpstr>05 Gemisch vs rein</vt:lpstr>
      <vt:lpstr>06 Ausspeichergas</vt:lpstr>
      <vt:lpstr>Quellen</vt:lpstr>
      <vt:lpstr>Diagrammdaten</vt:lpstr>
      <vt:lpstr>A_strang</vt:lpstr>
      <vt:lpstr>a_w</vt:lpstr>
      <vt:lpstr>a_w_sole</vt:lpstr>
      <vt:lpstr>AG_lang_flach</vt:lpstr>
      <vt:lpstr>AG_lang_tief</vt:lpstr>
      <vt:lpstr>AG_schnell_flach</vt:lpstr>
      <vt:lpstr>AG_schnell_tief</vt:lpstr>
      <vt:lpstr>AG_zyk_tief_100</vt:lpstr>
      <vt:lpstr>CH4_aus_tief_gem</vt:lpstr>
      <vt:lpstr>CH4_mikro</vt:lpstr>
      <vt:lpstr>CO2_aus_tief_gem</vt:lpstr>
      <vt:lpstr>D_strang</vt:lpstr>
      <vt:lpstr>dpdt_max</vt:lpstr>
      <vt:lpstr>dpdt_vors</vt:lpstr>
      <vt:lpstr>dz_bezug</vt:lpstr>
      <vt:lpstr>f_darcy</vt:lpstr>
      <vt:lpstr>finger</vt:lpstr>
      <vt:lpstr>g</vt:lpstr>
      <vt:lpstr>grad_pmax</vt:lpstr>
      <vt:lpstr>grad_pmin</vt:lpstr>
      <vt:lpstr>gradT</vt:lpstr>
      <vt:lpstr>Grenzrate_flach</vt:lpstr>
      <vt:lpstr>Grenzrate_tief</vt:lpstr>
      <vt:lpstr>H2S_ppm</vt:lpstr>
      <vt:lpstr>Kopf_grenz_tief</vt:lpstr>
      <vt:lpstr>Kopf_leer_flach</vt:lpstr>
      <vt:lpstr>Kopf_leer_tief</vt:lpstr>
      <vt:lpstr>Kopf_voll_flach</vt:lpstr>
      <vt:lpstr>Kopf_voll_flach_gem</vt:lpstr>
      <vt:lpstr>Kopf_voll_tief</vt:lpstr>
      <vt:lpstr>Kopf_voll_tief_gem</vt:lpstr>
      <vt:lpstr>M_ch4</vt:lpstr>
      <vt:lpstr>M_diesel</vt:lpstr>
      <vt:lpstr>M_gem</vt:lpstr>
      <vt:lpstr>M_H2O</vt:lpstr>
      <vt:lpstr>M_oel</vt:lpstr>
      <vt:lpstr>M_rein</vt:lpstr>
      <vt:lpstr>mdot_100</vt:lpstr>
      <vt:lpstr>mdot_50</vt:lpstr>
      <vt:lpstr>N_norm</vt:lpstr>
      <vt:lpstr>oel</vt:lpstr>
      <vt:lpstr>p_dicht</vt:lpstr>
      <vt:lpstr>p_gas</vt:lpstr>
      <vt:lpstr>p_krit</vt:lpstr>
      <vt:lpstr>pgrenz_tief</vt:lpstr>
      <vt:lpstr>pmax_flach</vt:lpstr>
      <vt:lpstr>pmax_tief</vt:lpstr>
      <vt:lpstr>pmin_flach</vt:lpstr>
      <vt:lpstr>pmin_tief</vt:lpstr>
      <vt:lpstr>Q1_p</vt:lpstr>
      <vt:lpstr>Q1_T</vt:lpstr>
      <vt:lpstr>Q2_p</vt:lpstr>
      <vt:lpstr>Q2_T</vt:lpstr>
      <vt:lpstr>restsole</vt:lpstr>
      <vt:lpstr>rho_diesel</vt:lpstr>
      <vt:lpstr>rho_n_gem</vt:lpstr>
      <vt:lpstr>rho_n_rein</vt:lpstr>
      <vt:lpstr>rho_salz</vt:lpstr>
      <vt:lpstr>Schwelle_tief</vt:lpstr>
      <vt:lpstr>Stand_ok</vt:lpstr>
      <vt:lpstr>T_ein</vt:lpstr>
      <vt:lpstr>T_krit</vt:lpstr>
      <vt:lpstr>T_marge</vt:lpstr>
      <vt:lpstr>t_still</vt:lpstr>
      <vt:lpstr>T0</vt:lpstr>
      <vt:lpstr>Tb_flach</vt:lpstr>
      <vt:lpstr>Tb_tief</vt:lpstr>
      <vt:lpstr>TGV_flach</vt:lpstr>
      <vt:lpstr>TGV_flach_gem</vt:lpstr>
      <vt:lpstr>TGV_tief</vt:lpstr>
      <vt:lpstr>TGV_tief_gem</vt:lpstr>
      <vt:lpstr>UA</vt:lpstr>
      <vt:lpstr>UA_ref</vt:lpstr>
      <vt:lpstr>V_blanket</vt:lpstr>
      <vt:lpstr>V_kav</vt:lpstr>
      <vt:lpstr>v_max</vt:lpstr>
      <vt:lpstr>V_ref</vt:lpstr>
      <vt:lpstr>Vn_max</vt:lpstr>
      <vt:lpstr>Vn_min</vt:lpstr>
      <vt:lpstr>Wasser_gNm3</vt:lpstr>
      <vt:lpstr>y_flach_gem</vt:lpstr>
      <vt:lpstr>y_flach_rein</vt:lpstr>
      <vt:lpstr>y_tief_gem</vt:lpstr>
      <vt:lpstr>y_tief_rein</vt:lpstr>
      <vt:lpstr>z_flach</vt:lpstr>
      <vt:lpstr>z_tief</vt:lpstr>
      <vt:lpstr>z_Tkrit</vt:lpstr>
      <vt:lpstr>zb_flach</vt:lpstr>
      <vt:lpstr>zb_tief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Maxara (smaxara)</cp:lastModifiedBy>
  <dcterms:created xsi:type="dcterms:W3CDTF">2026-10-01T16:28:18Z</dcterms:created>
  <dcterms:modified xsi:type="dcterms:W3CDTF">2026-10-01T16:45:17Z</dcterms:modified>
</cp:coreProperties>
</file>