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01 Stillstand &amp; Zieldruck" sheetId="2" state="visible" r:id="rId2"/>
    <sheet xmlns:r="http://schemas.openxmlformats.org/officeDocument/2006/relationships" name="02 Arbeitsgas &amp; Teufe" sheetId="3" state="visible" r:id="rId3"/>
    <sheet xmlns:r="http://schemas.openxmlformats.org/officeDocument/2006/relationships" name="03 Zyklus" sheetId="4" state="visible" r:id="rId4"/>
    <sheet xmlns:r="http://schemas.openxmlformats.org/officeDocument/2006/relationships" name="04 Bohrlochkopf" sheetId="5" state="visible" r:id="rId5"/>
    <sheet xmlns:r="http://schemas.openxmlformats.org/officeDocument/2006/relationships" name="05 Speicherbedarf" sheetId="6" state="visible" r:id="rId6"/>
    <sheet xmlns:r="http://schemas.openxmlformats.org/officeDocument/2006/relationships" name="06 Ausspeichergas" sheetId="7" state="visible" r:id="rId7"/>
    <sheet xmlns:r="http://schemas.openxmlformats.org/officeDocument/2006/relationships" name="Rein vs. Gemisch" sheetId="8" state="visible" r:id="rId8"/>
    <sheet xmlns:r="http://schemas.openxmlformats.org/officeDocument/2006/relationships" name="Quellen" sheetId="9" state="visible" r:id="rId9"/>
    <sheet xmlns:r="http://schemas.openxmlformats.org/officeDocument/2006/relationships" name="Diagrammdaten" sheetId="10" state="visible" r:id="rId10"/>
  </sheets>
  <definedNames>
    <definedName name="z_lccs">Übersicht!$F$30</definedName>
    <definedName name="dz_bezug">Übersicht!$F$31</definedName>
    <definedName name="V_kav">Übersicht!$F$32</definedName>
    <definedName name="p_max">Übersicht!$F$33</definedName>
    <definedName name="p_min">Übersicht!$F$34</definedName>
    <definedName name="T0">Übersicht!$F$36</definedName>
    <definedName name="gradT">Übersicht!$F$37</definedName>
    <definedName name="UA">Übersicht!$F$38</definedName>
    <definedName name="Vn_min">Übersicht!$F$40</definedName>
    <definedName name="Vn_max">Übersicht!$F$41</definedName>
    <definedName name="dpdt_max">Übersicht!$F$42</definedName>
    <definedName name="dpdt_vors">Übersicht!$F$43</definedName>
    <definedName name="t_still">Übersicht!$F$44</definedName>
    <definedName name="D_strang">Übersicht!$F$46</definedName>
    <definedName name="f_darcy">Übersicht!$F$47</definedName>
    <definedName name="v_max">Übersicht!$F$48</definedName>
    <definedName name="p_rueck">Übersicht!$F$50</definedName>
    <definedName name="p_gas">Übersicht!$F$51</definedName>
    <definedName name="T_kopf_min">Übersicht!$F$52</definedName>
    <definedName name="Stand_ok">Übersicht!$Q$26</definedName>
    <definedName name="Kopf_voll">'01 Stillstand &amp; Zieldruck'!$D$8</definedName>
    <definedName name="Kopf_leer">'01 Stillstand &amp; Zieldruck'!$D$10</definedName>
    <definedName name="p_grenzfall">'01 Stillstand &amp; Zieldruck'!$C$9</definedName>
    <definedName name="Kopf_betr_S1">'01 Stillstand &amp; Zieldruck'!$D$15</definedName>
    <definedName name="Kopf_betr_S2">'01 Stillstand &amp; Zieldruck'!$D$17</definedName>
    <definedName name="TGV">'02 Arbeitsgas &amp; Teufe'!$C$7</definedName>
    <definedName name="Grenzrate">'03 Zyklus'!$L$19</definedName>
    <definedName name="AG_zyklus">'03 Zyklus'!$C$54</definedName>
    <definedName name="AG_anteil">'03 Zyklus'!$D$54</definedName>
    <definedName name="Zyklusdauer">'03 Zyklus'!$E$54</definedName>
    <definedName name="Zyklen_a">'03 Zyklus'!$F$54</definedName>
    <definedName name="Kopf_aus_min">'04 Bohrlochkopf'!$D$15</definedName>
    <definedName name="T_kopf_aus_min">'04 Bohrlochkopf'!$D$16</definedName>
    <definedName name="T_drossel_min">'04 Bohrlochkopf'!$D$17</definedName>
    <definedName name="Kavernen_min">'05 Speicherbedarf'!$C$9</definedName>
    <definedName name="Kavernen_max">'05 Speicherbedarf'!$D$9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"/>
    <numFmt numFmtId="166" formatCode="0.0000"/>
    <numFmt numFmtId="167" formatCode="#,##0.0#"/>
    <numFmt numFmtId="168" formatCode="#,##0.0"/>
    <numFmt numFmtId="169" formatCode="0.000000"/>
  </numFmts>
  <fonts count="21">
    <font>
      <name val="Calibri"/>
      <family val="2"/>
      <color theme="1"/>
      <sz val="11"/>
      <scheme val="minor"/>
    </font>
    <font>
      <name val="Calibri"/>
      <b val="1"/>
      <color rgb="0000304F"/>
      <sz val="20"/>
    </font>
    <font>
      <name val="Calibri"/>
      <i val="1"/>
      <color rgb="00595959"/>
      <sz val="10"/>
    </font>
    <font>
      <name val="Calibri"/>
      <b val="1"/>
      <color rgb="0000304F"/>
      <sz val="11"/>
    </font>
    <font>
      <name val="Calibri"/>
      <sz val="10"/>
    </font>
    <font>
      <name val="Calibri"/>
      <b val="1"/>
      <color rgb="000000FF"/>
      <sz val="10"/>
    </font>
    <font>
      <name val="Calibri"/>
      <i val="1"/>
      <color rgb="00595959"/>
      <sz val="9"/>
    </font>
    <font>
      <name val="Calibri"/>
      <color rgb="00404040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9C0006"/>
      <sz val="10"/>
    </font>
    <font>
      <name val="Calibri"/>
      <b val="1"/>
      <color rgb="000476D9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304F"/>
      <sz val="10"/>
    </font>
    <font>
      <color rgb="00FFFFFF"/>
      <sz val="8"/>
    </font>
    <font>
      <b val="1"/>
      <color rgb="0000304F"/>
    </font>
    <font>
      <b val="1"/>
    </font>
    <font>
      <name val="Calibri"/>
      <b val="1"/>
      <color rgb="00CA220E"/>
      <sz val="10"/>
    </font>
    <font>
      <name val="Calibri"/>
      <b val="1"/>
      <color rgb="0000304F"/>
      <sz val="16"/>
    </font>
  </fonts>
  <fills count="11">
    <fill>
      <patternFill/>
    </fill>
    <fill>
      <patternFill patternType="gray125"/>
    </fill>
    <fill>
      <patternFill patternType="solid">
        <fgColor rgb="00FFF7E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00304F"/>
      </patternFill>
    </fill>
    <fill>
      <patternFill patternType="solid">
        <fgColor rgb="001F4E79"/>
      </patternFill>
    </fill>
    <fill>
      <patternFill patternType="solid">
        <fgColor rgb="00DDE7F0"/>
      </patternFill>
    </fill>
  </fills>
  <borders count="17">
    <border>
      <left/>
      <right/>
      <top/>
      <bottom/>
      <diagonal/>
    </border>
    <border>
      <left style="thin">
        <color rgb="00EE7203"/>
      </left>
      <right style="thin">
        <color rgb="00EE7203"/>
      </right>
      <top style="thin">
        <color rgb="00EE7203"/>
      </top>
      <bottom style="thin">
        <color rgb="00EE7203"/>
      </bottom>
    </border>
    <border>
      <left/>
      <right/>
      <top style="thin">
        <color rgb="00EE7203"/>
      </top>
      <bottom/>
      <diagonal/>
    </border>
    <border>
      <left style="thin">
        <color rgb="00EE7203"/>
      </left>
      <right/>
      <top/>
      <bottom/>
      <diagonal/>
    </border>
    <border>
      <left/>
      <right style="thin">
        <color rgb="00EE7203"/>
      </right>
      <top style="thin">
        <color rgb="00EE7203"/>
      </top>
      <bottom/>
      <diagonal/>
    </border>
    <border>
      <left/>
      <right style="thin">
        <color rgb="00EE7203"/>
      </right>
      <top/>
      <bottom/>
      <diagonal/>
    </border>
    <border>
      <left style="thin">
        <color rgb="00EE7203"/>
      </left>
      <right/>
      <top/>
      <bottom style="thin">
        <color rgb="00EE7203"/>
      </bottom>
      <diagonal/>
    </border>
    <border>
      <left/>
      <right/>
      <top/>
      <bottom style="thin">
        <color rgb="00EE7203"/>
      </bottom>
      <diagonal/>
    </border>
    <border>
      <left/>
      <right style="thin">
        <color rgb="00EE7203"/>
      </right>
      <top/>
      <bottom style="thin">
        <color rgb="00EE7203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EE7203"/>
      </top>
      <bottom style="thin">
        <color rgb="00EE7203"/>
      </bottom>
      <diagonal/>
    </border>
    <border>
      <left/>
      <right style="thin">
        <color rgb="00EE7203"/>
      </right>
      <top style="thin">
        <color rgb="00EE7203"/>
      </top>
      <bottom style="thin">
        <color rgb="00EE7203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164" fontId="5" fillId="3" borderId="9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5" pivotButton="0" quotePrefix="0" xfId="0"/>
    <xf numFmtId="164" fontId="7" fillId="4" borderId="9" applyAlignment="1" pivotButton="0" quotePrefix="0" xfId="0">
      <alignment horizontal="center" vertical="center"/>
    </xf>
    <xf numFmtId="164" fontId="8" fillId="5" borderId="9" applyAlignment="1" pivotButton="0" quotePrefix="0" xfId="0">
      <alignment horizontal="center" vertical="center"/>
    </xf>
    <xf numFmtId="164" fontId="9" fillId="6" borderId="9" applyAlignment="1" pivotButton="0" quotePrefix="0" xfId="0">
      <alignment horizontal="center" vertical="center"/>
    </xf>
    <xf numFmtId="0" fontId="10" fillId="7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0" borderId="0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12" fillId="8" borderId="0" applyAlignment="1" pivotButton="0" quotePrefix="0" xfId="0">
      <alignment vertical="center"/>
    </xf>
    <xf numFmtId="0" fontId="13" fillId="0" borderId="9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16" fillId="0" borderId="0" pivotButton="0" quotePrefix="0" xfId="0"/>
    <xf numFmtId="0" fontId="14" fillId="9" borderId="9" applyAlignment="1" pivotButton="0" quotePrefix="0" xfId="0">
      <alignment horizontal="center" vertical="center" wrapText="1"/>
    </xf>
    <xf numFmtId="0" fontId="15" fillId="10" borderId="9" applyAlignment="1" pivotButton="0" quotePrefix="0" xfId="0">
      <alignment vertical="center"/>
    </xf>
    <xf numFmtId="0" fontId="4" fillId="0" borderId="9" applyAlignment="1" pivotButton="0" quotePrefix="0" xfId="0">
      <alignment vertical="center" wrapText="1"/>
    </xf>
    <xf numFmtId="1" fontId="5" fillId="3" borderId="9" applyAlignment="1" pivotButton="0" quotePrefix="0" xfId="0">
      <alignment horizontal="center" vertical="center"/>
    </xf>
    <xf numFmtId="1" fontId="7" fillId="4" borderId="9" applyAlignment="1" pivotButton="0" quotePrefix="0" xfId="0">
      <alignment horizontal="center" vertical="center"/>
    </xf>
    <xf numFmtId="3" fontId="5" fillId="3" borderId="9" applyAlignment="1" pivotButton="0" quotePrefix="0" xfId="0">
      <alignment horizontal="center" vertical="center"/>
    </xf>
    <xf numFmtId="3" fontId="7" fillId="4" borderId="9" applyAlignment="1" pivotButton="0" quotePrefix="0" xfId="0">
      <alignment horizontal="center" vertical="center"/>
    </xf>
    <xf numFmtId="165" fontId="5" fillId="3" borderId="9" applyAlignment="1" pivotButton="0" quotePrefix="0" xfId="0">
      <alignment horizontal="center" vertical="center"/>
    </xf>
    <xf numFmtId="165" fontId="7" fillId="4" borderId="9" applyAlignment="1" pivotButton="0" quotePrefix="0" xfId="0">
      <alignment horizontal="center" vertical="center"/>
    </xf>
    <xf numFmtId="2" fontId="5" fillId="3" borderId="9" applyAlignment="1" pivotButton="0" quotePrefix="0" xfId="0">
      <alignment horizontal="center" vertical="center"/>
    </xf>
    <xf numFmtId="2" fontId="7" fillId="4" borderId="9" applyAlignment="1" pivotButton="0" quotePrefix="0" xfId="0">
      <alignment horizontal="center" vertical="center"/>
    </xf>
    <xf numFmtId="166" fontId="5" fillId="3" borderId="9" applyAlignment="1" pivotButton="0" quotePrefix="0" xfId="0">
      <alignment horizontal="center" vertical="center"/>
    </xf>
    <xf numFmtId="166" fontId="7" fillId="4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3" fontId="9" fillId="6" borderId="9" applyAlignment="1" pivotButton="0" quotePrefix="0" xfId="0">
      <alignment horizontal="center" vertical="center"/>
    </xf>
    <xf numFmtId="1" fontId="9" fillId="6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4" fillId="0" borderId="9" applyAlignment="1" pivotButton="0" quotePrefix="0" xfId="0">
      <alignment horizontal="center" vertical="center" wrapText="1"/>
    </xf>
    <xf numFmtId="3" fontId="8" fillId="5" borderId="9" applyAlignment="1" pivotButton="0" quotePrefix="0" xfId="0">
      <alignment horizontal="center" vertical="center"/>
    </xf>
    <xf numFmtId="9" fontId="9" fillId="6" borderId="9" applyAlignment="1" pivotButton="0" quotePrefix="0" xfId="0">
      <alignment horizontal="center" vertical="center"/>
    </xf>
    <xf numFmtId="9" fontId="8" fillId="5" borderId="9" applyAlignment="1" pivotButton="0" quotePrefix="0" xfId="0">
      <alignment horizontal="center" vertical="center"/>
    </xf>
    <xf numFmtId="9" fontId="7" fillId="4" borderId="9" applyAlignment="1" pivotButton="0" quotePrefix="0" xfId="0">
      <alignment horizontal="center" vertical="center"/>
    </xf>
    <xf numFmtId="165" fontId="8" fillId="5" borderId="9" applyAlignment="1" pivotButton="0" quotePrefix="0" xfId="0">
      <alignment horizontal="center" vertical="center"/>
    </xf>
    <xf numFmtId="2" fontId="8" fillId="5" borderId="9" applyAlignment="1" pivotButton="0" quotePrefix="0" xfId="0">
      <alignment horizontal="center" vertical="center"/>
    </xf>
    <xf numFmtId="1" fontId="8" fillId="5" borderId="9" applyAlignment="1" pivotButton="0" quotePrefix="0" xfId="0">
      <alignment horizontal="center" vertical="center"/>
    </xf>
    <xf numFmtId="167" fontId="7" fillId="4" borderId="9" applyAlignment="1" pivotButton="0" quotePrefix="0" xfId="0">
      <alignment horizontal="center" vertical="center"/>
    </xf>
    <xf numFmtId="168" fontId="7" fillId="4" borderId="9" applyAlignment="1" pivotButton="0" quotePrefix="0" xfId="0">
      <alignment horizontal="center" vertical="center"/>
    </xf>
    <xf numFmtId="169" fontId="7" fillId="4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20" fillId="0" borderId="0" pivotButton="0" quotePrefix="0" xfId="0"/>
    <xf numFmtId="0" fontId="2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>
          <bgColor rgb="00FFE5E5"/>
        </patternFill>
      </fill>
    </dxf>
    <dxf>
      <font>
        <b val="1"/>
        <color rgb="00007335"/>
      </font>
    </dxf>
    <dxf>
      <font>
        <color rgb="009C0006"/>
      </font>
      <fill>
        <patternFill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Druck im Bohrloch: Stillstand und Einspeisen (100.000 Nm³/h)</a:t>
            </a:r>
          </a:p>
        </rich>
      </tx>
      <overlay val="0"/>
    </title>
    <plotArea>
      <scatterChart>
        <ser>
          <idx val="0"/>
          <order val="0"/>
          <tx>
            <v>Stillstand voll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'Diagrammdaten'!$D$7:$D$31</f>
            </numRef>
          </xVal>
          <yVal>
            <numRef>
              <f>'Diagrammdaten'!$B$7:$B$31</f>
            </numRef>
          </yVal>
          <smooth val="0"/>
        </ser>
        <ser>
          <idx val="1"/>
          <order val="1"/>
          <tx>
            <v>Stillstand Grenzfall</v>
          </tx>
          <spPr>
            <a:ln xmlns:a="http://schemas.openxmlformats.org/drawingml/2006/main" w="254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'Diagrammdaten'!$E$7:$E$31</f>
            </numRef>
          </xVal>
          <yVal>
            <numRef>
              <f>'Diagrammdaten'!$B$7:$B$31</f>
            </numRef>
          </yVal>
          <smooth val="0"/>
        </ser>
        <ser>
          <idx val="2"/>
          <order val="2"/>
          <tx>
            <v>Stillstand leer</v>
          </tx>
          <spPr>
            <a:ln xmlns:a="http://schemas.openxmlformats.org/drawingml/2006/main" w="25400">
              <a:solidFill>
                <a:srgbClr val="8EA9C1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'Diagrammdaten'!$F$7:$F$31</f>
            </numRef>
          </xVal>
          <yVal>
            <numRef>
              <f>'Diagrammdaten'!$B$7:$B$31</f>
            </numRef>
          </yVal>
          <smooth val="0"/>
        </ser>
        <ser>
          <idx val="3"/>
          <order val="3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'Diagrammdaten'!$G$7:$G$31</f>
            </numRef>
          </xVal>
          <yVal>
            <numRef>
              <f>'Diagrammdaten'!$B$7:$B$31</f>
            </numRef>
          </yVal>
          <smooth val="0"/>
        </ser>
        <ser>
          <idx val="4"/>
          <order val="4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'Diagrammdaten'!$I$7:$I$31</f>
            </numRef>
          </xVal>
          <yVal>
            <numRef>
              <f>'Diagrammdaten'!$B$7:$B$31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  <max val="12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Teufe [m]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Temperatur im Bohrloch: Gebirge (Stillstand) und strömende Säule</a:t>
            </a:r>
          </a:p>
        </rich>
      </tx>
      <overlay val="0"/>
    </title>
    <plotArea>
      <scatterChart>
        <ser>
          <idx val="0"/>
          <order val="0"/>
          <tx>
            <v>Gebirge = Stillstand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'Diagrammdaten'!$C$7:$C$31</f>
            </numRef>
          </xVal>
          <yVal>
            <numRef>
              <f>'Diagrammdaten'!$B$7:$B$31</f>
            </numRef>
          </yVal>
          <smooth val="0"/>
        </ser>
        <ser>
          <idx val="1"/>
          <order val="1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'Diagrammdaten'!$H$7:$H$31</f>
            </numRef>
          </xVal>
          <yVal>
            <numRef>
              <f>'Diagrammdaten'!$B$7:$B$31</f>
            </numRef>
          </yVal>
          <smooth val="0"/>
        </ser>
        <ser>
          <idx val="2"/>
          <order val="2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'Diagrammdaten'!$J$7:$J$31</f>
            </numRef>
          </xVal>
          <yVal>
            <numRef>
              <f>'Diagrammdaten'!$B$7:$B$31</f>
            </numRef>
          </yVal>
          <smooth val="0"/>
        </ser>
        <axId val="10"/>
        <axId val="20"/>
      </scatterChart>
      <valAx>
        <axId val="10"/>
        <scaling>
          <orientation val="minMax"/>
          <max val="6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 [°C]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  <max val="12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Teufe [m]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Dichte des Kaverneninhalts über dem Druck (Gebirgstemperatur)</a:t>
            </a:r>
          </a:p>
        </rich>
      </tx>
      <overlay val="0"/>
    </title>
    <plotArea>
      <scatterChart>
        <ser>
          <idx val="0"/>
          <order val="0"/>
          <tx>
            <v>Worst-Case-Gemisch</v>
          </tx>
          <spPr>
            <a:ln xmlns:a="http://schemas.openxmlformats.org/drawingml/2006/main" w="28575">
              <a:solidFill>
                <a:srgbClr val="CA22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'Diagrammdaten'!$L$7:$L$49</f>
            </numRef>
          </xVal>
          <yVal>
            <numRef>
              <f>'Diagrammdaten'!$M$7:$M$49</f>
            </numRef>
          </yVal>
          <smooth val="0"/>
        </ser>
        <axId val="10"/>
        <axId val="20"/>
      </scatterChart>
      <valAx>
        <axId val="10"/>
        <scaling>
          <orientation val="minMax"/>
          <max val="24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Kavernenmitte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Dichte [kg/m³]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Zulässige Rate aus der Druckänderung (10 bar/d bzw. 6 bar/d)</a:t>
            </a:r>
          </a:p>
        </rich>
      </tx>
      <overlay val="0"/>
    </title>
    <plotArea>
      <scatterChart>
        <ser>
          <idx val="0"/>
          <order val="0"/>
          <tx>
            <v>isotherm, 10 bar/d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Zyklus'!$D$16:$D$44</f>
            </numRef>
          </yVal>
          <smooth val="0"/>
        </ser>
        <ser>
          <idx val="1"/>
          <order val="1"/>
          <tx>
            <v>isotherm, 6 bar/d</v>
          </tx>
          <spPr>
            <a:ln xmlns:a="http://schemas.openxmlformats.org/drawingml/2006/main" w="19050">
              <a:solidFill>
                <a:srgbClr val="00304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Zyklus'!$C$16:$C$44</f>
            </numRef>
          </yVal>
          <smooth val="0"/>
        </ser>
        <ser>
          <idx val="2"/>
          <order val="2"/>
          <tx>
            <v>isentrop, 10 bar/d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Zyklus'!$F$16:$F$44</f>
            </numRef>
          </yVal>
          <smooth val="0"/>
        </ser>
        <ser>
          <idx val="3"/>
          <order val="3"/>
          <tx>
            <v>isentrop, 6 bar/d</v>
          </tx>
          <spPr>
            <a:ln xmlns:a="http://schemas.openxmlformats.org/drawingml/2006/main" w="19050">
              <a:solidFill>
                <a:srgbClr val="EE720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'03 Zyklus'!$B$16:$B$44</f>
            </numRef>
          </xVal>
          <yVal>
            <numRef>
              <f>'03 Zyklus'!$E$16:$E$44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6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LCCS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[kg/s]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Druck an der LCCS über einen Zyklus (S2, 100.000 Nm³/h)</a:t>
            </a:r>
          </a:p>
        </rich>
      </tx>
      <overlay val="0"/>
    </title>
    <plotArea>
      <scatterChart>
        <ser>
          <idx val="0"/>
          <order val="0"/>
          <tx>
            <v>Stillstand 21,67 d (Q-028)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'Diagrammdaten'!$O$7:$O$324</f>
            </numRef>
          </xVal>
          <yVal>
            <numRef>
              <f>'Diagrammdaten'!$P$7:$P$324</f>
            </numRef>
          </yVal>
          <smooth val="0"/>
        </ser>
        <ser>
          <idx val="1"/>
          <order val="1"/>
          <tx>
            <v>kontinuierlich (0 d)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'Diagrammdaten'!$R$7:$R$373</f>
            </numRef>
          </xVal>
          <yVal>
            <numRef>
              <f>'Diagrammdaten'!$S$7:$S$373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Zeit [d]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20"/>
          <min val="5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 LCCS [bar]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Temperatur des Kaverneninhalts über einen Zyklus (S2, 100.000 Nm³/h)</a:t>
            </a:r>
          </a:p>
        </rich>
      </tx>
      <overlay val="0"/>
    </title>
    <plotArea>
      <scatterChart>
        <ser>
          <idx val="0"/>
          <order val="0"/>
          <tx>
            <v>Stillstand 21,67 d (Q-028)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'Diagrammdaten'!$O$7:$O$324</f>
            </numRef>
          </xVal>
          <yVal>
            <numRef>
              <f>'Diagrammdaten'!$Q$7:$Q$324</f>
            </numRef>
          </yVal>
          <smooth val="0"/>
        </ser>
        <ser>
          <idx val="1"/>
          <order val="1"/>
          <tx>
            <v>kontinuierlich (0 d)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'Diagrammdaten'!$R$7:$R$373</f>
            </numRef>
          </xVal>
          <yVal>
            <numRef>
              <f>'Diagrammdaten'!$T$7:$T$373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Zeit [d]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[°C]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Kopfdruck über dem Kavernendruck (100.000 Nm³/h) – Kopfdruckfenster</a:t>
            </a:r>
          </a:p>
        </rich>
      </tx>
      <overlay val="0"/>
    </title>
    <plotArea>
      <scatterChart>
        <ser>
          <idx val="0"/>
          <order val="0"/>
          <tx>
            <v>Ausspeisen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304F"/>
              </a:solidFill>
              <a:ln xmlns:a="http://schemas.openxmlformats.org/drawingml/2006/main">
                <a:solidFill>
                  <a:srgbClr val="00304F"/>
                </a:solidFill>
                <a:prstDash val="solid"/>
              </a:ln>
            </spPr>
          </marker>
          <xVal>
            <numRef>
              <f>'Diagrammdaten'!$V$7:$V$14</f>
            </numRef>
          </xVal>
          <yVal>
            <numRef>
              <f>'Diagrammdaten'!$W$7:$W$14</f>
            </numRef>
          </yVal>
          <smooth val="0"/>
        </ser>
        <ser>
          <idx val="1"/>
          <order val="1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7335"/>
              </a:solidFill>
              <a:ln xmlns:a="http://schemas.openxmlformats.org/drawingml/2006/main">
                <a:solidFill>
                  <a:srgbClr val="007335"/>
                </a:solidFill>
                <a:prstDash val="solid"/>
              </a:ln>
            </spPr>
          </marker>
          <xVal>
            <numRef>
              <f>'Diagrammdaten'!$Y$7:$Y$14</f>
            </numRef>
          </xVal>
          <yVal>
            <numRef>
              <f>'Diagrammdaten'!$Z$7:$Z$14</f>
            </numRef>
          </yVal>
          <smooth val="0"/>
        </ser>
        <ser>
          <idx val="2"/>
          <order val="2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E7203"/>
              </a:solidFill>
              <a:ln xmlns:a="http://schemas.openxmlformats.org/drawingml/2006/main">
                <a:solidFill>
                  <a:srgbClr val="EE7203"/>
                </a:solidFill>
                <a:prstDash val="solid"/>
              </a:ln>
            </spPr>
          </marker>
          <xVal>
            <numRef>
              <f>'Diagrammdaten'!$AB$7:$AB$14</f>
            </numRef>
          </xVal>
          <yVal>
            <numRef>
              <f>'Diagrammdaten'!$AC$7:$AC$14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6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LCCS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Kopfdruck [bar]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0304F"/>
                </a:solidFill>
              </a:defRPr>
            </a:pPr>
            <a:r>
              <a:rPr sz="1100" b="1">
                <a:solidFill>
                  <a:srgbClr val="00304F"/>
                </a:solidFill>
              </a:rPr>
              <a:t>Kopftemperatur über dem Kavernendruck (100.000 Nm³/h)</a:t>
            </a:r>
          </a:p>
        </rich>
      </tx>
      <overlay val="0"/>
    </title>
    <plotArea>
      <scatterChart>
        <ser>
          <idx val="0"/>
          <order val="0"/>
          <tx>
            <v>Ausspeisen</v>
          </tx>
          <spPr>
            <a:ln xmlns:a="http://schemas.openxmlformats.org/drawingml/2006/main" w="25400">
              <a:solidFill>
                <a:srgbClr val="00304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304F"/>
              </a:solidFill>
              <a:ln xmlns:a="http://schemas.openxmlformats.org/drawingml/2006/main">
                <a:solidFill>
                  <a:srgbClr val="00304F"/>
                </a:solidFill>
                <a:prstDash val="solid"/>
              </a:ln>
            </spPr>
          </marker>
          <xVal>
            <numRef>
              <f>'Diagrammdaten'!$V$7:$V$14</f>
            </numRef>
          </xVal>
          <yVal>
            <numRef>
              <f>'Diagrammdaten'!$X$7:$X$14</f>
            </numRef>
          </yVal>
          <smooth val="0"/>
        </ser>
        <ser>
          <idx val="1"/>
          <order val="1"/>
          <tx>
            <v>Einspeisen S1</v>
          </tx>
          <spPr>
            <a:ln xmlns:a="http://schemas.openxmlformats.org/drawingml/2006/main" w="25400">
              <a:solidFill>
                <a:srgbClr val="007335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7335"/>
              </a:solidFill>
              <a:ln xmlns:a="http://schemas.openxmlformats.org/drawingml/2006/main">
                <a:solidFill>
                  <a:srgbClr val="007335"/>
                </a:solidFill>
                <a:prstDash val="solid"/>
              </a:ln>
            </spPr>
          </marker>
          <xVal>
            <numRef>
              <f>'Diagrammdaten'!$Y$7:$Y$14</f>
            </numRef>
          </xVal>
          <yVal>
            <numRef>
              <f>'Diagrammdaten'!$AA$7:$AA$14</f>
            </numRef>
          </yVal>
          <smooth val="0"/>
        </ser>
        <ser>
          <idx val="2"/>
          <order val="2"/>
          <tx>
            <v>Einspeisen S2</v>
          </tx>
          <spPr>
            <a:ln xmlns:a="http://schemas.openxmlformats.org/drawingml/2006/main" w="25400">
              <a:solidFill>
                <a:srgbClr val="EE720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E7203"/>
              </a:solidFill>
              <a:ln xmlns:a="http://schemas.openxmlformats.org/drawingml/2006/main">
                <a:solidFill>
                  <a:srgbClr val="EE7203"/>
                </a:solidFill>
                <a:prstDash val="solid"/>
              </a:ln>
            </spPr>
          </marker>
          <xVal>
            <numRef>
              <f>'Diagrammdaten'!$AB$7:$AB$14</f>
            </numRef>
          </xVal>
          <yVal>
            <numRef>
              <f>'Diagrammdaten'!$AD$7:$AD$14</f>
            </numRef>
          </yVal>
          <smooth val="0"/>
        </ser>
        <axId val="10"/>
        <axId val="20"/>
      </scatterChart>
      <valAx>
        <axId val="10"/>
        <scaling>
          <orientation val="minMax"/>
          <max val="220"/>
          <min val="6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LCCS [bar]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Kopftemperatur [°C]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57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57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40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40</row>
      <rowOff>0</rowOff>
    </from>
    <ext cx="61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304F"/>
    <outlinePr summaryBelow="1" summaryRight="1"/>
    <pageSetUpPr fitToPage="1"/>
  </sheetPr>
  <dimension ref="B1:Q67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12" customWidth="1" min="2" max="2"/>
    <col width="12" customWidth="1" min="3" max="3"/>
    <col width="14" customWidth="1" min="4" max="4"/>
    <col width="11" customWidth="1" min="5" max="5"/>
    <col width="12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B1" s="1" t="inlineStr">
        <is>
          <t>CO₂-Zwischenspeicherung in Salzkavernen – Kaverne · Worst-Case-Gemisch</t>
        </is>
      </c>
    </row>
    <row r="2">
      <c r="B2" s="2" t="inlineStr">
        <is>
          <t>Rechenübersicht Kaverne · Masterarbeit Sarah Maxara · TH Köln / Uniper Energy Storage</t>
        </is>
      </c>
    </row>
    <row r="3">
      <c r="B3" s="2" t="inlineStr">
        <is>
          <t>Stand: 15.10.2026 (nach der Besprechung mit K. Vosbeck) · Stoffdaten: CoolProp 8.0.0 (GERG-2008-Mischungsregel, 95 % CO₂ + 5 % Begleitstoffe) · Abbild der Skripte Kaverne/Begleitstoffe_CO2/01–04, 05 und Kaverne/Ausspeichergas/06</t>
        </is>
      </c>
    </row>
    <row r="5">
      <c r="B5" s="3" t="inlineStr">
        <is>
          <t>Worum geht es?</t>
        </is>
      </c>
      <c r="J5" s="3" t="inlineStr">
        <is>
          <t>Farblegende der Zellen</t>
        </is>
      </c>
    </row>
    <row r="6" ht="22" customHeight="1">
      <c r="B6" s="4" t="inlineStr">
        <is>
          <r>
            <rPr>
              <rFont val="Calibri"/>
              <sz val="10"/>
            </rPr>
            <t xml:space="preserve">Diese Mappe zeigt, was in der Kaverne zwischen Einspeicherung und Ausspeicherung passiert – so weit es für die Obertageanlage wichtig ist:
</t>
          </r>
          <r>
            <rPr>
              <rFont val="Calibri"/>
              <sz val="10"/>
            </rPr>
            <t xml:space="preserve">01  Welcher Kopfdruck im Stillstand und – neu – im Betrieb (= Zieldruck der Pumpe)?
</t>
          </r>
          <r>
            <rPr>
              <rFont val="Calibri"/>
              <sz val="10"/>
            </rPr>
            <t xml:space="preserve">02  Wie viel CO₂ lässt sich umschlagen (Arbeitsgas), welche Teufe ist günstig?
</t>
          </r>
          <r>
            <rPr>
              <rFont val="Calibri"/>
              <sz val="10"/>
            </rPr>
            <t xml:space="preserve">03  Welche Rate verträgt die Kaverne, wie verläuft ein Zyklus – mit Stillstand 21,67 d (Q-028) oder kontinuierlich?
</t>
          </r>
          <r>
            <rPr>
              <rFont val="Calibri"/>
              <sz val="10"/>
            </rPr>
            <t xml:space="preserve">04  Welcher Kopfdruck und welche Temperatur beim Ein- und Ausspeichern (Kopfdruckfenster für die Regelung)?
</t>
          </r>
          <r>
            <rPr>
              <rFont val="Calibri"/>
              <sz val="10"/>
            </rPr>
            <t xml:space="preserve">05  Wie viele Kavernen braucht der Bedarf (Q-002), wie oft wird umgeschlagen?
</t>
          </r>
          <r>
            <rPr>
              <rFont val="Calibri"/>
              <sz val="10"/>
            </rPr>
            <t>06  Mit welcher Zusammensetzung startet der Ausspeicherpfad (Min- und Max-Fall nach Q-089)?</t>
          </r>
        </is>
      </c>
      <c r="C6" s="5" t="n"/>
      <c r="D6" s="5" t="n"/>
      <c r="E6" s="5" t="n"/>
      <c r="F6" s="5" t="n"/>
      <c r="G6" s="5" t="n"/>
      <c r="H6" s="6" t="n"/>
      <c r="J6" s="7" t="n">
        <v>210</v>
      </c>
      <c r="K6" s="8" t="inlineStr">
        <is>
          <t>Annahme – darf geändert werden</t>
        </is>
      </c>
    </row>
    <row r="7" ht="22" customHeight="1">
      <c r="B7" s="9" t="n"/>
      <c r="H7" s="10" t="n"/>
      <c r="J7" s="11" t="n">
        <v>806.2</v>
      </c>
      <c r="K7" s="8" t="inlineStr">
        <is>
          <t>Wert aus dem Python-Code – fest</t>
        </is>
      </c>
    </row>
    <row r="8" ht="22" customHeight="1">
      <c r="B8" s="9" t="n"/>
      <c r="H8" s="10" t="n"/>
      <c r="J8" s="12" t="n">
        <v>100</v>
      </c>
      <c r="K8" s="8" t="inlineStr">
        <is>
          <t>Excel-Formel – rechnet sofort mit</t>
        </is>
      </c>
    </row>
    <row r="9" ht="22" customHeight="1">
      <c r="B9" s="9" t="n"/>
      <c r="H9" s="10" t="n"/>
      <c r="J9" s="13" t="n">
        <v>114.3</v>
      </c>
      <c r="K9" s="8" t="inlineStr">
        <is>
          <t>wichtiges Ergebnis</t>
        </is>
      </c>
    </row>
    <row r="10" ht="22" customHeight="1">
      <c r="B10" s="9" t="n"/>
      <c r="H10" s="10" t="n"/>
      <c r="J10" s="14" t="inlineStr">
        <is>
          <t>rot</t>
        </is>
      </c>
      <c r="K10" s="8" t="inlineStr">
        <is>
          <t>fester Wert passt nicht mehr zu den Annahmen → Skripte neu rechnen</t>
        </is>
      </c>
    </row>
    <row r="11" ht="22" customHeight="1">
      <c r="B11" s="15" t="n"/>
      <c r="C11" s="16" t="n"/>
      <c r="D11" s="16" t="n"/>
      <c r="E11" s="16" t="n"/>
      <c r="F11" s="16" t="n"/>
      <c r="G11" s="16" t="n"/>
      <c r="H11" s="17" t="n"/>
    </row>
    <row r="13">
      <c r="B13" s="3" t="inlineStr">
        <is>
          <t>Inhalt</t>
        </is>
      </c>
    </row>
    <row r="14">
      <c r="B14" s="18" t="inlineStr">
        <is>
          <t>→ 01 Stillstand &amp; Zieldruck</t>
        </is>
      </c>
      <c r="E14" s="19" t="inlineStr">
        <is>
          <t>Gassäule für voll, Grenzfall und leer; strömende Säule beim Einspeisen – Zieldruck S1 und S2.</t>
        </is>
      </c>
    </row>
    <row r="15">
      <c r="B15" s="18" t="inlineStr">
        <is>
          <t>→ 02 Arbeitsgas &amp; Teufe</t>
        </is>
      </c>
      <c r="E15" s="19" t="inlineStr">
        <is>
          <t>Inhalt, Kissengas und Arbeitsgas (isotherm / isentrop); Kontrolle gegen DBI; Teufenfenster.</t>
        </is>
      </c>
    </row>
    <row r="16">
      <c r="B16" s="18" t="inlineStr">
        <is>
          <t>→ 03 Zyklus</t>
        </is>
      </c>
      <c r="E16" s="19" t="inlineStr">
        <is>
          <t>Rate aus 10 bar/d; Kavernenbilanz über einen Zyklus (S1/S2, 2 Raten, mit und ohne Stillstand); Nachrechnung Q-028.</t>
        </is>
      </c>
    </row>
    <row r="17">
      <c r="B17" s="18" t="inlineStr">
        <is>
          <t>→ 04 Bohrlochkopf</t>
        </is>
      </c>
      <c r="E17" s="19" t="inlineStr">
        <is>
          <t>Kopfdruckfenster beim Ein- und Ausspeichern, Pumpe oder Drossel, Phase im Strang, Reibung.</t>
        </is>
      </c>
    </row>
    <row r="18">
      <c r="B18" s="18" t="inlineStr">
        <is>
          <t>→ 05 Speicherbedarf</t>
        </is>
      </c>
      <c r="E18" s="19" t="inlineStr">
        <is>
          <t>Arbeitsgas je Kaverne gegen den Bedarf aus Q-002; Zyklen pro Jahr (Q-029). Rechnet live mit.</t>
        </is>
      </c>
    </row>
    <row r="19">
      <c r="B19" s="18" t="inlineStr">
        <is>
          <t>→ 06 Ausspeichergas</t>
        </is>
      </c>
      <c r="E19" s="19" t="inlineStr">
        <is>
          <t>Zusammensetzung nach der Kaverne (Min-/Max-Fall), Wasser, Rückgabegrenzen OGE.</t>
        </is>
      </c>
    </row>
    <row r="20">
      <c r="B20" s="18" t="inlineStr">
        <is>
          <t>→ Rein vs. Gemisch</t>
        </is>
      </c>
      <c r="E20" s="19" t="inlineStr">
        <is>
          <t>Alle Kernzahlen mit dem Worst-Case-Gemisch neben reinem CO₂ (Skript 05).</t>
        </is>
      </c>
    </row>
    <row r="21">
      <c r="B21" s="18" t="inlineStr">
        <is>
          <t>→ Quellen</t>
        </is>
      </c>
      <c r="E21" s="19" t="inlineStr">
        <is>
          <t>Herkunft aller Annahmen mit Fundstelle.</t>
        </is>
      </c>
    </row>
    <row r="22">
      <c r="B22" s="18" t="inlineStr">
        <is>
          <t>→ Diagrammdaten</t>
        </is>
      </c>
      <c r="E22" s="19" t="inlineStr">
        <is>
          <t>Hilfstabellen für die Diagramme (nicht ändern).</t>
        </is>
      </c>
    </row>
    <row r="24">
      <c r="B24" s="20" t="inlineStr">
        <is>
          <t>Annahmen</t>
        </is>
      </c>
    </row>
    <row r="25">
      <c r="B25" s="8" t="inlineStr">
        <is>
          <t>Blaue Werte dürfen geändert werden. Graue Werte kommen aus dem Python-Code (Kavernenbilanz, CoolProp) und passen nur zu den Annahmen in „gerechnet mit“ – wird eine Annahme geändert, färben sich alle grauen Werte rot: Skripte neu rechnen und diese Mappe neu erzeugen.</t>
        </is>
      </c>
    </row>
    <row r="26">
      <c r="B26" s="21" t="inlineStr">
        <is>
          <t>Status</t>
        </is>
      </c>
      <c r="C26" s="22" t="n"/>
      <c r="D26" s="23" t="n"/>
      <c r="E26" s="21">
        <f>IF(Stand_ok,"✔ Alle grauen Werte passen zu den Annahmen.","⚠ Mindestens eine Annahme wurde geändert – rot markierte Werte sind veraltet: Skripte neu rechnen.")</f>
        <v/>
      </c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 t="n"/>
      <c r="Q26" s="24">
        <f>COUNTIF($N$29:$N$54,"⚠*")=0</f>
        <v/>
      </c>
    </row>
    <row r="28" ht="20" customHeight="1">
      <c r="B28" s="25" t="inlineStr">
        <is>
          <t>Größe</t>
        </is>
      </c>
      <c r="C28" s="22" t="n"/>
      <c r="D28" s="23" t="n"/>
      <c r="E28" s="25" t="inlineStr">
        <is>
          <t>Symbol</t>
        </is>
      </c>
      <c r="F28" s="25" t="inlineStr">
        <is>
          <t>Wert</t>
        </is>
      </c>
      <c r="G28" s="25" t="inlineStr">
        <is>
          <t>Einheit</t>
        </is>
      </c>
      <c r="H28" s="25" t="inlineStr">
        <is>
          <t>Quelle / Begründung</t>
        </is>
      </c>
      <c r="I28" s="22" t="n"/>
      <c r="J28" s="22" t="n"/>
      <c r="K28" s="22" t="n"/>
      <c r="L28" s="23" t="n"/>
      <c r="M28" s="25" t="inlineStr">
        <is>
          <t>gerechnet mit</t>
        </is>
      </c>
      <c r="N28" s="25" t="inlineStr">
        <is>
          <t>Status</t>
        </is>
      </c>
      <c r="O28" s="23" t="n"/>
    </row>
    <row r="29">
      <c r="B29" s="26" t="inlineStr">
        <is>
          <t>Referenzkaverne (nur tief – die flache Kaverne entfällt, Q-030 S. 17)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 t="n"/>
    </row>
    <row r="30" ht="18" customHeight="1">
      <c r="B30" s="27" t="inlineStr">
        <is>
          <t>Teufe LCCS</t>
        </is>
      </c>
      <c r="C30" s="22" t="n"/>
      <c r="D30" s="23" t="n"/>
      <c r="E30" s="27" t="inlineStr">
        <is>
          <t>z_lccs</t>
        </is>
      </c>
      <c r="F30" s="28" t="n">
        <v>1200</v>
      </c>
      <c r="G30" s="27" t="inlineStr">
        <is>
          <t>m</t>
        </is>
      </c>
      <c r="H30" s="27" t="inlineStr">
        <is>
          <t>Q-030 Tab. 1, Option 2 (Uniper-Bestand); abgestimmt mit M. Wall</t>
        </is>
      </c>
      <c r="I30" s="22" t="n"/>
      <c r="J30" s="22" t="n"/>
      <c r="K30" s="22" t="n"/>
      <c r="L30" s="23" t="n"/>
      <c r="M30" s="29" t="n">
        <v>1200</v>
      </c>
      <c r="N30" s="27">
        <f>IF(ABS(F30-M30)&lt;0.000000001,"✔ passt","⚠ geändert – neu rechnen")</f>
        <v/>
      </c>
      <c r="O30" s="23" t="n"/>
    </row>
    <row r="31" ht="27" customHeight="1">
      <c r="B31" s="27" t="inlineStr">
        <is>
          <t>Bezugsteufe des Kaverneninhalts unter der LCCS</t>
        </is>
      </c>
      <c r="C31" s="22" t="n"/>
      <c r="D31" s="23" t="n"/>
      <c r="E31" s="27" t="inlineStr">
        <is>
          <t>dz_bezug</t>
        </is>
      </c>
      <c r="F31" s="28" t="n">
        <v>205</v>
      </c>
      <c r="G31" s="27" t="inlineStr">
        <is>
          <t>m</t>
        </is>
      </c>
      <c r="H31" s="27" t="inlineStr">
        <is>
          <t>Q-028 Tab. 1: LCCS 1150 m, Kavernentemperatur in 1355 m angegeben → gleiche Form</t>
        </is>
      </c>
      <c r="I31" s="22" t="n"/>
      <c r="J31" s="22" t="n"/>
      <c r="K31" s="22" t="n"/>
      <c r="L31" s="23" t="n"/>
      <c r="M31" s="29" t="n">
        <v>205</v>
      </c>
      <c r="N31" s="27">
        <f>IF(ABS(F31-M31)&lt;0.000000001,"✔ passt","⚠ geändert – neu rechnen")</f>
        <v/>
      </c>
      <c r="O31" s="23" t="n"/>
    </row>
    <row r="32" ht="27" customHeight="1">
      <c r="B32" s="27" t="inlineStr">
        <is>
          <t>Geometrisches Volumen</t>
        </is>
      </c>
      <c r="C32" s="22" t="n"/>
      <c r="D32" s="23" t="n"/>
      <c r="E32" s="27" t="inlineStr">
        <is>
          <t>V_kav</t>
        </is>
      </c>
      <c r="F32" s="30" t="n">
        <v>650000</v>
      </c>
      <c r="G32" s="27" t="inlineStr">
        <is>
          <t>m³</t>
        </is>
      </c>
      <c r="H32" s="27" t="inlineStr">
        <is>
          <t>Q-028 Tab. 1 („accessible for storage“); bestätigt in der Besprechung K. Vosbeck 15.10.2026</t>
        </is>
      </c>
      <c r="I32" s="22" t="n"/>
      <c r="J32" s="22" t="n"/>
      <c r="K32" s="22" t="n"/>
      <c r="L32" s="23" t="n"/>
      <c r="M32" s="31" t="n">
        <v>650000</v>
      </c>
      <c r="N32" s="27">
        <f>IF(ABS(F32-M32)&lt;0.000000001,"✔ passt","⚠ geändert – neu rechnen")</f>
        <v/>
      </c>
      <c r="O32" s="23" t="n"/>
    </row>
    <row r="33" ht="18" customHeight="1">
      <c r="B33" s="27" t="inlineStr">
        <is>
          <t>Maximaldruck an der LCCS</t>
        </is>
      </c>
      <c r="C33" s="22" t="n"/>
      <c r="D33" s="23" t="n"/>
      <c r="E33" s="27" t="inlineStr">
        <is>
          <t>p_max</t>
        </is>
      </c>
      <c r="F33" s="28" t="n">
        <v>210</v>
      </c>
      <c r="G33" s="27" t="inlineStr">
        <is>
          <t>bar</t>
        </is>
      </c>
      <c r="H33" s="27" t="inlineStr">
        <is>
          <t>Vorgabe M. Wall; zwischen Q-028 Tab. 1 (200) und Q-030 Tab. 1 (240)</t>
        </is>
      </c>
      <c r="I33" s="22" t="n"/>
      <c r="J33" s="22" t="n"/>
      <c r="K33" s="22" t="n"/>
      <c r="L33" s="23" t="n"/>
      <c r="M33" s="29" t="n">
        <v>210</v>
      </c>
      <c r="N33" s="27">
        <f>IF(ABS(F33-M33)&lt;0.000000001,"✔ passt","⚠ geändert – neu rechnen")</f>
        <v/>
      </c>
      <c r="O33" s="23" t="n"/>
    </row>
    <row r="34" ht="18" customHeight="1">
      <c r="B34" s="27" t="inlineStr">
        <is>
          <t>Minimaldruck an der LCCS</t>
        </is>
      </c>
      <c r="C34" s="22" t="n"/>
      <c r="D34" s="23" t="n"/>
      <c r="E34" s="27" t="inlineStr">
        <is>
          <t>p_min</t>
        </is>
      </c>
      <c r="F34" s="28" t="n">
        <v>70</v>
      </c>
      <c r="G34" s="27" t="inlineStr">
        <is>
          <t>bar</t>
        </is>
      </c>
      <c r="H34" s="27" t="inlineStr">
        <is>
          <t>Q-028 Tab. 1: geomechanisches Minimum</t>
        </is>
      </c>
      <c r="I34" s="22" t="n"/>
      <c r="J34" s="22" t="n"/>
      <c r="K34" s="22" t="n"/>
      <c r="L34" s="23" t="n"/>
      <c r="M34" s="29" t="n">
        <v>70</v>
      </c>
      <c r="N34" s="27">
        <f>IF(ABS(F34-M34)&lt;0.000000001,"✔ passt","⚠ geändert – neu rechnen")</f>
        <v/>
      </c>
      <c r="O34" s="23" t="n"/>
    </row>
    <row r="35">
      <c r="B35" s="26" t="inlineStr">
        <is>
          <t>Gebirge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 t="n"/>
    </row>
    <row r="36" ht="18" customHeight="1">
      <c r="B36" s="27" t="inlineStr">
        <is>
          <t>Gebirgstemperatur an der Oberfläche</t>
        </is>
      </c>
      <c r="C36" s="22" t="n"/>
      <c r="D36" s="23" t="n"/>
      <c r="E36" s="27" t="inlineStr">
        <is>
          <t>T0</t>
        </is>
      </c>
      <c r="F36" s="7" t="n">
        <v>10</v>
      </c>
      <c r="G36" s="27" t="inlineStr">
        <is>
          <t>°C</t>
        </is>
      </c>
      <c r="H36" s="27" t="inlineStr">
        <is>
          <t>Q-028 Kap. 3 (S. 5), Fig. 3</t>
        </is>
      </c>
      <c r="I36" s="22" t="n"/>
      <c r="J36" s="22" t="n"/>
      <c r="K36" s="22" t="n"/>
      <c r="L36" s="23" t="n"/>
      <c r="M36" s="11" t="n">
        <v>10</v>
      </c>
      <c r="N36" s="27">
        <f>IF(ABS(F36-M36)&lt;0.000000001,"✔ passt","⚠ geändert – neu rechnen")</f>
        <v/>
      </c>
      <c r="O36" s="23" t="n"/>
    </row>
    <row r="37" ht="18" customHeight="1">
      <c r="B37" s="27" t="inlineStr">
        <is>
          <t>Geothermischer Gradient</t>
        </is>
      </c>
      <c r="C37" s="22" t="n"/>
      <c r="D37" s="23" t="n"/>
      <c r="E37" s="27" t="inlineStr">
        <is>
          <t>gradT</t>
        </is>
      </c>
      <c r="F37" s="32" t="n">
        <v>0.03</v>
      </c>
      <c r="G37" s="27" t="inlineStr">
        <is>
          <t>K/m</t>
        </is>
      </c>
      <c r="H37" s="27" t="inlineStr">
        <is>
          <t>Q-028 Kap. 3 (S. 5), Fig. 3</t>
        </is>
      </c>
      <c r="I37" s="22" t="n"/>
      <c r="J37" s="22" t="n"/>
      <c r="K37" s="22" t="n"/>
      <c r="L37" s="23" t="n"/>
      <c r="M37" s="33" t="n">
        <v>0.03</v>
      </c>
      <c r="N37" s="27">
        <f>IF(ABS(F37-M37)&lt;0.000000001,"✔ passt","⚠ geändert – neu rechnen")</f>
        <v/>
      </c>
      <c r="O37" s="23" t="n"/>
    </row>
    <row r="38" ht="27" customHeight="1">
      <c r="B38" s="27" t="inlineStr">
        <is>
          <t>Wärmeübergang Kaverne–Gebirge (konstant)</t>
        </is>
      </c>
      <c r="C38" s="22" t="n"/>
      <c r="D38" s="23" t="n"/>
      <c r="E38" s="27" t="inlineStr">
        <is>
          <t>UA</t>
        </is>
      </c>
      <c r="F38" s="28" t="n">
        <v>546</v>
      </c>
      <c r="G38" s="27" t="inlineStr">
        <is>
          <t>kW/K</t>
        </is>
      </c>
      <c r="H38" s="27" t="inlineStr">
        <is>
          <t>an der Simulation aus Q-028 (S. 10) kalibriert – Nachrechnung Blatt „03 Zyklus“</t>
        </is>
      </c>
      <c r="I38" s="22" t="n"/>
      <c r="J38" s="22" t="n"/>
      <c r="K38" s="22" t="n"/>
      <c r="L38" s="23" t="n"/>
      <c r="M38" s="29" t="n">
        <v>546</v>
      </c>
      <c r="N38" s="27">
        <f>IF(ABS(F38-M38)&lt;0.000000001,"✔ passt","⚠ geändert – neu rechnen")</f>
        <v/>
      </c>
      <c r="O38" s="23" t="n"/>
    </row>
    <row r="39">
      <c r="B39" s="26" t="inlineStr">
        <is>
          <t>Betrieb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 t="n"/>
    </row>
    <row r="40" ht="18" customHeight="1">
      <c r="B40" s="27" t="inlineStr">
        <is>
          <t>Normvolumenstrom, unterer Fall</t>
        </is>
      </c>
      <c r="C40" s="22" t="n"/>
      <c r="D40" s="23" t="n"/>
      <c r="E40" s="27" t="inlineStr">
        <is>
          <t>Vn_min</t>
        </is>
      </c>
      <c r="F40" s="30" t="n">
        <v>50000</v>
      </c>
      <c r="G40" s="27" t="inlineStr">
        <is>
          <t>Nm³/h</t>
        </is>
      </c>
      <c r="H40" s="27" t="inlineStr">
        <is>
          <t>wie Einspeicherung (abgestimmt mit M. Wall)</t>
        </is>
      </c>
      <c r="I40" s="22" t="n"/>
      <c r="J40" s="22" t="n"/>
      <c r="K40" s="22" t="n"/>
      <c r="L40" s="23" t="n"/>
      <c r="M40" s="31" t="n">
        <v>50000</v>
      </c>
      <c r="N40" s="27">
        <f>IF(ABS(F40-M40)&lt;0.000000001,"✔ passt","⚠ geändert – neu rechnen")</f>
        <v/>
      </c>
      <c r="O40" s="23" t="n"/>
    </row>
    <row r="41" ht="18" customHeight="1">
      <c r="B41" s="27" t="inlineStr">
        <is>
          <t>Normvolumenstrom, oberer Fall (Auslegung)</t>
        </is>
      </c>
      <c r="C41" s="22" t="n"/>
      <c r="D41" s="23" t="n"/>
      <c r="E41" s="27" t="inlineStr">
        <is>
          <t>Vn_max</t>
        </is>
      </c>
      <c r="F41" s="30" t="n">
        <v>100000</v>
      </c>
      <c r="G41" s="27" t="inlineStr">
        <is>
          <t>Nm³/h</t>
        </is>
      </c>
      <c r="H41" s="27" t="inlineStr">
        <is>
          <t>wie Einspeicherung</t>
        </is>
      </c>
      <c r="I41" s="22" t="n"/>
      <c r="J41" s="22" t="n"/>
      <c r="K41" s="22" t="n"/>
      <c r="L41" s="23" t="n"/>
      <c r="M41" s="31" t="n">
        <v>100000</v>
      </c>
      <c r="N41" s="27">
        <f>IF(ABS(F41-M41)&lt;0.000000001,"✔ passt","⚠ geändert – neu rechnen")</f>
        <v/>
      </c>
      <c r="O41" s="23" t="n"/>
    </row>
    <row r="42" ht="18" customHeight="1">
      <c r="B42" s="27" t="inlineStr">
        <is>
          <t>Zulässige Druckänderung an der LCCS</t>
        </is>
      </c>
      <c r="C42" s="22" t="n"/>
      <c r="D42" s="23" t="n"/>
      <c r="E42" s="27" t="inlineStr">
        <is>
          <t>dpdt_max</t>
        </is>
      </c>
      <c r="F42" s="28" t="n">
        <v>10</v>
      </c>
      <c r="G42" s="27" t="inlineStr">
        <is>
          <t>bar/d</t>
        </is>
      </c>
      <c r="H42" s="27" t="inlineStr">
        <is>
          <t>Q-030 Kap. 1.2.1; Q-089 Tab. 2</t>
        </is>
      </c>
      <c r="I42" s="22" t="n"/>
      <c r="J42" s="22" t="n"/>
      <c r="K42" s="22" t="n"/>
      <c r="L42" s="23" t="n"/>
      <c r="M42" s="29" t="n">
        <v>10</v>
      </c>
      <c r="N42" s="27">
        <f>IF(ABS(F42-M42)&lt;0.000000001,"✔ passt","⚠ geändert – neu rechnen")</f>
        <v/>
      </c>
      <c r="O42" s="23" t="n"/>
    </row>
    <row r="43" ht="18" customHeight="1">
      <c r="B43" s="27" t="inlineStr">
        <is>
          <t>Zulässige Druckänderung, vorsichtig (Vergleich)</t>
        </is>
      </c>
      <c r="C43" s="22" t="n"/>
      <c r="D43" s="23" t="n"/>
      <c r="E43" s="27" t="inlineStr">
        <is>
          <t>dpdt_vors</t>
        </is>
      </c>
      <c r="F43" s="28" t="n">
        <v>6</v>
      </c>
      <c r="G43" s="27" t="inlineStr">
        <is>
          <t>bar/d</t>
        </is>
      </c>
      <c r="H43" s="27" t="inlineStr">
        <is>
          <t>Q-028 Tab. 1 (Simulation)</t>
        </is>
      </c>
      <c r="I43" s="22" t="n"/>
      <c r="J43" s="22" t="n"/>
      <c r="K43" s="22" t="n"/>
      <c r="L43" s="23" t="n"/>
      <c r="M43" s="29" t="n">
        <v>6</v>
      </c>
      <c r="N43" s="27">
        <f>IF(ABS(F43-M43)&lt;0.000000001,"✔ passt","⚠ geändert – neu rechnen")</f>
        <v/>
      </c>
      <c r="O43" s="23" t="n"/>
    </row>
    <row r="44" ht="27" customHeight="1">
      <c r="B44" s="27" t="inlineStr">
        <is>
          <t>Stillstand nach Aus- und nach Einspeichern</t>
        </is>
      </c>
      <c r="C44" s="22" t="n"/>
      <c r="D44" s="23" t="n"/>
      <c r="E44" s="27" t="inlineStr">
        <is>
          <t>t_still</t>
        </is>
      </c>
      <c r="F44" s="34" t="n">
        <v>21.67</v>
      </c>
      <c r="G44" s="27" t="inlineStr">
        <is>
          <t>d</t>
        </is>
      </c>
      <c r="H44" s="27" t="inlineStr">
        <is>
          <t>Q-028 S. 10 (Kap. 4): Betriebsszenario „Standstill phase (21.67 d)“ – gleiche Begründung wie dort; Vergleich kontinuierlich (0 d)</t>
        </is>
      </c>
      <c r="I44" s="22" t="n"/>
      <c r="J44" s="22" t="n"/>
      <c r="K44" s="22" t="n"/>
      <c r="L44" s="23" t="n"/>
      <c r="M44" s="35" t="n">
        <v>21.67</v>
      </c>
      <c r="N44" s="27">
        <f>IF(ABS(F44-M44)&lt;0.000000001,"✔ passt","⚠ geändert – neu rechnen")</f>
        <v/>
      </c>
      <c r="O44" s="23" t="n"/>
    </row>
    <row r="45">
      <c r="B45" s="26" t="inlineStr">
        <is>
          <t>Förderstrang und Übergabe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 t="n"/>
    </row>
    <row r="46" ht="18" customHeight="1">
      <c r="B46" s="27" t="inlineStr">
        <is>
          <t>Innendurchmesser Förderstrang (8 5/8" 36# J55)</t>
        </is>
      </c>
      <c r="C46" s="22" t="n"/>
      <c r="D46" s="23" t="n"/>
      <c r="E46" s="27" t="inlineStr">
        <is>
          <t>D_strang</t>
        </is>
      </c>
      <c r="F46" s="36" t="n">
        <v>0.198755</v>
      </c>
      <c r="G46" s="27" t="inlineStr">
        <is>
          <t>m</t>
        </is>
      </c>
      <c r="H46" s="27" t="inlineStr">
        <is>
          <t>Q-030 Tab. 1 und Kap. 1.2.1 (S. 12)</t>
        </is>
      </c>
      <c r="I46" s="22" t="n"/>
      <c r="J46" s="22" t="n"/>
      <c r="K46" s="22" t="n"/>
      <c r="L46" s="23" t="n"/>
      <c r="M46" s="37" t="n">
        <v>0.198755</v>
      </c>
      <c r="N46" s="27">
        <f>IF(ABS(F46-M46)&lt;0.000000001,"✔ passt","⚠ geändert – neu rechnen")</f>
        <v/>
      </c>
      <c r="O46" s="23" t="n"/>
    </row>
    <row r="47" ht="18" customHeight="1">
      <c r="B47" s="27" t="inlineStr">
        <is>
          <t>Rohrreibungszahl (Darcy)</t>
        </is>
      </c>
      <c r="C47" s="22" t="n"/>
      <c r="D47" s="23" t="n"/>
      <c r="E47" s="27" t="inlineStr">
        <is>
          <t>f_darcy</t>
        </is>
      </c>
      <c r="F47" s="32" t="n">
        <v>0.016</v>
      </c>
      <c r="G47" s="27" t="inlineStr">
        <is>
          <t>–</t>
        </is>
      </c>
      <c r="H47" s="27" t="inlineStr">
        <is>
          <t>Q-003 Kap. 6.2: 0,015–0,017 für neues Stahlrohr</t>
        </is>
      </c>
      <c r="I47" s="22" t="n"/>
      <c r="J47" s="22" t="n"/>
      <c r="K47" s="22" t="n"/>
      <c r="L47" s="23" t="n"/>
      <c r="M47" s="33" t="n">
        <v>0.016</v>
      </c>
      <c r="N47" s="27">
        <f>IF(ABS(F47-M47)&lt;0.000000001,"✔ passt","⚠ geändert – neu rechnen")</f>
        <v/>
      </c>
      <c r="O47" s="23" t="n"/>
    </row>
    <row r="48" ht="18" customHeight="1">
      <c r="B48" s="27" t="inlineStr">
        <is>
          <t>Strömungsgeschwindigkeit höchstens</t>
        </is>
      </c>
      <c r="C48" s="22" t="n"/>
      <c r="D48" s="23" t="n"/>
      <c r="E48" s="27" t="inlineStr">
        <is>
          <t>v_max</t>
        </is>
      </c>
      <c r="F48" s="28" t="n">
        <v>20</v>
      </c>
      <c r="G48" s="27" t="inlineStr">
        <is>
          <t>m/s</t>
        </is>
      </c>
      <c r="H48" s="27" t="inlineStr">
        <is>
          <t>Q-030 Kap. 1.2.1</t>
        </is>
      </c>
      <c r="I48" s="22" t="n"/>
      <c r="J48" s="22" t="n"/>
      <c r="K48" s="22" t="n"/>
      <c r="L48" s="23" t="n"/>
      <c r="M48" s="29" t="n">
        <v>20</v>
      </c>
      <c r="N48" s="27">
        <f>IF(ABS(F48-M48)&lt;0.000000001,"✔ passt","⚠ geändert – neu rechnen")</f>
        <v/>
      </c>
      <c r="O48" s="23" t="n"/>
    </row>
    <row r="49" ht="27" customHeight="1">
      <c r="B49" s="27" t="inlineStr">
        <is>
          <t>Strömung im Strang</t>
        </is>
      </c>
      <c r="C49" s="22" t="n"/>
      <c r="D49" s="23" t="n"/>
      <c r="E49" s="27" t="inlineStr">
        <is>
          <t>–</t>
        </is>
      </c>
      <c r="F49" s="38" t="inlineStr">
        <is>
          <t>adiabat</t>
        </is>
      </c>
      <c r="G49" s="27" t="inlineStr">
        <is>
          <t>–</t>
        </is>
      </c>
      <c r="H49" s="27" t="inlineStr">
        <is>
          <t>Besprechung K. Vosbeck 15.10.2026: schnelle Förderung, kein Wärmeaustausch mit dem Gebirge (h + g·z = konst.)</t>
        </is>
      </c>
      <c r="I49" s="22" t="n"/>
      <c r="J49" s="22" t="n"/>
      <c r="K49" s="22" t="n"/>
      <c r="L49" s="23" t="n"/>
      <c r="M49" s="38" t="inlineStr">
        <is>
          <t>–</t>
        </is>
      </c>
      <c r="N49" s="27" t="inlineStr">
        <is>
          <t>Modellannahme</t>
        </is>
      </c>
      <c r="O49" s="23" t="n"/>
    </row>
    <row r="50" ht="18" customHeight="1">
      <c r="B50" s="27" t="inlineStr">
        <is>
          <t>Rückgabe ins Netz (dicht)</t>
        </is>
      </c>
      <c r="C50" s="22" t="n"/>
      <c r="D50" s="23" t="n"/>
      <c r="E50" s="27" t="inlineStr">
        <is>
          <t>p_rueck</t>
        </is>
      </c>
      <c r="F50" s="28" t="n">
        <v>91</v>
      </c>
      <c r="G50" s="27" t="inlineStr">
        <is>
          <t>bar</t>
        </is>
      </c>
      <c r="H50" s="27" t="inlineStr">
        <is>
          <t>OGE-Austausch 16.09.2026 (wie Übergabe S1)</t>
        </is>
      </c>
      <c r="I50" s="22" t="n"/>
      <c r="J50" s="22" t="n"/>
      <c r="K50" s="22" t="n"/>
      <c r="L50" s="23" t="n"/>
      <c r="M50" s="29" t="n">
        <v>91</v>
      </c>
      <c r="N50" s="27">
        <f>IF(ABS(F50-M50)&lt;0.000000001,"✔ passt","⚠ geändert – neu rechnen")</f>
        <v/>
      </c>
      <c r="O50" s="23" t="n"/>
    </row>
    <row r="51" ht="18" customHeight="1">
      <c r="B51" s="27" t="inlineStr">
        <is>
          <t>Gasförmige Übergabe / Drosselung auf</t>
        </is>
      </c>
      <c r="C51" s="22" t="n"/>
      <c r="D51" s="23" t="n"/>
      <c r="E51" s="27" t="inlineStr">
        <is>
          <t>p_gas</t>
        </is>
      </c>
      <c r="F51" s="28" t="n">
        <v>30</v>
      </c>
      <c r="G51" s="27" t="inlineStr">
        <is>
          <t>bar</t>
        </is>
      </c>
      <c r="H51" s="27" t="inlineStr">
        <is>
          <t>wie Übergabe S2</t>
        </is>
      </c>
      <c r="I51" s="22" t="n"/>
      <c r="J51" s="22" t="n"/>
      <c r="K51" s="22" t="n"/>
      <c r="L51" s="23" t="n"/>
      <c r="M51" s="29" t="n">
        <v>30</v>
      </c>
      <c r="N51" s="27">
        <f>IF(ABS(F51-M51)&lt;0.000000001,"✔ passt","⚠ geändert – neu rechnen")</f>
        <v/>
      </c>
      <c r="O51" s="23" t="n"/>
    </row>
    <row r="52" ht="18" customHeight="1">
      <c r="B52" s="27" t="inlineStr">
        <is>
          <t>Kopftemperatur mindestens (Vergleich Erdgas)</t>
        </is>
      </c>
      <c r="C52" s="22" t="n"/>
      <c r="D52" s="23" t="n"/>
      <c r="E52" s="27" t="inlineStr">
        <is>
          <t>T_kopf_min</t>
        </is>
      </c>
      <c r="F52" s="28" t="n">
        <v>5</v>
      </c>
      <c r="G52" s="27" t="inlineStr">
        <is>
          <t>°C</t>
        </is>
      </c>
      <c r="H52" s="27" t="inlineStr">
        <is>
          <t>Q-035 Folie 36 (Speicher Epe, Erdgas)</t>
        </is>
      </c>
      <c r="I52" s="22" t="n"/>
      <c r="J52" s="22" t="n"/>
      <c r="K52" s="22" t="n"/>
      <c r="L52" s="23" t="n"/>
      <c r="M52" s="29" t="n">
        <v>5</v>
      </c>
      <c r="N52" s="27">
        <f>IF(ABS(F52-M52)&lt;0.000000001,"✔ passt","⚠ geändert – neu rechnen")</f>
        <v/>
      </c>
      <c r="O52" s="23" t="n"/>
    </row>
    <row r="53">
      <c r="B53" s="26" t="inlineStr">
        <is>
          <t>Einspeisung (gekoppelt an die Einspeicherung)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 t="n"/>
    </row>
    <row r="54" ht="27" customHeight="1">
      <c r="B54" s="27" t="inlineStr">
        <is>
          <t>Kopftemperatur beim Einspeisen</t>
        </is>
      </c>
      <c r="C54" s="22" t="n"/>
      <c r="D54" s="23" t="n"/>
      <c r="E54" s="27" t="inlineStr">
        <is>
          <t>–</t>
        </is>
      </c>
      <c r="F54" s="38" t="inlineStr">
        <is>
          <t>Pumpenaustritt</t>
        </is>
      </c>
      <c r="G54" s="27" t="inlineStr">
        <is>
          <t>–</t>
        </is>
      </c>
      <c r="H54" s="27" t="inlineStr">
        <is>
          <t>S1: 91 bar / 15 °C + Pumpe; S2: Kühler 91 bar / 26 °C + Pumpe (Einspeicherung/Begleitstoffe_CO2/Grundlagen); bei kleinerem Kopfdruck isenthalp gedrosselt (Q-030 S. 15)</t>
        </is>
      </c>
      <c r="I54" s="22" t="n"/>
      <c r="J54" s="22" t="n"/>
      <c r="K54" s="22" t="n"/>
      <c r="L54" s="23" t="n"/>
      <c r="M54" s="38" t="inlineStr">
        <is>
          <t>–</t>
        </is>
      </c>
      <c r="N54" s="27" t="inlineStr">
        <is>
          <t>Modellannahme</t>
        </is>
      </c>
      <c r="O54" s="23" t="n"/>
    </row>
    <row r="56">
      <c r="B56" s="20" t="inlineStr">
        <is>
          <t>Kernergebnisse auf einen Blick</t>
        </is>
      </c>
    </row>
    <row r="57" ht="18" customHeight="1">
      <c r="B57" s="27" t="inlineStr">
        <is>
          <t>Kopfdruck im Stillstand, Kaverne voll</t>
        </is>
      </c>
      <c r="C57" s="22" t="n"/>
      <c r="D57" s="22" t="n"/>
      <c r="E57" s="23" t="n"/>
      <c r="F57" s="13">
        <f>Kopf_voll</f>
        <v/>
      </c>
      <c r="G57" s="27" t="inlineStr">
        <is>
          <t>bar</t>
        </is>
      </c>
      <c r="H57" s="27" t="inlineStr">
        <is>
          <t>Blatt 01 – ruhende Säule</t>
        </is>
      </c>
      <c r="I57" s="22" t="n"/>
      <c r="J57" s="22" t="n"/>
      <c r="K57" s="22" t="n"/>
      <c r="L57" s="22" t="n"/>
      <c r="M57" s="22" t="n"/>
      <c r="N57" s="22" t="n"/>
      <c r="O57" s="23" t="n"/>
    </row>
    <row r="58" ht="27" customHeight="1">
      <c r="B58" s="27" t="inlineStr">
        <is>
          <t>Zieldruck der Pumpe im Betrieb S1 (100.000 Nm³/h)</t>
        </is>
      </c>
      <c r="C58" s="22" t="n"/>
      <c r="D58" s="22" t="n"/>
      <c r="E58" s="23" t="n"/>
      <c r="F58" s="13">
        <f>Kopf_betr_S1</f>
        <v/>
      </c>
      <c r="G58" s="27" t="inlineStr">
        <is>
          <t>bar</t>
        </is>
      </c>
      <c r="H58" s="27" t="inlineStr">
        <is>
          <t>Blatt 01 – strömende Säule</t>
        </is>
      </c>
      <c r="I58" s="22" t="n"/>
      <c r="J58" s="22" t="n"/>
      <c r="K58" s="22" t="n"/>
      <c r="L58" s="22" t="n"/>
      <c r="M58" s="22" t="n"/>
      <c r="N58" s="22" t="n"/>
      <c r="O58" s="23" t="n"/>
    </row>
    <row r="59" ht="27" customHeight="1">
      <c r="B59" s="27" t="inlineStr">
        <is>
          <t>Zieldruck der Pumpe im Betrieb S2 (100.000 Nm³/h)</t>
        </is>
      </c>
      <c r="C59" s="22" t="n"/>
      <c r="D59" s="22" t="n"/>
      <c r="E59" s="23" t="n"/>
      <c r="F59" s="13">
        <f>Kopf_betr_S2</f>
        <v/>
      </c>
      <c r="G59" s="27" t="inlineStr">
        <is>
          <t>bar</t>
        </is>
      </c>
      <c r="H59" s="27" t="inlineStr">
        <is>
          <t>Blatt 01 – Auslegung der Pumpe</t>
        </is>
      </c>
      <c r="I59" s="22" t="n"/>
      <c r="J59" s="22" t="n"/>
      <c r="K59" s="22" t="n"/>
      <c r="L59" s="22" t="n"/>
      <c r="M59" s="22" t="n"/>
      <c r="N59" s="22" t="n"/>
      <c r="O59" s="23" t="n"/>
    </row>
    <row r="60" ht="18" customHeight="1">
      <c r="B60" s="27" t="inlineStr">
        <is>
          <t>Kopfdruck im Stillstand, Kaverne leer</t>
        </is>
      </c>
      <c r="C60" s="22" t="n"/>
      <c r="D60" s="22" t="n"/>
      <c r="E60" s="23" t="n"/>
      <c r="F60" s="13">
        <f>Kopf_leer</f>
        <v/>
      </c>
      <c r="G60" s="27" t="inlineStr">
        <is>
          <t>bar</t>
        </is>
      </c>
      <c r="H60" s="27" t="inlineStr">
        <is>
          <t>Blatt 01</t>
        </is>
      </c>
      <c r="I60" s="22" t="n"/>
      <c r="J60" s="22" t="n"/>
      <c r="K60" s="22" t="n"/>
      <c r="L60" s="22" t="n"/>
      <c r="M60" s="22" t="n"/>
      <c r="N60" s="22" t="n"/>
      <c r="O60" s="23" t="n"/>
    </row>
    <row r="61" ht="18" customHeight="1">
      <c r="B61" s="27" t="inlineStr">
        <is>
          <t>Inhalt bei 210 bar (TGV)</t>
        </is>
      </c>
      <c r="C61" s="22" t="n"/>
      <c r="D61" s="22" t="n"/>
      <c r="E61" s="23" t="n"/>
      <c r="F61" s="39">
        <f>TGV</f>
        <v/>
      </c>
      <c r="G61" s="27" t="inlineStr">
        <is>
          <t>t</t>
        </is>
      </c>
      <c r="H61" s="27" t="inlineStr">
        <is>
          <t>Blatt 02</t>
        </is>
      </c>
      <c r="I61" s="22" t="n"/>
      <c r="J61" s="22" t="n"/>
      <c r="K61" s="22" t="n"/>
      <c r="L61" s="22" t="n"/>
      <c r="M61" s="22" t="n"/>
      <c r="N61" s="22" t="n"/>
      <c r="O61" s="23" t="n"/>
    </row>
    <row r="62" ht="27" customHeight="1">
      <c r="B62" s="27" t="inlineStr">
        <is>
          <t>Arbeitsgas je Zyklus (S2, 100.000 Nm³/h, Stillstand 21,67 d)</t>
        </is>
      </c>
      <c r="C62" s="22" t="n"/>
      <c r="D62" s="22" t="n"/>
      <c r="E62" s="23" t="n"/>
      <c r="F62" s="39">
        <f>AG_zyklus</f>
        <v/>
      </c>
      <c r="G62" s="27" t="inlineStr">
        <is>
          <t>t</t>
        </is>
      </c>
      <c r="H62" s="27" t="inlineStr">
        <is>
          <t>Blatt 03</t>
        </is>
      </c>
      <c r="I62" s="22" t="n"/>
      <c r="J62" s="22" t="n"/>
      <c r="K62" s="22" t="n"/>
      <c r="L62" s="22" t="n"/>
      <c r="M62" s="22" t="n"/>
      <c r="N62" s="22" t="n"/>
      <c r="O62" s="23" t="n"/>
    </row>
    <row r="63" ht="18" customHeight="1">
      <c r="B63" s="27" t="inlineStr">
        <is>
          <t>Zyklusdauer / Zyklen pro Jahr</t>
        </is>
      </c>
      <c r="C63" s="22" t="n"/>
      <c r="D63" s="22" t="n"/>
      <c r="E63" s="23" t="n"/>
      <c r="F63" s="40">
        <f>Zyklusdauer</f>
        <v/>
      </c>
      <c r="G63" s="27" t="inlineStr">
        <is>
          <t>d</t>
        </is>
      </c>
      <c r="H63" s="27">
        <f>"→ "&amp;TEXT(Zyklen_a,"0.0")&amp;" Zyklen pro Jahr (Q-029: 4 bzw. 1)"</f>
        <v/>
      </c>
      <c r="I63" s="22" t="n"/>
      <c r="J63" s="22" t="n"/>
      <c r="K63" s="22" t="n"/>
      <c r="L63" s="22" t="n"/>
      <c r="M63" s="22" t="n"/>
      <c r="N63" s="22" t="n"/>
      <c r="O63" s="23" t="n"/>
    </row>
    <row r="64" ht="27" customHeight="1">
      <c r="B64" s="27" t="inlineStr">
        <is>
          <t>Grenzrate: Kaverne bleibt beim Ausspeichern einphasig bis</t>
        </is>
      </c>
      <c r="C64" s="22" t="n"/>
      <c r="D64" s="22" t="n"/>
      <c r="E64" s="23" t="n"/>
      <c r="F64" s="40">
        <f>Grenzrate</f>
        <v/>
      </c>
      <c r="G64" s="27" t="inlineStr">
        <is>
          <t>kg/s</t>
        </is>
      </c>
      <c r="H64" s="27" t="inlineStr">
        <is>
          <t>Blatt 03</t>
        </is>
      </c>
      <c r="I64" s="22" t="n"/>
      <c r="J64" s="22" t="n"/>
      <c r="K64" s="22" t="n"/>
      <c r="L64" s="22" t="n"/>
      <c r="M64" s="22" t="n"/>
      <c r="N64" s="22" t="n"/>
      <c r="O64" s="23" t="n"/>
    </row>
    <row r="65" ht="27" customHeight="1">
      <c r="B65" s="27" t="inlineStr">
        <is>
          <t>Kopfdruck beim Ausspeichern mindestens (100.000 Nm³/h)</t>
        </is>
      </c>
      <c r="C65" s="22" t="n"/>
      <c r="D65" s="22" t="n"/>
      <c r="E65" s="23" t="n"/>
      <c r="F65" s="13">
        <f>Kopf_aus_min</f>
        <v/>
      </c>
      <c r="G65" s="27" t="inlineStr">
        <is>
          <t>bar</t>
        </is>
      </c>
      <c r="H65" s="27" t="inlineStr">
        <is>
          <t>Blatt 04 → Rückverdichtung auf 91 bar nötig</t>
        </is>
      </c>
      <c r="I65" s="22" t="n"/>
      <c r="J65" s="22" t="n"/>
      <c r="K65" s="22" t="n"/>
      <c r="L65" s="22" t="n"/>
      <c r="M65" s="22" t="n"/>
      <c r="N65" s="22" t="n"/>
      <c r="O65" s="23" t="n"/>
    </row>
    <row r="66" ht="18" customHeight="1">
      <c r="B66" s="27" t="inlineStr">
        <is>
          <t>Temperatur nach Drossel auf 30 bar mindestens</t>
        </is>
      </c>
      <c r="C66" s="22" t="n"/>
      <c r="D66" s="22" t="n"/>
      <c r="E66" s="23" t="n"/>
      <c r="F66" s="13">
        <f>T_drossel_min</f>
        <v/>
      </c>
      <c r="G66" s="27" t="inlineStr">
        <is>
          <t>°C</t>
        </is>
      </c>
      <c r="H66" s="27" t="inlineStr">
        <is>
          <t>Blatt 04 → Vorwärmung</t>
        </is>
      </c>
      <c r="I66" s="22" t="n"/>
      <c r="J66" s="22" t="n"/>
      <c r="K66" s="22" t="n"/>
      <c r="L66" s="22" t="n"/>
      <c r="M66" s="22" t="n"/>
      <c r="N66" s="22" t="n"/>
      <c r="O66" s="23" t="n"/>
    </row>
    <row r="67" ht="27" customHeight="1">
      <c r="B67" s="27" t="inlineStr">
        <is>
          <t>Kavernen für den Bedarf nach Q-002 (unten / oben)</t>
        </is>
      </c>
      <c r="C67" s="22" t="n"/>
      <c r="D67" s="22" t="n"/>
      <c r="E67" s="23" t="n"/>
      <c r="F67" s="40">
        <f>Kavernen_min</f>
        <v/>
      </c>
      <c r="G67" s="27" t="inlineStr">
        <is>
          <t>–</t>
        </is>
      </c>
      <c r="H67" s="27">
        <f>"bis "&amp;TEXT(Kavernen_max,"0")&amp;" Kavernen bei 1,21 Mt (Blatt 05)"</f>
        <v/>
      </c>
      <c r="I67" s="22" t="n"/>
      <c r="J67" s="22" t="n"/>
      <c r="K67" s="22" t="n"/>
      <c r="L67" s="22" t="n"/>
      <c r="M67" s="22" t="n"/>
      <c r="N67" s="22" t="n"/>
      <c r="O67" s="23" t="n"/>
    </row>
  </sheetData>
  <mergeCells count="107">
    <mergeCell ref="B42:D42"/>
    <mergeCell ref="B35:O35"/>
    <mergeCell ref="B65:E65"/>
    <mergeCell ref="H43:L43"/>
    <mergeCell ref="H54:L54"/>
    <mergeCell ref="B44:D44"/>
    <mergeCell ref="H41:L41"/>
    <mergeCell ref="B34:D34"/>
    <mergeCell ref="B28:D28"/>
    <mergeCell ref="H58:O58"/>
    <mergeCell ref="B37:D37"/>
    <mergeCell ref="N46:O46"/>
    <mergeCell ref="H64:O64"/>
    <mergeCell ref="H49:L49"/>
    <mergeCell ref="B30:D30"/>
    <mergeCell ref="H60:O60"/>
    <mergeCell ref="N48:O48"/>
    <mergeCell ref="B53:O53"/>
    <mergeCell ref="N38:O38"/>
    <mergeCell ref="B29:O29"/>
    <mergeCell ref="N31:O31"/>
    <mergeCell ref="B54:D54"/>
    <mergeCell ref="N40:O40"/>
    <mergeCell ref="H48:L48"/>
    <mergeCell ref="B43:D43"/>
    <mergeCell ref="E22:O22"/>
    <mergeCell ref="E21:O21"/>
    <mergeCell ref="H38:L38"/>
    <mergeCell ref="H67:O67"/>
    <mergeCell ref="N50:O50"/>
    <mergeCell ref="B64:E64"/>
    <mergeCell ref="H44:L44"/>
    <mergeCell ref="N51:O51"/>
    <mergeCell ref="E14:O14"/>
    <mergeCell ref="H31:L31"/>
    <mergeCell ref="H40:L40"/>
    <mergeCell ref="B56:O56"/>
    <mergeCell ref="B63:E63"/>
    <mergeCell ref="H59:O59"/>
    <mergeCell ref="H51:L51"/>
    <mergeCell ref="N42:O42"/>
    <mergeCell ref="N52:O52"/>
    <mergeCell ref="B66:E66"/>
    <mergeCell ref="H61:O61"/>
    <mergeCell ref="B36:D36"/>
    <mergeCell ref="N44:O44"/>
    <mergeCell ref="N28:O28"/>
    <mergeCell ref="B47:D47"/>
    <mergeCell ref="E26:O26"/>
    <mergeCell ref="H65:O65"/>
    <mergeCell ref="B67:E67"/>
    <mergeCell ref="B61:E61"/>
    <mergeCell ref="N30:O30"/>
    <mergeCell ref="B31:D31"/>
    <mergeCell ref="B46:D46"/>
    <mergeCell ref="E16:O16"/>
    <mergeCell ref="H42:L42"/>
    <mergeCell ref="B45:O45"/>
    <mergeCell ref="B48:D48"/>
    <mergeCell ref="E18:O18"/>
    <mergeCell ref="H30:L30"/>
    <mergeCell ref="N54:O54"/>
    <mergeCell ref="N32:O32"/>
    <mergeCell ref="H63:O63"/>
    <mergeCell ref="N41:O41"/>
    <mergeCell ref="N43:O43"/>
    <mergeCell ref="E20:O20"/>
    <mergeCell ref="B39:O39"/>
    <mergeCell ref="B49:D49"/>
    <mergeCell ref="H46:L46"/>
    <mergeCell ref="N33:O33"/>
    <mergeCell ref="B51:D51"/>
    <mergeCell ref="B41:D41"/>
    <mergeCell ref="B58:E58"/>
    <mergeCell ref="E15:O15"/>
    <mergeCell ref="H32:L32"/>
    <mergeCell ref="B50:D50"/>
    <mergeCell ref="H47:L47"/>
    <mergeCell ref="B60:E60"/>
    <mergeCell ref="B57:E57"/>
    <mergeCell ref="B6:H11"/>
    <mergeCell ref="H33:L33"/>
    <mergeCell ref="H62:O62"/>
    <mergeCell ref="N47:O47"/>
    <mergeCell ref="H50:L50"/>
    <mergeCell ref="N37:O37"/>
    <mergeCell ref="B38:D38"/>
    <mergeCell ref="E17:O17"/>
    <mergeCell ref="H34:L34"/>
    <mergeCell ref="B62:E62"/>
    <mergeCell ref="B40:D40"/>
    <mergeCell ref="E19:O19"/>
    <mergeCell ref="H36:L36"/>
    <mergeCell ref="B59:E59"/>
    <mergeCell ref="H52:L52"/>
    <mergeCell ref="B33:D33"/>
    <mergeCell ref="B32:D32"/>
    <mergeCell ref="B26:D26"/>
    <mergeCell ref="H28:L28"/>
    <mergeCell ref="H57:O57"/>
    <mergeCell ref="H37:L37"/>
    <mergeCell ref="H66:O66"/>
    <mergeCell ref="N34:O34"/>
    <mergeCell ref="B24:O24"/>
    <mergeCell ref="B52:D52"/>
    <mergeCell ref="N49:O49"/>
    <mergeCell ref="N36:O36"/>
  </mergeCells>
  <conditionalFormatting sqref="E26:O26">
    <cfRule type="expression" priority="1" dxfId="0">
      <formula>NOT(Stand_ok)</formula>
    </cfRule>
    <cfRule type="expression" priority="2" dxfId="1">
      <formula>Stand_ok</formula>
    </cfRule>
  </conditionalFormatting>
  <conditionalFormatting sqref="N29:O54">
    <cfRule type="expression" priority="3" dxfId="0">
      <formula>LEFT(N29,1)="⚠"</formula>
    </cfRule>
    <cfRule type="expression" priority="4" dxfId="1">
      <formula>LEFT(N29,1)="✔"</formula>
    </cfRule>
  </conditionalFormatting>
  <hyperlinks>
    <hyperlink ref="B14" location="'01 Stillstand &amp; Zieldruck'!A1" display="→ 01 Stillstand &amp; Zieldruck"/>
    <hyperlink ref="B15" location="'02 Arbeitsgas &amp; Teufe'!A1" display="→ 02 Arbeitsgas &amp; Teufe"/>
    <hyperlink ref="B16" location="'03 Zyklus'!A1" display="→ 03 Zyklus"/>
    <hyperlink ref="B17" location="'04 Bohrlochkopf'!A1" display="→ 04 Bohrlochkopf"/>
    <hyperlink ref="B18" location="'05 Speicherbedarf'!A1" display="→ 05 Speicherbedarf"/>
    <hyperlink ref="B19" location="'06 Ausspeichergas'!A1" display="→ 06 Ausspeichergas"/>
    <hyperlink ref="B20" location="'Rein vs. Gemisch'!A1" display="→ Rein vs. Gemisch"/>
    <hyperlink ref="B21" location="'Quellen'!A1" display="→ Quellen"/>
    <hyperlink ref="B22" location="'Diagrammdaten'!A1" display="→ Diagrammdaten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L18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26" customWidth="1" min="10" max="10"/>
    <col width="12" customWidth="1" min="11" max="11"/>
    <col width="12" customWidth="1" min="12" max="12"/>
  </cols>
  <sheetData>
    <row r="1" ht="30" customHeight="1">
      <c r="B1" s="1" t="inlineStr">
        <is>
          <t>01 Stillstand &amp; Zieldruck – welcher Druck am Bohrlochkopf?</t>
        </is>
      </c>
    </row>
    <row r="2">
      <c r="B2" s="2" t="inlineStr">
        <is>
          <t>Referenzkaverne (LCCS 1200 m) · Worst-Case-Gemisch · Code: Kaverne/Begleitstoffe_CO2/01_stillstand_und_zieldruck.py (Bausteine kaverne_bausteine.py)</t>
        </is>
      </c>
    </row>
    <row r="3">
      <c r="B3" s="18" t="inlineStr">
        <is>
          <t>← zur Übersicht</t>
        </is>
      </c>
    </row>
    <row r="4" ht="120" customHeight="1">
      <c r="B4" s="4" t="inlineStr">
        <is>
          <r>
            <rPr>
              <rFont val="Calibri"/>
              <b val="1"/>
              <sz val="10"/>
            </rPr>
            <t>STILLSTAND:</t>
          </r>
          <r>
            <rPr>
              <rFont val="Calibri"/>
              <sz val="10"/>
            </rPr>
            <t xml:space="preserve">  Ruhendes CO₂ hat Gebirgstemperatur T(z) = T₀ + grad T·z. Die Säule wird in 2-m-Schritten von unten (bekannter Druck an der LCCS) nach oben gerechnet: dp/dz = ρ(p,T)·g. Drei Füllstände wie Q-028 Fig. 3: voll, Grenzfall (Kopf = Cricondenbar 82,2 bar: darüber ganzes Bohrloch einphasig) und leer.
</t>
          </r>
          <r>
            <rPr>
              <rFont val="Calibri"/>
              <b val="1"/>
              <sz val="10"/>
            </rPr>
            <t>BETRIEB (NEU):</t>
          </r>
          <r>
            <rPr>
              <rFont val="Calibri"/>
              <sz val="10"/>
            </rPr>
            <t xml:space="preserve">  Beim Einspeisen strömt das CO₂ mit der Temperatur nach der Pumpe nach unten – adiabat (h + g·z = konst., kein Wärmeaustausch mit dem Gebirge; Besprechung K. Vosbeck 15.10.2026), mit Reibung im 8 5/8"-Strang (Darcy f = 0,016, Q-003 Kap. 6.2). Pumpenaustritt und Kopfdruck hängen voneinander ab → Iteration. S1 (15 °C) gibt eine kältere, schwerere Säule als im Stillstand, S2 (26 °C + Pumpe) eine wärmere, leichtere.
</t>
          </r>
          <r>
            <rPr>
              <rFont val="Calibri"/>
              <b val="1"/>
              <sz val="10"/>
            </rPr>
            <t>ERGEBNIS:</t>
          </r>
          <r>
            <rPr>
              <rFont val="Calibri"/>
              <sz val="10"/>
            </rPr>
            <t xml:space="preserve">  Zieldruck der Pumpe bei 100.000 Nm³/h: S1 114,3 bar, S2 127,3 bar (Stillstand voll 114,9 bar).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homogen und einphasig gerechnet; ein zweiphasiger Abschnitt wird nur angezeigt – genauer nur mit Mehrphasen-Bohrlochmodell (Q-028 S. 11).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2" t="n"/>
    </row>
    <row r="6">
      <c r="B6" s="3" t="inlineStr">
        <is>
          <t>Stillstand: drei Füllstände der Kaverne (Gebirgstemperatur)</t>
        </is>
      </c>
    </row>
    <row r="7" ht="42" customHeight="1">
      <c r="B7" s="25" t="inlineStr">
        <is>
          <t>Fall</t>
        </is>
      </c>
      <c r="C7" s="25" t="inlineStr">
        <is>
          <t>Druck LCCS [bar]</t>
        </is>
      </c>
      <c r="D7" s="25" t="inlineStr">
        <is>
          <t>Kopfdruck [bar]</t>
        </is>
      </c>
      <c r="E7" s="25" t="inlineStr">
        <is>
          <t>T Kopf [°C]</t>
        </is>
      </c>
      <c r="F7" s="25" t="inlineStr">
        <is>
          <t>ρ Kopf [kg/m³]</t>
        </is>
      </c>
      <c r="G7" s="25" t="inlineStr">
        <is>
          <t>ρ LCCS [kg/m³]</t>
        </is>
      </c>
      <c r="H7" s="25" t="inlineStr">
        <is>
          <t>Säulengewinn [bar]</t>
        </is>
      </c>
      <c r="I7" s="25" t="inlineStr">
        <is>
          <t>zweiphasig im Bohrloch [m]</t>
        </is>
      </c>
      <c r="J7" s="25" t="inlineStr">
        <is>
          <t>Bedeutung</t>
        </is>
      </c>
    </row>
    <row r="8">
      <c r="B8" s="21" t="inlineStr">
        <is>
          <t>voll</t>
        </is>
      </c>
      <c r="C8" s="11" t="n">
        <v>210</v>
      </c>
      <c r="D8" s="13" t="n">
        <v>114.9313019820893</v>
      </c>
      <c r="E8" s="11" t="n">
        <v>10</v>
      </c>
      <c r="F8" s="29" t="n">
        <v>865.0046224890949</v>
      </c>
      <c r="G8" s="29" t="n">
        <v>755.9538427162327</v>
      </c>
      <c r="H8" s="12">
        <f>C8-D8</f>
        <v/>
      </c>
      <c r="I8" s="43" t="inlineStr">
        <is>
          <t>–</t>
        </is>
      </c>
      <c r="J8" s="27" t="inlineStr">
        <is>
          <t>Kopfdruck im Stillstand bei voller Kaverne</t>
        </is>
      </c>
    </row>
    <row r="9">
      <c r="B9" s="21" t="inlineStr">
        <is>
          <t>Grenzfall</t>
        </is>
      </c>
      <c r="C9" s="11" t="n">
        <v>171.1947304649814</v>
      </c>
      <c r="D9" s="11" t="n">
        <v>82.17759427875147</v>
      </c>
      <c r="E9" s="11" t="n">
        <v>10</v>
      </c>
      <c r="F9" s="29" t="n">
        <v>825.2968233279547</v>
      </c>
      <c r="G9" s="29" t="n">
        <v>695.9062187670028</v>
      </c>
      <c r="H9" s="12">
        <f>C9-D9</f>
        <v/>
      </c>
      <c r="I9" s="43" t="inlineStr">
        <is>
          <t>–</t>
        </is>
      </c>
      <c r="J9" s="27" t="inlineStr">
        <is>
          <t>Kopf = Cricondenbar 82,2 bar</t>
        </is>
      </c>
    </row>
    <row r="10">
      <c r="B10" s="21" t="inlineStr">
        <is>
          <t>leer</t>
        </is>
      </c>
      <c r="C10" s="11" t="n">
        <v>70</v>
      </c>
      <c r="D10" s="11" t="n">
        <v>50.70545867272649</v>
      </c>
      <c r="E10" s="11" t="n">
        <v>10</v>
      </c>
      <c r="F10" s="29" t="n">
        <v>208.63401710078</v>
      </c>
      <c r="G10" s="29" t="n">
        <v>166.94226085841</v>
      </c>
      <c r="H10" s="12">
        <f>C10-D10</f>
        <v/>
      </c>
      <c r="I10" s="43" t="inlineStr">
        <is>
          <t>0–82</t>
        </is>
      </c>
      <c r="J10" s="27" t="inlineStr">
        <is>
          <t>niedrigster Kopfdruck im Stillstand</t>
        </is>
      </c>
    </row>
    <row r="12">
      <c r="B12" s="3" t="inlineStr">
        <is>
          <t>Betrieb: Einspeisen mit strömender Säule (Pumpenaustritt am Kopf, 210 bar an der LCCS)</t>
        </is>
      </c>
    </row>
    <row r="13" ht="42" customHeight="1">
      <c r="B13" s="25" t="inlineStr">
        <is>
          <t>Fall</t>
        </is>
      </c>
      <c r="C13" s="25" t="inlineStr">
        <is>
          <t>ṁ [kg/s]</t>
        </is>
      </c>
      <c r="D13" s="25" t="inlineStr">
        <is>
          <t>Kopfdruck [bar]</t>
        </is>
      </c>
      <c r="E13" s="25" t="inlineStr">
        <is>
          <t>T Kopf [°C]</t>
        </is>
      </c>
      <c r="F13" s="25" t="inlineStr">
        <is>
          <t>T LCCS [°C]</t>
        </is>
      </c>
      <c r="G13" s="25" t="inlineStr">
        <is>
          <t>v Kopf [m/s]</t>
        </is>
      </c>
      <c r="H13" s="25" t="inlineStr">
        <is>
          <t>davon Reibung [bar]</t>
        </is>
      </c>
      <c r="I13" s="25" t="inlineStr">
        <is>
          <t>Säulengewinn [bar]</t>
        </is>
      </c>
      <c r="J13" s="25" t="inlineStr">
        <is>
          <t>Bedeutung</t>
        </is>
      </c>
    </row>
    <row r="14">
      <c r="B14" s="21" t="inlineStr">
        <is>
          <t>Einspeisen S1, 50.000 Nm³/h</t>
        </is>
      </c>
      <c r="C14" s="35" t="n">
        <v>26.86506942209809</v>
      </c>
      <c r="D14" s="11" t="n">
        <v>112.9603755526102</v>
      </c>
      <c r="E14" s="11" t="n">
        <v>18.12565642518842</v>
      </c>
      <c r="F14" s="11" t="n">
        <v>28.69580765487524</v>
      </c>
      <c r="G14" s="35" t="n">
        <v>1.073264958943932</v>
      </c>
      <c r="H14" s="35" t="inlineStr">
        <is>
          <t>–</t>
        </is>
      </c>
      <c r="I14" s="12">
        <f>210-D14</f>
        <v/>
      </c>
      <c r="J14" s="27" t="inlineStr"/>
    </row>
    <row r="15">
      <c r="B15" s="21" t="inlineStr">
        <is>
          <t>Einspeisen S1, 100.000 Nm³/h</t>
        </is>
      </c>
      <c r="C15" s="35" t="n">
        <v>53.73013884419618</v>
      </c>
      <c r="D15" s="13" t="n">
        <v>114.273800177097</v>
      </c>
      <c r="E15" s="11" t="n">
        <v>18.30573505665217</v>
      </c>
      <c r="F15" s="11" t="n">
        <v>28.78955369701979</v>
      </c>
      <c r="G15" s="35" t="n">
        <v>2.145048259124543</v>
      </c>
      <c r="H15" s="35" t="n">
        <v>1.674573540200683</v>
      </c>
      <c r="I15" s="12">
        <f>210-D15</f>
        <v/>
      </c>
      <c r="J15" s="27" t="inlineStr">
        <is>
          <t>Zieldruck Pumpe S1 (Auslegung)</t>
        </is>
      </c>
    </row>
    <row r="16">
      <c r="B16" s="21" t="inlineStr">
        <is>
          <t>Einspeisen S2, 50.000 Nm³/h</t>
        </is>
      </c>
      <c r="C16" s="35" t="n">
        <v>26.86506942209809</v>
      </c>
      <c r="D16" s="11" t="n">
        <v>125.7729438871019</v>
      </c>
      <c r="E16" s="11" t="n">
        <v>34.09263305363402</v>
      </c>
      <c r="F16" s="11" t="n">
        <v>48.0004244040292</v>
      </c>
      <c r="G16" s="35" t="n">
        <v>1.253291817513526</v>
      </c>
      <c r="H16" s="35" t="inlineStr">
        <is>
          <t>–</t>
        </is>
      </c>
      <c r="I16" s="12">
        <f>210-D16</f>
        <v/>
      </c>
      <c r="J16" s="27" t="inlineStr"/>
    </row>
    <row r="17">
      <c r="B17" s="21" t="inlineStr">
        <is>
          <t>Einspeisen S2, 100.000 Nm³/h</t>
        </is>
      </c>
      <c r="C17" s="35" t="n">
        <v>53.73013884419618</v>
      </c>
      <c r="D17" s="13" t="n">
        <v>127.2718032176663</v>
      </c>
      <c r="E17" s="11" t="n">
        <v>34.40649477199338</v>
      </c>
      <c r="F17" s="11" t="n">
        <v>48.11519660575867</v>
      </c>
      <c r="G17" s="35" t="n">
        <v>2.502659593168201</v>
      </c>
      <c r="H17" s="35" t="n">
        <v>1.890596869095688</v>
      </c>
      <c r="I17" s="12">
        <f>210-D17</f>
        <v/>
      </c>
      <c r="J17" s="27" t="inlineStr">
        <is>
          <t>Zieldruck Pumpe S2 (Auslegung)</t>
        </is>
      </c>
    </row>
    <row r="18">
      <c r="B18" s="8" t="inlineStr">
        <is>
          <t>Reibung = Kopfdruck mit minus ohne Rohrreibung (nur bei 100.000 Nm³/h gerechnet; bei 50.000 Nm³/h etwa ein Viertel, da ~ṁ²). Säulengewinn = 210 bar − Kopfdruck (enthält die Reibung).</t>
        </is>
      </c>
    </row>
  </sheetData>
  <mergeCells count="1">
    <mergeCell ref="B4:L4"/>
  </mergeCells>
  <conditionalFormatting sqref="C8:G10">
    <cfRule type="expression" priority="1" dxfId="2">
      <formula>NOT(Stand_ok)</formula>
    </cfRule>
  </conditionalFormatting>
  <conditionalFormatting sqref="C14:H17">
    <cfRule type="expression" priority="2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K27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0" customWidth="1" min="2" max="2"/>
    <col width="12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 ht="30" customHeight="1">
      <c r="B1" s="1" t="inlineStr">
        <is>
          <t>02 Arbeitsgas &amp; Teufe – wie viel CO₂ lässt sich umschlagen?</t>
        </is>
      </c>
    </row>
    <row r="2">
      <c r="B2" s="2" t="inlineStr">
        <is>
          <t>Worst-Case-Gemisch · Code: Kaverne/Begleitstoffe_CO2/02_arbeitsgas_teufenfenster.py</t>
        </is>
      </c>
    </row>
    <row r="3">
      <c r="B3" s="18" t="inlineStr">
        <is>
          <t>← zur Übersicht</t>
        </is>
      </c>
    </row>
    <row r="4" ht="92" customHeight="1">
      <c r="B4" s="4" t="inlineStr">
        <is>
          <r>
            <rPr>
              <rFont val="Calibri"/>
              <b val="1"/>
              <sz val="10"/>
            </rPr>
            <t>INHALT (TGV):</t>
          </r>
          <r>
            <rPr>
              <rFont val="Calibri"/>
              <sz val="10"/>
            </rPr>
            <t xml:space="preserve">  Masse in der vollen Kaverne bei 210 bar an der LCCS und Gebirgstemperatur: m = ρ(p_Mitte, T)·V.
</t>
          </r>
          <r>
            <rPr>
              <rFont val="Calibri"/>
              <b val="1"/>
              <sz val="10"/>
            </rPr>
            <t>KISSENGAS (CGV):</t>
          </r>
          <r>
            <rPr>
              <rFont val="Calibri"/>
              <sz val="10"/>
            </rPr>
            <t xml:space="preserve">  was bei p_min in der Kaverne bleibt – isotherm (langsam, das Gebirge hält die Temperatur) oder isentrop (schnell, das CO₂ kühlt beim Entspannen ab und ist dichter → mehr bleibt drin).
</t>
          </r>
          <r>
            <rPr>
              <rFont val="Calibri"/>
              <b val="1"/>
              <sz val="10"/>
            </rPr>
            <t>ARBEITSGAS (WGV):</t>
          </r>
          <r>
            <rPr>
              <rFont val="Calibri"/>
              <sz val="10"/>
            </rPr>
            <t xml:space="preserve">  TGV − CGV. Realistisch liegt der Zyklus dazwischen – die Kavernenbilanz (Blatt 03) rechnet den Wärmeübergang mit.
</t>
          </r>
          <r>
            <rPr>
              <rFont val="Calibri"/>
              <b val="1"/>
              <sz val="10"/>
            </rPr>
            <t>TEUFENFENSTER:</t>
          </r>
          <r>
            <rPr>
              <rFont val="Calibri"/>
              <sz val="10"/>
            </rPr>
            <t xml:space="preserve">  ab welcher Teufe bleibt der Kaverneninhalt (Gebirgstemperatur) mit Abstand über der Cricondentherm; bis welche Teufe passt p_max zum Gebirge.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2" t="n"/>
    </row>
    <row r="6">
      <c r="B6" s="3" t="inlineStr">
        <is>
          <t>Inhalt, Kissengas und Arbeitsgas</t>
        </is>
      </c>
    </row>
    <row r="7">
      <c r="B7" s="21" t="inlineStr">
        <is>
          <t>Inhalt bei p_max (TGV) [t]</t>
        </is>
      </c>
      <c r="C7" s="39" t="n">
        <v>481339.6801732901</v>
      </c>
    </row>
    <row r="9" ht="42" customHeight="1">
      <c r="B9" s="25" t="inlineStr">
        <is>
          <t>p_min-Variante</t>
        </is>
      </c>
      <c r="C9" s="25" t="inlineStr">
        <is>
          <t>p_min LCCS [bar]</t>
        </is>
      </c>
      <c r="D9" s="25" t="inlineStr">
        <is>
          <t>CGV isotherm [t]</t>
        </is>
      </c>
      <c r="E9" s="25" t="inlineStr">
        <is>
          <t>CGV isentrop [t]</t>
        </is>
      </c>
      <c r="F9" s="25" t="inlineStr">
        <is>
          <t>T isentrop [°C]</t>
        </is>
      </c>
      <c r="G9" s="25" t="inlineStr">
        <is>
          <t>WGV isotherm [t]</t>
        </is>
      </c>
      <c r="H9" s="25" t="inlineStr">
        <is>
          <t>WGV isentrop [t]</t>
        </is>
      </c>
      <c r="I9" s="25" t="inlineStr">
        <is>
          <t>Anteil isotherm</t>
        </is>
      </c>
      <c r="J9" s="25" t="inlineStr">
        <is>
          <t>Anteil isentrop</t>
        </is>
      </c>
    </row>
    <row r="10">
      <c r="B10" s="21" t="inlineStr">
        <is>
          <t>geomechanisch (Q-028)</t>
        </is>
      </c>
      <c r="C10" s="11" t="n">
        <v>70</v>
      </c>
      <c r="D10" s="31" t="n">
        <v>109367.0082742381</v>
      </c>
      <c r="E10" s="31" t="n">
        <v>406868.1610909649</v>
      </c>
      <c r="F10" s="11" t="n">
        <v>24.64694078415075</v>
      </c>
      <c r="G10" s="44">
        <f>TGV-D10</f>
        <v/>
      </c>
      <c r="H10" s="44">
        <f>IF(ISNUMBER(E10),TGV-E10,"–")</f>
        <v/>
      </c>
      <c r="I10" s="45">
        <f>G10/TGV</f>
        <v/>
      </c>
      <c r="J10" s="46">
        <f>IF(ISNUMBER(H10),H10/TGV,"–")</f>
        <v/>
      </c>
    </row>
    <row r="11">
      <c r="B11" s="21" t="inlineStr">
        <is>
          <t>über der Cricondenbar</t>
        </is>
      </c>
      <c r="C11" s="11" t="n">
        <v>82.17759431791859</v>
      </c>
      <c r="D11" s="31" t="n">
        <v>143843.9627799293</v>
      </c>
      <c r="E11" s="31" t="n">
        <v>418626.266398183</v>
      </c>
      <c r="F11" s="11" t="n">
        <v>28.24197346674981</v>
      </c>
      <c r="G11" s="44">
        <f>TGV-D11</f>
        <v/>
      </c>
      <c r="H11" s="44">
        <f>IF(ISNUMBER(E11),TGV-E11,"–")</f>
        <v/>
      </c>
      <c r="I11" s="45">
        <f>G11/TGV</f>
        <v/>
      </c>
      <c r="J11" s="46">
        <f>IF(ISNUMBER(H11),H11/TGV,"–")</f>
        <v/>
      </c>
    </row>
    <row r="12">
      <c r="B12" s="21" t="inlineStr">
        <is>
          <t>Bohrloch dicht (Grenzfall 01)</t>
        </is>
      </c>
      <c r="C12" s="11" t="n">
        <v>171.1947304649814</v>
      </c>
      <c r="D12" s="31" t="n">
        <v>441090.9659909953</v>
      </c>
      <c r="E12" s="31" t="n">
        <v>467559.1061027822</v>
      </c>
      <c r="F12" s="11" t="n">
        <v>46.35930528545609</v>
      </c>
      <c r="G12" s="44">
        <f>TGV-D12</f>
        <v/>
      </c>
      <c r="H12" s="44">
        <f>IF(ISNUMBER(E12),TGV-E12,"–")</f>
        <v/>
      </c>
      <c r="I12" s="45">
        <f>G12/TGV</f>
        <v/>
      </c>
      <c r="J12" s="46">
        <f>IF(ISNUMBER(H12),H12/TGV,"–")</f>
        <v/>
      </c>
    </row>
    <row r="14">
      <c r="B14" s="3" t="inlineStr">
        <is>
          <t>Kontrolle der Stoffdaten gegen DBI (Q-030 Tab. 1 / Q-029)</t>
        </is>
      </c>
    </row>
    <row r="15" ht="30" customHeight="1">
      <c r="B15" s="25" t="inlineStr">
        <is>
          <t>Option</t>
        </is>
      </c>
      <c r="C15" s="25" t="inlineStr">
        <is>
          <t>p [bar]</t>
        </is>
      </c>
      <c r="D15" s="25" t="inlineStr">
        <is>
          <t>T [°C]</t>
        </is>
      </c>
      <c r="E15" s="25" t="inlineStr">
        <is>
          <t>ρ DBI [kg/m³]</t>
        </is>
      </c>
      <c r="F15" s="25" t="inlineStr">
        <is>
          <t>ρ CoolProp [kg/m³]</t>
        </is>
      </c>
      <c r="G15" s="25" t="inlineStr">
        <is>
          <t>Abweichung</t>
        </is>
      </c>
    </row>
    <row r="17">
      <c r="B17" s="8" t="inlineStr">
        <is>
          <t>Beim Gemisch weicht ρ von DBI ab – DBI rechnet mit reinem CO₂; die Abweichung ist der Effekt der Begleitstoffe.</t>
        </is>
      </c>
    </row>
    <row r="19">
      <c r="B19" s="3" t="inlineStr">
        <is>
          <t>Teufenfenster</t>
        </is>
      </c>
    </row>
    <row r="20" ht="20" customHeight="1">
      <c r="B20" s="25" t="inlineStr">
        <is>
          <t>Größe</t>
        </is>
      </c>
      <c r="C20" s="25" t="inlineStr">
        <is>
          <t>Wert</t>
        </is>
      </c>
      <c r="D20" s="25" t="inlineStr">
        <is>
          <t>Einheit</t>
        </is>
      </c>
    </row>
    <row r="21">
      <c r="B21" s="27" t="inlineStr">
        <is>
          <t>Grenztemperatur (Cricondentherm)</t>
        </is>
      </c>
      <c r="C21" s="11" t="n">
        <v>28.09332435011652</v>
      </c>
      <c r="D21" s="43" t="inlineStr">
        <is>
          <t>°C</t>
        </is>
      </c>
    </row>
    <row r="22">
      <c r="B22" s="27" t="inlineStr">
        <is>
          <t>Grenzdruck</t>
        </is>
      </c>
      <c r="C22" s="11" t="n">
        <v>82.17759431791859</v>
      </c>
      <c r="D22" s="43" t="inlineStr">
        <is>
          <t>bar</t>
        </is>
      </c>
    </row>
    <row r="23">
      <c r="B23" s="27" t="inlineStr">
        <is>
          <t>Sicherheitsabstand</t>
        </is>
      </c>
      <c r="C23" s="11" t="n">
        <v>3</v>
      </c>
      <c r="D23" s="43" t="inlineStr">
        <is>
          <t>K</t>
        </is>
      </c>
    </row>
    <row r="24">
      <c r="B24" s="27" t="inlineStr">
        <is>
          <t>Bezugsteufe mindestens</t>
        </is>
      </c>
      <c r="C24" s="11" t="n">
        <v>703.1108116705507</v>
      </c>
      <c r="D24" s="43" t="inlineStr">
        <is>
          <t>m</t>
        </is>
      </c>
    </row>
    <row r="25">
      <c r="B25" s="27" t="inlineStr">
        <is>
          <t>LCCS-Teufe mindestens</t>
        </is>
      </c>
      <c r="C25" s="11" t="n">
        <v>498.1108116705507</v>
      </c>
      <c r="D25" s="43" t="inlineStr">
        <is>
          <t>m</t>
        </is>
      </c>
    </row>
    <row r="26">
      <c r="B26" s="27" t="inlineStr">
        <is>
          <t>LCCS-Teufe höchstens (p_max-Gradient)</t>
        </is>
      </c>
      <c r="C26" s="11" t="n">
        <v>1408.758759735747</v>
      </c>
      <c r="D26" s="43" t="inlineStr">
        <is>
          <t>m</t>
        </is>
      </c>
    </row>
    <row r="27">
      <c r="B27" s="8" t="inlineStr">
        <is>
          <t>Die Referenzkaverne (LCCS 1200 m) liegt im Fenster. Flache Kavernen fallen heraus – DBI verwirft die flache Option selbst (Q-030 S. 17).</t>
        </is>
      </c>
    </row>
  </sheetData>
  <mergeCells count="1">
    <mergeCell ref="B4:K4"/>
  </mergeCells>
  <conditionalFormatting sqref="C10:F12">
    <cfRule type="expression" priority="1" dxfId="2">
      <formula>NOT(Stand_ok)</formula>
    </cfRule>
  </conditionalFormatting>
  <conditionalFormatting sqref="C7">
    <cfRule type="expression" priority="2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O56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B1" s="1" t="inlineStr">
        <is>
          <t>03 Raten und Kavernenzyklus – mit Stillstand oder kontinuierlich</t>
        </is>
      </c>
    </row>
    <row r="2">
      <c r="B2" s="2" t="inlineStr">
        <is>
          <t>Worst-Case-Gemisch · Code: Kaverne/Begleitstoffe_CO2/03_kavernenzyklus.py · Kavernenbilanz als ideal durchmischter Knoten mit Wärmeübergang UA</t>
        </is>
      </c>
    </row>
    <row r="3">
      <c r="B3" s="18" t="inlineStr">
        <is>
          <t>← zur Übersicht</t>
        </is>
      </c>
    </row>
    <row r="4" ht="120" customHeight="1">
      <c r="B4" s="4" t="inlineStr">
        <is>
          <r>
            <rPr>
              <rFont val="Calibri"/>
              <b val="1"/>
              <sz val="10"/>
            </rPr>
            <t>RATE:</t>
          </r>
          <r>
            <rPr>
              <rFont val="Calibri"/>
              <sz val="10"/>
            </rPr>
            <t xml:space="preserve">  Die Kaverne darf an der LCCS höchstens 10 bar/d Druck ändern (Q-030 Kap. 1.2.1). Daraus folgt eine zulässige Massenrate ṁ = V·(∂ρ/∂p)·dp/dt – sie hängt vom Zustand ab (isotherm: langsam; isentrop: schnell).
</t>
          </r>
          <r>
            <rPr>
              <rFont val="Calibri"/>
              <b val="1"/>
              <sz val="10"/>
            </rPr>
            <t>ZYKLUS:</t>
          </r>
          <r>
            <rPr>
              <rFont val="Calibri"/>
              <sz val="10"/>
            </rPr>
            <t xml:space="preserve">  voll (210 bar, Gebirgstemperatur) → Ausspeichern bis 70 bar → Stillstand → Einspeichern bis 210 bar → Stillstand. Die Einspeiseenthalpie kommt aus der Einspeicherung (Pumpenaustritt S1 bzw. S2, adiabater Strang). Die Rate wird gedrosselt, wo 10 bar/d sonst überschritten würden.
</t>
          </r>
          <r>
            <rPr>
              <rFont val="Calibri"/>
              <b val="1"/>
              <sz val="10"/>
            </rPr>
            <t>STILLSTAND 21,67 d:</t>
          </r>
          <r>
            <rPr>
              <rFont val="Calibri"/>
              <sz val="10"/>
            </rPr>
            <t xml:space="preserve">  aus Q-028 S. 10 (Kap. 4) – Betriebsszenario der dortigen Simulation („Standstill phase (21.67 d)“); gleiche Begründung wie in der Quelle, und an dieser Simulation ist UA kalibriert. Vergleich: kontinuierlich (0 d).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konstantes UA statt instationärer Wärmeleitung – im Stillstand gleicht sich die Temperatur in Tagen an; Q-035 beschreibt für Erdgas Monate. Das Ende eines Zyklus hängt deshalb kaum vom Stillstand ab, der Start der nächsten Phase schon.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2" t="n"/>
    </row>
    <row r="6">
      <c r="B6" s="3" t="inlineStr">
        <is>
          <t>Nachrechnung Q-028 (reines CO₂, Einspeisung 30 °C an der LCCS) – Kalibrierung von UA</t>
        </is>
      </c>
    </row>
    <row r="7" ht="20" customHeight="1">
      <c r="B7" s="25" t="inlineStr">
        <is>
          <t>Größe</t>
        </is>
      </c>
      <c r="C7" s="25" t="inlineStr">
        <is>
          <t>Q-028</t>
        </is>
      </c>
      <c r="D7" s="25" t="inlineStr">
        <is>
          <t>Kavernenbilanz</t>
        </is>
      </c>
      <c r="E7" s="25" t="inlineStr">
        <is>
          <t>Abweichung</t>
        </is>
      </c>
    </row>
    <row r="8">
      <c r="B8" s="8" t="inlineStr">
        <is>
          <t>nur in der Mappe für reines CO₂ (UA ist dort kalibriert und gilt für beide Stoffe)</t>
        </is>
      </c>
    </row>
    <row r="14">
      <c r="B14" s="3" t="inlineStr">
        <is>
          <t>Zulässige Rate aus der Druckänderung an der LCCS</t>
        </is>
      </c>
    </row>
    <row r="15" ht="42" customHeight="1">
      <c r="B15" s="25" t="inlineStr">
        <is>
          <t>p LCCS [bar]</t>
        </is>
      </c>
      <c r="C15" s="25" t="inlineStr">
        <is>
          <t>isotherm 6 bar/d [kg/s]</t>
        </is>
      </c>
      <c r="D15" s="25" t="inlineStr">
        <is>
          <t>isotherm 10 bar/d [kg/s]</t>
        </is>
      </c>
      <c r="E15" s="25" t="inlineStr">
        <is>
          <t>isentrop 6 bar/d [kg/s]</t>
        </is>
      </c>
      <c r="F15" s="25" t="inlineStr">
        <is>
          <t>isentrop 10 bar/d [kg/s]</t>
        </is>
      </c>
      <c r="H15" s="21" t="inlineStr">
        <is>
          <t>Auslegungsraten [kg/s]</t>
        </is>
      </c>
    </row>
    <row r="16">
      <c r="B16" s="29" t="n">
        <v>70</v>
      </c>
      <c r="C16" s="11" t="n">
        <v>160.3766439933047</v>
      </c>
      <c r="D16" s="11" t="n">
        <v>267.2944066555079</v>
      </c>
      <c r="E16" s="11" t="n">
        <v>77.18816540642896</v>
      </c>
      <c r="F16" s="11" t="n">
        <v>128.6469423440483</v>
      </c>
      <c r="H16" s="27" t="inlineStr">
        <is>
          <t>50.000 Nm³/h</t>
        </is>
      </c>
      <c r="I16" s="11" t="n">
        <v>26.86506942209809</v>
      </c>
    </row>
    <row r="17">
      <c r="B17" s="29" t="n">
        <v>75</v>
      </c>
      <c r="C17" s="11" t="n">
        <v>176.8697607975523</v>
      </c>
      <c r="D17" s="11" t="n">
        <v>294.7829346625871</v>
      </c>
      <c r="E17" s="11" t="n">
        <v>79.01709928217292</v>
      </c>
      <c r="F17" s="11" t="n">
        <v>131.6951654702882</v>
      </c>
      <c r="H17" s="27" t="inlineStr">
        <is>
          <t>100.000 Nm³/h</t>
        </is>
      </c>
      <c r="I17" s="11" t="n">
        <v>53.73013884419618</v>
      </c>
    </row>
    <row r="18">
      <c r="B18" s="29" t="n">
        <v>80</v>
      </c>
      <c r="C18" s="11" t="n">
        <v>196.749593809651</v>
      </c>
      <c r="D18" s="11" t="n">
        <v>327.9159896827518</v>
      </c>
      <c r="E18" s="11" t="n">
        <v>80.75507578750405</v>
      </c>
      <c r="F18" s="11" t="n">
        <v>134.5917929791734</v>
      </c>
    </row>
    <row r="19">
      <c r="B19" s="29" t="n">
        <v>85</v>
      </c>
      <c r="C19" s="11" t="n">
        <v>220.6109574845579</v>
      </c>
      <c r="D19" s="11" t="n">
        <v>367.6849291409298</v>
      </c>
      <c r="E19" s="11" t="n">
        <v>82.2864774961616</v>
      </c>
      <c r="F19" s="11" t="n">
        <v>137.1441291602693</v>
      </c>
      <c r="H19" s="27" t="inlineStr">
        <is>
          <t>Grenzrate: Kaverneninhalt bleibt beim Ausspeichern einphasig bis [kg/s]</t>
        </is>
      </c>
      <c r="I19" s="22" t="n"/>
      <c r="J19" s="22" t="n"/>
      <c r="K19" s="23" t="n"/>
      <c r="L19" s="13" t="n">
        <v>119.359375</v>
      </c>
    </row>
    <row r="20">
      <c r="B20" s="29" t="n">
        <v>90</v>
      </c>
      <c r="C20" s="11" t="n">
        <v>248.5419700160894</v>
      </c>
      <c r="D20" s="11" t="n">
        <v>414.2366166934823</v>
      </c>
      <c r="E20" s="11" t="n">
        <v>83.42000843282896</v>
      </c>
      <c r="F20" s="11" t="n">
        <v>139.0333473880483</v>
      </c>
      <c r="H20" s="27" t="inlineStr">
        <is>
          <t>bindend (unterhalb der Suchgrenze 150 kg/s)?</t>
        </is>
      </c>
      <c r="I20" s="22" t="n"/>
      <c r="J20" s="22" t="n"/>
      <c r="K20" s="23" t="n"/>
      <c r="L20" s="43" t="inlineStr">
        <is>
          <t>ja</t>
        </is>
      </c>
    </row>
    <row r="21">
      <c r="B21" s="29" t="n">
        <v>95</v>
      </c>
      <c r="C21" s="11" t="n">
        <v>278.9858209466544</v>
      </c>
      <c r="D21" s="11" t="n">
        <v>464.976368244424</v>
      </c>
      <c r="E21" s="11" t="n">
        <v>83.85506183362899</v>
      </c>
      <c r="F21" s="11" t="n">
        <v>139.7584363893817</v>
      </c>
    </row>
    <row r="22">
      <c r="B22" s="29" t="n">
        <v>100</v>
      </c>
      <c r="C22" s="11" t="n">
        <v>306.9519441580949</v>
      </c>
      <c r="D22" s="11" t="n">
        <v>511.5865735968248</v>
      </c>
      <c r="E22" s="11" t="n">
        <v>83.17585587874413</v>
      </c>
      <c r="F22" s="11" t="n">
        <v>138.6264264645735</v>
      </c>
    </row>
    <row r="23">
      <c r="B23" s="29" t="n">
        <v>105</v>
      </c>
      <c r="C23" s="11" t="n">
        <v>323.6859753523769</v>
      </c>
      <c r="D23" s="11" t="n">
        <v>539.476625587295</v>
      </c>
      <c r="E23" s="11" t="n">
        <v>80.94555970104088</v>
      </c>
      <c r="F23" s="11" t="n">
        <v>134.9092661684015</v>
      </c>
    </row>
    <row r="24">
      <c r="B24" s="29" t="n">
        <v>110</v>
      </c>
      <c r="C24" s="11" t="n">
        <v>321.1831294041203</v>
      </c>
      <c r="D24" s="11" t="n">
        <v>535.3052156735339</v>
      </c>
      <c r="E24" s="11" t="n">
        <v>76.9781760624455</v>
      </c>
      <c r="F24" s="11" t="n">
        <v>128.2969601040758</v>
      </c>
    </row>
    <row r="25">
      <c r="B25" s="29" t="n">
        <v>115</v>
      </c>
      <c r="C25" s="11" t="n">
        <v>299.3584883492389</v>
      </c>
      <c r="D25" s="11" t="n">
        <v>498.9308139153982</v>
      </c>
      <c r="E25" s="11" t="n">
        <v>71.63179842965397</v>
      </c>
      <c r="F25" s="11" t="n">
        <v>119.3863307160899</v>
      </c>
    </row>
    <row r="26">
      <c r="B26" s="29" t="n">
        <v>120</v>
      </c>
      <c r="C26" s="11" t="n">
        <v>266.9195605642984</v>
      </c>
      <c r="D26" s="11" t="n">
        <v>444.8659342738308</v>
      </c>
      <c r="E26" s="11" t="n">
        <v>65.68881952366657</v>
      </c>
      <c r="F26" s="11" t="n">
        <v>109.4813658727776</v>
      </c>
    </row>
    <row r="27">
      <c r="B27" s="29" t="n">
        <v>125</v>
      </c>
      <c r="C27" s="11" t="n">
        <v>233.3146585674998</v>
      </c>
      <c r="D27" s="11" t="n">
        <v>388.8577642791664</v>
      </c>
      <c r="E27" s="11" t="n">
        <v>59.8954164362404</v>
      </c>
      <c r="F27" s="11" t="n">
        <v>99.82569406040066</v>
      </c>
    </row>
    <row r="28">
      <c r="B28" s="29" t="n">
        <v>130</v>
      </c>
      <c r="C28" s="11" t="n">
        <v>203.3018268856285</v>
      </c>
      <c r="D28" s="11" t="n">
        <v>338.8363781427142</v>
      </c>
      <c r="E28" s="11" t="n">
        <v>54.65579093432489</v>
      </c>
      <c r="F28" s="11" t="n">
        <v>91.09298489054147</v>
      </c>
    </row>
    <row r="29">
      <c r="B29" s="29" t="n">
        <v>135</v>
      </c>
      <c r="C29" s="11" t="n">
        <v>178.0268418677136</v>
      </c>
      <c r="D29" s="11" t="n">
        <v>296.711403112856</v>
      </c>
      <c r="E29" s="11" t="n">
        <v>50.07540316693726</v>
      </c>
      <c r="F29" s="11" t="n">
        <v>83.45900527822877</v>
      </c>
    </row>
    <row r="30">
      <c r="B30" s="29" t="n">
        <v>140</v>
      </c>
      <c r="C30" s="11" t="n">
        <v>157.2120648209483</v>
      </c>
      <c r="D30" s="11" t="n">
        <v>262.0201080349138</v>
      </c>
      <c r="E30" s="11" t="n">
        <v>46.12427514469462</v>
      </c>
      <c r="F30" s="11" t="n">
        <v>76.87379190782437</v>
      </c>
    </row>
    <row r="31">
      <c r="B31" s="29" t="n">
        <v>145</v>
      </c>
      <c r="C31" s="11" t="n">
        <v>140.1649509919187</v>
      </c>
      <c r="D31" s="11" t="n">
        <v>233.6082516531978</v>
      </c>
      <c r="E31" s="11" t="n">
        <v>42.72646112304319</v>
      </c>
      <c r="F31" s="11" t="n">
        <v>71.21076853840532</v>
      </c>
    </row>
    <row r="32">
      <c r="B32" s="29" t="n">
        <v>150</v>
      </c>
      <c r="C32" s="11" t="n">
        <v>126.1460860790717</v>
      </c>
      <c r="D32" s="11" t="n">
        <v>210.2434767984528</v>
      </c>
      <c r="E32" s="11" t="n">
        <v>39.79689818340704</v>
      </c>
      <c r="F32" s="11" t="n">
        <v>66.32816363901172</v>
      </c>
    </row>
    <row r="33">
      <c r="B33" s="29" t="n">
        <v>155</v>
      </c>
      <c r="C33" s="11" t="n">
        <v>114.5102136197621</v>
      </c>
      <c r="D33" s="11" t="n">
        <v>190.8503560329368</v>
      </c>
      <c r="E33" s="11" t="n">
        <v>37.25678444359347</v>
      </c>
      <c r="F33" s="11" t="n">
        <v>62.09464073932244</v>
      </c>
    </row>
    <row r="34">
      <c r="B34" s="29" t="n">
        <v>160</v>
      </c>
      <c r="C34" s="11" t="n">
        <v>104.7437246444128</v>
      </c>
      <c r="D34" s="11" t="n">
        <v>174.5728744073546</v>
      </c>
      <c r="E34" s="11" t="n">
        <v>35.03904494632471</v>
      </c>
      <c r="F34" s="11" t="n">
        <v>58.39840824387452</v>
      </c>
    </row>
    <row r="35">
      <c r="B35" s="29" t="n">
        <v>165</v>
      </c>
      <c r="C35" s="11" t="n">
        <v>96.45420208891133</v>
      </c>
      <c r="D35" s="11" t="n">
        <v>160.7570034815189</v>
      </c>
      <c r="E35" s="11" t="n">
        <v>33.08883249499996</v>
      </c>
      <c r="F35" s="11" t="n">
        <v>55.14805415833327</v>
      </c>
    </row>
    <row r="36">
      <c r="B36" s="29" t="n">
        <v>170</v>
      </c>
      <c r="C36" s="11" t="n">
        <v>89.34521168185228</v>
      </c>
      <c r="D36" s="11" t="n">
        <v>148.9086861364205</v>
      </c>
      <c r="E36" s="11" t="n">
        <v>31.36198919844459</v>
      </c>
      <c r="F36" s="11" t="n">
        <v>52.26998199740764</v>
      </c>
    </row>
    <row r="37">
      <c r="B37" s="29" t="n">
        <v>175</v>
      </c>
      <c r="C37" s="11" t="n">
        <v>83.19174813101348</v>
      </c>
      <c r="D37" s="11" t="n">
        <v>138.6529135516891</v>
      </c>
      <c r="E37" s="11" t="n">
        <v>29.82303586960348</v>
      </c>
      <c r="F37" s="11" t="n">
        <v>49.70505978267246</v>
      </c>
    </row>
    <row r="38">
      <c r="B38" s="29" t="n">
        <v>180</v>
      </c>
      <c r="C38" s="11" t="n">
        <v>77.82095471654829</v>
      </c>
      <c r="D38" s="11" t="n">
        <v>129.7015911942472</v>
      </c>
      <c r="E38" s="11" t="n">
        <v>28.44333748094937</v>
      </c>
      <c r="F38" s="11" t="n">
        <v>47.40556246824896</v>
      </c>
    </row>
    <row r="39">
      <c r="B39" s="29" t="n">
        <v>185</v>
      </c>
      <c r="C39" s="11" t="n">
        <v>73.09816293957361</v>
      </c>
      <c r="D39" s="11" t="n">
        <v>121.830271565956</v>
      </c>
      <c r="E39" s="11" t="n">
        <v>27.19961784570548</v>
      </c>
      <c r="F39" s="11" t="n">
        <v>45.33269640950914</v>
      </c>
    </row>
    <row r="40">
      <c r="B40" s="29" t="n">
        <v>190</v>
      </c>
      <c r="C40" s="11" t="n">
        <v>68.91703515705474</v>
      </c>
      <c r="D40" s="11" t="n">
        <v>114.8617252617579</v>
      </c>
      <c r="E40" s="11" t="n">
        <v>26.0728089891697</v>
      </c>
      <c r="F40" s="11" t="n">
        <v>43.45468164861618</v>
      </c>
    </row>
    <row r="41">
      <c r="B41" s="29" t="n">
        <v>195</v>
      </c>
      <c r="C41" s="11" t="n">
        <v>65.19258811696066</v>
      </c>
      <c r="D41" s="11" t="n">
        <v>108.6543135282677</v>
      </c>
      <c r="E41" s="11" t="n">
        <v>25.04717023257838</v>
      </c>
      <c r="F41" s="11" t="n">
        <v>41.74528372096397</v>
      </c>
    </row>
    <row r="42">
      <c r="B42" s="29" t="n">
        <v>200</v>
      </c>
      <c r="C42" s="11" t="n">
        <v>61.85618245360658</v>
      </c>
      <c r="D42" s="11" t="n">
        <v>103.0936374226776</v>
      </c>
      <c r="E42" s="11" t="n">
        <v>24.10961231736698</v>
      </c>
      <c r="F42" s="11" t="n">
        <v>40.18268719561163</v>
      </c>
    </row>
    <row r="43">
      <c r="B43" s="29" t="n">
        <v>205</v>
      </c>
      <c r="C43" s="11" t="n">
        <v>58.85185760065939</v>
      </c>
      <c r="D43" s="11" t="n">
        <v>98.08642933443232</v>
      </c>
      <c r="E43" s="11" t="n">
        <v>23.24917513767987</v>
      </c>
      <c r="F43" s="11" t="n">
        <v>38.74862522946646</v>
      </c>
    </row>
    <row r="44">
      <c r="B44" s="29" t="n">
        <v>210</v>
      </c>
      <c r="C44" s="11" t="n">
        <v>56.13360331411244</v>
      </c>
      <c r="D44" s="11" t="n">
        <v>93.55600552352072</v>
      </c>
      <c r="E44" s="11" t="n">
        <v>22.45662088524967</v>
      </c>
      <c r="F44" s="11" t="n">
        <v>37.42770147541611</v>
      </c>
    </row>
    <row r="46">
      <c r="B46" s="3" t="inlineStr">
        <is>
          <t>Kavernenzyklus: Ergebnisse je Fall</t>
        </is>
      </c>
    </row>
    <row r="47" ht="56" customHeight="1">
      <c r="B47" s="25" t="inlineStr">
        <is>
          <t>Fall</t>
        </is>
      </c>
      <c r="C47" s="25" t="inlineStr">
        <is>
          <t>Arbeitsgas [t]</t>
        </is>
      </c>
      <c r="D47" s="25" t="inlineStr">
        <is>
          <t>Anteil am Inhalt</t>
        </is>
      </c>
      <c r="E47" s="25" t="inlineStr">
        <is>
          <t>Zyklusdauer [d]</t>
        </is>
      </c>
      <c r="F47" s="25" t="inlineStr">
        <is>
          <t>Zyklen pro Jahr</t>
        </is>
      </c>
      <c r="G47" s="25" t="inlineStr">
        <is>
          <t>Aus: Dauer [d]</t>
        </is>
      </c>
      <c r="H47" s="25" t="inlineStr">
        <is>
          <t>Aus: T min [°C]</t>
        </is>
      </c>
      <c r="I47" s="25" t="inlineStr">
        <is>
          <t>Aus: Rate gedrosselt [%]</t>
        </is>
      </c>
      <c r="J47" s="25" t="inlineStr">
        <is>
          <t>Stillstand 1: p LCCS danach [bar]</t>
        </is>
      </c>
      <c r="K47" s="25" t="inlineStr">
        <is>
          <t>Ein: Dauer [d]</t>
        </is>
      </c>
      <c r="L47" s="25" t="inlineStr">
        <is>
          <t>Ein: T max [°C]</t>
        </is>
      </c>
      <c r="M47" s="25" t="inlineStr">
        <is>
          <t>Stillstand 2: p LCCS danach [bar]</t>
        </is>
      </c>
      <c r="N47" s="25" t="inlineStr">
        <is>
          <t>Kaverne zweiphasig?</t>
        </is>
      </c>
      <c r="O47" s="25" t="inlineStr">
        <is>
          <t>T an der LCCS beim Einspeisen [°C]</t>
        </is>
      </c>
    </row>
    <row r="48" ht="27" customHeight="1">
      <c r="B48" s="21" t="inlineStr">
        <is>
          <t>S1, 50.000 Nm³/h, Stillstand 21,67 d (Q-028)</t>
        </is>
      </c>
      <c r="C48" s="31" t="n">
        <v>365719.1332158865</v>
      </c>
      <c r="D48" s="47" t="n">
        <v>0.759794274771242</v>
      </c>
      <c r="E48" s="29" t="n">
        <v>350.3799999999713</v>
      </c>
      <c r="F48" s="12">
        <f>365/E48</f>
        <v/>
      </c>
      <c r="G48" s="29" t="n">
        <v>157.5600000000068</v>
      </c>
      <c r="H48" s="11" t="n">
        <v>44.58439432992061</v>
      </c>
      <c r="I48" s="29" t="n">
        <v>0</v>
      </c>
      <c r="J48" s="11" t="n">
        <v>72.33628045497257</v>
      </c>
      <c r="K48" s="29" t="n">
        <v>149.4599999999731</v>
      </c>
      <c r="L48" s="11" t="n">
        <v>57.38813497782786</v>
      </c>
      <c r="M48" s="11" t="n">
        <v>191.2533270447493</v>
      </c>
      <c r="N48" s="43" t="inlineStr">
        <is>
          <t>nein</t>
        </is>
      </c>
      <c r="O48" s="11" t="n">
        <v>28.69580765487524</v>
      </c>
    </row>
    <row r="49" ht="27" customHeight="1">
      <c r="B49" s="21" t="inlineStr">
        <is>
          <t>S1, 50.000 Nm³/h, kontinuierlich (0 d)</t>
        </is>
      </c>
      <c r="C49" s="31" t="n">
        <v>365719.1332158865</v>
      </c>
      <c r="D49" s="47" t="n">
        <v>0.759794274771242</v>
      </c>
      <c r="E49" s="29" t="n">
        <v>307.0200000000107</v>
      </c>
      <c r="F49" s="12">
        <f>365/E49</f>
        <v/>
      </c>
      <c r="G49" s="29" t="n">
        <v>157.5600000000068</v>
      </c>
      <c r="H49" s="11" t="n">
        <v>44.58439432992061</v>
      </c>
      <c r="I49" s="29" t="n">
        <v>0</v>
      </c>
      <c r="J49" s="11" t="n">
        <v>69.99164714198963</v>
      </c>
      <c r="K49" s="29" t="n">
        <v>149.4600000000039</v>
      </c>
      <c r="L49" s="11" t="n">
        <v>57.38813497782766</v>
      </c>
      <c r="M49" s="11" t="n">
        <v>210.0079588089933</v>
      </c>
      <c r="N49" s="43" t="inlineStr">
        <is>
          <t>nein</t>
        </is>
      </c>
      <c r="O49" s="11" t="n">
        <v>28.69580765487524</v>
      </c>
    </row>
    <row r="50" ht="27" customHeight="1">
      <c r="B50" s="21" t="inlineStr">
        <is>
          <t>S1, 100.000 Nm³/h, Stillstand 21,67 d (Q-028)</t>
        </is>
      </c>
      <c r="C50" s="31" t="n">
        <v>357880.3574870209</v>
      </c>
      <c r="D50" s="47" t="n">
        <v>0.7435089443658128</v>
      </c>
      <c r="E50" s="29" t="n">
        <v>191.5800000000242</v>
      </c>
      <c r="F50" s="12">
        <f>365/E50</f>
        <v/>
      </c>
      <c r="G50" s="29" t="n">
        <v>77.66000000000169</v>
      </c>
      <c r="H50" s="11" t="n">
        <v>38.79389867776668</v>
      </c>
      <c r="I50" s="29" t="n">
        <v>4.40381148596446</v>
      </c>
      <c r="J50" s="11" t="n">
        <v>75.23826580670212</v>
      </c>
      <c r="K50" s="29" t="n">
        <v>70.56000000001573</v>
      </c>
      <c r="L50" s="11" t="n">
        <v>60.53857019859851</v>
      </c>
      <c r="M50" s="11" t="n">
        <v>181.5601791688606</v>
      </c>
      <c r="N50" s="43" t="inlineStr">
        <is>
          <t>nein</t>
        </is>
      </c>
      <c r="O50" s="11" t="n">
        <v>28.78955369701979</v>
      </c>
    </row>
    <row r="51" ht="27" customHeight="1">
      <c r="B51" s="21" t="inlineStr">
        <is>
          <t>S1, 100.000 Nm³/h, kontinuierlich (0 d)</t>
        </is>
      </c>
      <c r="C51" s="31" t="n">
        <v>357880.3574870209</v>
      </c>
      <c r="D51" s="47" t="n">
        <v>0.7435089443658128</v>
      </c>
      <c r="E51" s="29" t="n">
        <v>148.220000000002</v>
      </c>
      <c r="F51" s="12">
        <f>365/E51</f>
        <v/>
      </c>
      <c r="G51" s="29" t="n">
        <v>77.66000000000169</v>
      </c>
      <c r="H51" s="11" t="n">
        <v>38.79389867776668</v>
      </c>
      <c r="I51" s="29" t="n">
        <v>4.40381148596446</v>
      </c>
      <c r="J51" s="11" t="n">
        <v>69.97737419505637</v>
      </c>
      <c r="K51" s="29" t="n">
        <v>70.56000000000033</v>
      </c>
      <c r="L51" s="11" t="n">
        <v>60.53856781083633</v>
      </c>
      <c r="M51" s="11" t="n">
        <v>210.1055989174746</v>
      </c>
      <c r="N51" s="43" t="inlineStr">
        <is>
          <t>nein</t>
        </is>
      </c>
      <c r="O51" s="11" t="n">
        <v>28.78955369701979</v>
      </c>
    </row>
    <row r="52" ht="27" customHeight="1">
      <c r="B52" s="21" t="inlineStr">
        <is>
          <t>S2, 50.000 Nm³/h, Stillstand 21,67 d (Q-028)</t>
        </is>
      </c>
      <c r="C52" s="31" t="n">
        <v>365719.1332158865</v>
      </c>
      <c r="D52" s="47" t="n">
        <v>0.759794274771242</v>
      </c>
      <c r="E52" s="29" t="n">
        <v>347.4799999999739</v>
      </c>
      <c r="F52" s="12">
        <f>365/E52</f>
        <v/>
      </c>
      <c r="G52" s="29" t="n">
        <v>157.5600000000068</v>
      </c>
      <c r="H52" s="11" t="n">
        <v>44.58439432992061</v>
      </c>
      <c r="I52" s="29" t="n">
        <v>0</v>
      </c>
      <c r="J52" s="11" t="n">
        <v>72.33628045497257</v>
      </c>
      <c r="K52" s="29" t="n">
        <v>146.5599999999758</v>
      </c>
      <c r="L52" s="11" t="n">
        <v>59.22839382792394</v>
      </c>
      <c r="M52" s="11" t="n">
        <v>185.4465361320605</v>
      </c>
      <c r="N52" s="43" t="inlineStr">
        <is>
          <t>nein</t>
        </is>
      </c>
      <c r="O52" s="11" t="n">
        <v>48.0004244040292</v>
      </c>
    </row>
    <row r="53" ht="27" customHeight="1">
      <c r="B53" s="21" t="inlineStr">
        <is>
          <t>S2, 50.000 Nm³/h, kontinuierlich (0 d)</t>
        </is>
      </c>
      <c r="C53" s="31" t="n">
        <v>365719.1332158865</v>
      </c>
      <c r="D53" s="47" t="n">
        <v>0.759794274771242</v>
      </c>
      <c r="E53" s="29" t="n">
        <v>304.1200000000134</v>
      </c>
      <c r="F53" s="12">
        <f>365/E53</f>
        <v/>
      </c>
      <c r="G53" s="29" t="n">
        <v>157.5600000000068</v>
      </c>
      <c r="H53" s="11" t="n">
        <v>44.58439432992061</v>
      </c>
      <c r="I53" s="29" t="n">
        <v>0</v>
      </c>
      <c r="J53" s="11" t="n">
        <v>69.99164714198963</v>
      </c>
      <c r="K53" s="29" t="n">
        <v>146.5600000000066</v>
      </c>
      <c r="L53" s="11" t="n">
        <v>59.22839382792365</v>
      </c>
      <c r="M53" s="11" t="n">
        <v>210.0477807541168</v>
      </c>
      <c r="N53" s="43" t="inlineStr">
        <is>
          <t>nein</t>
        </is>
      </c>
      <c r="O53" s="11" t="n">
        <v>48.0004244040292</v>
      </c>
    </row>
    <row r="54" ht="27" customHeight="1">
      <c r="B54" s="21" t="inlineStr">
        <is>
          <t>S2, 100.000 Nm³/h, Stillstand 21,67 d (Q-028)</t>
        </is>
      </c>
      <c r="C54" s="31" t="n">
        <v>357880.3574870209</v>
      </c>
      <c r="D54" s="47" t="n">
        <v>0.7435089443658128</v>
      </c>
      <c r="E54" s="29" t="n">
        <v>188.9400000000228</v>
      </c>
      <c r="F54" s="12">
        <f>365/E54</f>
        <v/>
      </c>
      <c r="G54" s="29" t="n">
        <v>77.66000000000169</v>
      </c>
      <c r="H54" s="11" t="n">
        <v>38.79389867776668</v>
      </c>
      <c r="I54" s="29" t="n">
        <v>4.40381148596446</v>
      </c>
      <c r="J54" s="11" t="n">
        <v>75.23826580670212</v>
      </c>
      <c r="K54" s="29" t="n">
        <v>67.92000000001438</v>
      </c>
      <c r="L54" s="11" t="n">
        <v>63.80828869282512</v>
      </c>
      <c r="M54" s="11" t="n">
        <v>172.433130977768</v>
      </c>
      <c r="N54" s="43" t="inlineStr">
        <is>
          <t>nein</t>
        </is>
      </c>
      <c r="O54" s="11" t="n">
        <v>48.11519660575867</v>
      </c>
    </row>
    <row r="55" ht="27" customHeight="1">
      <c r="B55" s="21" t="inlineStr">
        <is>
          <t>S2, 100.000 Nm³/h, kontinuierlich (0 d)</t>
        </is>
      </c>
      <c r="C55" s="31" t="n">
        <v>357880.3574870209</v>
      </c>
      <c r="D55" s="47" t="n">
        <v>0.7435089443658128</v>
      </c>
      <c r="E55" s="29" t="n">
        <v>145.5800000000007</v>
      </c>
      <c r="F55" s="12">
        <f>365/E55</f>
        <v/>
      </c>
      <c r="G55" s="29" t="n">
        <v>77.66000000000169</v>
      </c>
      <c r="H55" s="11" t="n">
        <v>38.79389867776668</v>
      </c>
      <c r="I55" s="29" t="n">
        <v>4.40381148596446</v>
      </c>
      <c r="J55" s="11" t="n">
        <v>69.97737419505637</v>
      </c>
      <c r="K55" s="29" t="n">
        <v>67.91999999999898</v>
      </c>
      <c r="L55" s="11" t="n">
        <v>63.80828589337307</v>
      </c>
      <c r="M55" s="11" t="n">
        <v>210.0181160913929</v>
      </c>
      <c r="N55" s="43" t="inlineStr">
        <is>
          <t>nein</t>
        </is>
      </c>
      <c r="O55" s="11" t="n">
        <v>48.11519660575867</v>
      </c>
    </row>
    <row r="56">
      <c r="B56" s="8" t="inlineStr">
        <is>
          <t>Arbeitsgas = in einem Zyklus umgeschlagene Masse. Mit Stillstand 21,67 d nach jeder Phase; kontinuierlich = ohne Pause. Auslegungsfall (Kernergebnisse, Blatt 05): S2, 100.000 Nm³/h, Stillstand 21,67 d.</t>
        </is>
      </c>
    </row>
  </sheetData>
  <mergeCells count="3">
    <mergeCell ref="H20:K20"/>
    <mergeCell ref="B4:O4"/>
    <mergeCell ref="H19:K19"/>
  </mergeCells>
  <conditionalFormatting sqref="B16:F44">
    <cfRule type="expression" priority="1" dxfId="2">
      <formula>NOT(Stand_ok)</formula>
    </cfRule>
  </conditionalFormatting>
  <conditionalFormatting sqref="C48:E55">
    <cfRule type="expression" priority="2" dxfId="2">
      <formula>NOT(Stand_ok)</formula>
    </cfRule>
  </conditionalFormatting>
  <conditionalFormatting sqref="G48:M55">
    <cfRule type="expression" priority="3" dxfId="2">
      <formula>NOT(Stand_ok)</formula>
    </cfRule>
  </conditionalFormatting>
  <conditionalFormatting sqref="O48:O55">
    <cfRule type="expression" priority="4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K39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B1" s="1" t="inlineStr">
        <is>
          <t>04 Bohrlochkopf – Kopfdruckfenster beim Ein- und Ausspeichern</t>
        </is>
      </c>
    </row>
    <row r="2">
      <c r="B2" s="2" t="inlineStr">
        <is>
          <t>Worst-Case-Gemisch · Code: Kaverne/Begleitstoffe_CO2/04_bohrlochkopf.py · Strang adiabat, homogen, Reibung f = 0,016</t>
        </is>
      </c>
    </row>
    <row r="3">
      <c r="B3" s="18" t="inlineStr">
        <is>
          <t>← zur Übersicht</t>
        </is>
      </c>
    </row>
    <row r="4" ht="120" customHeight="1">
      <c r="B4" s="4" t="inlineStr">
        <is>
          <r>
            <rPr>
              <rFont val="Calibri"/>
              <b val="1"/>
              <sz val="10"/>
            </rPr>
            <t>REGELUNG ÜBER DEN KOPFDRUCK (Besprechung K. Vosbeck 15.10.2026, Pkt. 6):</t>
          </r>
          <r>
            <rPr>
              <rFont val="Calibri"/>
              <sz val="10"/>
            </rPr>
            <t xml:space="preserve">  Die Anlage muss über den ganzen Zyklus den passenden Kopfdruck liefern bzw. aufnehmen. Höchster Wert = Auslegung der Pumpe (Einspeisen in die volle Kaverne bei 100.000 Nm³/h), kleinster Wert = Rückverdichtung bzw. Drossel beim Ausspeichern.
</t>
          </r>
          <r>
            <rPr>
              <rFont val="Calibri"/>
              <b val="1"/>
              <sz val="10"/>
            </rPr>
            <t>EINSPEISEN:</t>
          </r>
          <r>
            <rPr>
              <rFont val="Calibri"/>
              <sz val="10"/>
            </rPr>
            <t xml:space="preserve">  Reicht der Lieferdruck (91 bar) für den nötigen Kopfdruck, läuft die Pumpe nicht – dann wird am Kopf isenthalp gedrosselt (kalter Kopf, unten zweiphasiger Strang möglich). Erst ab einem höheren Kavernendruck läuft die Pumpe.
</t>
          </r>
          <r>
            <rPr>
              <rFont val="Calibri"/>
              <b val="1"/>
              <sz val="10"/>
            </rPr>
            <t>AUSSPEICHERN:</t>
          </r>
          <r>
            <rPr>
              <rFont val="Calibri"/>
              <sz val="10"/>
            </rPr>
            <t xml:space="preserve">  Strömung nach oben, adiabat: das CO₂ entspannt und kühlt im Strang; bei niedrigem Kavernendruck wird der Strang zweiphasig (Band unten). Danach Drosselung auf 30 bar (gasförmige Übergabe) oder Rückgabe dicht mit 91 bar (Rückverdichtung nötig, wenn der Kopf darunter liegt).
</t>
          </r>
          <r>
            <rPr>
              <rFont val="Calibri"/>
              <b val="1"/>
              <sz val="10"/>
            </rPr>
            <t>GRENZE:</t>
          </r>
          <r>
            <rPr>
              <rFont val="Calibri"/>
              <sz val="10"/>
            </rPr>
            <t xml:space="preserve">  homogenes Modell – zweiphasige Abschnitte nur angezeigt (Q-028 S. 11).</t>
          </r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2" t="n"/>
    </row>
    <row r="6">
      <c r="B6" s="3" t="inlineStr">
        <is>
          <t>Kopfdruckfenster (Übersicht)</t>
        </is>
      </c>
    </row>
    <row r="7" ht="30" customHeight="1">
      <c r="B7" s="25" t="inlineStr">
        <is>
          <t>Betriebsfall</t>
        </is>
      </c>
      <c r="C7" s="25" t="inlineStr">
        <is>
          <t>50.000 Nm³/h</t>
        </is>
      </c>
      <c r="D7" s="25" t="inlineStr">
        <is>
          <t>100.000 Nm³/h</t>
        </is>
      </c>
      <c r="E7" s="25" t="inlineStr">
        <is>
          <t>Einheit</t>
        </is>
      </c>
      <c r="F7" s="25" t="inlineStr">
        <is>
          <t>Bedeutung</t>
        </is>
      </c>
      <c r="G7" s="22" t="n"/>
      <c r="H7" s="23" t="n"/>
    </row>
    <row r="8">
      <c r="B8" s="21" t="inlineStr">
        <is>
          <t>Stillstand, Kaverne voll</t>
        </is>
      </c>
      <c r="C8" s="11" t="n">
        <v>114.9313019820893</v>
      </c>
      <c r="D8" s="11" t="n">
        <v>114.9313019820893</v>
      </c>
      <c r="E8" s="43" t="inlineStr">
        <is>
          <t>bar</t>
        </is>
      </c>
      <c r="F8" s="27" t="inlineStr">
        <is>
          <t>Kopfdruck ruhend</t>
        </is>
      </c>
      <c r="G8" s="22" t="n"/>
      <c r="H8" s="23" t="n"/>
    </row>
    <row r="9">
      <c r="B9" s="21" t="inlineStr">
        <is>
          <t>Stillstand, Kaverne leer</t>
        </is>
      </c>
      <c r="C9" s="11" t="n">
        <v>50.70545867272649</v>
      </c>
      <c r="D9" s="11" t="n">
        <v>50.70545867272649</v>
      </c>
      <c r="E9" s="43" t="inlineStr">
        <is>
          <t>bar</t>
        </is>
      </c>
      <c r="F9" s="27" t="inlineStr">
        <is>
          <t>Kopfdruck ruhend</t>
        </is>
      </c>
      <c r="G9" s="22" t="n"/>
      <c r="H9" s="23" t="n"/>
    </row>
    <row r="10">
      <c r="B10" s="21" t="inlineStr">
        <is>
          <t>Einspeisen S1: Kopfdruck höchstens</t>
        </is>
      </c>
      <c r="C10" s="11" t="n">
        <v>112.5701049627361</v>
      </c>
      <c r="D10" s="13" t="n">
        <v>113.6031226251889</v>
      </c>
      <c r="E10" s="43" t="inlineStr">
        <is>
          <t>bar</t>
        </is>
      </c>
      <c r="F10" s="27" t="inlineStr">
        <is>
          <t>Ende der Einspeicherung (Pumpe)</t>
        </is>
      </c>
      <c r="G10" s="22" t="n"/>
      <c r="H10" s="23" t="n"/>
    </row>
    <row r="11">
      <c r="B11" s="21" t="inlineStr">
        <is>
          <t>Einspeisen S1: Kopfdruck mindestens</t>
        </is>
      </c>
      <c r="C11" s="11" t="n">
        <v>28.36315302218817</v>
      </c>
      <c r="D11" s="13" t="n">
        <v>30.90176883312818</v>
      </c>
      <c r="E11" s="43" t="inlineStr">
        <is>
          <t>bar</t>
        </is>
      </c>
      <c r="F11" s="27" t="inlineStr">
        <is>
          <t>Start in die leere Kaverne (gedrosselt)</t>
        </is>
      </c>
      <c r="G11" s="22" t="n"/>
      <c r="H11" s="23" t="n"/>
    </row>
    <row r="12">
      <c r="B12" s="21" t="inlineStr">
        <is>
          <t>Einspeisen S2: Kopfdruck höchstens</t>
        </is>
      </c>
      <c r="C12" s="11" t="n">
        <v>125.6698660294574</v>
      </c>
      <c r="D12" s="13" t="n">
        <v>126.768712615815</v>
      </c>
      <c r="E12" s="43" t="inlineStr">
        <is>
          <t>bar</t>
        </is>
      </c>
      <c r="F12" s="27" t="inlineStr">
        <is>
          <t>Ende der Einspeicherung (Pumpe)</t>
        </is>
      </c>
      <c r="G12" s="22" t="n"/>
      <c r="H12" s="23" t="n"/>
    </row>
    <row r="13">
      <c r="B13" s="21" t="inlineStr">
        <is>
          <t>Einspeisen S2: Kopfdruck mindestens</t>
        </is>
      </c>
      <c r="C13" s="11" t="n">
        <v>36.34881395016518</v>
      </c>
      <c r="D13" s="13" t="n">
        <v>39.27589754981553</v>
      </c>
      <c r="E13" s="43" t="inlineStr">
        <is>
          <t>bar</t>
        </is>
      </c>
      <c r="F13" s="27" t="inlineStr">
        <is>
          <t>Start in die leere Kaverne (gedrosselt)</t>
        </is>
      </c>
      <c r="G13" s="22" t="n"/>
      <c r="H13" s="23" t="n"/>
    </row>
    <row r="14">
      <c r="B14" s="21" t="inlineStr">
        <is>
          <t>Ausspeisen: Kopfdruck höchstens</t>
        </is>
      </c>
      <c r="C14" s="11" t="n">
        <v>127.5604428616883</v>
      </c>
      <c r="D14" s="13" t="n">
        <v>127.0803390368653</v>
      </c>
      <c r="E14" s="43" t="inlineStr">
        <is>
          <t>bar</t>
        </is>
      </c>
      <c r="F14" s="27" t="inlineStr">
        <is>
          <t>Start (Kaverne voll)</t>
        </is>
      </c>
      <c r="G14" s="22" t="n"/>
      <c r="H14" s="23" t="n"/>
    </row>
    <row r="15">
      <c r="B15" s="21" t="inlineStr">
        <is>
          <t>Ausspeisen: Kopfdruck mindestens</t>
        </is>
      </c>
      <c r="C15" s="11" t="n">
        <v>50.45241325987944</v>
      </c>
      <c r="D15" s="13" t="n">
        <v>42.87140335540005</v>
      </c>
      <c r="E15" s="43" t="inlineStr">
        <is>
          <t>bar</t>
        </is>
      </c>
      <c r="F15" s="27" t="inlineStr">
        <is>
          <t>Ende (Kaverne leer) → Rückverdichtung auf 91 bar</t>
        </is>
      </c>
      <c r="G15" s="22" t="n"/>
      <c r="H15" s="23" t="n"/>
    </row>
    <row r="16">
      <c r="B16" s="21" t="inlineStr">
        <is>
          <t>Ausspeisen: Kopftemperatur mindestens</t>
        </is>
      </c>
      <c r="C16" s="11" t="n">
        <v>19.20365855441078</v>
      </c>
      <c r="D16" s="13" t="n">
        <v>9.728648246014833</v>
      </c>
      <c r="E16" s="43" t="inlineStr">
        <is>
          <t>°C</t>
        </is>
      </c>
      <c r="F16" s="27" t="inlineStr">
        <is>
          <t>Vergleich Epe: 5 °C (Q-035 Folie 36)</t>
        </is>
      </c>
      <c r="G16" s="22" t="n"/>
      <c r="H16" s="23" t="n"/>
    </row>
    <row r="17">
      <c r="B17" s="21" t="inlineStr">
        <is>
          <t>Ausspeisen: T nach Drossel auf 30 bar mindestens</t>
        </is>
      </c>
      <c r="C17" s="11" t="n">
        <v>-10.13192069718464</v>
      </c>
      <c r="D17" s="13" t="n">
        <v>-10.13192069731306</v>
      </c>
      <c r="E17" s="43" t="inlineStr">
        <is>
          <t>°C</t>
        </is>
      </c>
      <c r="F17" s="27" t="inlineStr">
        <is>
          <t>→ Vorwärmung vor der Drossel nötig</t>
        </is>
      </c>
      <c r="G17" s="22" t="n"/>
      <c r="H17" s="23" t="n"/>
    </row>
    <row r="18">
      <c r="B18" s="21" t="inlineStr">
        <is>
          <t>Ausspeisen: Geschwindigkeit am Kopf höchstens</t>
        </is>
      </c>
      <c r="C18" s="11" t="n">
        <v>6.82800364800449</v>
      </c>
      <c r="D18" s="13" t="n">
        <v>15.22331053345763</v>
      </c>
      <c r="E18" s="43" t="inlineStr">
        <is>
          <t>m/s</t>
        </is>
      </c>
      <c r="F18" s="27" t="inlineStr">
        <is>
          <t>Grenze 20 m/s (Q-030 Kap. 1.2.1)</t>
        </is>
      </c>
      <c r="G18" s="22" t="n"/>
      <c r="H18" s="23" t="n"/>
    </row>
    <row r="20">
      <c r="B20" s="3" t="inlineStr">
        <is>
          <t>Einspeisen: ab welchem Kavernendruck einphasig, ab wann Pumpe?</t>
        </is>
      </c>
    </row>
    <row r="21" ht="42" customHeight="1">
      <c r="B21" s="25" t="inlineStr">
        <is>
          <t>Fall</t>
        </is>
      </c>
      <c r="C21" s="25" t="inlineStr">
        <is>
          <t>Zieldruck Pumpe (Auslegung) [bar]</t>
        </is>
      </c>
      <c r="D21" s="25" t="inlineStr">
        <is>
          <t>Strang einphasig ab p LCCS [bar]</t>
        </is>
      </c>
      <c r="E21" s="25" t="inlineStr">
        <is>
          <t>Pumpe nötig ab p LCCS [bar]</t>
        </is>
      </c>
      <c r="F21" s="25" t="inlineStr">
        <is>
          <t>darunter</t>
        </is>
      </c>
      <c r="G21" s="22" t="n"/>
      <c r="H21" s="23" t="n"/>
    </row>
    <row r="22">
      <c r="B22" s="21" t="inlineStr">
        <is>
          <t>Einspeisen S1, 50.000 Nm³/h</t>
        </is>
      </c>
      <c r="C22" s="11" t="n">
        <v>112.9603755526102</v>
      </c>
      <c r="D22" s="11" t="n">
        <v>164.275965862228</v>
      </c>
      <c r="E22" s="11" t="n">
        <v>187.3060224267285</v>
      </c>
      <c r="F22" s="27" t="inlineStr">
        <is>
          <t>gedrosselt, Strang unten zweiphasig möglich</t>
        </is>
      </c>
      <c r="G22" s="22" t="n"/>
      <c r="H22" s="23" t="n"/>
    </row>
    <row r="23">
      <c r="B23" s="21" t="inlineStr">
        <is>
          <t>Einspeisen S1, 100.000 Nm³/h</t>
        </is>
      </c>
      <c r="C23" s="11" t="n">
        <v>114.273800177097</v>
      </c>
      <c r="D23" s="11" t="n">
        <v>162.731452512496</v>
      </c>
      <c r="E23" s="11" t="n">
        <v>185.9485087330154</v>
      </c>
      <c r="F23" s="27" t="inlineStr">
        <is>
          <t>gedrosselt, Strang unten zweiphasig möglich</t>
        </is>
      </c>
      <c r="G23" s="22" t="n"/>
      <c r="H23" s="23" t="n"/>
    </row>
    <row r="24">
      <c r="B24" s="21" t="inlineStr">
        <is>
          <t>Einspeisen S2, 50.000 Nm³/h</t>
        </is>
      </c>
      <c r="C24" s="11" t="n">
        <v>125.7729438871019</v>
      </c>
      <c r="D24" s="11" t="n">
        <v>158.9289561889634</v>
      </c>
      <c r="E24" s="11" t="n">
        <v>172.1391163111282</v>
      </c>
      <c r="F24" s="27" t="inlineStr">
        <is>
          <t>gedrosselt, Strang unten zweiphasig möglich</t>
        </is>
      </c>
      <c r="G24" s="22" t="n"/>
      <c r="H24" s="23" t="n"/>
    </row>
    <row r="25">
      <c r="B25" s="21" t="inlineStr">
        <is>
          <t>Einspeisen S2, 100.000 Nm³/h</t>
        </is>
      </c>
      <c r="C25" s="11" t="n">
        <v>127.2718032176663</v>
      </c>
      <c r="D25" s="11" t="n">
        <v>157.713284251489</v>
      </c>
      <c r="E25" s="11" t="n">
        <v>171.2595414460243</v>
      </c>
      <c r="F25" s="27" t="inlineStr">
        <is>
          <t>gedrosselt, Strang unten zweiphasig möglich</t>
        </is>
      </c>
      <c r="G25" s="22" t="n"/>
      <c r="H25" s="23" t="n"/>
    </row>
    <row r="27">
      <c r="B27" s="3" t="inlineStr">
        <is>
          <t>Ausspeisen: Kavernendruck, bei dem der Strang zweiphasig ist</t>
        </is>
      </c>
    </row>
    <row r="28" ht="42" customHeight="1">
      <c r="B28" s="25" t="inlineStr">
        <is>
          <t>Rate</t>
        </is>
      </c>
      <c r="C28" s="25" t="inlineStr">
        <is>
          <t>zweiphasig unter p LCCS [bar]</t>
        </is>
      </c>
      <c r="D28" s="25" t="inlineStr">
        <is>
          <t>wieder einphasig unter p LCCS [bar]</t>
        </is>
      </c>
      <c r="E28" s="25" t="inlineStr">
        <is>
          <t>Vergleich DBI</t>
        </is>
      </c>
    </row>
    <row r="29">
      <c r="B29" s="21" t="inlineStr">
        <is>
          <t>50.000 Nm³/h</t>
        </is>
      </c>
      <c r="C29" s="11" t="n">
        <v>154.6587720841816</v>
      </c>
      <c r="D29" s="11" t="n">
        <v>92.15770033127481</v>
      </c>
      <c r="E29" s="27" t="inlineStr">
        <is>
          <t>Q-030 S. 17: 160 bar Mindestdruck (Option 2)</t>
        </is>
      </c>
    </row>
    <row r="30">
      <c r="B30" s="21" t="inlineStr">
        <is>
          <t>100.000 Nm³/h</t>
        </is>
      </c>
      <c r="C30" s="11" t="n">
        <v>156.78006148079</v>
      </c>
      <c r="D30" s="11" t="n">
        <v>77.35566030090469</v>
      </c>
      <c r="E30" s="27" t="inlineStr">
        <is>
          <t>Q-030 S. 17: 160 bar Mindestdruck (Option 2)</t>
        </is>
      </c>
    </row>
    <row r="32">
      <c r="B32" s="3" t="inlineStr">
        <is>
          <t>Reibung im Strang (100.000 Nm³/h)</t>
        </is>
      </c>
    </row>
    <row r="33" ht="30" customHeight="1">
      <c r="B33" s="25" t="inlineStr">
        <is>
          <t>Fall</t>
        </is>
      </c>
      <c r="C33" s="25" t="inlineStr">
        <is>
          <t>p LCCS [bar]</t>
        </is>
      </c>
      <c r="D33" s="25" t="inlineStr">
        <is>
          <t>Kopfdruck [bar]</t>
        </is>
      </c>
      <c r="E33" s="25" t="inlineStr">
        <is>
          <t>ohne Reibung [bar]</t>
        </is>
      </c>
      <c r="F33" s="25" t="inlineStr">
        <is>
          <t>Δp Reibung [bar]</t>
        </is>
      </c>
      <c r="G33" s="25" t="inlineStr">
        <is>
          <t>ΔT Kopf [K]</t>
        </is>
      </c>
    </row>
    <row r="34">
      <c r="B34" s="27" t="inlineStr">
        <is>
          <t>Ausspeisen</t>
        </is>
      </c>
      <c r="C34" s="11" t="n">
        <v>209.8098056304769</v>
      </c>
      <c r="D34" s="11" t="n">
        <v>127.0803390368653</v>
      </c>
      <c r="E34" s="11" t="n">
        <v>128.0487794295854</v>
      </c>
      <c r="F34" s="12">
        <f>D34-E34</f>
        <v/>
      </c>
      <c r="G34" s="11" t="n">
        <v>-0.1731128950688756</v>
      </c>
    </row>
    <row r="35">
      <c r="B35" s="27" t="inlineStr">
        <is>
          <t>Ausspeisen</t>
        </is>
      </c>
      <c r="C35" s="11" t="n">
        <v>91.93337002253857</v>
      </c>
      <c r="D35" s="11" t="n">
        <v>54.6136944177454</v>
      </c>
      <c r="E35" s="11" t="n">
        <v>58.90604284423639</v>
      </c>
      <c r="F35" s="12">
        <f>D35-E35</f>
        <v/>
      </c>
      <c r="G35" s="11" t="n">
        <v>-3.005829420257371</v>
      </c>
    </row>
    <row r="36">
      <c r="B36" s="27" t="inlineStr">
        <is>
          <t>Ausspeisen</t>
        </is>
      </c>
      <c r="C36" s="11" t="n">
        <v>70.05840560785138</v>
      </c>
      <c r="D36" s="11" t="n">
        <v>42.87140335540005</v>
      </c>
      <c r="E36" s="11" t="n">
        <v>51.72247563690097</v>
      </c>
      <c r="F36" s="12">
        <f>D36-E36</f>
        <v/>
      </c>
      <c r="G36" s="11" t="n">
        <v>-9.947867035370409</v>
      </c>
    </row>
    <row r="37">
      <c r="B37" s="27" t="inlineStr">
        <is>
          <t>Einspeisen S1 (Kaverne voll)</t>
        </is>
      </c>
      <c r="C37" s="11" t="n">
        <v>210</v>
      </c>
      <c r="D37" s="11" t="n">
        <v>114.273800177097</v>
      </c>
      <c r="E37" s="11" t="n">
        <v>112.5992266368964</v>
      </c>
      <c r="F37" s="12">
        <f>D37-E37</f>
        <v/>
      </c>
      <c r="G37" s="43" t="inlineStr">
        <is>
          <t>–</t>
        </is>
      </c>
    </row>
    <row r="38">
      <c r="B38" s="27" t="inlineStr">
        <is>
          <t>Einspeisen S2 (Kaverne voll)</t>
        </is>
      </c>
      <c r="C38" s="11" t="n">
        <v>210</v>
      </c>
      <c r="D38" s="11" t="n">
        <v>127.2718032176663</v>
      </c>
      <c r="E38" s="11" t="n">
        <v>125.3812063485706</v>
      </c>
      <c r="F38" s="12">
        <f>D38-E38</f>
        <v/>
      </c>
      <c r="G38" s="43" t="inlineStr">
        <is>
          <t>–</t>
        </is>
      </c>
    </row>
    <row r="39">
      <c r="B39" s="8" t="inlineStr">
        <is>
          <t>Beim Ausspeichern kostet die Reibung Kopfdruck und – über den Joule-Thomson-Effekt – Temperatur, am stärksten am Ende (niedriger Druck, hohe Geschwindigkeit).</t>
        </is>
      </c>
    </row>
  </sheetData>
  <mergeCells count="18">
    <mergeCell ref="F23:H23"/>
    <mergeCell ref="F10:H10"/>
    <mergeCell ref="F16:H16"/>
    <mergeCell ref="F21:H21"/>
    <mergeCell ref="F14:H14"/>
    <mergeCell ref="B4:K4"/>
    <mergeCell ref="F13:H13"/>
    <mergeCell ref="F18:H18"/>
    <mergeCell ref="F22:H22"/>
    <mergeCell ref="F8:H8"/>
    <mergeCell ref="F17:H17"/>
    <mergeCell ref="F9:H9"/>
    <mergeCell ref="F7:H7"/>
    <mergeCell ref="F12:H12"/>
    <mergeCell ref="F15:H15"/>
    <mergeCell ref="F11:H11"/>
    <mergeCell ref="F24:H24"/>
    <mergeCell ref="F25:H25"/>
  </mergeCells>
  <conditionalFormatting sqref="C8:D18">
    <cfRule type="expression" priority="1" dxfId="2">
      <formula>NOT(Stand_ok)</formula>
    </cfRule>
  </conditionalFormatting>
  <conditionalFormatting sqref="C22:E25">
    <cfRule type="expression" priority="2" dxfId="2">
      <formula>NOT(Stand_ok)</formula>
    </cfRule>
  </conditionalFormatting>
  <conditionalFormatting sqref="C29:D30">
    <cfRule type="expression" priority="3" dxfId="2">
      <formula>NOT(Stand_ok)</formula>
    </cfRule>
  </conditionalFormatting>
  <conditionalFormatting sqref="C34:E38">
    <cfRule type="expression" priority="4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07335"/>
    <outlinePr summaryBelow="1" summaryRight="1"/>
    <pageSetUpPr fitToPage="1"/>
  </sheetPr>
  <dimension ref="B1:F16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46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 ht="30" customHeight="1">
      <c r="B1" s="1" t="inlineStr">
        <is>
          <t>05 Speicherbedarf – wie viele Kavernen, wie oft umgeschlagen?</t>
        </is>
      </c>
    </row>
    <row r="2">
      <c r="B2" s="2" t="inlineStr">
        <is>
          <t>Worst-Case-Gemisch · rechnet live mit den Ergebnissen aus Blatt 03 · Bedarf nach Q-002, Zyklen nach Q-029</t>
        </is>
      </c>
    </row>
    <row r="3">
      <c r="B3" s="18" t="inlineStr">
        <is>
          <t>← zur Übersicht</t>
        </is>
      </c>
    </row>
    <row r="4" ht="92" customHeight="1">
      <c r="B4" s="4" t="inlineStr">
        <is>
          <r>
            <rPr>
              <rFont val="Calibri"/>
              <b val="1"/>
              <sz val="10"/>
            </rPr>
            <t>FRAGE:</t>
          </r>
          <r>
            <rPr>
              <rFont val="Calibri"/>
              <sz val="10"/>
            </rPr>
            <t xml:space="preserve">  Reicht eine Referenzkaverne für den Zwischenspeicherbedarf? Q-002 (CO₂START, S. 94–95) nennt für die Szenarien 1–8 einen Bedarf von 0,21 bis 1,21 Mt. Eine Kaverne schlägt je Zyklus das Arbeitsgas aus Blatt 03 um.
</t>
          </r>
          <r>
            <rPr>
              <rFont val="Calibri"/>
              <b val="1"/>
              <sz val="10"/>
            </rPr>
            <t>ZYKLEN:</t>
          </r>
          <r>
            <rPr>
              <rFont val="Calibri"/>
              <sz val="10"/>
            </rPr>
            <t xml:space="preserve">  Q-029 (DBI für Uniper, Management Summary und Kap. 5) rechnet zwei Fälle: multizyklisch mit 4 Zyklen pro Jahr (Approach 2) und saisonal mit 1 Zyklus pro Jahr (Approach 8). Die Kavernenbilanz hier ergibt bei 100.000 Nm³/h und Stillstand 21,67 d weniger als 2 Zyklen pro Jahr – 4 Zyklen bräuchten eine höhere Rate oder kürzere Stillstände.
</t>
          </r>
          <r>
            <rPr>
              <rFont val="Calibri"/>
              <sz val="10"/>
            </rPr>
            <t>BLAU = darf geändert werden (Bedarf, Zyklen); alles andere rechnet mit.</t>
          </r>
        </is>
      </c>
      <c r="C4" s="41" t="n"/>
      <c r="D4" s="41" t="n"/>
      <c r="E4" s="41" t="n"/>
      <c r="F4" s="42" t="n"/>
    </row>
    <row r="6" ht="20" customHeight="1">
      <c r="B6" s="25" t="inlineStr">
        <is>
          <t>Größe</t>
        </is>
      </c>
      <c r="C6" s="25" t="inlineStr">
        <is>
          <t>unterer Bedarf</t>
        </is>
      </c>
      <c r="D6" s="25" t="inlineStr">
        <is>
          <t>oberer Bedarf</t>
        </is>
      </c>
      <c r="E6" s="25" t="inlineStr">
        <is>
          <t>Einheit</t>
        </is>
      </c>
      <c r="F6" s="25" t="inlineStr">
        <is>
          <t>Quelle / Formel</t>
        </is>
      </c>
    </row>
    <row r="7" ht="20" customHeight="1">
      <c r="B7" s="27" t="inlineStr">
        <is>
          <t>Zwischenspeicherbedarf</t>
        </is>
      </c>
      <c r="C7" s="34" t="n">
        <v>0.21</v>
      </c>
      <c r="D7" s="34" t="n">
        <v>1.21</v>
      </c>
      <c r="E7" s="43" t="inlineStr">
        <is>
          <t>Mt</t>
        </is>
      </c>
      <c r="F7" s="27" t="inlineStr">
        <is>
          <t>Q-002 S. 94–95 (Szenarien 1–8)</t>
        </is>
      </c>
    </row>
    <row r="8" ht="20" customHeight="1">
      <c r="B8" s="27" t="inlineStr">
        <is>
          <t>Arbeitsgas je Kaverne und Zyklus</t>
        </is>
      </c>
      <c r="C8" s="48">
        <f>AG_zyklus/1000000</f>
        <v/>
      </c>
      <c r="D8" s="48">
        <f>AG_zyklus/1000000</f>
        <v/>
      </c>
      <c r="E8" s="43" t="inlineStr">
        <is>
          <t>Mt</t>
        </is>
      </c>
      <c r="F8" s="27" t="inlineStr">
        <is>
          <t>Blatt 03: S2, 100.000 Nm³/h, Stillstand 21,67 d</t>
        </is>
      </c>
    </row>
    <row r="9" ht="20" customHeight="1">
      <c r="B9" s="21" t="inlineStr">
        <is>
          <t>Kavernen nötig (Bedarf in einem Zyklus)</t>
        </is>
      </c>
      <c r="C9" s="40">
        <f>ROUNDUP(C7/C8,0)</f>
        <v/>
      </c>
      <c r="D9" s="40">
        <f>ROUNDUP(D7/D8,0)</f>
        <v/>
      </c>
      <c r="E9" s="43" t="inlineStr">
        <is>
          <t>–</t>
        </is>
      </c>
      <c r="F9" s="27" t="inlineStr">
        <is>
          <t>Bedarf / Arbeitsgas, aufgerundet</t>
        </is>
      </c>
    </row>
    <row r="10" ht="20" customHeight="1">
      <c r="B10" s="27" t="inlineStr">
        <is>
          <t>Zyklen pro Jahr (Kavernenbilanz)</t>
        </is>
      </c>
      <c r="C10" s="12">
        <f>Zyklen_a</f>
        <v/>
      </c>
      <c r="D10" s="12">
        <f>Zyklen_a</f>
        <v/>
      </c>
      <c r="E10" s="43" t="inlineStr">
        <is>
          <t>1/a</t>
        </is>
      </c>
      <c r="F10" s="27" t="inlineStr">
        <is>
          <t>365 d / Zyklusdauer (Blatt 03)</t>
        </is>
      </c>
    </row>
    <row r="11" ht="20" customHeight="1">
      <c r="B11" s="27" t="inlineStr">
        <is>
          <t>Umschlag je Kaverne und Jahr (Kavernenbilanz)</t>
        </is>
      </c>
      <c r="C11" s="49">
        <f>C8*C10</f>
        <v/>
      </c>
      <c r="D11" s="49">
        <f>D8*D10</f>
        <v/>
      </c>
      <c r="E11" s="43" t="inlineStr">
        <is>
          <t>Mt/a</t>
        </is>
      </c>
      <c r="F11" s="27" t="inlineStr">
        <is>
          <t>Arbeitsgas × Zyklen</t>
        </is>
      </c>
    </row>
    <row r="12" ht="20" customHeight="1">
      <c r="B12" s="27" t="inlineStr">
        <is>
          <t>Zyklen pro Jahr laut Q-029 (multizyklisch)</t>
        </is>
      </c>
      <c r="C12" s="28" t="n">
        <v>4</v>
      </c>
      <c r="D12" s="28" t="n">
        <v>4</v>
      </c>
      <c r="E12" s="43" t="inlineStr">
        <is>
          <t>1/a</t>
        </is>
      </c>
      <c r="F12" s="27" t="inlineStr">
        <is>
          <t>Q-029 Management Summary (PDF-S. 3), Kap. 5 (PDF-S. 41–43): Approach 2</t>
        </is>
      </c>
    </row>
    <row r="13" ht="20" customHeight="1">
      <c r="B13" s="27" t="inlineStr">
        <is>
          <t>Umschlag je Kaverne und Jahr bei 4 Zyklen</t>
        </is>
      </c>
      <c r="C13" s="49">
        <f>C8*C12</f>
        <v/>
      </c>
      <c r="D13" s="49">
        <f>D8*D12</f>
        <v/>
      </c>
      <c r="E13" s="43" t="inlineStr">
        <is>
          <t>Mt/a</t>
        </is>
      </c>
      <c r="F13" s="27" t="inlineStr">
        <is>
          <t>Arbeitsgas × 4</t>
        </is>
      </c>
    </row>
    <row r="14" ht="20" customHeight="1">
      <c r="B14" s="27" t="inlineStr">
        <is>
          <t>Zyklusdauer, die 4 Zyklen erlauben würde</t>
        </is>
      </c>
      <c r="C14" s="50">
        <f>365/C12</f>
        <v/>
      </c>
      <c r="D14" s="50">
        <f>365/D12</f>
        <v/>
      </c>
      <c r="E14" s="43" t="inlineStr">
        <is>
          <t>d</t>
        </is>
      </c>
      <c r="F14" s="27" t="inlineStr">
        <is>
          <t>zum Vergleich mit Blatt 03</t>
        </is>
      </c>
    </row>
    <row r="16">
      <c r="B16" s="8" t="inlineStr">
        <is>
          <t>Grobe Abschätzung: Umschlag in einem Zyklus. Q-029 kommt mit ca. zwei Kavernen bis 2035 aus (Management Summary) – dort mit kleinerem Volumen (250.000 m³) und anderer Betriebsweise.</t>
        </is>
      </c>
    </row>
  </sheetData>
  <mergeCells count="1">
    <mergeCell ref="B4:F4"/>
  </mergeCells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CA220E"/>
    <outlinePr summaryBelow="1" summaryRight="1"/>
    <pageSetUpPr fitToPage="1"/>
  </sheetPr>
  <dimension ref="B1:G35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30" customHeight="1">
      <c r="B1" s="1" t="inlineStr">
        <is>
          <t>06 Ausspeichergas – mit welcher Zusammensetzung startet der Ausspeicherpfad?</t>
        </is>
      </c>
    </row>
    <row r="2">
      <c r="B2" s="2" t="inlineStr">
        <is>
          <t>Code: Kaverne/Ausspeichergas/06_zusammensetzung_nach_kaverne.py (Bausteine ausspeichergas.py) · Bandbreite nach Q-089 (H₂-Studie UGS für DGMK 2024, übertragen auf CO₂)</t>
        </is>
      </c>
    </row>
    <row r="3">
      <c r="B3" s="18" t="inlineStr">
        <is>
          <t>← zur Übersicht</t>
        </is>
      </c>
    </row>
    <row r="4" ht="64" customHeight="1">
      <c r="B4" s="4" t="inlineStr">
        <is>
          <r>
            <rPr>
              <rFont val="Calibri"/>
              <b val="1"/>
              <sz val="10"/>
            </rPr>
            <t>BANDBREITE STATT EINES WORST CASE (Besprechung K. Vosbeck 15.10.2026):</t>
          </r>
          <r>
            <rPr>
              <rFont val="Calibri"/>
              <sz val="10"/>
            </rPr>
            <t xml:space="preserve">  Min-Fall mit den unteren, Max-Fall mit den oberen Werten aus Q-089 – Wasser (Abschn. 6.5, Tab. 19), Resterdgas im Finger (Abschn. 6.3, Tab. 16/17), Diesel-Blanket (Tab. 10), Verdichteröl (Tab. 20), Mikrobiologie (Abschn. 6.4).
</t>
          </r>
          <r>
            <rPr>
              <rFont val="Calibri"/>
              <b val="1"/>
              <sz val="10"/>
            </rPr>
            <t>RÜCKGABE (OGE 16.09.2026):</t>
          </r>
          <r>
            <rPr>
              <rFont val="Calibri"/>
              <sz val="10"/>
            </rPr>
            <t xml:space="preserve">  H₂O ≤ 30 ppm, H₂S &lt; 0,5 ppm, mindestens 91 bar – die Spalte „entfernen“ zeigt, was die Aufbereitung leisten muss.</t>
          </r>
        </is>
      </c>
      <c r="C4" s="41" t="n"/>
      <c r="D4" s="41" t="n"/>
      <c r="E4" s="41" t="n"/>
      <c r="F4" s="41" t="n"/>
      <c r="G4" s="42" t="n"/>
    </row>
    <row r="6">
      <c r="B6" s="3" t="inlineStr">
        <is>
          <t>Einträge in ppm (mol) – erster Zyklus</t>
        </is>
      </c>
    </row>
    <row r="7" ht="20" customHeight="1">
      <c r="B7" s="25" t="inlineStr">
        <is>
          <t>Eintrag</t>
        </is>
      </c>
      <c r="C7" s="25" t="inlineStr">
        <is>
          <t>Min-Fall</t>
        </is>
      </c>
      <c r="D7" s="25" t="inlineStr">
        <is>
          <t>Max-Fall</t>
        </is>
      </c>
      <c r="E7" s="25" t="inlineStr">
        <is>
          <t>Einheit</t>
        </is>
      </c>
    </row>
    <row r="8">
      <c r="B8" s="27" t="inlineStr">
        <is>
          <t>Wasser</t>
        </is>
      </c>
      <c r="C8" s="51" t="n">
        <v>5604.592184688727</v>
      </c>
      <c r="D8" s="51" t="n">
        <v>7472.789579584969</v>
      </c>
      <c r="E8" s="43" t="inlineStr">
        <is>
          <t>ppm</t>
        </is>
      </c>
    </row>
    <row r="9">
      <c r="B9" s="27" t="inlineStr">
        <is>
          <t>Resterdgas CH4</t>
        </is>
      </c>
      <c r="C9" s="51" t="n">
        <v>1082.451092649839</v>
      </c>
      <c r="D9" s="51" t="n">
        <v>2164.902185299679</v>
      </c>
      <c r="E9" s="43" t="inlineStr">
        <is>
          <t>ppm</t>
        </is>
      </c>
    </row>
    <row r="10">
      <c r="B10" s="27" t="inlineStr">
        <is>
          <t>H2S</t>
        </is>
      </c>
      <c r="C10" s="51" t="n">
        <v>10</v>
      </c>
      <c r="D10" s="51" t="n">
        <v>10</v>
      </c>
      <c r="E10" s="43" t="inlineStr">
        <is>
          <t>ppm</t>
        </is>
      </c>
    </row>
    <row r="11">
      <c r="B11" s="27" t="inlineStr">
        <is>
          <t>CH4 mikrobiell</t>
        </is>
      </c>
      <c r="C11" s="51" t="n">
        <v>50</v>
      </c>
      <c r="D11" s="51" t="n">
        <v>50</v>
      </c>
      <c r="E11" s="43" t="inlineStr">
        <is>
          <t>ppm</t>
        </is>
      </c>
    </row>
    <row r="12">
      <c r="B12" s="27" t="inlineStr">
        <is>
          <t>Diesel</t>
        </is>
      </c>
      <c r="C12" s="51" t="n">
        <v>0.02705482412466353</v>
      </c>
      <c r="D12" s="51" t="n">
        <v>0.5668629816596169</v>
      </c>
      <c r="E12" s="43" t="inlineStr">
        <is>
          <t>ppm</t>
        </is>
      </c>
    </row>
    <row r="13">
      <c r="B13" s="27" t="inlineStr">
        <is>
          <t>Verdichteroel</t>
        </is>
      </c>
      <c r="C13" s="51" t="n">
        <v>0.100862855453738</v>
      </c>
      <c r="D13" s="51" t="n">
        <v>0.1942543882812731</v>
      </c>
      <c r="E13" s="43" t="inlineStr">
        <is>
          <t>ppm</t>
        </is>
      </c>
    </row>
    <row r="14">
      <c r="B14" s="27" t="inlineStr">
        <is>
          <t>Wasser (bezogen auf Normvolumen)</t>
        </is>
      </c>
      <c r="C14" s="35" t="n">
        <v>4.530023219440853</v>
      </c>
      <c r="D14" s="35" t="n">
        <v>6.051399886962149</v>
      </c>
      <c r="E14" s="43" t="inlineStr">
        <is>
          <t>g/Nm³</t>
        </is>
      </c>
    </row>
    <row r="16">
      <c r="B16" s="3" t="inlineStr">
        <is>
          <t>Rückgabe ins Netz: was die Aufbereitung entfernen muss</t>
        </is>
      </c>
    </row>
    <row r="17" ht="20" customHeight="1">
      <c r="B17" s="25" t="inlineStr">
        <is>
          <t>Größe</t>
        </is>
      </c>
      <c r="C17" s="25" t="inlineStr">
        <is>
          <t>Min-Fall</t>
        </is>
      </c>
      <c r="D17" s="25" t="inlineStr">
        <is>
          <t>Max-Fall</t>
        </is>
      </c>
      <c r="E17" s="25" t="inlineStr">
        <is>
          <t>Einheit</t>
        </is>
      </c>
    </row>
    <row r="18">
      <c r="B18" s="27" t="inlineStr">
        <is>
          <t>H2O entfernen ppm</t>
        </is>
      </c>
      <c r="C18" s="52" t="n">
        <v>5574.592184688727</v>
      </c>
      <c r="D18" s="52" t="n">
        <v>7442.789579584969</v>
      </c>
      <c r="E18" s="43" t="inlineStr">
        <is>
          <t>ppm</t>
        </is>
      </c>
    </row>
    <row r="19">
      <c r="B19" s="27" t="inlineStr">
        <is>
          <t>H2O entfernen kg h</t>
        </is>
      </c>
      <c r="C19" s="52" t="n">
        <v>450.577512214762</v>
      </c>
      <c r="D19" s="52" t="n">
        <v>602.710614836889</v>
      </c>
      <c r="E19" s="43" t="inlineStr">
        <is>
          <t>kg/h</t>
        </is>
      </c>
    </row>
    <row r="20">
      <c r="B20" s="27" t="inlineStr">
        <is>
          <t>H2S entfernen ppm</t>
        </is>
      </c>
      <c r="C20" s="52" t="n">
        <v>9.5</v>
      </c>
      <c r="D20" s="52" t="n">
        <v>9.5</v>
      </c>
      <c r="E20" s="43" t="inlineStr">
        <is>
          <t>ppm</t>
        </is>
      </c>
    </row>
    <row r="22">
      <c r="B22" s="3" t="inlineStr">
        <is>
          <t>Zusammensetzung feucht (Molanteil) – Übergabe an den Ausspeicherpfad</t>
        </is>
      </c>
    </row>
    <row r="23" ht="30" customHeight="1">
      <c r="B23" s="25" t="inlineStr">
        <is>
          <t>Komponente</t>
        </is>
      </c>
      <c r="C23" s="25" t="inlineStr">
        <is>
          <t>Min-Fall</t>
        </is>
      </c>
      <c r="D23" s="25" t="inlineStr">
        <is>
          <t>Max-Fall</t>
        </is>
      </c>
      <c r="E23" s="25" t="inlineStr">
        <is>
          <t>ab 2. Zyklus (Max, trocken)</t>
        </is>
      </c>
    </row>
    <row r="24">
      <c r="B24" s="27" t="inlineStr">
        <is>
          <t>CO2</t>
        </is>
      </c>
      <c r="C24" s="53" t="n">
        <v>0.94378604450875</v>
      </c>
      <c r="D24" s="53" t="n">
        <v>0.9409947114444153</v>
      </c>
      <c r="E24" s="53" t="n">
        <v>0.9501330186226071</v>
      </c>
    </row>
    <row r="25">
      <c r="B25" s="27" t="inlineStr">
        <is>
          <t>Nitrogen</t>
        </is>
      </c>
      <c r="C25" s="53" t="n">
        <v>0.02384301586127369</v>
      </c>
      <c r="D25" s="53" t="n">
        <v>0.0237724979733326</v>
      </c>
      <c r="E25" s="53" t="n">
        <v>0.02400336047046587</v>
      </c>
    </row>
    <row r="26">
      <c r="B26" s="27" t="inlineStr">
        <is>
          <t>Argon</t>
        </is>
      </c>
      <c r="C26" s="53" t="n">
        <v>0.009934589942197371</v>
      </c>
      <c r="D26" s="53" t="n">
        <v>0.009905207488888583</v>
      </c>
      <c r="E26" s="53" t="n">
        <v>0.01000140019602744</v>
      </c>
    </row>
    <row r="27">
      <c r="B27" s="27" t="inlineStr">
        <is>
          <t>Methane</t>
        </is>
      </c>
      <c r="C27" s="53" t="n">
        <v>0.01105963366570432</v>
      </c>
      <c r="D27" s="53" t="n">
        <v>0.01209911406018719</v>
      </c>
      <c r="E27" s="53" t="n">
        <v>0.01005140719700758</v>
      </c>
    </row>
    <row r="28">
      <c r="B28" s="27" t="inlineStr">
        <is>
          <t>Hydrogen</t>
        </is>
      </c>
      <c r="C28" s="53" t="n">
        <v>0.004768603172254738</v>
      </c>
      <c r="D28" s="53" t="n">
        <v>0.00475449959466652</v>
      </c>
      <c r="E28" s="53" t="n">
        <v>0.004800672094093173</v>
      </c>
    </row>
    <row r="29">
      <c r="B29" s="27" t="inlineStr">
        <is>
          <t>CarbonMonoxide</t>
        </is>
      </c>
      <c r="C29" s="53" t="n">
        <v>0.0009934589942197372</v>
      </c>
      <c r="D29" s="53" t="n">
        <v>0.0009905207488888582</v>
      </c>
      <c r="E29" s="53" t="n">
        <v>0.001000140019602744</v>
      </c>
    </row>
    <row r="30">
      <c r="B30" s="27" t="inlineStr">
        <is>
          <t>HydrogenSulfide</t>
        </is>
      </c>
      <c r="C30" s="53" t="n">
        <v>9.93458994219737e-06</v>
      </c>
      <c r="D30" s="53" t="n">
        <v>9.905207488888581e-06</v>
      </c>
      <c r="E30" s="53" t="n">
        <v>1.000140019602744e-05</v>
      </c>
    </row>
    <row r="31">
      <c r="B31" s="27" t="inlineStr">
        <is>
          <t>Diesel (C10-C20)</t>
        </is>
      </c>
      <c r="C31" s="53" t="n">
        <v>2.687785836368011e-08</v>
      </c>
      <c r="D31" s="53" t="n">
        <v>5.614895451108548e-07</v>
      </c>
      <c r="E31" s="53" t="n">
        <v>0</v>
      </c>
    </row>
    <row r="32">
      <c r="B32" s="27" t="inlineStr">
        <is>
          <t>Verdichteroel</t>
        </is>
      </c>
      <c r="C32" s="53" t="n">
        <v>1.002031109332013e-07</v>
      </c>
      <c r="D32" s="53" t="n">
        <v>1.924130021553137e-07</v>
      </c>
      <c r="E32" s="53" t="n">
        <v>0</v>
      </c>
    </row>
    <row r="33">
      <c r="B33" s="27" t="inlineStr">
        <is>
          <t>Water</t>
        </is>
      </c>
      <c r="C33" s="53" t="n">
        <v>0.005604592184688726</v>
      </c>
      <c r="D33" s="53" t="n">
        <v>0.007472789579584969</v>
      </c>
      <c r="E33" s="53" t="n">
        <v>0</v>
      </c>
    </row>
    <row r="35">
      <c r="B35" s="8" t="inlineStr">
        <is>
          <t>Molanteile wie in zusammensetzung_nach_kaverne.json (Übergabe an HYSYS über ausspeichergas.py). Max-Fall ist der Auslegungsfall.</t>
        </is>
      </c>
    </row>
  </sheetData>
  <mergeCells count="1">
    <mergeCell ref="B4:G4"/>
  </mergeCells>
  <conditionalFormatting sqref="C8:D14">
    <cfRule type="expression" priority="1" dxfId="2">
      <formula>NOT(Stand_ok)</formula>
    </cfRule>
  </conditionalFormatting>
  <conditionalFormatting sqref="C24:E33">
    <cfRule type="expression" priority="2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CA220E"/>
    <outlinePr summaryBelow="1" summaryRight="1"/>
    <pageSetUpPr fitToPage="1"/>
  </sheetPr>
  <dimension ref="B1:H21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46" customWidth="1" min="2" max="2"/>
    <col width="14" customWidth="1" min="3" max="3"/>
    <col width="14" customWidth="1" min="4" max="4"/>
    <col width="14" customWidth="1" min="5" max="5"/>
    <col width="9" customWidth="1" min="6" max="6"/>
    <col width="12" customWidth="1" min="7" max="7"/>
    <col width="44" customWidth="1" min="8" max="8"/>
  </cols>
  <sheetData>
    <row r="1" ht="30" customHeight="1">
      <c r="B1" s="1" t="inlineStr">
        <is>
          <t>Rein vs. Gemisch – was die Begleitstoffe an der Kaverne ändern</t>
        </is>
      </c>
    </row>
    <row r="2">
      <c r="B2" s="2" t="inlineStr">
        <is>
          <t>Code: Kaverne/Begleitstoffe_CO2/05_vergleich_rein_gemisch.py · alle Werte aus den beiden Stoffordnern</t>
        </is>
      </c>
    </row>
    <row r="3">
      <c r="B3" s="18" t="inlineStr">
        <is>
          <t>← zur Übersicht</t>
        </is>
      </c>
    </row>
    <row r="4" ht="48" customHeight="1">
      <c r="B4" s="4" t="inlineStr">
        <is>
          <r>
            <rPr>
              <rFont val="Calibri"/>
              <sz val="10"/>
            </rPr>
            <t>FRAGE (Besprechung K. Vosbeck 15.10.2026, Pkt. 7):  Ist reines CO₂ konservativ? Antwort: nicht pauschal – je Auslegungsgröße ist mal das Gemisch, mal reines CO₂ ungünstiger. Deshalb werden beide gerechnet und je Größe der ungünstigere Wert für die Auslegung der Obertageanlage genommen (Spalte „ungünstiger“).</t>
          </r>
        </is>
      </c>
      <c r="C4" s="41" t="n"/>
      <c r="D4" s="41" t="n"/>
      <c r="E4" s="41" t="n"/>
      <c r="F4" s="41" t="n"/>
      <c r="G4" s="41" t="n"/>
      <c r="H4" s="42" t="n"/>
    </row>
    <row r="6" ht="30" customHeight="1">
      <c r="B6" s="25" t="inlineStr">
        <is>
          <t>Auslegungsgröße</t>
        </is>
      </c>
      <c r="C6" s="25" t="inlineStr">
        <is>
          <t>reines CO₂</t>
        </is>
      </c>
      <c r="D6" s="25" t="inlineStr">
        <is>
          <t>Gemisch</t>
        </is>
      </c>
      <c r="E6" s="25" t="inlineStr">
        <is>
          <t>Gemisch − rein</t>
        </is>
      </c>
      <c r="F6" s="25" t="inlineStr">
        <is>
          <t>Einheit</t>
        </is>
      </c>
      <c r="G6" s="25" t="inlineStr">
        <is>
          <t>ungünstiger</t>
        </is>
      </c>
      <c r="H6" s="25" t="inlineStr">
        <is>
          <t>betrifft</t>
        </is>
      </c>
    </row>
    <row r="7" ht="20" customHeight="1">
      <c r="B7" s="27" t="inlineStr">
        <is>
          <t>Zieldruck Pumpe S1 (Kaverne voll, strömend)</t>
        </is>
      </c>
      <c r="C7" s="11" t="n">
        <v>105.4411023087268</v>
      </c>
      <c r="D7" s="11" t="n">
        <v>114.273800177097</v>
      </c>
      <c r="E7" s="12">
        <f>IF(AND(ISNUMBER(C7),ISNUMBER(D7)),D7-C7,"–")</f>
        <v/>
      </c>
      <c r="F7" s="43" t="inlineStr">
        <is>
          <t>bar</t>
        </is>
      </c>
      <c r="G7" s="54" t="inlineStr">
        <is>
          <t>Gemisch</t>
        </is>
      </c>
      <c r="H7" s="27" t="inlineStr">
        <is>
          <t>Pumpe S1: Förderhöhe, Auslegungsdruck</t>
        </is>
      </c>
    </row>
    <row r="8" ht="20" customHeight="1">
      <c r="B8" s="27" t="inlineStr">
        <is>
          <t>Zieldruck Pumpe S2 (Kaverne voll, strömend)</t>
        </is>
      </c>
      <c r="C8" s="11" t="n">
        <v>114.6341589872628</v>
      </c>
      <c r="D8" s="11" t="n">
        <v>127.2718032176663</v>
      </c>
      <c r="E8" s="12">
        <f>IF(AND(ISNUMBER(C8),ISNUMBER(D8)),D8-C8,"–")</f>
        <v/>
      </c>
      <c r="F8" s="43" t="inlineStr">
        <is>
          <t>bar</t>
        </is>
      </c>
      <c r="G8" s="54" t="inlineStr">
        <is>
          <t>Gemisch</t>
        </is>
      </c>
      <c r="H8" s="27" t="inlineStr">
        <is>
          <t>Pumpe S2: Förderhöhe, Auslegungsdruck</t>
        </is>
      </c>
    </row>
    <row r="9" ht="20" customHeight="1">
      <c r="B9" s="27" t="inlineStr">
        <is>
          <t>Pumpenarbeit S2</t>
        </is>
      </c>
      <c r="C9" s="11" t="n">
        <v>3.697425868443872</v>
      </c>
      <c r="D9" s="11" t="n">
        <v>6.674233240659305</v>
      </c>
      <c r="E9" s="12">
        <f>IF(AND(ISNUMBER(C9),ISNUMBER(D9)),D9-C9,"–")</f>
        <v/>
      </c>
      <c r="F9" s="43" t="inlineStr">
        <is>
          <t>kJ/kg</t>
        </is>
      </c>
      <c r="G9" s="54" t="inlineStr">
        <is>
          <t>Gemisch</t>
        </is>
      </c>
      <c r="H9" s="27" t="inlineStr">
        <is>
          <t>Antriebsleistung</t>
        </is>
      </c>
    </row>
    <row r="10" ht="20" customHeight="1">
      <c r="B10" s="27" t="inlineStr">
        <is>
          <t>Kopfdruck Stillstand voll</t>
        </is>
      </c>
      <c r="C10" s="11" t="n">
        <v>107.603219569636</v>
      </c>
      <c r="D10" s="11" t="n">
        <v>114.9313019820893</v>
      </c>
      <c r="E10" s="12">
        <f>IF(AND(ISNUMBER(C10),ISNUMBER(D10)),D10-C10,"–")</f>
        <v/>
      </c>
      <c r="F10" s="43" t="inlineStr">
        <is>
          <t>bar</t>
        </is>
      </c>
      <c r="G10" s="54" t="inlineStr">
        <is>
          <t>Gemisch</t>
        </is>
      </c>
      <c r="H10" s="27" t="inlineStr">
        <is>
          <t>Druckstufe der Kopfarmaturen</t>
        </is>
      </c>
    </row>
    <row r="11" ht="20" customHeight="1">
      <c r="B11" s="27" t="inlineStr">
        <is>
          <t>Kaverneninhalt voll (TGV)</t>
        </is>
      </c>
      <c r="C11" s="31" t="n">
        <v>520976.3474491802</v>
      </c>
      <c r="D11" s="31" t="n">
        <v>481339.6801732901</v>
      </c>
      <c r="E11" s="44">
        <f>IF(AND(ISNUMBER(C11),ISNUMBER(D11)),D11-C11,"–")</f>
        <v/>
      </c>
      <c r="F11" s="43" t="inlineStr">
        <is>
          <t>t</t>
        </is>
      </c>
      <c r="G11" s="54" t="inlineStr">
        <is>
          <t>Gemisch</t>
        </is>
      </c>
      <c r="H11" s="27" t="inlineStr">
        <is>
          <t>Speicherkapazität</t>
        </is>
      </c>
    </row>
    <row r="12" ht="20" customHeight="1">
      <c r="B12" s="27" t="inlineStr">
        <is>
          <t>Arbeitsgas im Zyklus (S2)</t>
        </is>
      </c>
      <c r="C12" s="31" t="n">
        <v>380315.5390422236</v>
      </c>
      <c r="D12" s="31" t="n">
        <v>357880.3574870209</v>
      </c>
      <c r="E12" s="44">
        <f>IF(AND(ISNUMBER(C12),ISNUMBER(D12)),D12-C12,"–")</f>
        <v/>
      </c>
      <c r="F12" s="43" t="inlineStr">
        <is>
          <t>t</t>
        </is>
      </c>
      <c r="G12" s="54" t="inlineStr">
        <is>
          <t>Gemisch</t>
        </is>
      </c>
      <c r="H12" s="27" t="inlineStr">
        <is>
          <t>Speicherkapazität, Kavernenzahl</t>
        </is>
      </c>
    </row>
    <row r="13" ht="20" customHeight="1">
      <c r="B13" s="27" t="inlineStr">
        <is>
          <t>Arbeitsgasanteil im Zyklus (S2)</t>
        </is>
      </c>
      <c r="C13" s="47" t="n">
        <v>0.7300053848976749</v>
      </c>
      <c r="D13" s="47" t="n">
        <v>0.7435089443658128</v>
      </c>
      <c r="E13" s="46">
        <f>IF(AND(ISNUMBER(C13),ISNUMBER(D13)),D13-C13,"–")</f>
        <v/>
      </c>
      <c r="F13" s="43" t="inlineStr">
        <is>
          <t>–</t>
        </is>
      </c>
      <c r="G13" s="55" t="inlineStr">
        <is>
          <t>rein</t>
        </is>
      </c>
      <c r="H13" s="27" t="inlineStr">
        <is>
          <t>Kissengasbedarf</t>
        </is>
      </c>
    </row>
    <row r="14" ht="20" customHeight="1">
      <c r="B14" s="27" t="inlineStr">
        <is>
          <t>Ratengrenze 10 bar/d bei voller Kaverne</t>
        </is>
      </c>
      <c r="C14" s="11" t="n">
        <v>77.22825814374511</v>
      </c>
      <c r="D14" s="11" t="n">
        <v>93.55600552352072</v>
      </c>
      <c r="E14" s="12">
        <f>IF(AND(ISNUMBER(C14),ISNUMBER(D14)),D14-C14,"–")</f>
        <v/>
      </c>
      <c r="F14" s="43" t="inlineStr">
        <is>
          <t>kg/s</t>
        </is>
      </c>
      <c r="G14" s="55" t="inlineStr">
        <is>
          <t>rein</t>
        </is>
      </c>
      <c r="H14" s="27" t="inlineStr">
        <is>
          <t>Ein-/Ausspeicherrate am Anfang</t>
        </is>
      </c>
    </row>
    <row r="15" ht="20" customHeight="1">
      <c r="B15" s="27" t="inlineStr">
        <is>
          <t>Kaverneninhalt T_min beim Ausspeichern</t>
        </is>
      </c>
      <c r="C15" s="11" t="n">
        <v>38.08246058891331</v>
      </c>
      <c r="D15" s="11" t="n">
        <v>38.79389867776668</v>
      </c>
      <c r="E15" s="12">
        <f>IF(AND(ISNUMBER(C15),ISNUMBER(D15)),D15-C15,"–")</f>
        <v/>
      </c>
      <c r="F15" s="43" t="inlineStr">
        <is>
          <t>°C</t>
        </is>
      </c>
      <c r="G15" s="55" t="inlineStr">
        <is>
          <t>rein</t>
        </is>
      </c>
      <c r="H15" s="27" t="inlineStr">
        <is>
          <t>Abstand zur Phasengrenze</t>
        </is>
      </c>
    </row>
    <row r="16" ht="20" customHeight="1">
      <c r="B16" s="27" t="inlineStr">
        <is>
          <t>Kopfdruck min beim Ausspeichern</t>
        </is>
      </c>
      <c r="C16" s="11" t="n">
        <v>40.49645355341156</v>
      </c>
      <c r="D16" s="11" t="n">
        <v>42.87140335540005</v>
      </c>
      <c r="E16" s="12">
        <f>IF(AND(ISNUMBER(C16),ISNUMBER(D16)),D16-C16,"–")</f>
        <v/>
      </c>
      <c r="F16" s="43" t="inlineStr">
        <is>
          <t>bar</t>
        </is>
      </c>
      <c r="G16" s="55" t="inlineStr">
        <is>
          <t>rein</t>
        </is>
      </c>
      <c r="H16" s="27" t="inlineStr">
        <is>
          <t>Rückverdichtung auf 91 bar</t>
        </is>
      </c>
    </row>
    <row r="17" ht="20" customHeight="1">
      <c r="B17" s="27" t="inlineStr">
        <is>
          <t>Kopftemperatur min beim Ausspeichern</t>
        </is>
      </c>
      <c r="C17" s="11" t="n">
        <v>5.783418732250709</v>
      </c>
      <c r="D17" s="11" t="n">
        <v>9.728648246014833</v>
      </c>
      <c r="E17" s="12">
        <f>IF(AND(ISNUMBER(C17),ISNUMBER(D17)),D17-C17,"–")</f>
        <v/>
      </c>
      <c r="F17" s="43" t="inlineStr">
        <is>
          <t>°C</t>
        </is>
      </c>
      <c r="G17" s="55" t="inlineStr">
        <is>
          <t>rein</t>
        </is>
      </c>
      <c r="H17" s="27" t="inlineStr">
        <is>
          <t>Vorwärmung, Hydrat</t>
        </is>
      </c>
    </row>
    <row r="18" ht="20" customHeight="1">
      <c r="B18" s="27" t="inlineStr">
        <is>
          <t>T nach Drossel auf 30 bar (min)</t>
        </is>
      </c>
      <c r="C18" s="11" t="n">
        <v>-5.552129613720922</v>
      </c>
      <c r="D18" s="11" t="n">
        <v>-10.13192069731306</v>
      </c>
      <c r="E18" s="12">
        <f>IF(AND(ISNUMBER(C18),ISNUMBER(D18)),D18-C18,"–")</f>
        <v/>
      </c>
      <c r="F18" s="43" t="inlineStr">
        <is>
          <t>°C</t>
        </is>
      </c>
      <c r="G18" s="54" t="inlineStr">
        <is>
          <t>Gemisch</t>
        </is>
      </c>
      <c r="H18" s="27" t="inlineStr">
        <is>
          <t>Vorwärmung vor der Drossel</t>
        </is>
      </c>
    </row>
    <row r="19" ht="20" customHeight="1">
      <c r="B19" s="27" t="inlineStr">
        <is>
          <t>Strang zweiphasig ab p_LCCS (Ausspeisen)</t>
        </is>
      </c>
      <c r="C19" s="11" t="n">
        <v>153.9766552080656</v>
      </c>
      <c r="D19" s="11" t="n">
        <v>156.78006148079</v>
      </c>
      <c r="E19" s="12">
        <f>IF(AND(ISNUMBER(C19),ISNUMBER(D19)),D19-C19,"–")</f>
        <v/>
      </c>
      <c r="F19" s="43" t="inlineStr">
        <is>
          <t>bar</t>
        </is>
      </c>
      <c r="G19" s="54" t="inlineStr">
        <is>
          <t>Gemisch</t>
        </is>
      </c>
      <c r="H19" s="27" t="inlineStr">
        <is>
          <t>Mindestdruck der Kaverne (vgl. Q-030: 160 bar)</t>
        </is>
      </c>
    </row>
    <row r="20" ht="20" customHeight="1">
      <c r="B20" s="27" t="inlineStr">
        <is>
          <t>Einspeisen einphasig erst ab p_LCCS (S2)</t>
        </is>
      </c>
      <c r="C20" s="11" t="n">
        <v>150.2802771204235</v>
      </c>
      <c r="D20" s="11" t="n">
        <v>157.713284251489</v>
      </c>
      <c r="E20" s="12">
        <f>IF(AND(ISNUMBER(C20),ISNUMBER(D20)),D20-C20,"–")</f>
        <v/>
      </c>
      <c r="F20" s="43" t="inlineStr">
        <is>
          <t>bar</t>
        </is>
      </c>
      <c r="G20" s="54" t="inlineStr">
        <is>
          <t>Gemisch</t>
        </is>
      </c>
      <c r="H20" s="27" t="inlineStr">
        <is>
          <t>Drosselung am Kopf, Zweiphasenströmung im Strang</t>
        </is>
      </c>
    </row>
    <row r="21" ht="20" customHeight="1">
      <c r="B21" s="27" t="inlineStr">
        <is>
          <t>Strömungsgeschwindigkeit max im Strang</t>
        </is>
      </c>
      <c r="C21" s="11" t="n">
        <v>14.4503935354743</v>
      </c>
      <c r="D21" s="11" t="n">
        <v>15.22331053345763</v>
      </c>
      <c r="E21" s="12">
        <f>IF(AND(ISNUMBER(C21),ISNUMBER(D21)),D21-C21,"–")</f>
        <v/>
      </c>
      <c r="F21" s="43" t="inlineStr">
        <is>
          <t>m/s</t>
        </is>
      </c>
      <c r="G21" s="54" t="inlineStr">
        <is>
          <t>Gemisch</t>
        </is>
      </c>
      <c r="H21" s="27" t="inlineStr">
        <is>
          <t>Grenze 20 m/s (Q-030)</t>
        </is>
      </c>
    </row>
  </sheetData>
  <mergeCells count="1">
    <mergeCell ref="B4:H4"/>
  </mergeCells>
  <conditionalFormatting sqref="C7:D21">
    <cfRule type="expression" priority="1" dxfId="2">
      <formula>NOT(Stand_ok)</formula>
    </cfRule>
  </conditionalFormatting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B1:D16"/>
  <sheetViews>
    <sheetView showGridLines="0" workbookViewId="0">
      <selection activeCell="A1" sqref="A1"/>
    </sheetView>
  </sheetViews>
  <sheetFormatPr baseColWidth="8" defaultRowHeight="15"/>
  <cols>
    <col width="2.7" customWidth="1" min="1" max="1"/>
    <col width="12" customWidth="1" min="2" max="2"/>
    <col width="80" customWidth="1" min="3" max="3"/>
    <col width="70" customWidth="1" min="4" max="4"/>
  </cols>
  <sheetData>
    <row r="1" ht="30" customHeight="1">
      <c r="B1" s="1" t="inlineStr">
        <is>
          <t>Quellen</t>
        </is>
      </c>
    </row>
    <row r="2">
      <c r="B2" s="2" t="inlineStr">
        <is>
          <t>Herkunft der Annahmen dieser Mappe (IDs wie in der Quellen- und Wissensmatrix), mit Fundstelle</t>
        </is>
      </c>
    </row>
    <row r="3">
      <c r="B3" s="18" t="inlineStr">
        <is>
          <t>← zur Übersicht</t>
        </is>
      </c>
    </row>
    <row r="4" ht="20" customHeight="1">
      <c r="B4" s="25" t="inlineStr">
        <is>
          <t>ID</t>
        </is>
      </c>
      <c r="C4" s="25" t="inlineStr">
        <is>
          <t>Quelle</t>
        </is>
      </c>
      <c r="D4" s="25" t="inlineStr">
        <is>
          <t>Verwendet für (Fundstelle)</t>
        </is>
      </c>
    </row>
    <row r="5" ht="45" customHeight="1">
      <c r="B5" s="21" t="inlineStr">
        <is>
          <t>Q-002</t>
        </is>
      </c>
      <c r="C5" s="27" t="inlineStr">
        <is>
          <t>DBI; DVGW-EBI am KIT; GWI (2026): CO₂-Management – Phase I: Grundlagenermittlung / CO₂START. DVGW-Forschungsbericht G 202434.</t>
        </is>
      </c>
      <c r="D5" s="27" t="inlineStr">
        <is>
          <t>S. 94–95: Zwischenspeicherbedarf 0,21–1,21 Mt (Szenarien 1–8) → Blatt 05</t>
        </is>
      </c>
    </row>
    <row r="6" ht="45" customHeight="1">
      <c r="B6" s="21" t="inlineStr">
        <is>
          <t>Q-003</t>
        </is>
      </c>
      <c r="C6" s="27" t="inlineStr">
        <is>
          <t>IfG; UGS; CTU Prag (2022): Energiespeicherung in Salzkavernen mit superkritischem CO₂ – ESsCO₂. Abschlussbericht, FKZ 03ET6154.</t>
        </is>
      </c>
      <c r="D6" s="27" t="inlineStr">
        <is>
          <t>Kap. 6.2: Rohrreibungszahl 0,015–0,017 → f = 0,016; Kap. 9.3.2.4: Restsole ≤ 1 %</t>
        </is>
      </c>
    </row>
    <row r="7" ht="45" customHeight="1">
      <c r="B7" s="21" t="inlineStr">
        <is>
          <t>Q-028</t>
        </is>
      </c>
      <c r="C7" s="27" t="inlineStr">
        <is>
          <t>Buzogany, R.; Kruck, O. (2022): CO₂ – Storage in Salt Caverns: Thermodynamic Analysis and Challenges. SMRI Fall 2022.</t>
        </is>
      </c>
      <c r="D7" s="27" t="inlineStr">
        <is>
          <t>Tab. 1: Kavernendaten (Volumen, p_min, Bezugsteufe); Kap. 3 (S. 5), Fig. 3: Gebirge 10 °C + 0,03 K/m, Gassäulen; S. 10 (Kap. 4): Betriebsszenario mit Stillstand 21,67 d, Kalibrierung UA; S. 11: Mehrphasen-Bohrlochmodell nötig</t>
        </is>
      </c>
    </row>
    <row r="8" ht="45" customHeight="1">
      <c r="B8" s="21" t="inlineStr">
        <is>
          <t>Q-029</t>
        </is>
      </c>
      <c r="C8" s="27" t="inlineStr">
        <is>
          <t>DBI für Uniper (2024): CCUS-P2 – CO₂-Storage for CCU/S, Phase 2 – Detailing Study, Final Report V08.</t>
        </is>
      </c>
      <c r="D8" s="27" t="inlineStr">
        <is>
          <t>Management Summary (PDF-S. 3), Kap. 5 (PDF-S. 41–43): 4 Zyklen/a (Approach 2) bzw. 1 Zyklus/a (Approach 8)</t>
        </is>
      </c>
    </row>
    <row r="9" ht="45" customHeight="1">
      <c r="B9" s="21" t="inlineStr">
        <is>
          <t>Q-030</t>
        </is>
      </c>
      <c r="C9" s="27" t="inlineStr">
        <is>
          <t>DBI für Uniper (2023): CCUS-P1 – CO₂-Storage for CCU/S, Phase 1 – Initial Concept Study, Final Report.</t>
        </is>
      </c>
      <c r="D9" s="27" t="inlineStr">
        <is>
          <t>Tab. 1: Teufe 1200 m (Option 2), Förderstrang 8 5/8"; Kap. 1.2.1: 10 bar/d, 20 m/s; S. 15: Einspeisung mit konstanter Kopftemperatur; S. 17: flache Option verworfen, 160 bar Mindestdruck (Option 2)</t>
        </is>
      </c>
    </row>
    <row r="10" ht="45" customHeight="1">
      <c r="B10" s="21" t="inlineStr">
        <is>
          <t>Q-035</t>
        </is>
      </c>
      <c r="C10" s="27" t="inlineStr">
        <is>
          <t>Uniper Energy Storage (2024): Kavernenspeicher – Technische Kennlinien, Kapazitäten, Restriktionen (Onboarding, intern).</t>
        </is>
      </c>
      <c r="D10" s="27" t="inlineStr">
        <is>
          <t>Folie 5: Druckbereich Epe; Folie 31: unterer Druckbereich höchstens 60 Tage je Jahr; Folie 36: Gastemperatur am Kopf ≥ 5 °C</t>
        </is>
      </c>
    </row>
    <row r="11" ht="45" customHeight="1">
      <c r="B11" s="21" t="inlineStr">
        <is>
          <t>Q-089</t>
        </is>
      </c>
      <c r="C11" s="27" t="inlineStr">
        <is>
          <t>UGS GmbH (Frommhold, Schwabe) für DGMK (2024): Konzeptstudie zu Reinheitsanforderungen H₂-Netz.</t>
        </is>
      </c>
      <c r="D11" s="27" t="inlineStr">
        <is>
          <t>Tab. 2: 10 bar/d; Abschn. 6.3–6.5, Tab. 10, 12, 16, 19, 20: Einträge in das Speichergas → Blatt 06</t>
        </is>
      </c>
    </row>
    <row r="12" ht="45" customHeight="1">
      <c r="B12" s="21" t="inlineStr">
        <is>
          <t>OGE</t>
        </is>
      </c>
      <c r="C12" s="27" t="inlineStr">
        <is>
          <t>Gesprächsnotiz Austausch OGE / Uniper, 16.09.2026 (Notizen S. Maxara).</t>
        </is>
      </c>
      <c r="D12" s="27" t="inlineStr">
        <is>
          <t>Rückgabe: mind. 91 bar, H₂O ≤ 30 ppm, H₂S &lt; 0,5 ppm</t>
        </is>
      </c>
    </row>
    <row r="13" ht="45" customHeight="1">
      <c r="B13" s="21" t="inlineStr">
        <is>
          <t>Vosbeck</t>
        </is>
      </c>
      <c r="C13" s="27" t="inlineStr">
        <is>
          <t>Besprechung mit Katrin Vosbeck (Uniper, Kavernen), 15.10.2026 (Notizen S. Maxara).</t>
        </is>
      </c>
      <c r="D13" s="27" t="inlineStr">
        <is>
          <t>nur tiefe Kaverne; Strang adiabat; Einspeisung gekoppelt an die Einspeicherung; Regelung über den Kopfdruck; Stillstand aus einer Quelle; Bandbreite Ausspeichergas</t>
        </is>
      </c>
    </row>
    <row r="14" ht="45" customHeight="1">
      <c r="B14" s="21" t="inlineStr">
        <is>
          <t>—</t>
        </is>
      </c>
      <c r="C14" s="27" t="inlineStr">
        <is>
          <t>Span, R.; Wagner, W. (1996): A New Equation of State for Carbon Dioxide … J. Phys. Chem. Ref. Data 25(6), 1509–1596.</t>
        </is>
      </c>
      <c r="D14" s="27" t="inlineStr">
        <is>
          <t>Zustandsgleichung reines CO₂ (über CoolProp)</t>
        </is>
      </c>
    </row>
    <row r="15" ht="45" customHeight="1">
      <c r="B15" s="21" t="inlineStr">
        <is>
          <t>—</t>
        </is>
      </c>
      <c r="C15" s="27" t="inlineStr">
        <is>
          <t>Kunz, O.; Wagner, W. (2012): The GERG-2008 Wide-Range Equation of State for Natural Gases and Other Mixtures. J. Chem. Eng. Data 57, 3032–3091.</t>
        </is>
      </c>
      <c r="D15" s="27" t="inlineStr">
        <is>
          <t>Mischungsregel für das Worst-Case-Gemisch</t>
        </is>
      </c>
    </row>
    <row r="16" ht="45" customHeight="1">
      <c r="B16" s="21" t="inlineStr">
        <is>
          <t>—</t>
        </is>
      </c>
      <c r="C16" s="27" t="inlineStr">
        <is>
          <t>Bell, I. H. et al. (2014): Pure and Pseudo-pure Fluid Thermophysical Property Evaluation and the Open-Source Thermophysical Property Library CoolProp. Ind. Eng. Chem. Res. 53(6), 2498–2508.</t>
        </is>
      </c>
      <c r="D16" s="27" t="inlineStr">
        <is>
          <t>CoolProp 8.0.0</t>
        </is>
      </c>
    </row>
  </sheetData>
  <hyperlinks>
    <hyperlink ref="B3" location="'Übersicht'!A1" display="← zur Übersicht"/>
  </hyperlinks>
  <pageMargins left="0.4" right="0.4" top="0.5" bottom="0.5" header="0.3" footer="0.3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D9D9D9"/>
    <outlinePr summaryBelow="1" summaryRight="1"/>
    <pageSetUpPr/>
  </sheetPr>
  <dimension ref="B1:AD373"/>
  <sheetViews>
    <sheetView showGridLines="0" workbookViewId="0">
      <selection activeCell="A1" sqref="A1"/>
    </sheetView>
  </sheetViews>
  <sheetFormatPr baseColWidth="8" defaultRowHeight="15"/>
  <sheetData>
    <row r="1">
      <c r="B1" s="56" t="inlineStr">
        <is>
          <t>Diagrammdaten – Hilfstabellen (nicht ändern)</t>
        </is>
      </c>
    </row>
    <row r="2">
      <c r="B2" s="57" t="inlineStr">
        <is>
          <t>Werte aus den JSON-Dateien der Skripte, Grundlage der Diagramme.</t>
        </is>
      </c>
    </row>
    <row r="3">
      <c r="B3" s="18" t="inlineStr">
        <is>
          <t>← zur Übersicht</t>
        </is>
      </c>
    </row>
    <row r="5">
      <c r="B5" s="58" t="inlineStr">
        <is>
          <t>01 Profile (alle 50 m)</t>
        </is>
      </c>
      <c r="L5" s="58" t="inlineStr">
        <is>
          <t>02 Dichte über Druck (Gebirgstemperatur Kavernenmitte)</t>
        </is>
      </c>
      <c r="O5" s="58" t="inlineStr">
        <is>
          <t>03 Zyklusverlauf 100.000 Nm³/h, S2</t>
        </is>
      </c>
      <c r="V5" s="58" t="inlineStr">
        <is>
          <t>04 Kopfdruck über Kavernendruck (100.000 Nm³/h)</t>
        </is>
      </c>
    </row>
    <row r="6">
      <c r="B6" s="59" t="inlineStr">
        <is>
          <t>z [m]</t>
        </is>
      </c>
      <c r="C6" s="59" t="inlineStr">
        <is>
          <t>T Gebirge [°C]</t>
        </is>
      </c>
      <c r="D6" s="59" t="inlineStr">
        <is>
          <t>p voll [bar]</t>
        </is>
      </c>
      <c r="E6" s="59" t="inlineStr">
        <is>
          <t>p Grenzfall [bar]</t>
        </is>
      </c>
      <c r="F6" s="59" t="inlineStr">
        <is>
          <t>p leer [bar]</t>
        </is>
      </c>
      <c r="G6" s="59" t="inlineStr">
        <is>
          <t>p S1 Betrieb [bar]</t>
        </is>
      </c>
      <c r="H6" s="59" t="inlineStr">
        <is>
          <t>T S1 Betrieb [°C]</t>
        </is>
      </c>
      <c r="I6" s="59" t="inlineStr">
        <is>
          <t>p S2 Betrieb [bar]</t>
        </is>
      </c>
      <c r="J6" s="59" t="inlineStr">
        <is>
          <t>T S2 Betrieb [°C]</t>
        </is>
      </c>
      <c r="L6" s="59" t="inlineStr">
        <is>
          <t>p [bar]</t>
        </is>
      </c>
      <c r="M6" s="59" t="inlineStr">
        <is>
          <t>ρ [kg/m³]</t>
        </is>
      </c>
      <c r="O6" s="59" t="inlineStr">
        <is>
          <t>t [d]</t>
        </is>
      </c>
      <c r="P6" s="59" t="inlineStr">
        <is>
          <t>p LCCS [bar] (Stillstand 21,67 d (Q-028))</t>
        </is>
      </c>
      <c r="Q6" s="59" t="inlineStr">
        <is>
          <t>T Kaverne [°C] (Stillstand 21,67 d (Q-028))</t>
        </is>
      </c>
      <c r="R6" s="59" t="inlineStr">
        <is>
          <t>t [d]</t>
        </is>
      </c>
      <c r="S6" s="59" t="inlineStr">
        <is>
          <t>p LCCS [bar] (kontinuierlich (0 d))</t>
        </is>
      </c>
      <c r="T6" s="59" t="inlineStr">
        <is>
          <t>T Kaverne [°C] (kontinuierlich (0 d))</t>
        </is>
      </c>
      <c r="V6" s="59" t="inlineStr">
        <is>
          <t>p LCCS</t>
        </is>
      </c>
      <c r="W6" s="59" t="inlineStr">
        <is>
          <t>p Kopf Ausspeisen</t>
        </is>
      </c>
      <c r="X6" s="59" t="inlineStr">
        <is>
          <t>T Kopf Ausspeisen</t>
        </is>
      </c>
      <c r="Y6" s="59" t="inlineStr">
        <is>
          <t>p LCCS</t>
        </is>
      </c>
      <c r="Z6" s="59" t="inlineStr">
        <is>
          <t>p Kopf Einspeisen S1</t>
        </is>
      </c>
      <c r="AA6" s="59" t="inlineStr">
        <is>
          <t>T Kopf Einspeisen S1</t>
        </is>
      </c>
      <c r="AB6" s="59" t="inlineStr">
        <is>
          <t>p LCCS</t>
        </is>
      </c>
      <c r="AC6" s="59" t="inlineStr">
        <is>
          <t>p Kopf Einspeisen S2</t>
        </is>
      </c>
      <c r="AD6" s="59" t="inlineStr">
        <is>
          <t>T Kopf Einspeisen S2</t>
        </is>
      </c>
    </row>
    <row r="7">
      <c r="B7" t="n">
        <v>0</v>
      </c>
      <c r="C7" t="n">
        <v>10</v>
      </c>
      <c r="D7" t="n">
        <v>114.9313019820893</v>
      </c>
      <c r="E7" t="n">
        <v>82.17759427875147</v>
      </c>
      <c r="F7" t="n">
        <v>50.70545867272649</v>
      </c>
      <c r="G7" t="n">
        <v>114.273800177097</v>
      </c>
      <c r="H7" t="n">
        <v>18.30573820727162</v>
      </c>
      <c r="I7" t="n">
        <v>127.2718032176663</v>
      </c>
      <c r="J7" t="n">
        <v>34.40649445030833</v>
      </c>
      <c r="L7" t="n">
        <v>20</v>
      </c>
      <c r="M7" t="n">
        <v>34.3497128793993</v>
      </c>
      <c r="O7" t="n">
        <v>0</v>
      </c>
      <c r="P7" t="n">
        <v>209.8098056304769</v>
      </c>
      <c r="Q7" t="n">
        <v>52.15</v>
      </c>
      <c r="R7" t="n">
        <v>0</v>
      </c>
      <c r="S7" t="n">
        <v>209.8098056304769</v>
      </c>
      <c r="T7" t="n">
        <v>52.15</v>
      </c>
      <c r="V7" t="n">
        <v>70.05840560785138</v>
      </c>
      <c r="W7" t="n">
        <v>42.87140335540005</v>
      </c>
      <c r="X7" t="n">
        <v>9.728648246014833</v>
      </c>
      <c r="Y7" t="n">
        <v>75.23826580813879</v>
      </c>
      <c r="Z7" t="n">
        <v>30.90176883312818</v>
      </c>
      <c r="AA7" t="n">
        <v>-11.69436243930247</v>
      </c>
      <c r="AB7" t="n">
        <v>75.23826580813879</v>
      </c>
      <c r="AC7" t="n">
        <v>39.27589754981553</v>
      </c>
      <c r="AD7" t="n">
        <v>-1.585254271620043</v>
      </c>
    </row>
    <row r="8">
      <c r="B8" t="n">
        <v>50</v>
      </c>
      <c r="C8" t="n">
        <v>11.5</v>
      </c>
      <c r="D8" t="n">
        <v>119.1610092411516</v>
      </c>
      <c r="E8" t="n">
        <v>86.20969161239469</v>
      </c>
      <c r="F8" t="n">
        <v>51.65962952305994</v>
      </c>
      <c r="G8" t="n">
        <v>118.1642643666923</v>
      </c>
      <c r="H8" t="n">
        <v>18.79388003324891</v>
      </c>
      <c r="I8" t="n">
        <v>130.585987471471</v>
      </c>
      <c r="J8" t="n">
        <v>35.06041599892258</v>
      </c>
      <c r="L8" t="n">
        <v>25</v>
      </c>
      <c r="M8" t="n">
        <v>43.84200027328298</v>
      </c>
      <c r="O8" t="n">
        <v>0.6000000000000002</v>
      </c>
      <c r="P8" t="n">
        <v>203.8392041759598</v>
      </c>
      <c r="Q8" t="n">
        <v>51.31325119131259</v>
      </c>
      <c r="R8" t="n">
        <v>0.4000000000000001</v>
      </c>
      <c r="S8" t="n">
        <v>205.8229034023961</v>
      </c>
      <c r="T8" t="n">
        <v>51.59070876798918</v>
      </c>
      <c r="V8" t="n">
        <v>81.44924220188582</v>
      </c>
      <c r="W8" t="n">
        <v>50.75841899097398</v>
      </c>
      <c r="X8" t="n">
        <v>11.28333944689052</v>
      </c>
      <c r="Y8" t="n">
        <v>84.23145080362345</v>
      </c>
      <c r="Z8" t="n">
        <v>32.86065502033214</v>
      </c>
      <c r="AA8" t="n">
        <v>-9.798275522241694</v>
      </c>
      <c r="AB8" t="n">
        <v>86.86354249973311</v>
      </c>
      <c r="AC8" t="n">
        <v>41.85472534617444</v>
      </c>
      <c r="AD8" t="n">
        <v>0.6113756630623118</v>
      </c>
    </row>
    <row r="9">
      <c r="B9" t="n">
        <v>100</v>
      </c>
      <c r="C9" t="n">
        <v>13</v>
      </c>
      <c r="D9" t="n">
        <v>123.3655718216997</v>
      </c>
      <c r="E9" t="n">
        <v>90.21117708029325</v>
      </c>
      <c r="F9" t="n">
        <v>52.47004468391529</v>
      </c>
      <c r="G9" t="n">
        <v>122.0642700668359</v>
      </c>
      <c r="H9" t="n">
        <v>19.27633234570875</v>
      </c>
      <c r="I9" t="n">
        <v>133.9133879379523</v>
      </c>
      <c r="J9" t="n">
        <v>35.70503874406953</v>
      </c>
      <c r="L9" t="n">
        <v>30</v>
      </c>
      <c r="M9" t="n">
        <v>53.77063567580338</v>
      </c>
      <c r="O9" t="n">
        <v>1.200000000000001</v>
      </c>
      <c r="P9" t="n">
        <v>197.917771297775</v>
      </c>
      <c r="Q9" t="n">
        <v>50.48761903520407</v>
      </c>
      <c r="R9" t="n">
        <v>0.8000000000000004</v>
      </c>
      <c r="S9" t="n">
        <v>201.8609836162884</v>
      </c>
      <c r="T9" t="n">
        <v>51.03703271870382</v>
      </c>
      <c r="V9" t="n">
        <v>87.74587309490612</v>
      </c>
      <c r="W9" t="n">
        <v>53.5860611983115</v>
      </c>
      <c r="X9" t="n">
        <v>13.11575451820373</v>
      </c>
      <c r="Y9" t="n">
        <v>95.41513391056679</v>
      </c>
      <c r="Z9" t="n">
        <v>35.68842049642562</v>
      </c>
      <c r="AA9" t="n">
        <v>-7.240734140911417</v>
      </c>
      <c r="AB9" t="n">
        <v>99.08910815360007</v>
      </c>
      <c r="AC9" t="n">
        <v>46.18706804287847</v>
      </c>
      <c r="AD9" t="n">
        <v>4.047996093764904</v>
      </c>
    </row>
    <row r="10">
      <c r="B10" t="n">
        <v>150</v>
      </c>
      <c r="C10" t="n">
        <v>14.5</v>
      </c>
      <c r="D10" t="n">
        <v>127.5451825193627</v>
      </c>
      <c r="E10" t="n">
        <v>94.18225820333411</v>
      </c>
      <c r="F10" t="n">
        <v>53.24713937913989</v>
      </c>
      <c r="G10" t="n">
        <v>125.9736735432341</v>
      </c>
      <c r="H10" t="n">
        <v>19.75330788685003</v>
      </c>
      <c r="I10" t="n">
        <v>137.2537558988353</v>
      </c>
      <c r="J10" t="n">
        <v>36.34072448122203</v>
      </c>
      <c r="L10" t="n">
        <v>35</v>
      </c>
      <c r="M10" t="n">
        <v>64.18351059103141</v>
      </c>
      <c r="O10" t="n">
        <v>1.800000000000001</v>
      </c>
      <c r="P10" t="n">
        <v>192.0232256276294</v>
      </c>
      <c r="Q10" t="n">
        <v>49.6682611578847</v>
      </c>
      <c r="R10" t="n">
        <v>1.200000000000001</v>
      </c>
      <c r="S10" t="n">
        <v>197.917771297775</v>
      </c>
      <c r="T10" t="n">
        <v>50.48761903520407</v>
      </c>
      <c r="V10" t="n">
        <v>91.93337002253857</v>
      </c>
      <c r="W10" t="n">
        <v>54.6136944177454</v>
      </c>
      <c r="X10" t="n">
        <v>13.53772363996463</v>
      </c>
      <c r="Y10" t="n">
        <v>106.4528060352475</v>
      </c>
      <c r="Z10" t="n">
        <v>38.98919588411614</v>
      </c>
      <c r="AA10" t="n">
        <v>-4.493626212562797</v>
      </c>
      <c r="AB10" t="n">
        <v>110.6715352376331</v>
      </c>
      <c r="AC10" t="n">
        <v>49.78019936474555</v>
      </c>
      <c r="AD10" t="n">
        <v>6.750950270884109</v>
      </c>
    </row>
    <row r="11">
      <c r="B11" t="n">
        <v>200</v>
      </c>
      <c r="C11" t="n">
        <v>16</v>
      </c>
      <c r="D11" t="n">
        <v>131.7000450035422</v>
      </c>
      <c r="E11" t="n">
        <v>98.12317232135864</v>
      </c>
      <c r="F11" t="n">
        <v>54.02582383940991</v>
      </c>
      <c r="G11" t="n">
        <v>129.8922797791452</v>
      </c>
      <c r="H11" t="n">
        <v>20.22503662060326</v>
      </c>
      <c r="I11" t="n">
        <v>140.6067755929735</v>
      </c>
      <c r="J11" t="n">
        <v>36.96786431540838</v>
      </c>
      <c r="L11" t="n">
        <v>40</v>
      </c>
      <c r="M11" t="n">
        <v>75.13672637876685</v>
      </c>
      <c r="O11" t="n">
        <v>2.400000000000002</v>
      </c>
      <c r="P11" t="n">
        <v>186.130465960322</v>
      </c>
      <c r="Q11" t="n">
        <v>48.84963597538771</v>
      </c>
      <c r="R11" t="n">
        <v>1.600000000000001</v>
      </c>
      <c r="S11" t="n">
        <v>193.9865659003977</v>
      </c>
      <c r="T11" t="n">
        <v>49.94100807095124</v>
      </c>
      <c r="V11" t="n">
        <v>95.86487649321774</v>
      </c>
      <c r="W11" t="n">
        <v>54.43535207921062</v>
      </c>
      <c r="X11" t="n">
        <v>12.95237436734791</v>
      </c>
      <c r="Y11" t="n">
        <v>119.0560134916505</v>
      </c>
      <c r="Z11" t="n">
        <v>43.52605159699862</v>
      </c>
      <c r="AA11" t="n">
        <v>-1.081675390446246</v>
      </c>
      <c r="AB11" t="n">
        <v>124.1390653343083</v>
      </c>
      <c r="AC11" t="n">
        <v>57.51308992840194</v>
      </c>
      <c r="AD11" t="n">
        <v>11.80212112311782</v>
      </c>
    </row>
    <row r="12">
      <c r="B12" t="n">
        <v>250</v>
      </c>
      <c r="C12" t="n">
        <v>17.5</v>
      </c>
      <c r="D12" t="n">
        <v>135.8303735875529</v>
      </c>
      <c r="E12" t="n">
        <v>102.0341866779384</v>
      </c>
      <c r="F12" t="n">
        <v>54.80618148070644</v>
      </c>
      <c r="G12" t="n">
        <v>133.8199607625073</v>
      </c>
      <c r="H12" t="n">
        <v>20.69170096853719</v>
      </c>
      <c r="I12" t="n">
        <v>143.9722266173861</v>
      </c>
      <c r="J12" t="n">
        <v>37.58677006827957</v>
      </c>
      <c r="L12" t="n">
        <v>45</v>
      </c>
      <c r="M12" t="n">
        <v>86.69642823303107</v>
      </c>
      <c r="O12" t="n">
        <v>3.000000000000002</v>
      </c>
      <c r="P12" t="n">
        <v>180.2102517251572</v>
      </c>
      <c r="Q12" t="n">
        <v>48.02518681062048</v>
      </c>
      <c r="R12" t="n">
        <v>2.000000000000001</v>
      </c>
      <c r="S12" t="n">
        <v>190.0601171724886</v>
      </c>
      <c r="T12" t="n">
        <v>49.39560384016719</v>
      </c>
      <c r="V12" t="n">
        <v>103.3124720739719</v>
      </c>
      <c r="W12" t="n">
        <v>53.9961138722655</v>
      </c>
      <c r="X12" t="n">
        <v>10.84996187147103</v>
      </c>
      <c r="Y12" t="n">
        <v>136.8774527810771</v>
      </c>
      <c r="Z12" t="n">
        <v>51.81863027128983</v>
      </c>
      <c r="AA12" t="n">
        <v>4.245789661955611</v>
      </c>
      <c r="AB12" t="n">
        <v>141.634922944319</v>
      </c>
      <c r="AC12" t="n">
        <v>67.82377452446022</v>
      </c>
      <c r="AD12" t="n">
        <v>17.63963202130704</v>
      </c>
    </row>
    <row r="13">
      <c r="B13" t="n">
        <v>300</v>
      </c>
      <c r="C13" t="n">
        <v>19</v>
      </c>
      <c r="D13" t="n">
        <v>139.9363930931937</v>
      </c>
      <c r="E13" t="n">
        <v>105.9155982334421</v>
      </c>
      <c r="F13" t="n">
        <v>55.58828192456247</v>
      </c>
      <c r="G13" t="n">
        <v>137.7565378159427</v>
      </c>
      <c r="H13" t="n">
        <v>21.1535019815831</v>
      </c>
      <c r="I13" t="n">
        <v>147.3498219560188</v>
      </c>
      <c r="J13" t="n">
        <v>38.19778452782252</v>
      </c>
      <c r="L13" t="n">
        <v>50</v>
      </c>
      <c r="M13" t="n">
        <v>98.94113475469111</v>
      </c>
      <c r="O13" t="n">
        <v>3.600000000000003</v>
      </c>
      <c r="P13" t="n">
        <v>174.2493963119187</v>
      </c>
      <c r="Q13" t="n">
        <v>47.19040526709689</v>
      </c>
      <c r="R13" t="n">
        <v>2.400000000000002</v>
      </c>
      <c r="S13" t="n">
        <v>186.130465960322</v>
      </c>
      <c r="T13" t="n">
        <v>48.84963597538771</v>
      </c>
      <c r="V13" t="n">
        <v>127.0316684212095</v>
      </c>
      <c r="W13" t="n">
        <v>60.91527826666063</v>
      </c>
      <c r="X13" t="n">
        <v>15.11440246852486</v>
      </c>
      <c r="Y13" t="n">
        <v>164.0029606960084</v>
      </c>
      <c r="Z13" t="n">
        <v>71.30100137375216</v>
      </c>
      <c r="AA13" t="n">
        <v>12.88262900753921</v>
      </c>
      <c r="AB13" t="n">
        <v>168.0199261150596</v>
      </c>
      <c r="AC13" t="n">
        <v>88.47654378628843</v>
      </c>
      <c r="AD13" t="n">
        <v>25.42237254929994</v>
      </c>
    </row>
    <row r="14">
      <c r="B14" t="n">
        <v>350</v>
      </c>
      <c r="C14" t="n">
        <v>20.5</v>
      </c>
      <c r="D14" t="n">
        <v>144.018338778759</v>
      </c>
      <c r="E14" t="n">
        <v>109.7677330866367</v>
      </c>
      <c r="F14" t="n">
        <v>56.37218336220512</v>
      </c>
      <c r="G14" t="n">
        <v>141.7018960576166</v>
      </c>
      <c r="H14" t="n">
        <v>21.610597471453</v>
      </c>
      <c r="I14" t="n">
        <v>150.7393641817821</v>
      </c>
      <c r="J14" t="n">
        <v>38.80118034158349</v>
      </c>
      <c r="L14" t="n">
        <v>55</v>
      </c>
      <c r="M14" t="n">
        <v>111.9647079082827</v>
      </c>
      <c r="O14" t="n">
        <v>4.199999999999998</v>
      </c>
      <c r="P14" t="n">
        <v>168.5926141856578</v>
      </c>
      <c r="Q14" t="n">
        <v>46.3985275572222</v>
      </c>
      <c r="R14" t="n">
        <v>2.800000000000002</v>
      </c>
      <c r="S14" t="n">
        <v>182.1887364159156</v>
      </c>
      <c r="T14" t="n">
        <v>48.30110983632791</v>
      </c>
      <c r="V14" t="n">
        <v>209.8098056304769</v>
      </c>
      <c r="W14" t="n">
        <v>127.0803390368653</v>
      </c>
      <c r="X14" t="n">
        <v>37.19032934554718</v>
      </c>
      <c r="Y14" t="n">
        <v>209.3098985788615</v>
      </c>
      <c r="Z14" t="n">
        <v>113.6031226251889</v>
      </c>
      <c r="AA14" t="n">
        <v>18.25216793466516</v>
      </c>
      <c r="AB14" t="n">
        <v>209.4870023514072</v>
      </c>
      <c r="AC14" t="n">
        <v>126.768712615815</v>
      </c>
      <c r="AD14" t="n">
        <v>34.32867639789486</v>
      </c>
    </row>
    <row r="15">
      <c r="B15" t="n">
        <v>400</v>
      </c>
      <c r="C15" t="n">
        <v>22</v>
      </c>
      <c r="D15" t="n">
        <v>148.0764562827229</v>
      </c>
      <c r="E15" t="n">
        <v>113.5909454239221</v>
      </c>
      <c r="F15" t="n">
        <v>57.15793441226391</v>
      </c>
      <c r="G15" t="n">
        <v>145.6558707089649</v>
      </c>
      <c r="H15" t="n">
        <v>22.06316448401432</v>
      </c>
      <c r="I15" t="n">
        <v>154.1405902314584</v>
      </c>
      <c r="J15" t="n">
        <v>39.39726149980806</v>
      </c>
      <c r="L15" t="n">
        <v>60</v>
      </c>
      <c r="M15" t="n">
        <v>125.8801397749435</v>
      </c>
      <c r="O15" t="n">
        <v>4.799999999999986</v>
      </c>
      <c r="P15" t="n">
        <v>163.3461144708838</v>
      </c>
      <c r="Q15" t="n">
        <v>45.66717291981616</v>
      </c>
      <c r="R15" t="n">
        <v>3.200000000000002</v>
      </c>
      <c r="S15" t="n">
        <v>178.2248595157782</v>
      </c>
      <c r="T15" t="n">
        <v>47.7477398352262</v>
      </c>
    </row>
    <row r="16">
      <c r="B16" t="n">
        <v>450</v>
      </c>
      <c r="C16" t="n">
        <v>23.5</v>
      </c>
      <c r="D16" t="n">
        <v>152.1110015270945</v>
      </c>
      <c r="E16" t="n">
        <v>117.3856159814295</v>
      </c>
      <c r="F16" t="n">
        <v>57.94557561565795</v>
      </c>
      <c r="G16" t="n">
        <v>149.6183580055288</v>
      </c>
      <c r="H16" t="n">
        <v>22.51134116398255</v>
      </c>
      <c r="I16" t="n">
        <v>157.5533218926301</v>
      </c>
      <c r="J16" t="n">
        <v>39.98626788504017</v>
      </c>
      <c r="L16" t="n">
        <v>65</v>
      </c>
      <c r="M16" t="n">
        <v>140.8243487768511</v>
      </c>
      <c r="O16" t="n">
        <v>5.399999999999973</v>
      </c>
      <c r="P16" t="n">
        <v>158.480130634627</v>
      </c>
      <c r="Q16" t="n">
        <v>44.99248461354717</v>
      </c>
      <c r="R16" t="n">
        <v>3.600000000000003</v>
      </c>
      <c r="S16" t="n">
        <v>174.2493963119187</v>
      </c>
      <c r="T16" t="n">
        <v>47.19040526709689</v>
      </c>
    </row>
    <row r="17">
      <c r="B17" t="n">
        <v>500</v>
      </c>
      <c r="C17" t="n">
        <v>25</v>
      </c>
      <c r="D17" t="n">
        <v>156.1222405259621</v>
      </c>
      <c r="E17" t="n">
        <v>121.1521500779386</v>
      </c>
      <c r="F17" t="n">
        <v>58.73514066083422</v>
      </c>
      <c r="G17" t="n">
        <v>153.5892051251623</v>
      </c>
      <c r="H17" t="n">
        <v>22.95528477303693</v>
      </c>
      <c r="I17" t="n">
        <v>160.9773166003704</v>
      </c>
      <c r="J17" t="n">
        <v>40.56847074605636</v>
      </c>
      <c r="L17" t="n">
        <v>70</v>
      </c>
      <c r="M17" t="n">
        <v>156.964135149284</v>
      </c>
      <c r="O17" t="n">
        <v>5.99999999999996</v>
      </c>
      <c r="P17" t="n">
        <v>153.9669281302955</v>
      </c>
      <c r="Q17" t="n">
        <v>44.37081870952023</v>
      </c>
      <c r="R17" t="n">
        <v>4.000000000000003</v>
      </c>
      <c r="S17" t="n">
        <v>170.4310907474167</v>
      </c>
      <c r="T17" t="n">
        <v>46.65556529762267</v>
      </c>
    </row>
    <row r="18">
      <c r="B18" t="n">
        <v>550</v>
      </c>
      <c r="C18" t="n">
        <v>26.5</v>
      </c>
      <c r="D18" t="n">
        <v>160.1104490553324</v>
      </c>
      <c r="E18" t="n">
        <v>124.8909753343138</v>
      </c>
      <c r="F18" t="n">
        <v>59.52665740148502</v>
      </c>
      <c r="G18" t="n">
        <v>157.5683178261414</v>
      </c>
      <c r="H18" t="n">
        <v>23.39511723192146</v>
      </c>
      <c r="I18" t="n">
        <v>164.4124125760823</v>
      </c>
      <c r="J18" t="n">
        <v>41.14408351409233</v>
      </c>
      <c r="L18" t="n">
        <v>75</v>
      </c>
      <c r="M18" t="n">
        <v>174.5032297237429</v>
      </c>
      <c r="O18" t="n">
        <v>6.599999999999947</v>
      </c>
      <c r="P18" t="n">
        <v>149.7806964580857</v>
      </c>
      <c r="Q18" t="n">
        <v>43.79873717476119</v>
      </c>
      <c r="R18" t="n">
        <v>4.399999999999994</v>
      </c>
      <c r="S18" t="n">
        <v>166.7997069534609</v>
      </c>
      <c r="T18" t="n">
        <v>46.1482127989293</v>
      </c>
    </row>
    <row r="19">
      <c r="B19" t="n">
        <v>600</v>
      </c>
      <c r="C19" t="n">
        <v>28</v>
      </c>
      <c r="D19" t="n">
        <v>164.0759121577262</v>
      </c>
      <c r="E19" t="n">
        <v>128.6025392226334</v>
      </c>
      <c r="F19" t="n">
        <v>60.32014870950925</v>
      </c>
      <c r="G19" t="n">
        <v>161.5555536830589</v>
      </c>
      <c r="H19" t="n">
        <v>23.83097924962824</v>
      </c>
      <c r="I19" t="n">
        <v>167.8583851011344</v>
      </c>
      <c r="J19" t="n">
        <v>41.71334893871168</v>
      </c>
      <c r="L19" t="n">
        <v>80</v>
      </c>
      <c r="M19" t="n">
        <v>193.6896994412511</v>
      </c>
      <c r="O19" t="n">
        <v>7.199999999999934</v>
      </c>
      <c r="P19" t="n">
        <v>145.8974407200498</v>
      </c>
      <c r="Q19" t="n">
        <v>43.27300032433761</v>
      </c>
      <c r="R19" t="n">
        <v>4.799999999999986</v>
      </c>
      <c r="S19" t="n">
        <v>163.3461144708838</v>
      </c>
      <c r="T19" t="n">
        <v>45.66717291981616</v>
      </c>
    </row>
    <row r="20">
      <c r="B20" t="n">
        <v>650</v>
      </c>
      <c r="C20" t="n">
        <v>29.5</v>
      </c>
      <c r="D20" t="n">
        <v>168.0189234757022</v>
      </c>
      <c r="E20" t="n">
        <v>132.2873065808769</v>
      </c>
      <c r="F20" t="n">
        <v>61.11563319374859</v>
      </c>
      <c r="G20" t="n">
        <v>165.5508266954532</v>
      </c>
      <c r="H20" t="n">
        <v>24.2629791677609</v>
      </c>
      <c r="I20" t="n">
        <v>171.3150867215925</v>
      </c>
      <c r="J20" t="n">
        <v>42.27645709857914</v>
      </c>
      <c r="L20" t="n">
        <v>85</v>
      </c>
      <c r="M20" t="n">
        <v>214.8211779695048</v>
      </c>
      <c r="O20" t="n">
        <v>7.799999999999922</v>
      </c>
      <c r="P20" t="n">
        <v>142.2948735654357</v>
      </c>
      <c r="Q20" t="n">
        <v>42.7905587307061</v>
      </c>
      <c r="R20" t="n">
        <v>5.199999999999977</v>
      </c>
      <c r="S20" t="n">
        <v>160.0615983433059</v>
      </c>
      <c r="T20" t="n">
        <v>45.21131369627477</v>
      </c>
    </row>
    <row r="21">
      <c r="B21" t="n">
        <v>700</v>
      </c>
      <c r="C21" t="n">
        <v>31</v>
      </c>
      <c r="D21" t="n">
        <v>171.939784428871</v>
      </c>
      <c r="E21" t="n">
        <v>135.9457571934616</v>
      </c>
      <c r="F21" t="n">
        <v>61.9131258072042</v>
      </c>
      <c r="G21" t="n">
        <v>169.5540035646952</v>
      </c>
      <c r="H21" t="n">
        <v>24.69124366133388</v>
      </c>
      <c r="I21" t="n">
        <v>174.7823084875936</v>
      </c>
      <c r="J21" t="n">
        <v>42.83362628691688</v>
      </c>
      <c r="L21" t="n">
        <v>90</v>
      </c>
      <c r="M21" t="n">
        <v>238.2410111216954</v>
      </c>
      <c r="O21" t="n">
        <v>8.39999999999991</v>
      </c>
      <c r="P21" t="n">
        <v>138.9523085637263</v>
      </c>
      <c r="Q21" t="n">
        <v>42.34854471748628</v>
      </c>
      <c r="R21" t="n">
        <v>5.599999999999969</v>
      </c>
      <c r="S21" t="n">
        <v>156.9378450153469</v>
      </c>
      <c r="T21" t="n">
        <v>44.77954521354511</v>
      </c>
    </row>
    <row r="22">
      <c r="B22" t="n">
        <v>750</v>
      </c>
      <c r="C22" t="n">
        <v>32.5</v>
      </c>
      <c r="D22" t="n">
        <v>175.8388032658045</v>
      </c>
      <c r="E22" t="n">
        <v>139.5783834882013</v>
      </c>
      <c r="F22" t="n">
        <v>62.71263836036263</v>
      </c>
      <c r="G22" t="n">
        <v>173.5650054878791</v>
      </c>
      <c r="H22" t="n">
        <v>25.11586956107419</v>
      </c>
      <c r="I22" t="n">
        <v>178.2599155803943</v>
      </c>
      <c r="J22" t="n">
        <v>43.38502626542552</v>
      </c>
      <c r="L22" t="n">
        <v>95</v>
      </c>
      <c r="M22" t="n">
        <v>264.308938945911</v>
      </c>
      <c r="O22" t="n">
        <v>8.999999999999897</v>
      </c>
      <c r="P22" t="n">
        <v>135.8505560376903</v>
      </c>
      <c r="Q22" t="n">
        <v>41.94426358168334</v>
      </c>
      <c r="R22" t="n">
        <v>5.99999999999996</v>
      </c>
      <c r="S22" t="n">
        <v>153.9669281302955</v>
      </c>
      <c r="T22" t="n">
        <v>44.37081870952023</v>
      </c>
    </row>
    <row r="23">
      <c r="B23" t="n">
        <v>800</v>
      </c>
      <c r="C23" t="n">
        <v>34</v>
      </c>
      <c r="D23" t="n">
        <v>179.7162940333967</v>
      </c>
      <c r="E23" t="n">
        <v>143.1856883526166</v>
      </c>
      <c r="F23" t="n">
        <v>63.51417995489786</v>
      </c>
      <c r="G23" t="n">
        <v>177.5837072455078</v>
      </c>
      <c r="H23" t="n">
        <v>25.53697150656071</v>
      </c>
      <c r="I23" t="n">
        <v>181.7477131122018</v>
      </c>
      <c r="J23" t="n">
        <v>43.93085392185207</v>
      </c>
      <c r="L23" t="n">
        <v>100</v>
      </c>
      <c r="M23" t="n">
        <v>293.3144793754154</v>
      </c>
      <c r="O23" t="n">
        <v>9.599999999999884</v>
      </c>
      <c r="P23" t="n">
        <v>132.9718222824704</v>
      </c>
      <c r="Q23" t="n">
        <v>41.57518468881793</v>
      </c>
      <c r="R23" t="n">
        <v>6.399999999999952</v>
      </c>
      <c r="S23" t="n">
        <v>151.1412942579146</v>
      </c>
      <c r="T23" t="n">
        <v>43.98412562037461</v>
      </c>
    </row>
    <row r="24">
      <c r="B24" t="n">
        <v>850</v>
      </c>
      <c r="C24" t="n">
        <v>35.5</v>
      </c>
      <c r="D24" t="n">
        <v>183.5725755108226</v>
      </c>
      <c r="E24" t="n">
        <v>146.7681830400936</v>
      </c>
      <c r="F24" t="n">
        <v>64.31775734971434</v>
      </c>
      <c r="G24" t="n">
        <v>181.6100363713959</v>
      </c>
      <c r="H24" t="n">
        <v>25.95463646393227</v>
      </c>
      <c r="I24" t="n">
        <v>185.2455775023562</v>
      </c>
      <c r="J24" t="n">
        <v>44.47126125698875</v>
      </c>
      <c r="L24" t="n">
        <v>105</v>
      </c>
      <c r="M24" t="n">
        <v>325.2952280705316</v>
      </c>
      <c r="O24" t="n">
        <v>10.19999999999987</v>
      </c>
      <c r="P24" t="n">
        <v>130.299612931021</v>
      </c>
      <c r="Q24" t="n">
        <v>41.23893257477431</v>
      </c>
      <c r="R24" t="n">
        <v>6.799999999999943</v>
      </c>
      <c r="S24" t="n">
        <v>148.4537485985818</v>
      </c>
      <c r="T24" t="n">
        <v>43.61849657216806</v>
      </c>
    </row>
    <row r="25">
      <c r="B25" t="n">
        <v>900</v>
      </c>
      <c r="C25" t="n">
        <v>37</v>
      </c>
      <c r="D25" t="n">
        <v>187.4079701536713</v>
      </c>
      <c r="E25" t="n">
        <v>150.3263851257292</v>
      </c>
      <c r="F25" t="n">
        <v>65.12337526962904</v>
      </c>
      <c r="G25" t="n">
        <v>185.6438748503483</v>
      </c>
      <c r="H25" t="n">
        <v>26.36896865076275</v>
      </c>
      <c r="I25" t="n">
        <v>188.7533264832412</v>
      </c>
      <c r="J25" t="n">
        <v>45.00642636558092</v>
      </c>
      <c r="L25" t="n">
        <v>110</v>
      </c>
      <c r="M25" t="n">
        <v>359.7808224340904</v>
      </c>
      <c r="O25" t="n">
        <v>10.79999999999986</v>
      </c>
      <c r="P25" t="n">
        <v>127.8186410341423</v>
      </c>
      <c r="Q25" t="n">
        <v>40.933278170873</v>
      </c>
      <c r="R25" t="n">
        <v>7.199999999999934</v>
      </c>
      <c r="S25" t="n">
        <v>145.8974407200498</v>
      </c>
      <c r="T25" t="n">
        <v>43.27300032433761</v>
      </c>
    </row>
    <row r="26">
      <c r="B26" t="n">
        <v>950</v>
      </c>
      <c r="C26" t="n">
        <v>38.5</v>
      </c>
      <c r="D26" t="n">
        <v>191.2228030874113</v>
      </c>
      <c r="E26" t="n">
        <v>153.8608164820335</v>
      </c>
      <c r="F26" t="n">
        <v>65.93103666569024</v>
      </c>
      <c r="G26" t="n">
        <v>189.6851558344816</v>
      </c>
      <c r="H26" t="n">
        <v>26.78004650148307</v>
      </c>
      <c r="I26" t="n">
        <v>192.2708465243431</v>
      </c>
      <c r="J26" t="n">
        <v>45.53648569441791</v>
      </c>
      <c r="L26" t="n">
        <v>115</v>
      </c>
      <c r="M26" t="n">
        <v>395.6327085514617</v>
      </c>
      <c r="O26" t="n">
        <v>11.39999999999985</v>
      </c>
      <c r="P26" t="n">
        <v>125.5147402301142</v>
      </c>
      <c r="Q26" t="n">
        <v>40.65613024829688</v>
      </c>
      <c r="R26" t="n">
        <v>7.599999999999926</v>
      </c>
      <c r="S26" t="n">
        <v>143.4658503883349</v>
      </c>
      <c r="T26" t="n">
        <v>42.94674267246139</v>
      </c>
    </row>
    <row r="27">
      <c r="B27" t="n">
        <v>1000</v>
      </c>
      <c r="C27" t="n">
        <v>40</v>
      </c>
      <c r="D27" t="n">
        <v>195.0174011798634</v>
      </c>
      <c r="E27" t="n">
        <v>157.3720012691957</v>
      </c>
      <c r="F27" t="n">
        <v>66.74074293503044</v>
      </c>
      <c r="G27" t="n">
        <v>193.7337677741077</v>
      </c>
      <c r="H27" t="n">
        <v>27.18796513540539</v>
      </c>
      <c r="I27" t="n">
        <v>195.7979667329546</v>
      </c>
      <c r="J27" t="n">
        <v>46.06160081864323</v>
      </c>
      <c r="L27" t="n">
        <v>120</v>
      </c>
      <c r="M27" t="n">
        <v>431.2136250373874</v>
      </c>
      <c r="O27" t="n">
        <v>11.99999999999983</v>
      </c>
      <c r="P27" t="n">
        <v>123.3747832011122</v>
      </c>
      <c r="Q27" t="n">
        <v>40.40552715703087</v>
      </c>
      <c r="R27" t="n">
        <v>7.999999999999917</v>
      </c>
      <c r="S27" t="n">
        <v>141.1527735553211</v>
      </c>
      <c r="T27" t="n">
        <v>42.63886531854692</v>
      </c>
    </row>
    <row r="28">
      <c r="B28" t="n">
        <v>1050</v>
      </c>
      <c r="C28" t="n">
        <v>41.5</v>
      </c>
      <c r="D28" t="n">
        <v>198.7920922116776</v>
      </c>
      <c r="E28" t="n">
        <v>160.8604639635705</v>
      </c>
      <c r="F28" t="n">
        <v>67.5524941071551</v>
      </c>
      <c r="G28" t="n">
        <v>197.7896488334972</v>
      </c>
      <c r="H28" t="n">
        <v>27.59279555156776</v>
      </c>
      <c r="I28" t="n">
        <v>199.3345825984328</v>
      </c>
      <c r="J28" t="n">
        <v>46.5818945582385</v>
      </c>
      <c r="L28" t="n">
        <v>125</v>
      </c>
      <c r="M28" t="n">
        <v>464.905295569581</v>
      </c>
      <c r="O28" t="n">
        <v>12.59999999999982</v>
      </c>
      <c r="P28" t="n">
        <v>121.38660546136</v>
      </c>
      <c r="Q28" t="n">
        <v>40.17962891467812</v>
      </c>
      <c r="R28" t="n">
        <v>8.39999999999991</v>
      </c>
      <c r="S28" t="n">
        <v>138.9523085637263</v>
      </c>
      <c r="T28" t="n">
        <v>42.34854471748628</v>
      </c>
    </row>
    <row r="29">
      <c r="B29" t="n">
        <v>1100</v>
      </c>
      <c r="C29" t="n">
        <v>43</v>
      </c>
      <c r="D29" t="n">
        <v>202.5472041534649</v>
      </c>
      <c r="E29" t="n">
        <v>164.3267274718153</v>
      </c>
      <c r="F29" t="n">
        <v>68.36628900263409</v>
      </c>
      <c r="G29" t="n">
        <v>201.8526932980784</v>
      </c>
      <c r="H29" t="n">
        <v>27.9946248731028</v>
      </c>
      <c r="I29" t="n">
        <v>202.8805335113866</v>
      </c>
      <c r="J29" t="n">
        <v>47.09751395896089</v>
      </c>
      <c r="L29" t="n">
        <v>130</v>
      </c>
      <c r="M29" t="n">
        <v>495.6490592786245</v>
      </c>
      <c r="O29" t="n">
        <v>13.19999999999981</v>
      </c>
      <c r="P29" t="n">
        <v>119.5389343997498</v>
      </c>
      <c r="Q29" t="n">
        <v>39.97670968285617</v>
      </c>
      <c r="R29" t="n">
        <v>8.799999999999901</v>
      </c>
      <c r="S29" t="n">
        <v>136.8588426255729</v>
      </c>
      <c r="T29" t="n">
        <v>42.07499090829454</v>
      </c>
    </row>
    <row r="30">
      <c r="B30" t="n">
        <v>1150</v>
      </c>
      <c r="C30" t="n">
        <v>44.5</v>
      </c>
      <c r="D30" t="n">
        <v>206.2830645493646</v>
      </c>
      <c r="E30" t="n">
        <v>167.7713113900412</v>
      </c>
      <c r="F30" t="n">
        <v>69.18212536927258</v>
      </c>
      <c r="G30" t="n">
        <v>205.9228438276995</v>
      </c>
      <c r="H30" t="n">
        <v>28.39351757829272</v>
      </c>
      <c r="I30" t="n">
        <v>206.4357230758597</v>
      </c>
      <c r="J30" t="n">
        <v>47.60856990178553</v>
      </c>
      <c r="L30" t="n">
        <v>135</v>
      </c>
      <c r="M30" t="n">
        <v>523.0971299229087</v>
      </c>
      <c r="O30" t="n">
        <v>13.79999999999979</v>
      </c>
      <c r="P30" t="n">
        <v>117.8213234081998</v>
      </c>
      <c r="Q30" t="n">
        <v>39.79515065395925</v>
      </c>
      <c r="R30" t="n">
        <v>9.199999999999893</v>
      </c>
      <c r="S30" t="n">
        <v>134.8670386241592</v>
      </c>
      <c r="T30" t="n">
        <v>41.81744633841151</v>
      </c>
    </row>
    <row r="31">
      <c r="B31" t="n">
        <v>1200</v>
      </c>
      <c r="C31" t="n">
        <v>46</v>
      </c>
      <c r="D31" t="n">
        <v>210</v>
      </c>
      <c r="E31" t="n">
        <v>171.1947304649814</v>
      </c>
      <c r="F31" t="n">
        <v>70</v>
      </c>
      <c r="G31" t="n">
        <v>210</v>
      </c>
      <c r="H31" t="n">
        <v>28.7895536960441</v>
      </c>
      <c r="I31" t="n">
        <v>210</v>
      </c>
      <c r="J31" t="n">
        <v>48.11519660743811</v>
      </c>
      <c r="L31" t="n">
        <v>140</v>
      </c>
      <c r="M31" t="n">
        <v>547.3897078965234</v>
      </c>
      <c r="O31" t="n">
        <v>14.39999999999978</v>
      </c>
      <c r="P31" t="n">
        <v>116.2240908638751</v>
      </c>
      <c r="Q31" t="n">
        <v>39.63343335898894</v>
      </c>
      <c r="R31" t="n">
        <v>9.599999999999884</v>
      </c>
      <c r="S31" t="n">
        <v>132.9718222824704</v>
      </c>
      <c r="T31" t="n">
        <v>41.57518468881793</v>
      </c>
    </row>
    <row r="32">
      <c r="L32" t="n">
        <v>145</v>
      </c>
      <c r="M32" t="n">
        <v>568.8774027406988</v>
      </c>
      <c r="O32" t="n">
        <v>14.99999999999977</v>
      </c>
      <c r="P32" t="n">
        <v>114.7382636943547</v>
      </c>
      <c r="Q32" t="n">
        <v>39.49013339781215</v>
      </c>
      <c r="R32" t="n">
        <v>9.999999999999876</v>
      </c>
      <c r="S32" t="n">
        <v>131.1683697331709</v>
      </c>
      <c r="T32" t="n">
        <v>41.34750970699201</v>
      </c>
    </row>
    <row r="33">
      <c r="L33" t="n">
        <v>150</v>
      </c>
      <c r="M33" t="n">
        <v>587.9583375285167</v>
      </c>
      <c r="O33" t="n">
        <v>15.59999999999976</v>
      </c>
      <c r="P33" t="n">
        <v>113.355525235011</v>
      </c>
      <c r="Q33" t="n">
        <v>39.36391458633903</v>
      </c>
      <c r="R33" t="n">
        <v>10.39999999999987</v>
      </c>
      <c r="S33" t="n">
        <v>129.4520955176596</v>
      </c>
      <c r="T33" t="n">
        <v>41.1337540539614</v>
      </c>
    </row>
    <row r="34">
      <c r="L34" t="n">
        <v>155</v>
      </c>
      <c r="M34" t="n">
        <v>605.0081257608089</v>
      </c>
      <c r="O34" t="n">
        <v>16.19999999999974</v>
      </c>
      <c r="P34" t="n">
        <v>112.0681670816624</v>
      </c>
      <c r="Q34" t="n">
        <v>39.25352351023034</v>
      </c>
      <c r="R34" t="n">
        <v>10.79999999999986</v>
      </c>
      <c r="S34" t="n">
        <v>127.8186410341423</v>
      </c>
      <c r="T34" t="n">
        <v>40.933278170873</v>
      </c>
    </row>
    <row r="35">
      <c r="L35" t="n">
        <v>160</v>
      </c>
      <c r="M35" t="n">
        <v>620.3535488615909</v>
      </c>
      <c r="O35" t="n">
        <v>16.79999999999973</v>
      </c>
      <c r="P35" t="n">
        <v>110.8690446441796</v>
      </c>
      <c r="Q35" t="n">
        <v>39.15778447136521</v>
      </c>
      <c r="R35" t="n">
        <v>11.19999999999985</v>
      </c>
      <c r="S35" t="n">
        <v>126.263863447659</v>
      </c>
      <c r="T35" t="n">
        <v>40.74546916966982</v>
      </c>
    </row>
    <row r="36">
      <c r="L36" t="n">
        <v>165</v>
      </c>
      <c r="M36" t="n">
        <v>634.2666628795209</v>
      </c>
      <c r="O36" t="n">
        <v>17.39999999999972</v>
      </c>
      <c r="P36" t="n">
        <v>109.7515361141093</v>
      </c>
      <c r="Q36" t="n">
        <v>39.07559481087165</v>
      </c>
      <c r="R36" t="n">
        <v>11.59999999999984</v>
      </c>
      <c r="S36" t="n">
        <v>124.7838250686497</v>
      </c>
      <c r="T36" t="n">
        <v>40.56973975166139</v>
      </c>
    </row>
    <row r="37">
      <c r="L37" t="n">
        <v>170</v>
      </c>
      <c r="M37" t="n">
        <v>646.9690110622024</v>
      </c>
      <c r="O37" t="n">
        <v>17.99999999999971</v>
      </c>
      <c r="P37" t="n">
        <v>108.7095045686656</v>
      </c>
      <c r="Q37" t="n">
        <v>39.00592059046886</v>
      </c>
      <c r="R37" t="n">
        <v>11.99999999999983</v>
      </c>
      <c r="S37" t="n">
        <v>123.3747832011122</v>
      </c>
      <c r="T37" t="n">
        <v>40.40552715703087</v>
      </c>
    </row>
    <row r="38">
      <c r="L38" t="n">
        <v>175</v>
      </c>
      <c r="M38" t="n">
        <v>658.6397439338098</v>
      </c>
      <c r="O38" t="n">
        <v>18.59999999999969</v>
      </c>
      <c r="P38" t="n">
        <v>107.7372629430915</v>
      </c>
      <c r="Q38" t="n">
        <v>38.94779261174723</v>
      </c>
      <c r="R38" t="n">
        <v>12.39999999999982</v>
      </c>
      <c r="S38" t="n">
        <v>122.0331804565596</v>
      </c>
      <c r="T38" t="n">
        <v>40.25229214761401</v>
      </c>
    </row>
    <row r="39">
      <c r="L39" t="n">
        <v>180</v>
      </c>
      <c r="M39" t="n">
        <v>669.4240800287276</v>
      </c>
      <c r="O39" t="n">
        <v>19.19999999999968</v>
      </c>
      <c r="P39" t="n">
        <v>106.8295416134021</v>
      </c>
      <c r="Q39" t="n">
        <v>38.90030275049459</v>
      </c>
      <c r="R39" t="n">
        <v>12.79999999999982</v>
      </c>
      <c r="S39" t="n">
        <v>120.7556355260959</v>
      </c>
      <c r="T39" t="n">
        <v>40.10951802467412</v>
      </c>
    </row>
    <row r="40">
      <c r="L40" t="n">
        <v>185</v>
      </c>
      <c r="M40" t="n">
        <v>679.4405838082773</v>
      </c>
      <c r="O40" t="n">
        <v>19.79999999999967</v>
      </c>
      <c r="P40" t="n">
        <v>105.9814583425471</v>
      </c>
      <c r="Q40" t="n">
        <v>38.86260058011796</v>
      </c>
      <c r="R40" t="n">
        <v>13.19999999999981</v>
      </c>
      <c r="S40" t="n">
        <v>119.5389343997498</v>
      </c>
      <c r="T40" t="n">
        <v>39.97670968285617</v>
      </c>
    </row>
    <row r="41">
      <c r="L41" t="n">
        <v>190</v>
      </c>
      <c r="M41" t="n">
        <v>688.7869273858011</v>
      </c>
      <c r="O41" t="n">
        <v>20.39999999999965</v>
      </c>
      <c r="P41" t="n">
        <v>105.1884903567212</v>
      </c>
      <c r="Q41" t="n">
        <v>38.83389025479181</v>
      </c>
      <c r="R41" t="n">
        <v>13.5999999999998</v>
      </c>
      <c r="S41" t="n">
        <v>118.3800220197317</v>
      </c>
      <c r="T41" t="n">
        <v>39.85339270101272</v>
      </c>
    </row>
    <row r="42">
      <c r="L42" t="n">
        <v>195</v>
      </c>
      <c r="M42" t="n">
        <v>697.5443027485131</v>
      </c>
      <c r="O42" t="n">
        <v>20.99999999999964</v>
      </c>
      <c r="P42" t="n">
        <v>104.4464483362243</v>
      </c>
      <c r="Q42" t="n">
        <v>38.81342761952032</v>
      </c>
      <c r="R42" t="n">
        <v>13.99999999999979</v>
      </c>
      <c r="S42" t="n">
        <v>117.275994352582</v>
      </c>
      <c r="T42" t="n">
        <v>39.73911247022517</v>
      </c>
    </row>
    <row r="43">
      <c r="L43" t="n">
        <v>200</v>
      </c>
      <c r="M43" t="n">
        <v>705.7807764883662</v>
      </c>
      <c r="O43" t="n">
        <v>21.59999999999963</v>
      </c>
      <c r="P43" t="n">
        <v>103.7514521279416</v>
      </c>
      <c r="Q43" t="n">
        <v>38.80051751149902</v>
      </c>
      <c r="R43" t="n">
        <v>14.39999999999978</v>
      </c>
      <c r="S43" t="n">
        <v>116.2240908638751</v>
      </c>
      <c r="T43" t="n">
        <v>39.63343335898894</v>
      </c>
    </row>
    <row r="44">
      <c r="L44" t="n">
        <v>205</v>
      </c>
      <c r="M44" t="n">
        <v>713.5538553093488</v>
      </c>
      <c r="O44" t="n">
        <v>22.19999999999962</v>
      </c>
      <c r="P44" t="n">
        <v>103.0999080141012</v>
      </c>
      <c r="Q44" t="n">
        <v>38.79451121567752</v>
      </c>
      <c r="R44" t="n">
        <v>14.79999999999977</v>
      </c>
      <c r="S44" t="n">
        <v>115.2216873784895</v>
      </c>
      <c r="T44" t="n">
        <v>39.53593791528641</v>
      </c>
    </row>
    <row r="45">
      <c r="L45" t="n">
        <v>210</v>
      </c>
      <c r="M45" t="n">
        <v>720.9124694645928</v>
      </c>
      <c r="O45" t="n">
        <v>22.7999999999996</v>
      </c>
      <c r="P45" t="n">
        <v>102.4884874033279</v>
      </c>
      <c r="Q45" t="n">
        <v>38.79480403803718</v>
      </c>
      <c r="R45" t="n">
        <v>15.19999999999976</v>
      </c>
      <c r="S45" t="n">
        <v>114.2662893090382</v>
      </c>
      <c r="T45" t="n">
        <v>39.44622610504712</v>
      </c>
    </row>
    <row r="46">
      <c r="L46" t="n">
        <v>215</v>
      </c>
      <c r="M46" t="n">
        <v>727.8985243265781</v>
      </c>
      <c r="O46" t="n">
        <v>23.39999999999959</v>
      </c>
      <c r="P46" t="n">
        <v>101.9141068406315</v>
      </c>
      <c r="Q46" t="n">
        <v>38.80083296232598</v>
      </c>
      <c r="R46" t="n">
        <v>15.59999999999976</v>
      </c>
      <c r="S46" t="n">
        <v>113.355525235011</v>
      </c>
      <c r="T46" t="n">
        <v>39.36391458633903</v>
      </c>
    </row>
    <row r="47">
      <c r="L47" t="n">
        <v>220</v>
      </c>
      <c r="M47" t="n">
        <v>734.5481273248009</v>
      </c>
      <c r="O47" t="n">
        <v>23.99999999999958</v>
      </c>
      <c r="P47" t="n">
        <v>101.3739092691922</v>
      </c>
      <c r="Q47" t="n">
        <v>38.81207436370017</v>
      </c>
      <c r="R47" t="n">
        <v>15.99999999999975</v>
      </c>
      <c r="S47" t="n">
        <v>112.4871408153023</v>
      </c>
      <c r="T47" t="n">
        <v>39.28863601850161</v>
      </c>
    </row>
    <row r="48">
      <c r="L48" t="n">
        <v>225</v>
      </c>
      <c r="M48" t="n">
        <v>740.8925673582853</v>
      </c>
      <c r="O48" t="n">
        <v>24.59999999999956</v>
      </c>
      <c r="P48" t="n">
        <v>100.8652464931645</v>
      </c>
      <c r="Q48" t="n">
        <v>38.82804175663321</v>
      </c>
      <c r="R48" t="n">
        <v>16.39999999999974</v>
      </c>
      <c r="S48" t="n">
        <v>111.6589930170668</v>
      </c>
      <c r="T48" t="n">
        <v>39.22003840533378</v>
      </c>
    </row>
    <row r="49">
      <c r="L49" t="n">
        <v>230</v>
      </c>
      <c r="M49" t="n">
        <v>746.9591030364168</v>
      </c>
      <c r="O49" t="n">
        <v>25.19999999999955</v>
      </c>
      <c r="P49" t="n">
        <v>100.3856628190399</v>
      </c>
      <c r="Q49" t="n">
        <v>38.84828356736072</v>
      </c>
      <c r="R49" t="n">
        <v>16.79999999999973</v>
      </c>
      <c r="S49" t="n">
        <v>110.8690446441796</v>
      </c>
      <c r="T49" t="n">
        <v>39.15778447136521</v>
      </c>
    </row>
    <row r="50">
      <c r="O50" t="n">
        <v>25.79999999999954</v>
      </c>
      <c r="P50" t="n">
        <v>99.93287985756837</v>
      </c>
      <c r="Q50" t="n">
        <v>38.87238092838519</v>
      </c>
      <c r="R50" t="n">
        <v>17.19999999999972</v>
      </c>
      <c r="S50" t="n">
        <v>110.1153591489506</v>
      </c>
      <c r="T50" t="n">
        <v>39.10155107016069</v>
      </c>
    </row>
    <row r="51">
      <c r="O51" t="n">
        <v>26.39999999999953</v>
      </c>
      <c r="P51" t="n">
        <v>99.50478247209628</v>
      </c>
      <c r="Q51" t="n">
        <v>38.89994550226063</v>
      </c>
      <c r="R51" t="n">
        <v>17.59999999999971</v>
      </c>
      <c r="S51" t="n">
        <v>109.3960957111405</v>
      </c>
      <c r="T51" t="n">
        <v>39.0510286235354</v>
      </c>
    </row>
    <row r="52">
      <c r="O52" t="n">
        <v>26.99999999999951</v>
      </c>
      <c r="P52" t="n">
        <v>99.09940585383831</v>
      </c>
      <c r="Q52" t="n">
        <v>38.93061734912997</v>
      </c>
      <c r="R52" t="n">
        <v>17.99999999999971</v>
      </c>
      <c r="S52" t="n">
        <v>108.7095045686656</v>
      </c>
      <c r="T52" t="n">
        <v>39.00592059046886</v>
      </c>
    </row>
    <row r="53">
      <c r="O53" t="n">
        <v>27.5999999999995</v>
      </c>
      <c r="P53" t="n">
        <v>98.71492369444746</v>
      </c>
      <c r="Q53" t="n">
        <v>38.96406285762031</v>
      </c>
      <c r="R53" t="n">
        <v>18.3999999999997</v>
      </c>
      <c r="S53" t="n">
        <v>108.0539225847962</v>
      </c>
      <c r="T53" t="n">
        <v>38.96594296440734</v>
      </c>
    </row>
    <row r="54">
      <c r="O54" t="n">
        <v>28.19999999999949</v>
      </c>
      <c r="P54" t="n">
        <v>98.349637413507</v>
      </c>
      <c r="Q54" t="n">
        <v>38.99997276130677</v>
      </c>
      <c r="R54" t="n">
        <v>18.79999999999969</v>
      </c>
      <c r="S54" t="n">
        <v>107.4277690370514</v>
      </c>
      <c r="T54" t="n">
        <v>38.93082379753974</v>
      </c>
    </row>
    <row r="55">
      <c r="O55" t="n">
        <v>28.79999999999947</v>
      </c>
      <c r="P55" t="n">
        <v>98.00196638543383</v>
      </c>
      <c r="Q55" t="n">
        <v>39.0380602630846</v>
      </c>
      <c r="R55" t="n">
        <v>19.19999999999968</v>
      </c>
      <c r="S55" t="n">
        <v>106.8295416134021</v>
      </c>
      <c r="T55" t="n">
        <v>38.90030275049459</v>
      </c>
    </row>
    <row r="56">
      <c r="O56" t="n">
        <v>29.39999999999946</v>
      </c>
      <c r="P56" t="n">
        <v>97.67043909847729</v>
      </c>
      <c r="Q56" t="n">
        <v>39.07805928774047</v>
      </c>
      <c r="R56" t="n">
        <v>19.59999999999967</v>
      </c>
      <c r="S56" t="n">
        <v>106.2578126019763</v>
      </c>
      <c r="T56" t="n">
        <v>38.87413066577678</v>
      </c>
    </row>
    <row r="57">
      <c r="O57" t="n">
        <v>29.99999999999945</v>
      </c>
      <c r="P57" t="n">
        <v>97.35368516926123</v>
      </c>
      <c r="Q57" t="n">
        <v>39.11972287932189</v>
      </c>
      <c r="R57" t="n">
        <v>19.99999999999966</v>
      </c>
      <c r="S57" t="n">
        <v>105.7112252610303</v>
      </c>
      <c r="T57" t="n">
        <v>38.85206916311922</v>
      </c>
    </row>
    <row r="58">
      <c r="O58" t="n">
        <v>30.59999999999944</v>
      </c>
      <c r="P58" t="n">
        <v>97.05042813006787</v>
      </c>
      <c r="Q58" t="n">
        <v>39.16282175504769</v>
      </c>
      <c r="R58" t="n">
        <v>20.39999999999965</v>
      </c>
      <c r="S58" t="n">
        <v>105.1884903567212</v>
      </c>
      <c r="T58" t="n">
        <v>38.83389025479181</v>
      </c>
    </row>
    <row r="59">
      <c r="O59" t="n">
        <v>31.19999999999942</v>
      </c>
      <c r="P59" t="n">
        <v>96.75947890314683</v>
      </c>
      <c r="Q59" t="n">
        <v>39.20714302210672</v>
      </c>
      <c r="R59" t="n">
        <v>20.79999999999965</v>
      </c>
      <c r="S59" t="n">
        <v>104.6883828571123</v>
      </c>
      <c r="T59" t="n">
        <v>38.81937597879489</v>
      </c>
    </row>
    <row r="60">
      <c r="O60" t="n">
        <v>31.79999999999941</v>
      </c>
      <c r="P60" t="n">
        <v>96.47972987628039</v>
      </c>
      <c r="Q60" t="n">
        <v>39.2524890581311</v>
      </c>
      <c r="R60" t="n">
        <v>21.19999999999964</v>
      </c>
      <c r="S60" t="n">
        <v>104.2097387718234</v>
      </c>
      <c r="T60" t="n">
        <v>38.8083180477791</v>
      </c>
    </row>
    <row r="61">
      <c r="O61" t="n">
        <v>32.39999999999947</v>
      </c>
      <c r="P61" t="n">
        <v>96.21014949654791</v>
      </c>
      <c r="Q61" t="n">
        <v>39.29867655087278</v>
      </c>
      <c r="R61" t="n">
        <v>21.59999999999963</v>
      </c>
      <c r="S61" t="n">
        <v>103.7514521279416</v>
      </c>
      <c r="T61" t="n">
        <v>38.80051751149902</v>
      </c>
    </row>
    <row r="62">
      <c r="O62" t="n">
        <v>32.99999999999956</v>
      </c>
      <c r="P62" t="n">
        <v>95.94977730414412</v>
      </c>
      <c r="Q62" t="n">
        <v>39.34553568785223</v>
      </c>
      <c r="R62" t="n">
        <v>21.99999999999962</v>
      </c>
      <c r="S62" t="n">
        <v>103.3124720739719</v>
      </c>
      <c r="T62" t="n">
        <v>38.79578443061898</v>
      </c>
    </row>
    <row r="63">
      <c r="O63" t="n">
        <v>33.59999999999965</v>
      </c>
      <c r="P63" t="n">
        <v>95.69771933488141</v>
      </c>
      <c r="Q63" t="n">
        <v>39.39290948276821</v>
      </c>
      <c r="R63" t="n">
        <v>22.39999999999961</v>
      </c>
      <c r="S63" t="n">
        <v>102.8918001794432</v>
      </c>
      <c r="T63" t="n">
        <v>38.79393758903836</v>
      </c>
    </row>
    <row r="64">
      <c r="O64" t="n">
        <v>34.19999999999975</v>
      </c>
      <c r="P64" t="n">
        <v>95.45314382835568</v>
      </c>
      <c r="Q64" t="n">
        <v>39.44065322233354</v>
      </c>
      <c r="R64" t="n">
        <v>22.7999999999996</v>
      </c>
      <c r="S64" t="n">
        <v>102.4884874033279</v>
      </c>
      <c r="T64" t="n">
        <v>38.79480403803718</v>
      </c>
    </row>
    <row r="65">
      <c r="O65" t="n">
        <v>34.79999999999984</v>
      </c>
      <c r="P65" t="n">
        <v>95.21527718832142</v>
      </c>
      <c r="Q65" t="n">
        <v>39.48863401505433</v>
      </c>
      <c r="R65" t="n">
        <v>23.19999999999959</v>
      </c>
      <c r="S65" t="n">
        <v>102.1016322896942</v>
      </c>
      <c r="T65" t="n">
        <v>38.79821908444313</v>
      </c>
    </row>
    <row r="66">
      <c r="O66" t="n">
        <v>35.39999999999993</v>
      </c>
      <c r="P66" t="n">
        <v>94.98340015255609</v>
      </c>
      <c r="Q66" t="n">
        <v>39.5367304223258</v>
      </c>
      <c r="R66" t="n">
        <v>23.59999999999959</v>
      </c>
      <c r="S66" t="n">
        <v>101.7303777839393</v>
      </c>
      <c r="T66" t="n">
        <v>38.80402569867888</v>
      </c>
    </row>
    <row r="67">
      <c r="O67" t="n">
        <v>36.00000000000003</v>
      </c>
      <c r="P67" t="n">
        <v>94.7568441414393</v>
      </c>
      <c r="Q67" t="n">
        <v>39.58483215212461</v>
      </c>
      <c r="R67" t="n">
        <v>23.99999999999958</v>
      </c>
      <c r="S67" t="n">
        <v>101.3739092691922</v>
      </c>
      <c r="T67" t="n">
        <v>38.81207436370017</v>
      </c>
    </row>
    <row r="68">
      <c r="O68" t="n">
        <v>36.60000000000012</v>
      </c>
      <c r="P68" t="n">
        <v>94.53498776814153</v>
      </c>
      <c r="Q68" t="n">
        <v>39.63283979654451</v>
      </c>
      <c r="R68" t="n">
        <v>24.39999999999957</v>
      </c>
      <c r="S68" t="n">
        <v>101.0314522609495</v>
      </c>
      <c r="T68" t="n">
        <v>38.8222227511162</v>
      </c>
    </row>
    <row r="69">
      <c r="O69" t="n">
        <v>37.20000000000022</v>
      </c>
      <c r="P69" t="n">
        <v>94.31725351049452</v>
      </c>
      <c r="Q69" t="n">
        <v>39.68066459657658</v>
      </c>
      <c r="R69" t="n">
        <v>24.79999999999956</v>
      </c>
      <c r="S69" t="n">
        <v>100.7022702786315</v>
      </c>
      <c r="T69" t="n">
        <v>38.83433542830365</v>
      </c>
    </row>
    <row r="70">
      <c r="O70" t="n">
        <v>37.80000000000031</v>
      </c>
      <c r="P70" t="n">
        <v>94.10310456995232</v>
      </c>
      <c r="Q70" t="n">
        <v>39.72822822115064</v>
      </c>
      <c r="R70" t="n">
        <v>25.19999999999955</v>
      </c>
      <c r="S70" t="n">
        <v>100.3856628190399</v>
      </c>
      <c r="T70" t="n">
        <v>38.84828356736072</v>
      </c>
    </row>
    <row r="71">
      <c r="O71" t="n">
        <v>38.4000000000004</v>
      </c>
      <c r="P71" t="n">
        <v>93.89204199061398</v>
      </c>
      <c r="Q71" t="n">
        <v>39.77546255346003</v>
      </c>
      <c r="R71" t="n">
        <v>25.59999999999954</v>
      </c>
      <c r="S71" t="n">
        <v>100.0809634309395</v>
      </c>
      <c r="T71" t="n">
        <v>38.86394465624209</v>
      </c>
    </row>
    <row r="72">
      <c r="O72" t="n">
        <v>39.0000000000005</v>
      </c>
      <c r="P72" t="n">
        <v>93.68360222983382</v>
      </c>
      <c r="Q72" t="n">
        <v>39.82230948885935</v>
      </c>
      <c r="R72" t="n">
        <v>25.99999999999953</v>
      </c>
      <c r="S72" t="n">
        <v>99.78753788988227</v>
      </c>
      <c r="T72" t="n">
        <v>38.88120221274286</v>
      </c>
    </row>
    <row r="73">
      <c r="O73" t="n">
        <v>39.60000000000059</v>
      </c>
      <c r="P73" t="n">
        <v>93.47735579161515</v>
      </c>
      <c r="Q73" t="n">
        <v>39.86872077651432</v>
      </c>
      <c r="R73" t="n">
        <v>26.39999999999953</v>
      </c>
      <c r="S73" t="n">
        <v>99.50478247209628</v>
      </c>
      <c r="T73" t="n">
        <v>38.89994550226063</v>
      </c>
    </row>
    <row r="74">
      <c r="O74" t="n">
        <v>40.20000000000068</v>
      </c>
      <c r="P74" t="n">
        <v>93.2729109979207</v>
      </c>
      <c r="Q74" t="n">
        <v>39.91465805748985</v>
      </c>
      <c r="R74" t="n">
        <v>26.79999999999952</v>
      </c>
      <c r="S74" t="n">
        <v>99.23212232584626</v>
      </c>
      <c r="T74" t="n">
        <v>38.92006926046825</v>
      </c>
    </row>
    <row r="75">
      <c r="O75" t="n">
        <v>40.80000000000078</v>
      </c>
      <c r="P75" t="n">
        <v>93.06998181379966</v>
      </c>
      <c r="Q75" t="n">
        <v>39.96009544177707</v>
      </c>
      <c r="R75" t="n">
        <v>27.19999999999951</v>
      </c>
      <c r="S75" t="n">
        <v>98.96900993817967</v>
      </c>
      <c r="T75" t="n">
        <v>38.94147342216158</v>
      </c>
    </row>
    <row r="76">
      <c r="O76" t="n">
        <v>41.40000000000087</v>
      </c>
      <c r="P76" t="n">
        <v>92.86828046370057</v>
      </c>
      <c r="Q76" t="n">
        <v>40.00502272963258</v>
      </c>
      <c r="R76" t="n">
        <v>27.5999999999995</v>
      </c>
      <c r="S76" t="n">
        <v>98.71492369444746</v>
      </c>
      <c r="T76" t="n">
        <v>38.96406285762031</v>
      </c>
    </row>
    <row r="77">
      <c r="O77" t="n">
        <v>42.00000000000097</v>
      </c>
      <c r="P77" t="n">
        <v>92.66746821117705</v>
      </c>
      <c r="Q77" t="n">
        <v>40.04943785525618</v>
      </c>
      <c r="R77" t="n">
        <v>27.99999999999949</v>
      </c>
      <c r="S77" t="n">
        <v>98.46936652747071</v>
      </c>
      <c r="T77" t="n">
        <v>38.98774711781491</v>
      </c>
    </row>
    <row r="78">
      <c r="O78" t="n">
        <v>42.60000000000106</v>
      </c>
      <c r="P78" t="n">
        <v>92.46720812856397</v>
      </c>
      <c r="Q78" t="n">
        <v>40.09334374611119</v>
      </c>
      <c r="R78" t="n">
        <v>28.39999999999948</v>
      </c>
      <c r="S78" t="n">
        <v>98.23186465271941</v>
      </c>
      <c r="T78" t="n">
        <v>39.01244018974679</v>
      </c>
    </row>
    <row r="79">
      <c r="O79" t="n">
        <v>43.20000000000115</v>
      </c>
      <c r="P79" t="n">
        <v>92.26716803537285</v>
      </c>
      <c r="Q79" t="n">
        <v>40.13674723826896</v>
      </c>
      <c r="R79" t="n">
        <v>28.79999999999947</v>
      </c>
      <c r="S79" t="n">
        <v>98.00196638543383</v>
      </c>
      <c r="T79" t="n">
        <v>39.0380602630846</v>
      </c>
    </row>
    <row r="80">
      <c r="O80" t="n">
        <v>43.80000000000125</v>
      </c>
      <c r="P80" t="n">
        <v>92.06702068321903</v>
      </c>
      <c r="Q80" t="n">
        <v>40.17965830741397</v>
      </c>
      <c r="R80" t="n">
        <v>29.19999999999947</v>
      </c>
      <c r="S80" t="n">
        <v>97.77924103525406</v>
      </c>
      <c r="T80" t="n">
        <v>39.06452950912915</v>
      </c>
    </row>
    <row r="81">
      <c r="O81" t="n">
        <v>44.40000000000134</v>
      </c>
      <c r="P81" t="n">
        <v>91.86644343532326</v>
      </c>
      <c r="Q81" t="n">
        <v>40.22208946813624</v>
      </c>
      <c r="R81" t="n">
        <v>29.59999999999946</v>
      </c>
      <c r="S81" t="n">
        <v>97.563277873659</v>
      </c>
      <c r="T81" t="n">
        <v>39.09177387294893</v>
      </c>
    </row>
    <row r="82">
      <c r="O82" t="n">
        <v>45.00000000000144</v>
      </c>
      <c r="P82" t="n">
        <v>91.66511786255219</v>
      </c>
      <c r="Q82" t="n">
        <v>40.26405529608053</v>
      </c>
      <c r="R82" t="n">
        <v>29.99999999999945</v>
      </c>
      <c r="S82" t="n">
        <v>97.35368516926123</v>
      </c>
      <c r="T82" t="n">
        <v>39.11972287932189</v>
      </c>
    </row>
    <row r="83">
      <c r="O83" t="n">
        <v>45.60000000000153</v>
      </c>
      <c r="P83" t="n">
        <v>91.46272937489888</v>
      </c>
      <c r="Q83" t="n">
        <v>40.3055720539347</v>
      </c>
      <c r="R83" t="n">
        <v>30.39999999999944</v>
      </c>
      <c r="S83" t="n">
        <v>97.15008928596902</v>
      </c>
      <c r="T83" t="n">
        <v>39.14830945291776</v>
      </c>
    </row>
    <row r="84">
      <c r="O84" t="n">
        <v>46.20000000000162</v>
      </c>
      <c r="P84" t="n">
        <v>91.25896691840272</v>
      </c>
      <c r="Q84" t="n">
        <v>40.3466574112243</v>
      </c>
      <c r="R84" t="n">
        <v>30.79999999999943</v>
      </c>
      <c r="S84" t="n">
        <v>96.95213383891719</v>
      </c>
      <c r="T84" t="n">
        <v>39.17746975292488</v>
      </c>
    </row>
    <row r="85">
      <c r="O85" t="n">
        <v>46.80000000000172</v>
      </c>
      <c r="P85" t="n">
        <v>91.05352273338011</v>
      </c>
      <c r="Q85" t="n">
        <v>40.38733025087065</v>
      </c>
      <c r="R85" t="n">
        <v>31.19999999999942</v>
      </c>
      <c r="S85" t="n">
        <v>96.75947890314683</v>
      </c>
      <c r="T85" t="n">
        <v>39.20714302210672</v>
      </c>
    </row>
    <row r="86">
      <c r="O86" t="n">
        <v>47.40000000000181</v>
      </c>
      <c r="P86" t="n">
        <v>90.84609215447288</v>
      </c>
      <c r="Q86" t="n">
        <v>40.42761055587408</v>
      </c>
      <c r="R86" t="n">
        <v>31.59999999999942</v>
      </c>
      <c r="S86" t="n">
        <v>96.57180027013257</v>
      </c>
      <c r="T86" t="n">
        <v>39.23727145008279</v>
      </c>
    </row>
    <row r="87">
      <c r="O87" t="n">
        <v>48.0000000000019</v>
      </c>
      <c r="P87" t="n">
        <v>90.63637342588268</v>
      </c>
      <c r="Q87" t="n">
        <v>40.46751936869538</v>
      </c>
      <c r="R87" t="n">
        <v>31.99999999999941</v>
      </c>
      <c r="S87" t="n">
        <v>96.38878874737368</v>
      </c>
      <c r="T87" t="n">
        <v>39.26780005040787</v>
      </c>
    </row>
    <row r="88">
      <c r="O88" t="n">
        <v>48.600000000002</v>
      </c>
      <c r="P88" t="n">
        <v>90.42406750238418</v>
      </c>
      <c r="Q88" t="n">
        <v>40.50707881456731</v>
      </c>
      <c r="R88" t="n">
        <v>32.39999999999947</v>
      </c>
      <c r="S88" t="n">
        <v>96.21014949654791</v>
      </c>
      <c r="T88" t="n">
        <v>39.29867655087278</v>
      </c>
    </row>
    <row r="89">
      <c r="O89" t="n">
        <v>49.20000000000209</v>
      </c>
      <c r="P89" t="n">
        <v>90.20887780690146</v>
      </c>
      <c r="Q89" t="n">
        <v>40.54631217845417</v>
      </c>
      <c r="R89" t="n">
        <v>32.79999999999953</v>
      </c>
      <c r="S89" t="n">
        <v>96.03560140594355</v>
      </c>
      <c r="T89" t="n">
        <v>39.32985129626933</v>
      </c>
    </row>
    <row r="90">
      <c r="O90" t="n">
        <v>49.80000000000219</v>
      </c>
      <c r="P90" t="n">
        <v>89.99050991769391</v>
      </c>
      <c r="Q90" t="n">
        <v>40.58524402391978</v>
      </c>
      <c r="R90" t="n">
        <v>33.19999999999959</v>
      </c>
      <c r="S90" t="n">
        <v>95.86487649321774</v>
      </c>
      <c r="T90" t="n">
        <v>39.36127716274678</v>
      </c>
    </row>
    <row r="91">
      <c r="O91" t="n">
        <v>50.40000000000228</v>
      </c>
      <c r="P91" t="n">
        <v>89.76867116221098</v>
      </c>
      <c r="Q91" t="n">
        <v>40.6239003409548</v>
      </c>
      <c r="R91" t="n">
        <v>33.59999999999965</v>
      </c>
      <c r="S91" t="n">
        <v>95.69771933488141</v>
      </c>
      <c r="T91" t="n">
        <v>39.39290948276821</v>
      </c>
    </row>
    <row r="92">
      <c r="O92" t="n">
        <v>51.00000000000237</v>
      </c>
      <c r="P92" t="n">
        <v>89.54307009996131</v>
      </c>
      <c r="Q92" t="n">
        <v>40.66230870895629</v>
      </c>
      <c r="R92" t="n">
        <v>33.99999999999972</v>
      </c>
      <c r="S92" t="n">
        <v>95.53388651925196</v>
      </c>
      <c r="T92" t="n">
        <v>39.42470597958756</v>
      </c>
    </row>
    <row r="93">
      <c r="O93" t="n">
        <v>51.60000000000247</v>
      </c>
      <c r="P93" t="n">
        <v>89.3134158830138</v>
      </c>
      <c r="Q93" t="n">
        <v>40.70049846065232</v>
      </c>
      <c r="R93" t="n">
        <v>34.39999999999978</v>
      </c>
      <c r="S93" t="n">
        <v>95.37314612006411</v>
      </c>
      <c r="T93" t="n">
        <v>39.45662671012295</v>
      </c>
    </row>
    <row r="94">
      <c r="O94" t="n">
        <v>52.20000000000256</v>
      </c>
      <c r="P94" t="n">
        <v>89.07941748965723</v>
      </c>
      <c r="Q94" t="n">
        <v>40.7385008328805</v>
      </c>
      <c r="R94" t="n">
        <v>34.79999999999984</v>
      </c>
      <c r="S94" t="n">
        <v>95.21527718832142</v>
      </c>
      <c r="T94" t="n">
        <v>39.48863401505433</v>
      </c>
    </row>
    <row r="95">
      <c r="O95" t="n">
        <v>52.80000000000265</v>
      </c>
      <c r="P95" t="n">
        <v>88.84078283395624</v>
      </c>
      <c r="Q95" t="n">
        <v>40.77634909079769</v>
      </c>
      <c r="R95" t="n">
        <v>35.1999999999999</v>
      </c>
      <c r="S95" t="n">
        <v>95.06006926045649</v>
      </c>
      <c r="T95" t="n">
        <v>39.52069247498313</v>
      </c>
    </row>
    <row r="96">
      <c r="O96" t="n">
        <v>53.40000000000275</v>
      </c>
      <c r="P96" t="n">
        <v>88.59721776111179</v>
      </c>
      <c r="Q96" t="n">
        <v>40.81407861332819</v>
      </c>
      <c r="R96" t="n">
        <v>35.59999999999997</v>
      </c>
      <c r="S96" t="n">
        <v>94.90732188136782</v>
      </c>
      <c r="T96" t="n">
        <v>39.552768871508</v>
      </c>
    </row>
    <row r="97">
      <c r="O97" t="n">
        <v>54.00000000000284</v>
      </c>
      <c r="P97" t="n">
        <v>88.34842494538306</v>
      </c>
      <c r="Q97" t="n">
        <v>40.85172692944742</v>
      </c>
      <c r="R97" t="n">
        <v>36.00000000000003</v>
      </c>
      <c r="S97" t="n">
        <v>94.7568441414393</v>
      </c>
      <c r="T97" t="n">
        <v>39.58483215212461</v>
      </c>
    </row>
    <row r="98">
      <c r="O98" t="n">
        <v>54.60000000000294</v>
      </c>
      <c r="P98" t="n">
        <v>88.09410271350616</v>
      </c>
      <c r="Q98" t="n">
        <v>40.88933369719194</v>
      </c>
      <c r="R98" t="n">
        <v>36.40000000000009</v>
      </c>
      <c r="S98" t="n">
        <v>94.60845422730611</v>
      </c>
      <c r="T98" t="n">
        <v>39.61685339793688</v>
      </c>
    </row>
    <row r="99">
      <c r="O99" t="n">
        <v>55.20000000000303</v>
      </c>
      <c r="P99" t="n">
        <v>87.83394382177264</v>
      </c>
      <c r="Q99" t="n">
        <v>40.92694062003169</v>
      </c>
      <c r="R99" t="n">
        <v>36.80000000000015</v>
      </c>
      <c r="S99" t="n">
        <v>94.46197898691447</v>
      </c>
      <c r="T99" t="n">
        <v>39.6488057932884</v>
      </c>
    </row>
    <row r="100">
      <c r="O100" t="n">
        <v>55.80000000000312</v>
      </c>
      <c r="P100" t="n">
        <v>87.5676342189732</v>
      </c>
      <c r="Q100" t="n">
        <v>40.96459129833568</v>
      </c>
      <c r="R100" t="n">
        <v>37.20000000000022</v>
      </c>
      <c r="S100" t="n">
        <v>94.31725351049452</v>
      </c>
      <c r="T100" t="n">
        <v>39.68066459657658</v>
      </c>
    </row>
    <row r="101">
      <c r="O101" t="n">
        <v>56.40000000000322</v>
      </c>
      <c r="P101" t="n">
        <v>87.2948518298783</v>
      </c>
      <c r="Q101" t="n">
        <v>41.00233101694403</v>
      </c>
      <c r="R101" t="n">
        <v>37.60000000000028</v>
      </c>
      <c r="S101" t="n">
        <v>94.17412073068219</v>
      </c>
      <c r="T101" t="n">
        <v>39.71240711173336</v>
      </c>
    </row>
    <row r="102">
      <c r="O102" t="n">
        <v>57.00000000000331</v>
      </c>
      <c r="P102" t="n">
        <v>87.01526539476555</v>
      </c>
      <c r="Q102" t="n">
        <v>41.04020647319603</v>
      </c>
      <c r="R102" t="n">
        <v>38.00000000000034</v>
      </c>
      <c r="S102" t="n">
        <v>94.03243104769788</v>
      </c>
      <c r="T102" t="n">
        <v>39.74401266016881</v>
      </c>
    </row>
    <row r="103">
      <c r="O103" t="n">
        <v>57.6000000000034</v>
      </c>
      <c r="P103" t="n">
        <v>86.72853339937848</v>
      </c>
      <c r="Q103" t="n">
        <v>41.07826545290178</v>
      </c>
      <c r="R103" t="n">
        <v>38.4000000000004</v>
      </c>
      <c r="S103" t="n">
        <v>93.89204199061398</v>
      </c>
      <c r="T103" t="n">
        <v>39.77546255346003</v>
      </c>
    </row>
    <row r="104">
      <c r="O104" t="n">
        <v>58.2000000000035</v>
      </c>
      <c r="P104" t="n">
        <v>86.43430312667466</v>
      </c>
      <c r="Q104" t="n">
        <v>41.11655646450357</v>
      </c>
      <c r="R104" t="n">
        <v>38.80000000000047</v>
      </c>
      <c r="S104" t="n">
        <v>93.75281793665849</v>
      </c>
      <c r="T104" t="n">
        <v>39.80674006791108</v>
      </c>
    </row>
    <row r="105">
      <c r="O105" t="n">
        <v>58.80000000000359</v>
      </c>
      <c r="P105" t="n">
        <v>86.1322098567955</v>
      </c>
      <c r="Q105" t="n">
        <v>41.15512834379945</v>
      </c>
      <c r="R105" t="n">
        <v>39.20000000000053</v>
      </c>
      <c r="S105" t="n">
        <v>93.61462993797686</v>
      </c>
      <c r="T105" t="n">
        <v>39.83783042382191</v>
      </c>
    </row>
    <row r="106">
      <c r="O106" t="n">
        <v>59.40000000000369</v>
      </c>
      <c r="P106" t="n">
        <v>85.8218762351527</v>
      </c>
      <c r="Q106" t="n">
        <v>41.1940298429442</v>
      </c>
      <c r="R106" t="n">
        <v>39.60000000000059</v>
      </c>
      <c r="S106" t="n">
        <v>93.47735579161515</v>
      </c>
      <c r="T106" t="n">
        <v>39.86872077651432</v>
      </c>
    </row>
    <row r="107">
      <c r="O107" t="n">
        <v>60.00000000000378</v>
      </c>
      <c r="P107" t="n">
        <v>85.50291182076796</v>
      </c>
      <c r="Q107" t="n">
        <v>41.23330921786517</v>
      </c>
      <c r="R107" t="n">
        <v>40.00000000000065</v>
      </c>
      <c r="S107" t="n">
        <v>93.3408809020091</v>
      </c>
      <c r="T107" t="n">
        <v>39.8994002405953</v>
      </c>
    </row>
    <row r="108">
      <c r="O108" t="n">
        <v>60.60000000000387</v>
      </c>
      <c r="P108" t="n">
        <v>85.17491281861024</v>
      </c>
      <c r="Q108" t="n">
        <v>41.27301382769624</v>
      </c>
      <c r="R108" t="n">
        <v>40.40000000000072</v>
      </c>
      <c r="S108" t="n">
        <v>93.20511088855515</v>
      </c>
      <c r="T108" t="n">
        <v>39.92986014750971</v>
      </c>
    </row>
    <row r="109">
      <c r="O109" t="n">
        <v>61.20000000000397</v>
      </c>
      <c r="P109" t="n">
        <v>84.83746199130249</v>
      </c>
      <c r="Q109" t="n">
        <v>41.31318975843531</v>
      </c>
      <c r="R109" t="n">
        <v>40.80000000000078</v>
      </c>
      <c r="S109" t="n">
        <v>93.06998181379966</v>
      </c>
      <c r="T109" t="n">
        <v>39.96009544177707</v>
      </c>
    </row>
    <row r="110">
      <c r="O110" t="n">
        <v>61.80000000000406</v>
      </c>
      <c r="P110" t="n">
        <v>84.49012873789997</v>
      </c>
      <c r="Q110" t="n">
        <v>41.35388148089704</v>
      </c>
      <c r="R110" t="n">
        <v>41.20000000000084</v>
      </c>
      <c r="S110" t="n">
        <v>92.93539870559214</v>
      </c>
      <c r="T110" t="n">
        <v>39.99010388779072</v>
      </c>
    </row>
    <row r="111">
      <c r="O111" t="n">
        <v>62.40000000000416</v>
      </c>
      <c r="P111" t="n">
        <v>84.13246932105477</v>
      </c>
      <c r="Q111" t="n">
        <v>41.39513155041748</v>
      </c>
      <c r="R111" t="n">
        <v>41.6000000000009</v>
      </c>
      <c r="S111" t="n">
        <v>92.80126098401982</v>
      </c>
      <c r="T111" t="n">
        <v>40.01988462422668</v>
      </c>
    </row>
    <row r="112">
      <c r="O112" t="n">
        <v>63.00000000000425</v>
      </c>
      <c r="P112" t="n">
        <v>83.76402721925037</v>
      </c>
      <c r="Q112" t="n">
        <v>41.43698035293311</v>
      </c>
      <c r="R112" t="n">
        <v>42.00000000000097</v>
      </c>
      <c r="S112" t="n">
        <v>92.66746821117705</v>
      </c>
      <c r="T112" t="n">
        <v>40.04943785525618</v>
      </c>
    </row>
    <row r="113">
      <c r="O113" t="n">
        <v>63.60000000000434</v>
      </c>
      <c r="P113" t="n">
        <v>83.38433357810393</v>
      </c>
      <c r="Q113" t="n">
        <v>41.47946589927586</v>
      </c>
      <c r="R113" t="n">
        <v>42.40000000000103</v>
      </c>
      <c r="S113" t="n">
        <v>92.53392074553793</v>
      </c>
      <c r="T113" t="n">
        <v>40.07876467994542</v>
      </c>
    </row>
    <row r="114">
      <c r="O114" t="n">
        <v>64.20000000000437</v>
      </c>
      <c r="P114" t="n">
        <v>82.99290773404115</v>
      </c>
      <c r="Q114" t="n">
        <v>41.52262366702018</v>
      </c>
      <c r="R114" t="n">
        <v>42.80000000000109</v>
      </c>
      <c r="S114" t="n">
        <v>92.40051991387588</v>
      </c>
      <c r="T114" t="n">
        <v>40.10786696452739</v>
      </c>
    </row>
    <row r="115">
      <c r="O115" t="n">
        <v>64.80000000000425</v>
      </c>
      <c r="P115" t="n">
        <v>82.58925778471969</v>
      </c>
      <c r="Q115" t="n">
        <v>41.56648648718169</v>
      </c>
      <c r="R115" t="n">
        <v>43.20000000000115</v>
      </c>
      <c r="S115" t="n">
        <v>92.26716803537285</v>
      </c>
      <c r="T115" t="n">
        <v>40.13674723826896</v>
      </c>
    </row>
    <row r="116">
      <c r="O116" t="n">
        <v>65.40000000000413</v>
      </c>
      <c r="P116" t="n">
        <v>82.17288118310771</v>
      </c>
      <c r="Q116" t="n">
        <v>41.61108447158843</v>
      </c>
      <c r="R116" t="n">
        <v>43.60000000000122</v>
      </c>
      <c r="S116" t="n">
        <v>92.13376839120731</v>
      </c>
      <c r="T116" t="n">
        <v>40.1654086053892</v>
      </c>
    </row>
    <row r="117">
      <c r="O117" t="n">
        <v>66.00000000000401</v>
      </c>
      <c r="P117" t="n">
        <v>81.74326533560627</v>
      </c>
      <c r="Q117" t="n">
        <v>41.65644497581813</v>
      </c>
      <c r="R117" t="n">
        <v>44.00000000000128</v>
      </c>
      <c r="S117" t="n">
        <v>92.00022517445686</v>
      </c>
      <c r="T117" t="n">
        <v>40.19385466942703</v>
      </c>
    </row>
    <row r="118">
      <c r="O118" t="n">
        <v>66.60000000000389</v>
      </c>
      <c r="P118" t="n">
        <v>81.29988818869981</v>
      </c>
      <c r="Q118" t="n">
        <v>41.70259259225995</v>
      </c>
      <c r="R118" t="n">
        <v>44.40000000000134</v>
      </c>
      <c r="S118" t="n">
        <v>91.86644343532326</v>
      </c>
      <c r="T118" t="n">
        <v>40.22208946813624</v>
      </c>
    </row>
    <row r="119">
      <c r="O119" t="n">
        <v>67.20000000000377</v>
      </c>
      <c r="P119" t="n">
        <v>80.8422187927731</v>
      </c>
      <c r="Q119" t="n">
        <v>41.74954916793483</v>
      </c>
      <c r="R119" t="n">
        <v>44.8000000000014</v>
      </c>
      <c r="S119" t="n">
        <v>91.73232902853307</v>
      </c>
      <c r="T119" t="n">
        <v>40.25011741779269</v>
      </c>
    </row>
    <row r="120">
      <c r="O120" t="n">
        <v>67.80000000000365</v>
      </c>
      <c r="P120" t="n">
        <v>80.36971783572405</v>
      </c>
      <c r="Q120" t="n">
        <v>41.79733384217544</v>
      </c>
      <c r="R120" t="n">
        <v>45.20000000000147</v>
      </c>
      <c r="S120" t="n">
        <v>91.5977885658826</v>
      </c>
      <c r="T120" t="n">
        <v>40.27794326620563</v>
      </c>
    </row>
    <row r="121">
      <c r="O121" t="n">
        <v>68.40000000000353</v>
      </c>
      <c r="P121" t="n">
        <v>79.88183814249459</v>
      </c>
      <c r="Q121" t="n">
        <v>41.84596309994809</v>
      </c>
      <c r="R121" t="n">
        <v>45.60000000000153</v>
      </c>
      <c r="S121" t="n">
        <v>91.46272937489888</v>
      </c>
      <c r="T121" t="n">
        <v>40.3055720539347</v>
      </c>
    </row>
    <row r="122">
      <c r="O122" t="n">
        <v>69.00000000000341</v>
      </c>
      <c r="P122" t="n">
        <v>79.37802513952414</v>
      </c>
      <c r="Q122" t="n">
        <v>41.89545083742411</v>
      </c>
      <c r="R122" t="n">
        <v>46.00000000000159</v>
      </c>
      <c r="S122" t="n">
        <v>91.32705946341709</v>
      </c>
      <c r="T122" t="n">
        <v>40.33300908330853</v>
      </c>
    </row>
    <row r="123">
      <c r="O123" t="n">
        <v>69.60000000000329</v>
      </c>
      <c r="P123" t="n">
        <v>78.85771728532437</v>
      </c>
      <c r="Q123" t="n">
        <v>41.94580843725108</v>
      </c>
      <c r="R123" t="n">
        <v>46.40000000000165</v>
      </c>
      <c r="S123" t="n">
        <v>91.19068748921191</v>
      </c>
      <c r="T123" t="n">
        <v>40.36025989486994</v>
      </c>
    </row>
    <row r="124">
      <c r="O124" t="n">
        <v>70.20000000000317</v>
      </c>
      <c r="P124" t="n">
        <v>78.32034646988002</v>
      </c>
      <c r="Q124" t="n">
        <v>41.99704485177916</v>
      </c>
      <c r="R124" t="n">
        <v>46.80000000000172</v>
      </c>
      <c r="S124" t="n">
        <v>91.05352273338011</v>
      </c>
      <c r="T124" t="n">
        <v>40.38733025087065</v>
      </c>
    </row>
    <row r="125">
      <c r="O125" t="n">
        <v>70.80000000000305</v>
      </c>
      <c r="P125" t="n">
        <v>77.7653383864714</v>
      </c>
      <c r="Q125" t="n">
        <v>42.04916669320413</v>
      </c>
      <c r="R125" t="n">
        <v>47.20000000000178</v>
      </c>
      <c r="S125" t="n">
        <v>90.9154750759191</v>
      </c>
      <c r="T125" t="n">
        <v>40.41422612538678</v>
      </c>
    </row>
    <row r="126">
      <c r="O126" t="n">
        <v>71.40000000000293</v>
      </c>
      <c r="P126" t="n">
        <v>77.19211287986133</v>
      </c>
      <c r="Q126" t="n">
        <v>42.10217833014367</v>
      </c>
      <c r="R126" t="n">
        <v>47.60000000000184</v>
      </c>
      <c r="S126" t="n">
        <v>90.77645497181706</v>
      </c>
      <c r="T126" t="n">
        <v>40.44095370059802</v>
      </c>
    </row>
    <row r="127">
      <c r="O127" t="n">
        <v>72.00000000000281</v>
      </c>
      <c r="P127" t="n">
        <v>76.6000842747296</v>
      </c>
      <c r="Q127" t="n">
        <v>42.15608199058021</v>
      </c>
      <c r="R127" t="n">
        <v>48.0000000000019</v>
      </c>
      <c r="S127" t="n">
        <v>90.63637342588268</v>
      </c>
      <c r="T127" t="n">
        <v>40.46751936869538</v>
      </c>
    </row>
    <row r="128">
      <c r="O128" t="n">
        <v>72.60000000000269</v>
      </c>
      <c r="P128" t="n">
        <v>75.98866168784903</v>
      </c>
      <c r="Q128" t="n">
        <v>42.21087787133769</v>
      </c>
      <c r="R128" t="n">
        <v>48.40000000000197</v>
      </c>
      <c r="S128" t="n">
        <v>90.49514196458668</v>
      </c>
      <c r="T128" t="n">
        <v>40.4939297388329</v>
      </c>
    </row>
    <row r="129">
      <c r="O129" t="n">
        <v>73.20000000000258</v>
      </c>
      <c r="P129" t="n">
        <v>75.35724932693161</v>
      </c>
      <c r="Q129" t="n">
        <v>42.26656425435913</v>
      </c>
      <c r="R129" t="n">
        <v>48.80000000000203</v>
      </c>
      <c r="S129" t="n">
        <v>90.35267260323309</v>
      </c>
      <c r="T129" t="n">
        <v>40.52019164847789</v>
      </c>
    </row>
    <row r="130">
      <c r="O130" t="n">
        <v>73.80000000000246</v>
      </c>
      <c r="P130" t="n">
        <v>74.70524677838209</v>
      </c>
      <c r="Q130" t="n">
        <v>42.3231376299891</v>
      </c>
      <c r="R130" t="n">
        <v>49.20000000000209</v>
      </c>
      <c r="S130" t="n">
        <v>90.20887780690146</v>
      </c>
      <c r="T130" t="n">
        <v>40.54631217845417</v>
      </c>
    </row>
    <row r="131">
      <c r="O131" t="n">
        <v>74.40000000000234</v>
      </c>
      <c r="P131" t="n">
        <v>74.03204928550637</v>
      </c>
      <c r="Q131" t="n">
        <v>42.38059282730812</v>
      </c>
      <c r="R131" t="n">
        <v>49.60000000000215</v>
      </c>
      <c r="S131" t="n">
        <v>90.06367044376144</v>
      </c>
      <c r="T131" t="n">
        <v>40.57229867093022</v>
      </c>
    </row>
    <row r="132">
      <c r="O132" t="n">
        <v>75.00000000000222</v>
      </c>
      <c r="P132" t="n">
        <v>73.33704801805774</v>
      </c>
      <c r="Q132" t="n">
        <v>42.43892315128806</v>
      </c>
      <c r="R132" t="n">
        <v>50.00000000000222</v>
      </c>
      <c r="S132" t="n">
        <v>89.91696372954625</v>
      </c>
      <c r="T132" t="n">
        <v>40.59815874955891</v>
      </c>
    </row>
    <row r="133">
      <c r="O133" t="n">
        <v>75.6000000000021</v>
      </c>
      <c r="P133" t="n">
        <v>72.61963033345179</v>
      </c>
      <c r="Q133" t="n">
        <v>42.49812052622178</v>
      </c>
      <c r="R133" t="n">
        <v>50.40000000000228</v>
      </c>
      <c r="S133" t="n">
        <v>89.76867116221098</v>
      </c>
      <c r="T133" t="n">
        <v>40.6239003409548</v>
      </c>
    </row>
    <row r="134">
      <c r="O134" t="n">
        <v>76.20000000000198</v>
      </c>
      <c r="P134" t="n">
        <v>71.87918002952941</v>
      </c>
      <c r="Q134" t="n">
        <v>42.558175644491</v>
      </c>
      <c r="R134" t="n">
        <v>50.80000000000234</v>
      </c>
      <c r="S134" t="n">
        <v>89.6187064460306</v>
      </c>
      <c r="T134" t="n">
        <v>40.64953169667125</v>
      </c>
    </row>
    <row r="135">
      <c r="O135" t="n">
        <v>76.80000000000186</v>
      </c>
      <c r="P135" t="n">
        <v>71.11507758847517</v>
      </c>
      <c r="Q135" t="n">
        <v>42.61907811938254</v>
      </c>
      <c r="R135" t="n">
        <v>51.2000000000024</v>
      </c>
      <c r="S135" t="n">
        <v>89.46698340466693</v>
      </c>
      <c r="T135" t="n">
        <v>40.67506141484056</v>
      </c>
    </row>
    <row r="136">
      <c r="O136" t="n">
        <v>77.40000000000174</v>
      </c>
      <c r="P136" t="n">
        <v>70.32670041133466</v>
      </c>
      <c r="Q136" t="n">
        <v>42.68081664027827</v>
      </c>
      <c r="R136" t="n">
        <v>51.60000000000247</v>
      </c>
      <c r="S136" t="n">
        <v>89.3134158830138</v>
      </c>
      <c r="T136" t="n">
        <v>40.70049846065232</v>
      </c>
    </row>
    <row r="137">
      <c r="O137" t="n">
        <v>77.78000000000166</v>
      </c>
      <c r="P137" t="n">
        <v>70.24652202734183</v>
      </c>
      <c r="Q137" t="n">
        <v>43.18658576177678</v>
      </c>
      <c r="R137" t="n">
        <v>52.00000000000253</v>
      </c>
      <c r="S137" t="n">
        <v>89.15791763790658</v>
      </c>
      <c r="T137" t="n">
        <v>40.7258521848706</v>
      </c>
    </row>
    <row r="138">
      <c r="O138" t="n">
        <v>78.38000000000154</v>
      </c>
      <c r="P138" t="n">
        <v>71.40113338025508</v>
      </c>
      <c r="Q138" t="n">
        <v>45.24586260182197</v>
      </c>
      <c r="R138" t="n">
        <v>52.40000000000259</v>
      </c>
      <c r="S138" t="n">
        <v>89.00040221807012</v>
      </c>
      <c r="T138" t="n">
        <v>40.75113233962812</v>
      </c>
    </row>
    <row r="139">
      <c r="O139" t="n">
        <v>78.98000000000143</v>
      </c>
      <c r="P139" t="n">
        <v>72.29053694292003</v>
      </c>
      <c r="Q139" t="n">
        <v>46.83800982452631</v>
      </c>
      <c r="R139" t="n">
        <v>52.80000000000265</v>
      </c>
      <c r="S139" t="n">
        <v>88.84078283395624</v>
      </c>
      <c r="T139" t="n">
        <v>40.77634909079769</v>
      </c>
    </row>
    <row r="140">
      <c r="O140" t="n">
        <v>79.58000000000131</v>
      </c>
      <c r="P140" t="n">
        <v>72.97481606287339</v>
      </c>
      <c r="Q140" t="n">
        <v>48.06632885567421</v>
      </c>
      <c r="R140" t="n">
        <v>53.20000000000272</v>
      </c>
      <c r="S140" t="n">
        <v>88.67897221839598</v>
      </c>
      <c r="T140" t="n">
        <v>40.80151302630372</v>
      </c>
    </row>
    <row r="141">
      <c r="O141" t="n">
        <v>80.18000000000119</v>
      </c>
      <c r="P141" t="n">
        <v>73.50083002496893</v>
      </c>
      <c r="Q141" t="n">
        <v>49.01249854995075</v>
      </c>
      <c r="R141" t="n">
        <v>53.60000000000278</v>
      </c>
      <c r="S141" t="n">
        <v>88.51488247923865</v>
      </c>
      <c r="T141" t="n">
        <v>40.8266351598274</v>
      </c>
    </row>
    <row r="142">
      <c r="O142" t="n">
        <v>80.78000000000107</v>
      </c>
      <c r="P142" t="n">
        <v>73.90493745749177</v>
      </c>
      <c r="Q142" t="n">
        <v>49.74051602321026</v>
      </c>
      <c r="R142" t="n">
        <v>54.00000000000284</v>
      </c>
      <c r="S142" t="n">
        <v>88.34842494538306</v>
      </c>
      <c r="T142" t="n">
        <v>40.85172692944742</v>
      </c>
    </row>
    <row r="143">
      <c r="O143" t="n">
        <v>81.38000000000095</v>
      </c>
      <c r="P143" t="n">
        <v>74.21525394805829</v>
      </c>
      <c r="Q143" t="n">
        <v>50.30022078586632</v>
      </c>
      <c r="R143" t="n">
        <v>54.4000000000029</v>
      </c>
      <c r="S143" t="n">
        <v>88.17951000782234</v>
      </c>
      <c r="T143" t="n">
        <v>40.87680019087654</v>
      </c>
    </row>
    <row r="144">
      <c r="O144" t="n">
        <v>81.98000000000083</v>
      </c>
      <c r="P144" t="n">
        <v>74.45347077750321</v>
      </c>
      <c r="Q144" t="n">
        <v>50.73026486187097</v>
      </c>
      <c r="R144" t="n">
        <v>54.80000000000297</v>
      </c>
      <c r="S144" t="n">
        <v>88.00804695747863</v>
      </c>
      <c r="T144" t="n">
        <v>40.90186720505896</v>
      </c>
    </row>
    <row r="145">
      <c r="O145" t="n">
        <v>82.58000000000071</v>
      </c>
      <c r="P145" t="n">
        <v>74.63629598384937</v>
      </c>
      <c r="Q145" t="n">
        <v>51.06053592932373</v>
      </c>
      <c r="R145" t="n">
        <v>55.20000000000303</v>
      </c>
      <c r="S145" t="n">
        <v>87.83394382177264</v>
      </c>
      <c r="T145" t="n">
        <v>40.92694062003169</v>
      </c>
    </row>
    <row r="146">
      <c r="O146" t="n">
        <v>83.18000000000059</v>
      </c>
      <c r="P146" t="n">
        <v>74.77658451207418</v>
      </c>
      <c r="Q146" t="n">
        <v>51.31409586894529</v>
      </c>
      <c r="R146" t="n">
        <v>55.60000000000309</v>
      </c>
      <c r="S146" t="n">
        <v>87.65710720194454</v>
      </c>
      <c r="T146" t="n">
        <v>40.95203344707096</v>
      </c>
    </row>
    <row r="147">
      <c r="O147" t="n">
        <v>83.78000000000047</v>
      </c>
      <c r="P147" t="n">
        <v>74.88421865186864</v>
      </c>
      <c r="Q147" t="n">
        <v>51.50871230550541</v>
      </c>
      <c r="R147" t="n">
        <v>56.00000000000315</v>
      </c>
      <c r="S147" t="n">
        <v>87.47744211321438</v>
      </c>
      <c r="T147" t="n">
        <v>40.97715903128593</v>
      </c>
    </row>
    <row r="148">
      <c r="O148" t="n">
        <v>84.38000000000035</v>
      </c>
      <c r="P148" t="n">
        <v>74.96679088600419</v>
      </c>
      <c r="Q148" t="n">
        <v>51.65805850188908</v>
      </c>
      <c r="R148" t="n">
        <v>56.40000000000322</v>
      </c>
      <c r="S148" t="n">
        <v>87.2948518298783</v>
      </c>
      <c r="T148" t="n">
        <v>41.00233101694403</v>
      </c>
    </row>
    <row r="149">
      <c r="O149" t="n">
        <v>84.98000000000023</v>
      </c>
      <c r="P149" t="n">
        <v>75.03013186871249</v>
      </c>
      <c r="Q149" t="n">
        <v>51.77264800934753</v>
      </c>
      <c r="R149" t="n">
        <v>56.80000000000328</v>
      </c>
      <c r="S149" t="n">
        <v>87.10923773738769</v>
      </c>
      <c r="T149" t="n">
        <v>41.02756330794448</v>
      </c>
    </row>
    <row r="150">
      <c r="O150" t="n">
        <v>85.58000000000011</v>
      </c>
      <c r="P150" t="n">
        <v>75.07871777728346</v>
      </c>
      <c r="Q150" t="n">
        <v>51.86055974493534</v>
      </c>
      <c r="R150" t="n">
        <v>57.20000000000334</v>
      </c>
      <c r="S150" t="n">
        <v>86.92049919336543</v>
      </c>
      <c r="T150" t="n">
        <v>41.0528700239633</v>
      </c>
    </row>
    <row r="151">
      <c r="O151" t="n">
        <v>86.17999999999999</v>
      </c>
      <c r="P151" t="n">
        <v>75.11598411024195</v>
      </c>
      <c r="Q151" t="n">
        <v>51.92799884015456</v>
      </c>
      <c r="R151" t="n">
        <v>57.6000000000034</v>
      </c>
      <c r="S151" t="n">
        <v>86.72853339937848</v>
      </c>
      <c r="T151" t="n">
        <v>41.07826545290178</v>
      </c>
    </row>
    <row r="152">
      <c r="O152" t="n">
        <v>86.77999999999987</v>
      </c>
      <c r="P152" t="n">
        <v>75.14456714606609</v>
      </c>
      <c r="Q152" t="n">
        <v>51.97972953057785</v>
      </c>
      <c r="R152" t="n">
        <v>58.00000000000347</v>
      </c>
      <c r="S152" t="n">
        <v>86.53323528507983</v>
      </c>
      <c r="T152" t="n">
        <v>41.10376400035339</v>
      </c>
    </row>
    <row r="153">
      <c r="O153" t="n">
        <v>87.37999999999975</v>
      </c>
      <c r="P153" t="n">
        <v>75.16648958520005</v>
      </c>
      <c r="Q153" t="n">
        <v>52.01940875308885</v>
      </c>
      <c r="R153" t="n">
        <v>58.40000000000353</v>
      </c>
      <c r="S153" t="n">
        <v>86.33449740609979</v>
      </c>
      <c r="T153" t="n">
        <v>41.12938013686217</v>
      </c>
    </row>
    <row r="154">
      <c r="O154" t="n">
        <v>87.97999999999963</v>
      </c>
      <c r="P154" t="n">
        <v>75.1833031906755</v>
      </c>
      <c r="Q154" t="n">
        <v>52.04984292328174</v>
      </c>
      <c r="R154" t="n">
        <v>58.80000000000359</v>
      </c>
      <c r="S154" t="n">
        <v>86.1322098567955</v>
      </c>
      <c r="T154" t="n">
        <v>41.15512834379945</v>
      </c>
    </row>
    <row r="155">
      <c r="O155" t="n">
        <v>88.57999999999952</v>
      </c>
      <c r="P155" t="n">
        <v>75.19619833778192</v>
      </c>
      <c r="Q155" t="n">
        <v>52.07318540866654</v>
      </c>
      <c r="R155" t="n">
        <v>59.20000000000366</v>
      </c>
      <c r="S155" t="n">
        <v>85.92626019864838</v>
      </c>
      <c r="T155" t="n">
        <v>41.18102305868725</v>
      </c>
    </row>
    <row r="156">
      <c r="O156" t="n">
        <v>89.1799999999994</v>
      </c>
      <c r="P156" t="n">
        <v>75.20608812050907</v>
      </c>
      <c r="Q156" t="n">
        <v>52.09108829344267</v>
      </c>
      <c r="R156" t="n">
        <v>59.60000000000372</v>
      </c>
      <c r="S156" t="n">
        <v>85.71653340478819</v>
      </c>
      <c r="T156" t="n">
        <v>41.20707862080557</v>
      </c>
    </row>
    <row r="157">
      <c r="O157" t="n">
        <v>89.77999999999928</v>
      </c>
      <c r="P157" t="n">
        <v>75.21367290722097</v>
      </c>
      <c r="Q157" t="n">
        <v>52.10481895618398</v>
      </c>
      <c r="R157" t="n">
        <v>60.00000000000378</v>
      </c>
      <c r="S157" t="n">
        <v>85.50291182076796</v>
      </c>
      <c r="T157" t="n">
        <v>41.23330921786517</v>
      </c>
    </row>
    <row r="158">
      <c r="O158" t="n">
        <v>90.37999999999916</v>
      </c>
      <c r="P158" t="n">
        <v>75.21948988042548</v>
      </c>
      <c r="Q158" t="n">
        <v>52.11534958450563</v>
      </c>
      <c r="R158" t="n">
        <v>60.40000000000384</v>
      </c>
      <c r="S158" t="n">
        <v>85.28527514140553</v>
      </c>
      <c r="T158" t="n">
        <v>41.25972883449899</v>
      </c>
    </row>
    <row r="159">
      <c r="O159" t="n">
        <v>90.97999999999904</v>
      </c>
      <c r="P159" t="n">
        <v>75.22395099478895</v>
      </c>
      <c r="Q159" t="n">
        <v>52.12342579353998</v>
      </c>
      <c r="R159" t="n">
        <v>60.80000000000391</v>
      </c>
      <c r="S159" t="n">
        <v>85.06350040316778</v>
      </c>
      <c r="T159" t="n">
        <v>41.28635120322191</v>
      </c>
    </row>
    <row r="160">
      <c r="O160" t="n">
        <v>91.57999999999892</v>
      </c>
      <c r="P160" t="n">
        <v>75.22737237472792</v>
      </c>
      <c r="Q160" t="n">
        <v>52.1296197884739</v>
      </c>
      <c r="R160" t="n">
        <v>61.20000000000397</v>
      </c>
      <c r="S160" t="n">
        <v>84.83746199130249</v>
      </c>
      <c r="T160" t="n">
        <v>41.31318975843531</v>
      </c>
    </row>
    <row r="161">
      <c r="O161" t="n">
        <v>92.1799999999988</v>
      </c>
      <c r="P161" t="n">
        <v>75.22999628662478</v>
      </c>
      <c r="Q161" t="n">
        <v>52.13437010873197</v>
      </c>
      <c r="R161" t="n">
        <v>61.60000000000403</v>
      </c>
      <c r="S161" t="n">
        <v>84.60703166066426</v>
      </c>
      <c r="T161" t="n">
        <v>41.34025759394182</v>
      </c>
    </row>
    <row r="162">
      <c r="O162" t="n">
        <v>92.77999999999868</v>
      </c>
      <c r="P162" t="n">
        <v>75.23200860263127</v>
      </c>
      <c r="Q162" t="n">
        <v>52.13801322445855</v>
      </c>
      <c r="R162" t="n">
        <v>62.00000000000409</v>
      </c>
      <c r="S162" t="n">
        <v>84.37207856896734</v>
      </c>
      <c r="T162" t="n">
        <v>41.36756742432164</v>
      </c>
    </row>
    <row r="163">
      <c r="O163" t="n">
        <v>93.37999999999856</v>
      </c>
      <c r="P163" t="n">
        <v>75.2335518741446</v>
      </c>
      <c r="Q163" t="n">
        <v>52.14080719315747</v>
      </c>
      <c r="R163" t="n">
        <v>62.40000000000416</v>
      </c>
      <c r="S163" t="n">
        <v>84.13246932105477</v>
      </c>
      <c r="T163" t="n">
        <v>41.39513155041748</v>
      </c>
    </row>
    <row r="164">
      <c r="O164" t="n">
        <v>93.97999999999844</v>
      </c>
      <c r="P164" t="n">
        <v>75.23473542767054</v>
      </c>
      <c r="Q164" t="n">
        <v>52.14294993055341</v>
      </c>
      <c r="R164" t="n">
        <v>62.80000000000422</v>
      </c>
      <c r="S164" t="n">
        <v>83.88806802265461</v>
      </c>
      <c r="T164" t="n">
        <v>41.42296182905409</v>
      </c>
    </row>
    <row r="165">
      <c r="O165" t="n">
        <v>94.57999999999832</v>
      </c>
      <c r="P165" t="n">
        <v>75.23564310818375</v>
      </c>
      <c r="Q165" t="n">
        <v>52.144593225332</v>
      </c>
      <c r="R165" t="n">
        <v>63.20000000000428</v>
      </c>
      <c r="S165" t="n">
        <v>83.63873634205237</v>
      </c>
      <c r="T165" t="n">
        <v>41.45106964702426</v>
      </c>
    </row>
    <row r="166">
      <c r="O166" t="n">
        <v>95.1799999999982</v>
      </c>
      <c r="P166" t="n">
        <v>75.23633921801995</v>
      </c>
      <c r="Q166" t="n">
        <v>52.14585348872504</v>
      </c>
      <c r="R166" t="n">
        <v>63.60000000000434</v>
      </c>
      <c r="S166" t="n">
        <v>83.38433357810393</v>
      </c>
      <c r="T166" t="n">
        <v>41.47946589927586</v>
      </c>
    </row>
    <row r="167">
      <c r="O167" t="n">
        <v>95.77999999999808</v>
      </c>
      <c r="P167" t="n">
        <v>75.23687307172527</v>
      </c>
      <c r="Q167" t="n">
        <v>52.14681999938038</v>
      </c>
      <c r="R167" t="n">
        <v>64.00000000000441</v>
      </c>
      <c r="S167" t="n">
        <v>83.12471673305481</v>
      </c>
      <c r="T167" t="n">
        <v>41.50816097115014</v>
      </c>
    </row>
    <row r="168">
      <c r="O168" t="n">
        <v>96.37999999999796</v>
      </c>
      <c r="P168" t="n">
        <v>75.2372824893615</v>
      </c>
      <c r="Q168" t="n">
        <v>52.14756122696141</v>
      </c>
      <c r="R168" t="n">
        <v>64.40000000000433</v>
      </c>
      <c r="S168" t="n">
        <v>82.85974058872389</v>
      </c>
      <c r="T168" t="n">
        <v>41.53716472446545</v>
      </c>
    </row>
    <row r="169">
      <c r="O169" t="n">
        <v>96.97999999999784</v>
      </c>
      <c r="P169" t="n">
        <v>75.23759647564387</v>
      </c>
      <c r="Q169" t="n">
        <v>52.14812968209073</v>
      </c>
      <c r="R169" t="n">
        <v>64.80000000000425</v>
      </c>
      <c r="S169" t="n">
        <v>82.58925778471969</v>
      </c>
      <c r="T169" t="n">
        <v>41.56648648718169</v>
      </c>
    </row>
    <row r="170">
      <c r="O170" t="n">
        <v>97.57999999999772</v>
      </c>
      <c r="P170" t="n">
        <v>75.23783727464541</v>
      </c>
      <c r="Q170" t="n">
        <v>52.14856563599639</v>
      </c>
      <c r="R170" t="n">
        <v>65.20000000000417</v>
      </c>
      <c r="S170" t="n">
        <v>82.3131188974983</v>
      </c>
      <c r="T170" t="n">
        <v>41.59613504634856</v>
      </c>
    </row>
    <row r="171">
      <c r="O171" t="n">
        <v>98.17999999999761</v>
      </c>
      <c r="P171" t="n">
        <v>75.23802194560071</v>
      </c>
      <c r="Q171" t="n">
        <v>52.14889997325356</v>
      </c>
      <c r="R171" t="n">
        <v>65.60000000000409</v>
      </c>
      <c r="S171" t="n">
        <v>82.03117251922991</v>
      </c>
      <c r="T171" t="n">
        <v>41.6261186440214</v>
      </c>
    </row>
    <row r="172">
      <c r="O172" t="n">
        <v>98.77999999999749</v>
      </c>
      <c r="P172" t="n">
        <v>75.23816357142152</v>
      </c>
      <c r="Q172" t="n">
        <v>52.14915637964136</v>
      </c>
      <c r="R172" t="n">
        <v>66.00000000000401</v>
      </c>
      <c r="S172" t="n">
        <v>81.74326533560627</v>
      </c>
      <c r="T172" t="n">
        <v>41.65644497581813</v>
      </c>
    </row>
    <row r="173">
      <c r="O173" t="n">
        <v>99.33999999999737</v>
      </c>
      <c r="P173" t="n">
        <v>75.23826580813879</v>
      </c>
      <c r="Q173" t="n">
        <v>52.14934147411935</v>
      </c>
      <c r="R173" t="n">
        <v>66.40000000000393</v>
      </c>
      <c r="S173" t="n">
        <v>81.44924220188582</v>
      </c>
      <c r="T173" t="n">
        <v>41.68712119180172</v>
      </c>
    </row>
    <row r="174">
      <c r="O174" t="n">
        <v>99.75999999999729</v>
      </c>
      <c r="P174" t="n">
        <v>75.50466802032254</v>
      </c>
      <c r="Q174" t="n">
        <v>51.39144174677062</v>
      </c>
      <c r="R174" t="n">
        <v>66.80000000000385</v>
      </c>
      <c r="S174" t="n">
        <v>81.14894621663504</v>
      </c>
      <c r="T174" t="n">
        <v>41.7181538993794</v>
      </c>
    </row>
    <row r="175">
      <c r="O175" t="n">
        <v>100.3599999999972</v>
      </c>
      <c r="P175" t="n">
        <v>76.00615997248563</v>
      </c>
      <c r="Q175" t="n">
        <v>50.60156255634752</v>
      </c>
      <c r="R175" t="n">
        <v>67.20000000000377</v>
      </c>
      <c r="S175" t="n">
        <v>80.8422187927731</v>
      </c>
      <c r="T175" t="n">
        <v>41.74954916793483</v>
      </c>
    </row>
    <row r="176">
      <c r="O176" t="n">
        <v>100.9599999999971</v>
      </c>
      <c r="P176" t="n">
        <v>76.61204721447174</v>
      </c>
      <c r="Q176" t="n">
        <v>50.06623859037465</v>
      </c>
      <c r="R176" t="n">
        <v>67.60000000000369</v>
      </c>
      <c r="S176" t="n">
        <v>80.52889972567081</v>
      </c>
      <c r="T176" t="n">
        <v>41.78131253494347</v>
      </c>
    </row>
    <row r="177">
      <c r="O177" t="n">
        <v>101.5599999999969</v>
      </c>
      <c r="P177" t="n">
        <v>77.29141041433081</v>
      </c>
      <c r="Q177" t="n">
        <v>49.71370137522725</v>
      </c>
      <c r="R177" t="n">
        <v>68.00000000000361</v>
      </c>
      <c r="S177" t="n">
        <v>80.20882725816944</v>
      </c>
      <c r="T177" t="n">
        <v>41.81344901333891</v>
      </c>
    </row>
    <row r="178">
      <c r="O178" t="n">
        <v>102.1599999999968</v>
      </c>
      <c r="P178" t="n">
        <v>78.02200523703071</v>
      </c>
      <c r="Q178" t="n">
        <v>49.49346970954502</v>
      </c>
      <c r="R178" t="n">
        <v>68.40000000000353</v>
      </c>
      <c r="S178" t="n">
        <v>79.88183814249459</v>
      </c>
      <c r="T178" t="n">
        <v>41.84596309994809</v>
      </c>
    </row>
    <row r="179">
      <c r="O179" t="n">
        <v>102.7599999999967</v>
      </c>
      <c r="P179" t="n">
        <v>78.78773506847988</v>
      </c>
      <c r="Q179" t="n">
        <v>49.36969995688666</v>
      </c>
      <c r="R179" t="n">
        <v>68.80000000000345</v>
      </c>
      <c r="S179" t="n">
        <v>79.54776769912026</v>
      </c>
      <c r="T179" t="n">
        <v>41.87885878482964</v>
      </c>
    </row>
    <row r="180">
      <c r="O180" t="n">
        <v>103.3599999999966</v>
      </c>
      <c r="P180" t="n">
        <v>79.57689641939525</v>
      </c>
      <c r="Q180" t="n">
        <v>49.31671626653284</v>
      </c>
      <c r="R180" t="n">
        <v>69.20000000000337</v>
      </c>
      <c r="S180" t="n">
        <v>79.2064498727127</v>
      </c>
      <c r="T180" t="n">
        <v>41.91213956140083</v>
      </c>
    </row>
    <row r="181">
      <c r="O181" t="n">
        <v>103.9599999999965</v>
      </c>
      <c r="P181" t="n">
        <v>80.38095038919842</v>
      </c>
      <c r="Q181" t="n">
        <v>49.31597352667957</v>
      </c>
      <c r="R181" t="n">
        <v>69.60000000000329</v>
      </c>
      <c r="S181" t="n">
        <v>78.85771728532437</v>
      </c>
      <c r="T181" t="n">
        <v>41.94580843725108</v>
      </c>
    </row>
    <row r="182">
      <c r="O182" t="n">
        <v>104.5599999999963</v>
      </c>
      <c r="P182" t="n">
        <v>81.19365521240272</v>
      </c>
      <c r="Q182" t="n">
        <v>49.35397256845186</v>
      </c>
      <c r="R182" t="n">
        <v>70.00000000000321</v>
      </c>
      <c r="S182" t="n">
        <v>78.50140128705165</v>
      </c>
      <c r="T182" t="n">
        <v>41.97986794557974</v>
      </c>
    </row>
    <row r="183">
      <c r="O183" t="n">
        <v>105.1599999999962</v>
      </c>
      <c r="P183" t="n">
        <v>82.01044875671607</v>
      </c>
      <c r="Q183" t="n">
        <v>49.42081518338573</v>
      </c>
      <c r="R183" t="n">
        <v>70.40000000000313</v>
      </c>
      <c r="S183" t="n">
        <v>78.13733200438291</v>
      </c>
      <c r="T183" t="n">
        <v>42.01432015721728</v>
      </c>
    </row>
    <row r="184">
      <c r="O184" t="n">
        <v>105.7599999999961</v>
      </c>
      <c r="P184" t="n">
        <v>82.8280054924501</v>
      </c>
      <c r="Q184" t="n">
        <v>49.50919346756865</v>
      </c>
      <c r="R184" t="n">
        <v>70.80000000000305</v>
      </c>
      <c r="S184" t="n">
        <v>77.7653383864714</v>
      </c>
      <c r="T184" t="n">
        <v>42.04916669320413</v>
      </c>
    </row>
    <row r="185">
      <c r="O185" t="n">
        <v>106.359999999996</v>
      </c>
      <c r="P185" t="n">
        <v>83.64391625712841</v>
      </c>
      <c r="Q185" t="n">
        <v>49.61367689786677</v>
      </c>
      <c r="R185" t="n">
        <v>71.20000000000297</v>
      </c>
      <c r="S185" t="n">
        <v>77.38524824956845</v>
      </c>
      <c r="T185" t="n">
        <v>42.08440873792597</v>
      </c>
    </row>
    <row r="186">
      <c r="O186" t="n">
        <v>106.9599999999959</v>
      </c>
      <c r="P186" t="n">
        <v>84.45645512254282</v>
      </c>
      <c r="Q186" t="n">
        <v>49.73020537124079</v>
      </c>
      <c r="R186" t="n">
        <v>71.60000000000289</v>
      </c>
      <c r="S186" t="n">
        <v>76.99688831983455</v>
      </c>
      <c r="T186" t="n">
        <v>42.12004705280792</v>
      </c>
    </row>
    <row r="187">
      <c r="O187" t="n">
        <v>107.5599999999957</v>
      </c>
      <c r="P187" t="n">
        <v>85.26440851638114</v>
      </c>
      <c r="Q187" t="n">
        <v>49.85572595826405</v>
      </c>
      <c r="R187" t="n">
        <v>72.00000000000281</v>
      </c>
      <c r="S187" t="n">
        <v>76.6000842747296</v>
      </c>
      <c r="T187" t="n">
        <v>42.15608199058021</v>
      </c>
    </row>
    <row r="188">
      <c r="O188" t="n">
        <v>108.1599999999956</v>
      </c>
      <c r="P188" t="n">
        <v>86.06694916102678</v>
      </c>
      <c r="Q188" t="n">
        <v>49.98793075237629</v>
      </c>
      <c r="R188" t="n">
        <v>72.40000000000273</v>
      </c>
      <c r="S188" t="n">
        <v>76.19466078316363</v>
      </c>
      <c r="T188" t="n">
        <v>42.19251351013559</v>
      </c>
    </row>
    <row r="189">
      <c r="O189" t="n">
        <v>108.7599999999955</v>
      </c>
      <c r="P189" t="n">
        <v>86.86354249973311</v>
      </c>
      <c r="Q189" t="n">
        <v>50.12506638263801</v>
      </c>
      <c r="R189" t="n">
        <v>72.80000000000265</v>
      </c>
      <c r="S189" t="n">
        <v>75.78044154455591</v>
      </c>
      <c r="T189" t="n">
        <v>42.22934119198931</v>
      </c>
    </row>
    <row r="190">
      <c r="O190" t="n">
        <v>109.3599999999954</v>
      </c>
      <c r="P190" t="n">
        <v>87.6538768285272</v>
      </c>
      <c r="Q190" t="n">
        <v>50.26579469736604</v>
      </c>
      <c r="R190" t="n">
        <v>73.20000000000258</v>
      </c>
      <c r="S190" t="n">
        <v>75.35724932693161</v>
      </c>
      <c r="T190" t="n">
        <v>42.26656425435913</v>
      </c>
    </row>
    <row r="191">
      <c r="O191" t="n">
        <v>109.9599999999953</v>
      </c>
      <c r="P191" t="n">
        <v>88.43781083594459</v>
      </c>
      <c r="Q191" t="n">
        <v>50.4090902397616</v>
      </c>
      <c r="R191" t="n">
        <v>73.6000000000025</v>
      </c>
      <c r="S191" t="n">
        <v>74.92490600414756</v>
      </c>
      <c r="T191" t="n">
        <v>42.30418156986545</v>
      </c>
    </row>
    <row r="192">
      <c r="O192" t="n">
        <v>110.5599999999951</v>
      </c>
      <c r="P192" t="n">
        <v>89.21533400412744</v>
      </c>
      <c r="Q192" t="n">
        <v>50.55416435224615</v>
      </c>
      <c r="R192" t="n">
        <v>74.00000000000242</v>
      </c>
      <c r="S192" t="n">
        <v>74.48323259232103</v>
      </c>
      <c r="T192" t="n">
        <v>42.34219168285149</v>
      </c>
    </row>
    <row r="193">
      <c r="O193" t="n">
        <v>111.159999999995</v>
      </c>
      <c r="P193" t="n">
        <v>89.98653656859332</v>
      </c>
      <c r="Q193" t="n">
        <v>50.70040867569744</v>
      </c>
      <c r="R193" t="n">
        <v>74.40000000000234</v>
      </c>
      <c r="S193" t="n">
        <v>74.03204928550637</v>
      </c>
      <c r="T193" t="n">
        <v>42.38059282730812</v>
      </c>
    </row>
    <row r="194">
      <c r="O194" t="n">
        <v>111.7599999999949</v>
      </c>
      <c r="P194" t="n">
        <v>90.7515866231425</v>
      </c>
      <c r="Q194" t="n">
        <v>50.84735286044653</v>
      </c>
      <c r="R194" t="n">
        <v>74.80000000000226</v>
      </c>
      <c r="S194" t="n">
        <v>73.57117549063737</v>
      </c>
      <c r="T194" t="n">
        <v>42.4193829453694</v>
      </c>
    </row>
    <row r="195">
      <c r="O195" t="n">
        <v>112.3599999999948</v>
      </c>
      <c r="P195" t="n">
        <v>91.5107125961573</v>
      </c>
      <c r="Q195" t="n">
        <v>50.99463275146996</v>
      </c>
      <c r="R195" t="n">
        <v>75.20000000000218</v>
      </c>
      <c r="S195" t="n">
        <v>73.10042986174813</v>
      </c>
      <c r="T195" t="n">
        <v>42.45855970634493</v>
      </c>
    </row>
    <row r="196">
      <c r="O196" t="n">
        <v>112.9599999999947</v>
      </c>
      <c r="P196" t="n">
        <v>92.26418978766154</v>
      </c>
      <c r="Q196" t="n">
        <v>51.14196633597525</v>
      </c>
      <c r="R196" t="n">
        <v>75.6000000000021</v>
      </c>
      <c r="S196" t="n">
        <v>72.61963033345179</v>
      </c>
      <c r="T196" t="n">
        <v>42.49812052622178</v>
      </c>
    </row>
    <row r="197">
      <c r="O197" t="n">
        <v>113.5599999999945</v>
      </c>
      <c r="P197" t="n">
        <v>93.01232999368059</v>
      </c>
      <c r="Q197" t="n">
        <v>51.28913547408627</v>
      </c>
      <c r="R197" t="n">
        <v>76.00000000000202</v>
      </c>
      <c r="S197" t="n">
        <v>72.12859415365958</v>
      </c>
      <c r="T197" t="n">
        <v>42.53806258756808</v>
      </c>
    </row>
    <row r="198">
      <c r="O198" t="n">
        <v>114.1599999999944</v>
      </c>
      <c r="P198" t="n">
        <v>93.75547349123764</v>
      </c>
      <c r="Q198" t="n">
        <v>51.43597195961626</v>
      </c>
      <c r="R198" t="n">
        <v>76.40000000000194</v>
      </c>
      <c r="S198" t="n">
        <v>71.62713791551077</v>
      </c>
      <c r="T198" t="n">
        <v>42.57838285975424</v>
      </c>
    </row>
    <row r="199">
      <c r="O199" t="n">
        <v>114.7599999999943</v>
      </c>
      <c r="P199" t="n">
        <v>94.49398283883309</v>
      </c>
      <c r="Q199" t="n">
        <v>51.58234683823335</v>
      </c>
      <c r="R199" t="n">
        <v>76.80000000000186</v>
      </c>
      <c r="S199" t="n">
        <v>71.11507758847517</v>
      </c>
      <c r="T199" t="n">
        <v>42.61907811938254</v>
      </c>
    </row>
    <row r="200">
      <c r="O200" t="n">
        <v>115.3599999999942</v>
      </c>
      <c r="P200" t="n">
        <v>95.22823808141712</v>
      </c>
      <c r="Q200" t="n">
        <v>51.72816218679381</v>
      </c>
      <c r="R200" t="n">
        <v>77.20000000000178</v>
      </c>
      <c r="S200" t="n">
        <v>70.59222854859756</v>
      </c>
      <c r="T200" t="n">
        <v>42.66014497081758</v>
      </c>
    </row>
    <row r="201">
      <c r="O201" t="n">
        <v>115.9599999999941</v>
      </c>
      <c r="P201" t="n">
        <v>95.95863304839028</v>
      </c>
      <c r="Q201" t="n">
        <v>51.87334475968554</v>
      </c>
      <c r="R201" t="n">
        <v>77.6000000000017</v>
      </c>
      <c r="S201" t="n">
        <v>70.05840560785138</v>
      </c>
      <c r="T201" t="n">
        <v>42.70157986668817</v>
      </c>
    </row>
    <row r="202">
      <c r="O202" t="n">
        <v>116.5599999999939</v>
      </c>
      <c r="P202" t="n">
        <v>96.68557250734749</v>
      </c>
      <c r="Q202" t="n">
        <v>52.01784105658633</v>
      </c>
      <c r="R202" t="n">
        <v>77.66000000000169</v>
      </c>
      <c r="S202" t="n">
        <v>69.97737419505667</v>
      </c>
      <c r="T202" t="n">
        <v>42.70782661996488</v>
      </c>
    </row>
    <row r="203">
      <c r="O203" t="n">
        <v>117.1599999999938</v>
      </c>
      <c r="P203" t="n">
        <v>97.40946999176388</v>
      </c>
      <c r="Q203" t="n">
        <v>52.16161347588734</v>
      </c>
      <c r="R203" t="n">
        <v>77.96000000000163</v>
      </c>
      <c r="S203" t="n">
        <v>70.79947492503365</v>
      </c>
      <c r="T203" t="n">
        <v>43.41224945911533</v>
      </c>
    </row>
    <row r="204">
      <c r="O204" t="n">
        <v>117.7599999999937</v>
      </c>
      <c r="P204" t="n">
        <v>98.13074616252328</v>
      </c>
      <c r="Q204" t="n">
        <v>52.30463729970867</v>
      </c>
      <c r="R204" t="n">
        <v>78.36000000000155</v>
      </c>
      <c r="S204" t="n">
        <v>71.82585473647065</v>
      </c>
      <c r="T204" t="n">
        <v>44.21736386246009</v>
      </c>
    </row>
    <row r="205">
      <c r="O205" t="n">
        <v>118.3599999999936</v>
      </c>
      <c r="P205" t="n">
        <v>98.84982759466192</v>
      </c>
      <c r="Q205" t="n">
        <v>52.4468983175253</v>
      </c>
      <c r="R205" t="n">
        <v>78.76000000000147</v>
      </c>
      <c r="S205" t="n">
        <v>72.78478514970065</v>
      </c>
      <c r="T205" t="n">
        <v>44.89671291609487</v>
      </c>
    </row>
    <row r="206">
      <c r="O206" t="n">
        <v>118.9599999999935</v>
      </c>
      <c r="P206" t="n">
        <v>99.5671459046124</v>
      </c>
      <c r="Q206" t="n">
        <v>52.58839094138992</v>
      </c>
      <c r="R206" t="n">
        <v>79.16000000000139</v>
      </c>
      <c r="S206" t="n">
        <v>73.68724467449341</v>
      </c>
      <c r="T206" t="n">
        <v>45.47453569035936</v>
      </c>
    </row>
    <row r="207">
      <c r="O207" t="n">
        <v>119.5599999999934</v>
      </c>
      <c r="P207" t="n">
        <v>100.2831371515004</v>
      </c>
      <c r="Q207" t="n">
        <v>52.72911670048389</v>
      </c>
      <c r="R207" t="n">
        <v>79.56000000000131</v>
      </c>
      <c r="S207" t="n">
        <v>74.54213882132586</v>
      </c>
      <c r="T207" t="n">
        <v>45.97015000766673</v>
      </c>
    </row>
    <row r="208">
      <c r="O208" t="n">
        <v>120.1599999999932</v>
      </c>
      <c r="P208" t="n">
        <v>100.9982414601005</v>
      </c>
      <c r="Q208" t="n">
        <v>52.86908302915119</v>
      </c>
      <c r="R208" t="n">
        <v>79.96000000000123</v>
      </c>
      <c r="S208" t="n">
        <v>75.35671657574125</v>
      </c>
      <c r="T208" t="n">
        <v>46.39898749236283</v>
      </c>
    </row>
    <row r="209">
      <c r="O209" t="n">
        <v>120.7599999999931</v>
      </c>
      <c r="P209" t="n">
        <v>101.712902823997</v>
      </c>
      <c r="Q209" t="n">
        <v>53.00830228274322</v>
      </c>
      <c r="R209" t="n">
        <v>80.36000000000115</v>
      </c>
      <c r="S209" t="n">
        <v>76.13690020497739</v>
      </c>
      <c r="T209" t="n">
        <v>46.77340675682055</v>
      </c>
    </row>
    <row r="210">
      <c r="O210" t="n">
        <v>121.359999999993</v>
      </c>
      <c r="P210" t="n">
        <v>102.4275690560065</v>
      </c>
      <c r="Q210" t="n">
        <v>53.14679093102525</v>
      </c>
      <c r="R210" t="n">
        <v>80.76000000000107</v>
      </c>
      <c r="S210" t="n">
        <v>76.88754672100586</v>
      </c>
      <c r="T210" t="n">
        <v>47.10333191874744</v>
      </c>
    </row>
    <row r="211">
      <c r="O211" t="n">
        <v>121.9599999999929</v>
      </c>
      <c r="P211" t="n">
        <v>103.1426918596713</v>
      </c>
      <c r="Q211" t="n">
        <v>53.28456889076465</v>
      </c>
      <c r="R211" t="n">
        <v>81.16000000000099</v>
      </c>
      <c r="S211" t="n">
        <v>77.61265552166327</v>
      </c>
      <c r="T211" t="n">
        <v>47.39675422557337</v>
      </c>
    </row>
    <row r="212">
      <c r="O212" t="n">
        <v>122.5599999999928</v>
      </c>
      <c r="P212" t="n">
        <v>103.8587270009438</v>
      </c>
      <c r="Q212" t="n">
        <v>53.42165896818869</v>
      </c>
      <c r="R212" t="n">
        <v>81.56000000000091</v>
      </c>
      <c r="S212" t="n">
        <v>78.31553364102986</v>
      </c>
      <c r="T212" t="n">
        <v>47.66012662235126</v>
      </c>
    </row>
    <row r="213">
      <c r="O213" t="n">
        <v>123.1599999999926</v>
      </c>
      <c r="P213" t="n">
        <v>104.5761345634364</v>
      </c>
      <c r="Q213" t="n">
        <v>53.55808638898871</v>
      </c>
      <c r="R213" t="n">
        <v>81.96000000000083</v>
      </c>
      <c r="S213" t="n">
        <v>78.99892757765352</v>
      </c>
      <c r="T213" t="n">
        <v>47.89867464768064</v>
      </c>
    </row>
    <row r="214">
      <c r="O214" t="n">
        <v>123.7599999999925</v>
      </c>
      <c r="P214" t="n">
        <v>105.2953792739773</v>
      </c>
      <c r="Q214" t="n">
        <v>53.69387839886451</v>
      </c>
      <c r="R214" t="n">
        <v>82.36000000000075</v>
      </c>
      <c r="S214" t="n">
        <v>79.66512872859211</v>
      </c>
      <c r="T214" t="n">
        <v>48.11664190686992</v>
      </c>
    </row>
    <row r="215">
      <c r="O215" t="n">
        <v>124.3599999999924</v>
      </c>
      <c r="P215" t="n">
        <v>106.0169308878643</v>
      </c>
      <c r="Q215" t="n">
        <v>53.82906392164517</v>
      </c>
      <c r="R215" t="n">
        <v>82.76000000000067</v>
      </c>
      <c r="S215" t="n">
        <v>80.3160579371353</v>
      </c>
      <c r="T215" t="n">
        <v>48.31748433397888</v>
      </c>
    </row>
    <row r="216">
      <c r="O216" t="n">
        <v>124.9599999999923</v>
      </c>
      <c r="P216" t="n">
        <v>106.741264625313</v>
      </c>
      <c r="Q216" t="n">
        <v>53.96367326508342</v>
      </c>
      <c r="R216" t="n">
        <v>83.16000000000059</v>
      </c>
      <c r="S216" t="n">
        <v>80.95333347496077</v>
      </c>
      <c r="T216" t="n">
        <v>48.50402430282409</v>
      </c>
    </row>
    <row r="217">
      <c r="O217" t="n">
        <v>125.5599999999922</v>
      </c>
      <c r="P217" t="n">
        <v>107.4688616521587</v>
      </c>
      <c r="Q217" t="n">
        <v>54.09773786668678</v>
      </c>
      <c r="R217" t="n">
        <v>83.56000000000051</v>
      </c>
      <c r="S217" t="n">
        <v>81.57832585346821</v>
      </c>
      <c r="T217" t="n">
        <v>48.6785731971643</v>
      </c>
    </row>
    <row r="218">
      <c r="O218" t="n">
        <v>126.159999999992</v>
      </c>
      <c r="P218" t="n">
        <v>108.2002095990637</v>
      </c>
      <c r="Q218" t="n">
        <v>54.23129007363263</v>
      </c>
      <c r="R218" t="n">
        <v>83.96000000000043</v>
      </c>
      <c r="S218" t="n">
        <v>82.19220213663483</v>
      </c>
      <c r="T218" t="n">
        <v>48.84302914985519</v>
      </c>
    </row>
    <row r="219">
      <c r="O219" t="n">
        <v>126.7599999999919</v>
      </c>
      <c r="P219" t="n">
        <v>108.9358031142686</v>
      </c>
      <c r="Q219" t="n">
        <v>54.36436295202034</v>
      </c>
      <c r="R219" t="n">
        <v>84.36000000000035</v>
      </c>
      <c r="S219" t="n">
        <v>82.79596186366011</v>
      </c>
      <c r="T219" t="n">
        <v>48.99895518758527</v>
      </c>
    </row>
    <row r="220">
      <c r="O220" t="n">
        <v>127.3599999999918</v>
      </c>
      <c r="P220" t="n">
        <v>109.6761444454351</v>
      </c>
      <c r="Q220" t="n">
        <v>54.49699012158111</v>
      </c>
      <c r="R220" t="n">
        <v>84.76000000000028</v>
      </c>
      <c r="S220" t="n">
        <v>83.39046624855895</v>
      </c>
      <c r="T220" t="n">
        <v>49.14764187554821</v>
      </c>
    </row>
    <row r="221">
      <c r="O221" t="n">
        <v>127.9599999999917</v>
      </c>
      <c r="P221" t="n">
        <v>110.4217440463439</v>
      </c>
      <c r="Q221" t="n">
        <v>54.62920561256668</v>
      </c>
      <c r="R221" t="n">
        <v>85.1600000000002</v>
      </c>
      <c r="S221" t="n">
        <v>83.97646197831989</v>
      </c>
      <c r="T221" t="n">
        <v>49.29015766996643</v>
      </c>
    </row>
    <row r="222">
      <c r="O222" t="n">
        <v>128.559999999992</v>
      </c>
      <c r="P222" t="n">
        <v>111.1731212042274</v>
      </c>
      <c r="Q222" t="n">
        <v>54.76104374195874</v>
      </c>
      <c r="R222" t="n">
        <v>85.56000000000012</v>
      </c>
      <c r="S222" t="n">
        <v>84.55460065994592</v>
      </c>
      <c r="T222" t="n">
        <v>49.42738949745932</v>
      </c>
    </row>
    <row r="223">
      <c r="O223" t="n">
        <v>129.1599999999923</v>
      </c>
      <c r="P223" t="n">
        <v>111.9308046833573</v>
      </c>
      <c r="Q223" t="n">
        <v>54.89253900642738</v>
      </c>
      <c r="R223" t="n">
        <v>85.96000000000004</v>
      </c>
      <c r="S223" t="n">
        <v>85.12545475325823</v>
      </c>
      <c r="T223" t="n">
        <v>49.56007554397709</v>
      </c>
    </row>
    <row r="224">
      <c r="O224" t="n">
        <v>129.7599999999926</v>
      </c>
      <c r="P224" t="n">
        <v>112.6953333802246</v>
      </c>
      <c r="Q224" t="n">
        <v>55.02372598968626</v>
      </c>
      <c r="R224" t="n">
        <v>86.35999999999996</v>
      </c>
      <c r="S224" t="n">
        <v>85.68953065798918</v>
      </c>
      <c r="T224" t="n">
        <v>49.68883181769602</v>
      </c>
    </row>
    <row r="225">
      <c r="O225" t="n">
        <v>130.3599999999929</v>
      </c>
      <c r="P225" t="n">
        <v>113.4672569853395</v>
      </c>
      <c r="Q225" t="n">
        <v>55.15463928206898</v>
      </c>
      <c r="R225" t="n">
        <v>86.75999999999988</v>
      </c>
      <c r="S225" t="n">
        <v>86.24727949060619</v>
      </c>
      <c r="T225" t="n">
        <v>49.81417372330468</v>
      </c>
    </row>
    <row r="226">
      <c r="O226" t="n">
        <v>130.9599999999932</v>
      </c>
      <c r="P226" t="n">
        <v>114.2471366463528</v>
      </c>
      <c r="Q226" t="n">
        <v>55.28531341031789</v>
      </c>
      <c r="R226" t="n">
        <v>87.1599999999998</v>
      </c>
      <c r="S226" t="n">
        <v>86.79910598080902</v>
      </c>
      <c r="T226" t="n">
        <v>49.93653362891839</v>
      </c>
    </row>
    <row r="227">
      <c r="O227" t="n">
        <v>131.5599999999935</v>
      </c>
      <c r="P227" t="n">
        <v>115.0355456269995</v>
      </c>
      <c r="Q227" t="n">
        <v>55.41578277576757</v>
      </c>
      <c r="R227" t="n">
        <v>87.55999999999972</v>
      </c>
      <c r="S227" t="n">
        <v>87.34537583383911</v>
      </c>
      <c r="T227" t="n">
        <v>50.05627520570067</v>
      </c>
    </row>
    <row r="228">
      <c r="O228" t="n">
        <v>132.1599999999938</v>
      </c>
      <c r="P228" t="n">
        <v>115.8330699562727</v>
      </c>
      <c r="Q228" t="n">
        <v>55.5460815993114</v>
      </c>
      <c r="R228" t="n">
        <v>87.95999999999964</v>
      </c>
      <c r="S228" t="n">
        <v>87.88642183796267</v>
      </c>
      <c r="T228" t="n">
        <v>50.17370516189496</v>
      </c>
    </row>
    <row r="229">
      <c r="O229" t="n">
        <v>132.7599999999941</v>
      </c>
      <c r="P229" t="n">
        <v>116.6403090624456</v>
      </c>
      <c r="Q229" t="n">
        <v>55.67624387180487</v>
      </c>
      <c r="R229" t="n">
        <v>88.35999999999956</v>
      </c>
      <c r="S229" t="n">
        <v>88.42254894319049</v>
      </c>
      <c r="T229" t="n">
        <v>50.28908286801006</v>
      </c>
    </row>
    <row r="230">
      <c r="O230" t="n">
        <v>133.3599999999944</v>
      </c>
      <c r="P230" t="n">
        <v>117.4578763870257</v>
      </c>
      <c r="Q230" t="n">
        <v>55.80630330884632</v>
      </c>
      <c r="R230" t="n">
        <v>88.75999999999948</v>
      </c>
      <c r="S230" t="n">
        <v>88.95403849460817</v>
      </c>
      <c r="T230" t="n">
        <v>50.40262827104308</v>
      </c>
    </row>
    <row r="231">
      <c r="O231" t="n">
        <v>133.9599999999947</v>
      </c>
      <c r="P231" t="n">
        <v>118.2863999746254</v>
      </c>
      <c r="Q231" t="n">
        <v>55.93629330924155</v>
      </c>
      <c r="R231" t="n">
        <v>89.1599999999994</v>
      </c>
      <c r="S231" t="n">
        <v>89.48115176944377</v>
      </c>
      <c r="T231" t="n">
        <v>50.5145284172136</v>
      </c>
    </row>
    <row r="232">
      <c r="O232" t="n">
        <v>134.559999999995</v>
      </c>
      <c r="P232" t="n">
        <v>119.1265230361553</v>
      </c>
      <c r="Q232" t="n">
        <v>56.06624691686939</v>
      </c>
      <c r="R232" t="n">
        <v>89.55999999999932</v>
      </c>
      <c r="S232" t="n">
        <v>90.00413293945027</v>
      </c>
      <c r="T232" t="n">
        <v>50.62494284036842</v>
      </c>
    </row>
    <row r="233">
      <c r="O233" t="n">
        <v>135.1599999999953</v>
      </c>
      <c r="P233" t="n">
        <v>119.9789044849602</v>
      </c>
      <c r="Q233" t="n">
        <v>56.1961967862362</v>
      </c>
      <c r="R233" t="n">
        <v>89.95999999999924</v>
      </c>
      <c r="S233" t="n">
        <v>90.52321155795426</v>
      </c>
      <c r="T233" t="n">
        <v>50.73400802352677</v>
      </c>
    </row>
    <row r="234">
      <c r="O234" t="n">
        <v>135.7599999999956</v>
      </c>
      <c r="P234" t="n">
        <v>120.8442194492611</v>
      </c>
      <c r="Q234" t="n">
        <v>56.32617515288462</v>
      </c>
      <c r="R234" t="n">
        <v>90.35999999999916</v>
      </c>
      <c r="S234" t="n">
        <v>91.03860465296476</v>
      </c>
      <c r="T234" t="n">
        <v>50.84184110135945</v>
      </c>
    </row>
    <row r="235">
      <c r="O235" t="n">
        <v>136.3599999999959</v>
      </c>
      <c r="P235" t="n">
        <v>121.7231597729798</v>
      </c>
      <c r="Q235" t="n">
        <v>56.45621381192897</v>
      </c>
      <c r="R235" t="n">
        <v>90.75999999999908</v>
      </c>
      <c r="S235" t="n">
        <v>91.5505184931769</v>
      </c>
      <c r="T235" t="n">
        <v>50.94854293960626</v>
      </c>
    </row>
    <row r="236">
      <c r="O236" t="n">
        <v>136.9599999999963</v>
      </c>
      <c r="P236" t="n">
        <v>122.6164345666545</v>
      </c>
      <c r="Q236" t="n">
        <v>56.58634411783124</v>
      </c>
      <c r="R236" t="n">
        <v>91.159999999999</v>
      </c>
      <c r="S236" t="n">
        <v>92.05915008188052</v>
      </c>
      <c r="T236" t="n">
        <v>51.05420070191821</v>
      </c>
    </row>
    <row r="237">
      <c r="O237" t="n">
        <v>137.5599999999966</v>
      </c>
      <c r="P237" t="n">
        <v>123.5247715433742</v>
      </c>
      <c r="Q237" t="n">
        <v>56.71659718929613</v>
      </c>
      <c r="R237" t="n">
        <v>91.55999999999892</v>
      </c>
      <c r="S237" t="n">
        <v>92.56468842415538</v>
      </c>
      <c r="T237" t="n">
        <v>51.15888999408139</v>
      </c>
    </row>
    <row r="238">
      <c r="O238" t="n">
        <v>138.1599999999969</v>
      </c>
      <c r="P238" t="n">
        <v>124.448917236915</v>
      </c>
      <c r="Q238" t="n">
        <v>56.84700406393226</v>
      </c>
      <c r="R238" t="n">
        <v>91.95999999999884</v>
      </c>
      <c r="S238" t="n">
        <v>93.06731560486783</v>
      </c>
      <c r="T238" t="n">
        <v>51.26267665901342</v>
      </c>
    </row>
    <row r="239">
      <c r="O239" t="n">
        <v>138.7599999999972</v>
      </c>
      <c r="P239" t="n">
        <v>125.389636019695</v>
      </c>
      <c r="Q239" t="n">
        <v>56.97759518051809</v>
      </c>
      <c r="R239" t="n">
        <v>92.35999999999876</v>
      </c>
      <c r="S239" t="n">
        <v>93.5672077085618</v>
      </c>
      <c r="T239" t="n">
        <v>51.36561828254349</v>
      </c>
    </row>
    <row r="240">
      <c r="O240" t="n">
        <v>139.3599999999975</v>
      </c>
      <c r="P240" t="n">
        <v>126.3477103955853</v>
      </c>
      <c r="Q240" t="n">
        <v>57.10840024176274</v>
      </c>
      <c r="R240" t="n">
        <v>92.75999999999868</v>
      </c>
      <c r="S240" t="n">
        <v>94.06453560704426</v>
      </c>
      <c r="T240" t="n">
        <v>51.46776545913142</v>
      </c>
    </row>
    <row r="241">
      <c r="O241" t="n">
        <v>139.9599999999978</v>
      </c>
      <c r="P241" t="n">
        <v>127.323941436362</v>
      </c>
      <c r="Q241" t="n">
        <v>57.23944820570149</v>
      </c>
      <c r="R241" t="n">
        <v>93.1599999999986</v>
      </c>
      <c r="S241" t="n">
        <v>94.55946563613261</v>
      </c>
      <c r="T241" t="n">
        <v>51.5691628578811</v>
      </c>
    </row>
    <row r="242">
      <c r="O242" t="n">
        <v>140.5599999999981</v>
      </c>
      <c r="P242" t="n">
        <v>128.3191493210764</v>
      </c>
      <c r="Q242" t="n">
        <v>57.37076729919489</v>
      </c>
      <c r="R242" t="n">
        <v>93.55999999999852</v>
      </c>
      <c r="S242" t="n">
        <v>95.05216017944892</v>
      </c>
      <c r="T242" t="n">
        <v>51.66985012204283</v>
      </c>
    </row>
    <row r="243">
      <c r="O243" t="n">
        <v>141.1599999999984</v>
      </c>
      <c r="P243" t="n">
        <v>129.3341739744097</v>
      </c>
      <c r="Q243" t="n">
        <v>57.50238504145617</v>
      </c>
      <c r="R243" t="n">
        <v>93.95999999999844</v>
      </c>
      <c r="S243" t="n">
        <v>95.54277817418757</v>
      </c>
      <c r="T243" t="n">
        <v>51.76986262935544</v>
      </c>
    </row>
    <row r="244">
      <c r="O244" t="n">
        <v>141.7599999999987</v>
      </c>
      <c r="P244" t="n">
        <v>130.3698758071877</v>
      </c>
      <c r="Q244" t="n">
        <v>57.63432827249419</v>
      </c>
      <c r="R244" t="n">
        <v>94.35999999999837</v>
      </c>
      <c r="S244" t="n">
        <v>96.03147555132446</v>
      </c>
      <c r="T244" t="n">
        <v>51.86923213580995</v>
      </c>
    </row>
    <row r="245">
      <c r="O245" t="n">
        <v>142.359999999999</v>
      </c>
      <c r="P245" t="n">
        <v>131.4271365629382</v>
      </c>
      <c r="Q245" t="n">
        <v>57.76662318336139</v>
      </c>
      <c r="R245" t="n">
        <v>94.75999999999829</v>
      </c>
      <c r="S245" t="n">
        <v>96.5184056207124</v>
      </c>
      <c r="T245" t="n">
        <v>51.9679873215297</v>
      </c>
    </row>
    <row r="246">
      <c r="O246" t="n">
        <v>142.9599999999993</v>
      </c>
      <c r="P246" t="n">
        <v>132.5068602724446</v>
      </c>
      <c r="Q246" t="n">
        <v>57.89929534593371</v>
      </c>
      <c r="R246" t="n">
        <v>95.15999999999821</v>
      </c>
      <c r="S246" t="n">
        <v>97.00371940980307</v>
      </c>
      <c r="T246" t="n">
        <v>52.06615425425397</v>
      </c>
    </row>
    <row r="247">
      <c r="O247" t="n">
        <v>143.5599999999996</v>
      </c>
      <c r="P247" t="n">
        <v>133.6099743148647</v>
      </c>
      <c r="Q247" t="n">
        <v>58.0323697403476</v>
      </c>
      <c r="R247" t="n">
        <v>95.55999999999813</v>
      </c>
      <c r="S247" t="n">
        <v>97.48756596332166</v>
      </c>
      <c r="T247" t="n">
        <v>52.16375678329351</v>
      </c>
    </row>
    <row r="248">
      <c r="O248" t="n">
        <v>144.1599999999999</v>
      </c>
      <c r="P248" t="n">
        <v>134.737430579764</v>
      </c>
      <c r="Q248" t="n">
        <v>58.16587077850829</v>
      </c>
      <c r="R248" t="n">
        <v>95.95999999999805</v>
      </c>
      <c r="S248" t="n">
        <v>97.97009261005692</v>
      </c>
      <c r="T248" t="n">
        <v>52.26081687468388</v>
      </c>
    </row>
    <row r="249">
      <c r="O249" t="n">
        <v>144.7600000000002</v>
      </c>
      <c r="P249" t="n">
        <v>135.8902067195886</v>
      </c>
      <c r="Q249" t="n">
        <v>58.2998223223027</v>
      </c>
      <c r="R249" t="n">
        <v>96.35999999999797</v>
      </c>
      <c r="S249" t="n">
        <v>98.45144520192483</v>
      </c>
      <c r="T249" t="n">
        <v>52.35735489647663</v>
      </c>
    </row>
    <row r="250">
      <c r="O250" t="n">
        <v>145.3600000000006</v>
      </c>
      <c r="P250" t="n">
        <v>137.0693074771189</v>
      </c>
      <c r="Q250" t="n">
        <v>58.43424769538355</v>
      </c>
      <c r="R250" t="n">
        <v>96.75999999999789</v>
      </c>
      <c r="S250" t="n">
        <v>98.93176832965622</v>
      </c>
      <c r="T250" t="n">
        <v>52.45338986165802</v>
      </c>
    </row>
    <row r="251">
      <c r="O251" t="n">
        <v>145.9600000000009</v>
      </c>
      <c r="P251" t="n">
        <v>138.275766067529</v>
      </c>
      <c r="Q251" t="n">
        <v>58.56916968765739</v>
      </c>
      <c r="R251" t="n">
        <v>97.15999999999781</v>
      </c>
      <c r="S251" t="n">
        <v>99.41120551875625</v>
      </c>
      <c r="T251" t="n">
        <v>52.54893963497622</v>
      </c>
    </row>
    <row r="252">
      <c r="O252" t="n">
        <v>146.5600000000012</v>
      </c>
      <c r="P252" t="n">
        <v>139.5106455902134</v>
      </c>
      <c r="Q252" t="n">
        <v>58.70461055188966</v>
      </c>
      <c r="R252" t="n">
        <v>97.55999999999773</v>
      </c>
      <c r="S252" t="n">
        <v>99.88989940881748</v>
      </c>
      <c r="T252" t="n">
        <v>52.64402110896665</v>
      </c>
    </row>
    <row r="253">
      <c r="O253" t="n">
        <v>147.1600000000015</v>
      </c>
      <c r="P253" t="n">
        <v>140.7750404419343</v>
      </c>
      <c r="Q253" t="n">
        <v>58.84059199218407</v>
      </c>
      <c r="R253" t="n">
        <v>97.95999999999765</v>
      </c>
      <c r="S253" t="n">
        <v>100.3679919187799</v>
      </c>
      <c r="T253" t="n">
        <v>52.73865035363843</v>
      </c>
    </row>
    <row r="254">
      <c r="O254" t="n">
        <v>147.7600000000018</v>
      </c>
      <c r="P254" t="n">
        <v>142.0700777003482</v>
      </c>
      <c r="Q254" t="n">
        <v>58.97713514442879</v>
      </c>
      <c r="R254" t="n">
        <v>98.35999999999757</v>
      </c>
      <c r="S254" t="n">
        <v>100.8456244003202</v>
      </c>
      <c r="T254" t="n">
        <v>52.83284274359954</v>
      </c>
    </row>
    <row r="255">
      <c r="O255" t="n">
        <v>148.3600000000021</v>
      </c>
      <c r="P255" t="n">
        <v>143.3969184459777</v>
      </c>
      <c r="Q255" t="n">
        <v>59.11426054917968</v>
      </c>
      <c r="R255" t="n">
        <v>98.75999999999749</v>
      </c>
      <c r="S255" t="n">
        <v>101.3229377812378</v>
      </c>
      <c r="T255" t="n">
        <v>52.92661306584224</v>
      </c>
    </row>
    <row r="256">
      <c r="O256" t="n">
        <v>148.9600000000024</v>
      </c>
      <c r="P256" t="n">
        <v>144.7567589914413</v>
      </c>
      <c r="Q256" t="n">
        <v>59.25198811780147</v>
      </c>
      <c r="R256" t="n">
        <v>99.15999999999741</v>
      </c>
      <c r="S256" t="n">
        <v>101.8000727003852</v>
      </c>
      <c r="T256" t="n">
        <v>53.01997561091837</v>
      </c>
    </row>
    <row r="257">
      <c r="O257" t="n">
        <v>149.5600000000027</v>
      </c>
      <c r="P257" t="n">
        <v>146.1508319894122</v>
      </c>
      <c r="Q257" t="n">
        <v>59.39033709302793</v>
      </c>
      <c r="R257" t="n">
        <v>99.55999999999733</v>
      </c>
      <c r="S257" t="n">
        <v>102.2771696354961</v>
      </c>
      <c r="T257" t="n">
        <v>53.11294424986087</v>
      </c>
    </row>
    <row r="258">
      <c r="O258" t="n">
        <v>150.160000000003</v>
      </c>
      <c r="P258" t="n">
        <v>147.5804073953473</v>
      </c>
      <c r="Q258" t="n">
        <v>59.52932600538481</v>
      </c>
      <c r="R258" t="n">
        <v>99.95999999999725</v>
      </c>
      <c r="S258" t="n">
        <v>102.7543690250273</v>
      </c>
      <c r="T258" t="n">
        <v>53.20553249885347</v>
      </c>
    </row>
    <row r="259">
      <c r="O259" t="n">
        <v>150.7600000000033</v>
      </c>
      <c r="P259" t="n">
        <v>149.0467932675168</v>
      </c>
      <c r="Q259" t="n">
        <v>59.66897262713379</v>
      </c>
      <c r="R259" t="n">
        <v>100.3599999999972</v>
      </c>
      <c r="S259" t="n">
        <v>103.231811385002</v>
      </c>
      <c r="T259" t="n">
        <v>53.29775357339532</v>
      </c>
    </row>
    <row r="260">
      <c r="O260" t="n">
        <v>151.3600000000036</v>
      </c>
      <c r="P260" t="n">
        <v>150.5513363949907</v>
      </c>
      <c r="Q260" t="n">
        <v>59.80929392554814</v>
      </c>
      <c r="R260" t="n">
        <v>100.7599999999971</v>
      </c>
      <c r="S260" t="n">
        <v>103.7096374216641</v>
      </c>
      <c r="T260" t="n">
        <v>53.38962043344736</v>
      </c>
    </row>
    <row r="261">
      <c r="O261" t="n">
        <v>151.9600000000039</v>
      </c>
      <c r="P261" t="n">
        <v>152.0954227536124</v>
      </c>
      <c r="Q261" t="n">
        <v>59.95030601735483</v>
      </c>
      <c r="R261" t="n">
        <v>101.159999999997</v>
      </c>
      <c r="S261" t="n">
        <v>104.1879881406787</v>
      </c>
      <c r="T261" t="n">
        <v>53.48114582086819</v>
      </c>
    </row>
    <row r="262">
      <c r="O262" t="n">
        <v>152.5600000000042</v>
      </c>
      <c r="P262" t="n">
        <v>153.6804778001363</v>
      </c>
      <c r="Q262" t="n">
        <v>60.09202412612366</v>
      </c>
      <c r="R262" t="n">
        <v>101.5599999999969</v>
      </c>
      <c r="S262" t="n">
        <v>104.6670049534688</v>
      </c>
      <c r="T262" t="n">
        <v>53.57234229025693</v>
      </c>
    </row>
    <row r="263">
      <c r="O263" t="n">
        <v>153.1600000000045</v>
      </c>
      <c r="P263" t="n">
        <v>155.3079666250186</v>
      </c>
      <c r="Q263" t="n">
        <v>60.2344625442237</v>
      </c>
      <c r="R263" t="n">
        <v>101.9599999999969</v>
      </c>
      <c r="S263" t="n">
        <v>105.1468297812436</v>
      </c>
      <c r="T263" t="n">
        <v>53.66322223419006</v>
      </c>
    </row>
    <row r="264">
      <c r="O264" t="n">
        <v>153.7600000000049</v>
      </c>
      <c r="P264" t="n">
        <v>156.9793939940899</v>
      </c>
      <c r="Q264" t="n">
        <v>60.37763460070941</v>
      </c>
      <c r="R264" t="n">
        <v>102.3599999999968</v>
      </c>
      <c r="S264" t="n">
        <v>105.6276051571524</v>
      </c>
      <c r="T264" t="n">
        <v>53.75379790369713</v>
      </c>
    </row>
    <row r="265">
      <c r="O265" t="n">
        <v>154.3600000000052</v>
      </c>
      <c r="P265" t="n">
        <v>158.696304317808</v>
      </c>
      <c r="Q265" t="n">
        <v>60.52155263616546</v>
      </c>
      <c r="R265" t="n">
        <v>102.7599999999967</v>
      </c>
      <c r="S265" t="n">
        <v>106.1094743269689</v>
      </c>
      <c r="T265" t="n">
        <v>53.84408142471744</v>
      </c>
    </row>
    <row r="266">
      <c r="O266" t="n">
        <v>154.9600000000055</v>
      </c>
      <c r="P266" t="n">
        <v>160.4602815934016</v>
      </c>
      <c r="Q266" t="n">
        <v>60.66622798516197</v>
      </c>
      <c r="R266" t="n">
        <v>103.1599999999966</v>
      </c>
      <c r="S266" t="n">
        <v>106.5925813486447</v>
      </c>
      <c r="T266" t="n">
        <v>53.93408481118457</v>
      </c>
    </row>
    <row r="267">
      <c r="O267" t="n">
        <v>155.5600000000058</v>
      </c>
      <c r="P267" t="n">
        <v>162.2729493692176</v>
      </c>
      <c r="Q267" t="n">
        <v>60.81167096655197</v>
      </c>
      <c r="R267" t="n">
        <v>103.5599999999965</v>
      </c>
      <c r="S267" t="n">
        <v>107.0770711910109</v>
      </c>
      <c r="T267" t="n">
        <v>54.02381997529012</v>
      </c>
    </row>
    <row r="268">
      <c r="O268" t="n">
        <v>156.1600000000061</v>
      </c>
      <c r="P268" t="n">
        <v>164.1359707817018</v>
      </c>
      <c r="Q268" t="n">
        <v>60.95789088143553</v>
      </c>
      <c r="R268" t="n">
        <v>103.9599999999965</v>
      </c>
      <c r="S268" t="n">
        <v>107.5630898318712</v>
      </c>
      <c r="T268" t="n">
        <v>54.11329873541192</v>
      </c>
    </row>
    <row r="269">
      <c r="O269" t="n">
        <v>156.7600000000064</v>
      </c>
      <c r="P269" t="n">
        <v>166.0510487133973</v>
      </c>
      <c r="Q269" t="n">
        <v>61.10489601824289</v>
      </c>
      <c r="R269" t="n">
        <v>104.3599999999964</v>
      </c>
      <c r="S269" t="n">
        <v>108.0507843556787</v>
      </c>
      <c r="T269" t="n">
        <v>54.20253282211962</v>
      </c>
    </row>
    <row r="270">
      <c r="O270" t="n">
        <v>157.3600000000067</v>
      </c>
      <c r="P270" t="n">
        <v>168.0199261150596</v>
      </c>
      <c r="Q270" t="n">
        <v>61.25269366405902</v>
      </c>
      <c r="R270" t="n">
        <v>104.7599999999963</v>
      </c>
      <c r="S270" t="n">
        <v>108.5403030509615</v>
      </c>
      <c r="T270" t="n">
        <v>54.29153388261415</v>
      </c>
    </row>
    <row r="271">
      <c r="O271" t="n">
        <v>157.960000000007</v>
      </c>
      <c r="P271" t="n">
        <v>170.0443865268102</v>
      </c>
      <c r="Q271" t="n">
        <v>61.40129012108518</v>
      </c>
      <c r="R271" t="n">
        <v>105.1599999999962</v>
      </c>
      <c r="S271" t="n">
        <v>109.0317955075887</v>
      </c>
      <c r="T271" t="n">
        <v>54.38031348389834</v>
      </c>
    </row>
    <row r="272">
      <c r="O272" t="n">
        <v>158.5600000000073</v>
      </c>
      <c r="P272" t="n">
        <v>172.1262548226535</v>
      </c>
      <c r="Q272" t="n">
        <v>61.55069072698925</v>
      </c>
      <c r="R272" t="n">
        <v>105.5599999999961</v>
      </c>
      <c r="S272" t="n">
        <v>109.5254127139731</v>
      </c>
      <c r="T272" t="n">
        <v>54.46888311493151</v>
      </c>
    </row>
    <row r="273">
      <c r="O273" t="n">
        <v>159.1600000000076</v>
      </c>
      <c r="P273" t="n">
        <v>174.2673981902335</v>
      </c>
      <c r="Q273" t="n">
        <v>61.70089987785732</v>
      </c>
      <c r="R273" t="n">
        <v>105.9599999999961</v>
      </c>
      <c r="S273" t="n">
        <v>110.0213071542282</v>
      </c>
      <c r="T273" t="n">
        <v>54.55725418798087</v>
      </c>
    </row>
    <row r="274">
      <c r="O274" t="n">
        <v>159.7600000000079</v>
      </c>
      <c r="P274" t="n">
        <v>176.4697273444185</v>
      </c>
      <c r="Q274" t="n">
        <v>61.85192105251902</v>
      </c>
      <c r="R274" t="n">
        <v>106.359999999996</v>
      </c>
      <c r="S274" t="n">
        <v>110.5196329052834</v>
      </c>
      <c r="T274" t="n">
        <v>54.64543803933614</v>
      </c>
    </row>
    <row r="275">
      <c r="O275" t="n">
        <v>160.3600000000082</v>
      </c>
      <c r="P275" t="n">
        <v>178.7351979600263</v>
      </c>
      <c r="Q275" t="n">
        <v>62.0037568371873</v>
      </c>
      <c r="R275" t="n">
        <v>106.7599999999959</v>
      </c>
      <c r="S275" t="n">
        <v>111.0205457339127</v>
      </c>
      <c r="T275" t="n">
        <v>54.73344592952928</v>
      </c>
    </row>
    <row r="276">
      <c r="O276" t="n">
        <v>160.9600000000085</v>
      </c>
      <c r="P276" t="n">
        <v>181.0658122965673</v>
      </c>
      <c r="Q276" t="n">
        <v>62.15640894955285</v>
      </c>
      <c r="R276" t="n">
        <v>107.1599999999958</v>
      </c>
      <c r="S276" t="n">
        <v>111.5242031935964</v>
      </c>
      <c r="T276" t="n">
        <v>54.82128904316622</v>
      </c>
    </row>
    <row r="277">
      <c r="O277" t="n">
        <v>161.5600000000088</v>
      </c>
      <c r="P277" t="n">
        <v>183.463620977443</v>
      </c>
      <c r="Q277" t="n">
        <v>62.30987826177534</v>
      </c>
      <c r="R277" t="n">
        <v>107.5599999999957</v>
      </c>
      <c r="S277" t="n">
        <v>112.0307647211048</v>
      </c>
      <c r="T277" t="n">
        <v>54.90897848845216</v>
      </c>
    </row>
    <row r="278">
      <c r="O278" t="n">
        <v>162.1600000000091</v>
      </c>
      <c r="P278" t="n">
        <v>185.9307248778733</v>
      </c>
      <c r="Q278" t="n">
        <v>62.46416482207743</v>
      </c>
      <c r="R278" t="n">
        <v>107.9599999999957</v>
      </c>
      <c r="S278" t="n">
        <v>112.5403917326568</v>
      </c>
      <c r="T278" t="n">
        <v>54.9965252964756</v>
      </c>
    </row>
    <row r="279">
      <c r="O279" t="n">
        <v>162.7600000000095</v>
      </c>
      <c r="P279" t="n">
        <v>188.4692770708844</v>
      </c>
      <c r="Q279" t="n">
        <v>62.61926787494882</v>
      </c>
      <c r="R279" t="n">
        <v>108.3599999999956</v>
      </c>
      <c r="S279" t="n">
        <v>113.0532477194612</v>
      </c>
      <c r="T279" t="n">
        <v>55.08394042028731</v>
      </c>
    </row>
    <row r="280">
      <c r="O280" t="n">
        <v>163.3600000000098</v>
      </c>
      <c r="P280" t="n">
        <v>191.0814847787923</v>
      </c>
      <c r="Q280" t="n">
        <v>62.77518588020452</v>
      </c>
      <c r="R280" t="n">
        <v>108.7599999999955</v>
      </c>
      <c r="S280" t="n">
        <v>113.5694983424645</v>
      </c>
      <c r="T280" t="n">
        <v>55.17123473381213</v>
      </c>
    </row>
    <row r="281">
      <c r="O281" t="n">
        <v>163.9600000000101</v>
      </c>
      <c r="P281" t="n">
        <v>193.769611279042</v>
      </c>
      <c r="Q281" t="n">
        <v>62.9319165313367</v>
      </c>
      <c r="R281" t="n">
        <v>109.1599999999954</v>
      </c>
      <c r="S281" t="n">
        <v>114.0893115260472</v>
      </c>
      <c r="T281" t="n">
        <v>55.25841903060422</v>
      </c>
    </row>
    <row r="282">
      <c r="O282" t="n">
        <v>164.5600000000104</v>
      </c>
      <c r="P282" t="n">
        <v>196.5359777175005</v>
      </c>
      <c r="Q282" t="n">
        <v>63.08945677371207</v>
      </c>
      <c r="R282" t="n">
        <v>109.5599999999953</v>
      </c>
      <c r="S282" t="n">
        <v>114.6128575504485</v>
      </c>
      <c r="T282" t="n">
        <v>55.34550402245909</v>
      </c>
    </row>
    <row r="283">
      <c r="O283" t="n">
        <v>165.1600000000107</v>
      </c>
      <c r="P283" t="n">
        <v>199.3829647889966</v>
      </c>
      <c r="Q283" t="n">
        <v>63.24780282321271</v>
      </c>
      <c r="R283" t="n">
        <v>109.9599999999953</v>
      </c>
      <c r="S283" t="n">
        <v>115.1403091426579</v>
      </c>
      <c r="T283" t="n">
        <v>55.43250033788757</v>
      </c>
    </row>
    <row r="284">
      <c r="O284" t="n">
        <v>165.760000000011</v>
      </c>
      <c r="P284" t="n">
        <v>202.3130142532062</v>
      </c>
      <c r="Q284" t="n">
        <v>63.40695018586838</v>
      </c>
      <c r="R284" t="n">
        <v>110.3599999999952</v>
      </c>
      <c r="S284" t="n">
        <v>115.6718415655214</v>
      </c>
      <c r="T284" t="n">
        <v>55.51941852045451</v>
      </c>
    </row>
    <row r="285">
      <c r="O285" t="n">
        <v>166.3600000000113</v>
      </c>
      <c r="P285" t="n">
        <v>205.3286302634026</v>
      </c>
      <c r="Q285" t="n">
        <v>63.56689367892894</v>
      </c>
      <c r="R285" t="n">
        <v>110.7599999999951</v>
      </c>
      <c r="S285" t="n">
        <v>116.2076327048224</v>
      </c>
      <c r="T285" t="n">
        <v>55.60626902698799</v>
      </c>
    </row>
    <row r="286">
      <c r="O286" t="n">
        <v>166.9600000000116</v>
      </c>
      <c r="P286" t="n">
        <v>208.4323804950538</v>
      </c>
      <c r="Q286" t="n">
        <v>63.72762745365608</v>
      </c>
      <c r="R286" t="n">
        <v>111.159999999995</v>
      </c>
      <c r="S286" t="n">
        <v>116.7478631541034</v>
      </c>
      <c r="T286" t="n">
        <v>55.69306222566465</v>
      </c>
    </row>
    <row r="287">
      <c r="O287" t="n">
        <v>167.3400000000118</v>
      </c>
      <c r="P287" t="n">
        <v>209.6339670072596</v>
      </c>
      <c r="Q287" t="n">
        <v>63.69914441445631</v>
      </c>
      <c r="R287" t="n">
        <v>111.5599999999949</v>
      </c>
      <c r="S287" t="n">
        <v>117.2927162970425</v>
      </c>
      <c r="T287" t="n">
        <v>55.77980839398999</v>
      </c>
    </row>
    <row r="288">
      <c r="O288" t="n">
        <v>167.9400000000121</v>
      </c>
      <c r="P288" t="n">
        <v>206.8672914867051</v>
      </c>
      <c r="Q288" t="n">
        <v>62.91287137920848</v>
      </c>
      <c r="R288" t="n">
        <v>111.9599999999949</v>
      </c>
      <c r="S288" t="n">
        <v>117.842378387223</v>
      </c>
      <c r="T288" t="n">
        <v>55.86651771669066</v>
      </c>
    </row>
    <row r="289">
      <c r="O289" t="n">
        <v>168.5400000000124</v>
      </c>
      <c r="P289" t="n">
        <v>204.2924879497812</v>
      </c>
      <c r="Q289" t="n">
        <v>62.18075758888101</v>
      </c>
      <c r="R289" t="n">
        <v>112.3599999999948</v>
      </c>
      <c r="S289" t="n">
        <v>118.3970386252126</v>
      </c>
      <c r="T289" t="n">
        <v>55.95320028355786</v>
      </c>
    </row>
    <row r="290">
      <c r="O290" t="n">
        <v>169.1400000000127</v>
      </c>
      <c r="P290" t="n">
        <v>201.8959998027132</v>
      </c>
      <c r="Q290" t="n">
        <v>61.49901045262178</v>
      </c>
      <c r="R290" t="n">
        <v>112.7599999999947</v>
      </c>
      <c r="S290" t="n">
        <v>118.9568892329431</v>
      </c>
      <c r="T290" t="n">
        <v>56.03986608729296</v>
      </c>
    </row>
    <row r="291">
      <c r="O291" t="n">
        <v>169.740000000013</v>
      </c>
      <c r="P291" t="n">
        <v>199.6652436082956</v>
      </c>
      <c r="Q291" t="n">
        <v>60.86410742059924</v>
      </c>
      <c r="R291" t="n">
        <v>113.1599999999946</v>
      </c>
      <c r="S291" t="n">
        <v>119.5221255254931</v>
      </c>
      <c r="T291" t="n">
        <v>56.12652502142588</v>
      </c>
    </row>
    <row r="292">
      <c r="O292" t="n">
        <v>170.3400000000133</v>
      </c>
      <c r="P292" t="n">
        <v>197.5885398698033</v>
      </c>
      <c r="Q292" t="n">
        <v>60.27277676434746</v>
      </c>
      <c r="R292" t="n">
        <v>113.5599999999945</v>
      </c>
      <c r="S292" t="n">
        <v>120.092945980562</v>
      </c>
      <c r="T292" t="n">
        <v>56.21318687842308</v>
      </c>
    </row>
    <row r="293">
      <c r="O293" t="n">
        <v>170.9400000000136</v>
      </c>
      <c r="P293" t="n">
        <v>195.6550483437099</v>
      </c>
      <c r="Q293" t="n">
        <v>59.72197964809321</v>
      </c>
      <c r="R293" t="n">
        <v>113.9599999999945</v>
      </c>
      <c r="S293" t="n">
        <v>120.669552306198</v>
      </c>
      <c r="T293" t="n">
        <v>56.29986134816016</v>
      </c>
    </row>
    <row r="294">
      <c r="O294" t="n">
        <v>171.5400000000139</v>
      </c>
      <c r="P294" t="n">
        <v>193.8547076486185</v>
      </c>
      <c r="Q294" t="n">
        <v>59.20889341886006</v>
      </c>
      <c r="R294" t="n">
        <v>114.3599999999944</v>
      </c>
      <c r="S294" t="n">
        <v>121.2521495079664</v>
      </c>
      <c r="T294" t="n">
        <v>56.38655801708751</v>
      </c>
    </row>
    <row r="295">
      <c r="O295" t="n">
        <v>172.1400000000143</v>
      </c>
      <c r="P295" t="n">
        <v>192.1781789494468</v>
      </c>
      <c r="Q295" t="n">
        <v>58.73089604681461</v>
      </c>
      <c r="R295" t="n">
        <v>114.7599999999943</v>
      </c>
      <c r="S295" t="n">
        <v>121.840945958404</v>
      </c>
      <c r="T295" t="n">
        <v>56.47328636880574</v>
      </c>
    </row>
    <row r="296">
      <c r="O296" t="n">
        <v>172.7400000000146</v>
      </c>
      <c r="P296" t="n">
        <v>190.6167935031734</v>
      </c>
      <c r="Q296" t="n">
        <v>58.28555165002106</v>
      </c>
      <c r="R296" t="n">
        <v>115.1599999999942</v>
      </c>
      <c r="S296" t="n">
        <v>122.4361534797356</v>
      </c>
      <c r="T296" t="n">
        <v>56.56005578841468</v>
      </c>
    </row>
    <row r="297">
      <c r="O297" t="n">
        <v>173.3400000000149</v>
      </c>
      <c r="P297" t="n">
        <v>189.1625038570664</v>
      </c>
      <c r="Q297" t="n">
        <v>57.87059703987808</v>
      </c>
      <c r="R297" t="n">
        <v>115.5599999999941</v>
      </c>
      <c r="S297" t="n">
        <v>123.0379876158935</v>
      </c>
      <c r="T297" t="n">
        <v>56.64687560250623</v>
      </c>
    </row>
    <row r="298">
      <c r="O298" t="n">
        <v>173.9400000000152</v>
      </c>
      <c r="P298" t="n">
        <v>187.8078384938167</v>
      </c>
      <c r="Q298" t="n">
        <v>57.48392922539406</v>
      </c>
      <c r="R298" t="n">
        <v>115.9599999999941</v>
      </c>
      <c r="S298" t="n">
        <v>123.6466677870966</v>
      </c>
      <c r="T298" t="n">
        <v>56.73375516456947</v>
      </c>
    </row>
    <row r="299">
      <c r="O299" t="n">
        <v>174.5400000000155</v>
      </c>
      <c r="P299" t="n">
        <v>186.5458597213866</v>
      </c>
      <c r="Q299" t="n">
        <v>57.12359381631973</v>
      </c>
      <c r="R299" t="n">
        <v>116.359999999994</v>
      </c>
      <c r="S299" t="n">
        <v>124.2624168943176</v>
      </c>
      <c r="T299" t="n">
        <v>56.82070374055581</v>
      </c>
    </row>
    <row r="300">
      <c r="O300" t="n">
        <v>175.1400000000158</v>
      </c>
      <c r="P300" t="n">
        <v>185.3701246092714</v>
      </c>
      <c r="Q300" t="n">
        <v>56.78777426711218</v>
      </c>
      <c r="R300" t="n">
        <v>116.7599999999939</v>
      </c>
      <c r="S300" t="n">
        <v>124.8854613516984</v>
      </c>
      <c r="T300" t="n">
        <v>56.90773045106395</v>
      </c>
    </row>
    <row r="301">
      <c r="O301" t="n">
        <v>175.7400000000161</v>
      </c>
      <c r="P301" t="n">
        <v>184.2746487777277</v>
      </c>
      <c r="Q301" t="n">
        <v>56.47478190585162</v>
      </c>
      <c r="R301" t="n">
        <v>117.1599999999938</v>
      </c>
      <c r="S301" t="n">
        <v>125.5160311288824</v>
      </c>
      <c r="T301" t="n">
        <v>56.99484426350465</v>
      </c>
    </row>
    <row r="302">
      <c r="O302" t="n">
        <v>176.3400000000164</v>
      </c>
      <c r="P302" t="n">
        <v>183.2538728523303</v>
      </c>
      <c r="Q302" t="n">
        <v>56.18304669454822</v>
      </c>
      <c r="R302" t="n">
        <v>117.5599999999937</v>
      </c>
      <c r="S302" t="n">
        <v>126.1543598042098</v>
      </c>
      <c r="T302" t="n">
        <v>57.08205399048981</v>
      </c>
    </row>
    <row r="303">
      <c r="O303" t="n">
        <v>176.9400000000167</v>
      </c>
      <c r="P303" t="n">
        <v>182.3026314030847</v>
      </c>
      <c r="Q303" t="n">
        <v>55.9111086697725</v>
      </c>
      <c r="R303" t="n">
        <v>117.9599999999937</v>
      </c>
      <c r="S303" t="n">
        <v>126.8006846273475</v>
      </c>
      <c r="T303" t="n">
        <v>57.16936829083993</v>
      </c>
    </row>
    <row r="304">
      <c r="O304" t="n">
        <v>177.540000000017</v>
      </c>
      <c r="P304" t="n">
        <v>181.4161241949842</v>
      </c>
      <c r="Q304" t="n">
        <v>55.65761001515341</v>
      </c>
      <c r="R304" t="n">
        <v>118.3599999999936</v>
      </c>
      <c r="S304" t="n">
        <v>127.4552465905472</v>
      </c>
      <c r="T304" t="n">
        <v>57.25679567203799</v>
      </c>
    </row>
    <row r="305">
      <c r="O305" t="n">
        <v>178.1400000000173</v>
      </c>
      <c r="P305" t="n">
        <v>180.5898895852129</v>
      </c>
      <c r="Q305" t="n">
        <v>55.42128771998899</v>
      </c>
      <c r="R305" t="n">
        <v>118.7599999999935</v>
      </c>
      <c r="S305" t="n">
        <v>128.1182905084416</v>
      </c>
      <c r="T305" t="n">
        <v>57.34434449356828</v>
      </c>
    </row>
    <row r="306">
      <c r="O306" t="n">
        <v>178.7400000000176</v>
      </c>
      <c r="P306" t="n">
        <v>179.8197799109954</v>
      </c>
      <c r="Q306" t="n">
        <v>55.20096678093993</v>
      </c>
      <c r="R306" t="n">
        <v>119.1599999999934</v>
      </c>
      <c r="S306" t="n">
        <v>128.7900651065485</v>
      </c>
      <c r="T306" t="n">
        <v>57.43202297080393</v>
      </c>
    </row>
    <row r="307">
      <c r="O307" t="n">
        <v>179.3400000000179</v>
      </c>
      <c r="P307" t="n">
        <v>179.1019387211489</v>
      </c>
      <c r="Q307" t="n">
        <v>54.99555390650664</v>
      </c>
      <c r="R307" t="n">
        <v>119.5599999999934</v>
      </c>
      <c r="S307" t="n">
        <v>129.4708231187487</v>
      </c>
      <c r="T307" t="n">
        <v>57.51983917922237</v>
      </c>
    </row>
    <row r="308">
      <c r="O308" t="n">
        <v>179.9400000000182</v>
      </c>
      <c r="P308" t="n">
        <v>178.432779713395</v>
      </c>
      <c r="Q308" t="n">
        <v>54.8040316866435</v>
      </c>
      <c r="R308" t="n">
        <v>119.9599999999933</v>
      </c>
      <c r="S308" t="n">
        <v>130.1608213939897</v>
      </c>
      <c r="T308" t="n">
        <v>57.60780105877219</v>
      </c>
    </row>
    <row r="309">
      <c r="O309" t="n">
        <v>180.5400000000186</v>
      </c>
      <c r="P309" t="n">
        <v>177.8089672486622</v>
      </c>
      <c r="Q309" t="n">
        <v>54.6254531924902</v>
      </c>
      <c r="R309" t="n">
        <v>120.3599999999932</v>
      </c>
      <c r="S309" t="n">
        <v>130.8603210124106</v>
      </c>
      <c r="T309" t="n">
        <v>57.69591641825803</v>
      </c>
    </row>
    <row r="310">
      <c r="O310" t="n">
        <v>181.1400000000189</v>
      </c>
      <c r="P310" t="n">
        <v>177.2273983222375</v>
      </c>
      <c r="Q310" t="n">
        <v>54.45893697365622</v>
      </c>
      <c r="R310" t="n">
        <v>120.7599999999931</v>
      </c>
      <c r="S310" t="n">
        <v>131.5695874109529</v>
      </c>
      <c r="T310" t="n">
        <v>57.78419293962194</v>
      </c>
    </row>
    <row r="311">
      <c r="O311" t="n">
        <v>181.7400000000192</v>
      </c>
      <c r="P311" t="n">
        <v>176.6851858803289</v>
      </c>
      <c r="Q311" t="n">
        <v>54.30366242291012</v>
      </c>
      <c r="R311" t="n">
        <v>121.159999999993</v>
      </c>
      <c r="S311" t="n">
        <v>132.2888905184055</v>
      </c>
      <c r="T311" t="n">
        <v>57.87263818201731</v>
      </c>
    </row>
    <row r="312">
      <c r="O312" t="n">
        <v>182.3400000000195</v>
      </c>
      <c r="P312" t="n">
        <v>176.1796433785846</v>
      </c>
      <c r="Q312" t="n">
        <v>54.15886548034594</v>
      </c>
      <c r="R312" t="n">
        <v>121.559999999993</v>
      </c>
      <c r="S312" t="n">
        <v>133.0185048996471</v>
      </c>
      <c r="T312" t="n">
        <v>57.96125958557958</v>
      </c>
    </row>
    <row r="313">
      <c r="O313" t="n">
        <v>182.9400000000198</v>
      </c>
      <c r="P313" t="n">
        <v>175.7082704869425</v>
      </c>
      <c r="Q313" t="n">
        <v>54.02383465122792</v>
      </c>
      <c r="R313" t="n">
        <v>121.9599999999929</v>
      </c>
      <c r="S313" t="n">
        <v>133.7587099086826</v>
      </c>
      <c r="T313" t="n">
        <v>58.050064474807</v>
      </c>
    </row>
    <row r="314">
      <c r="O314" t="n">
        <v>183.5400000000201</v>
      </c>
      <c r="P314" t="n">
        <v>175.2687398524358</v>
      </c>
      <c r="Q314" t="n">
        <v>53.89790731369266</v>
      </c>
      <c r="R314" t="n">
        <v>122.3599999999928</v>
      </c>
      <c r="S314" t="n">
        <v>134.5097898498802</v>
      </c>
      <c r="T314" t="n">
        <v>58.13906006147415</v>
      </c>
    </row>
    <row r="315">
      <c r="O315" t="n">
        <v>184.1400000000204</v>
      </c>
      <c r="P315" t="n">
        <v>174.8588848384055</v>
      </c>
      <c r="Q315" t="n">
        <v>53.78046629432715</v>
      </c>
      <c r="R315" t="n">
        <v>122.7599999999927</v>
      </c>
      <c r="S315" t="n">
        <v>135.2720341466089</v>
      </c>
      <c r="T315" t="n">
        <v>58.22825344701096</v>
      </c>
    </row>
    <row r="316">
      <c r="O316" t="n">
        <v>184.7400000000207</v>
      </c>
      <c r="P316" t="n">
        <v>174.476688164961</v>
      </c>
      <c r="Q316" t="n">
        <v>53.67093669136347</v>
      </c>
      <c r="R316" t="n">
        <v>123.1599999999926</v>
      </c>
      <c r="S316" t="n">
        <v>136.0457375162799</v>
      </c>
      <c r="T316" t="n">
        <v>58.31765162427963</v>
      </c>
    </row>
    <row r="317">
      <c r="O317" t="n">
        <v>185.340000000021</v>
      </c>
      <c r="P317" t="n">
        <v>174.1202713814245</v>
      </c>
      <c r="Q317" t="n">
        <v>53.56878292680209</v>
      </c>
      <c r="R317" t="n">
        <v>123.5599999999926</v>
      </c>
      <c r="S317" t="n">
        <v>136.8312001506197</v>
      </c>
      <c r="T317" t="n">
        <v>58.40726147870942</v>
      </c>
    </row>
    <row r="318">
      <c r="O318" t="n">
        <v>185.9400000000213</v>
      </c>
      <c r="P318" t="n">
        <v>173.7878851070237</v>
      </c>
      <c r="Q318" t="n">
        <v>53.47350601025963</v>
      </c>
      <c r="R318" t="n">
        <v>123.9599999999925</v>
      </c>
      <c r="S318" t="n">
        <v>137.6287278997896</v>
      </c>
      <c r="T318" t="n">
        <v>58.49708978874298</v>
      </c>
    </row>
    <row r="319">
      <c r="O319" t="n">
        <v>186.5400000000216</v>
      </c>
      <c r="P319" t="n">
        <v>173.4778999811157</v>
      </c>
      <c r="Q319" t="n">
        <v>53.38464099867046</v>
      </c>
      <c r="R319" t="n">
        <v>124.3599999999924</v>
      </c>
      <c r="S319" t="n">
        <v>138.4386324588402</v>
      </c>
      <c r="T319" t="n">
        <v>58.5871432255667</v>
      </c>
    </row>
    <row r="320">
      <c r="O320" t="n">
        <v>187.1400000000219</v>
      </c>
      <c r="P320" t="n">
        <v>173.1887982689533</v>
      </c>
      <c r="Q320" t="n">
        <v>53.3017546372313</v>
      </c>
      <c r="R320" t="n">
        <v>124.7599999999923</v>
      </c>
      <c r="S320" t="n">
        <v>139.2612315548127</v>
      </c>
      <c r="T320" t="n">
        <v>58.67742835211602</v>
      </c>
    </row>
    <row r="321">
      <c r="O321" t="n">
        <v>187.7400000000222</v>
      </c>
      <c r="P321" t="n">
        <v>172.9191660732769</v>
      </c>
      <c r="Q321" t="n">
        <v>53.22444316811389</v>
      </c>
      <c r="R321" t="n">
        <v>125.1599999999922</v>
      </c>
      <c r="S321" t="n">
        <v>140.0968491327293</v>
      </c>
      <c r="T321" t="n">
        <v>58.76795162135095</v>
      </c>
    </row>
    <row r="322">
      <c r="O322" t="n">
        <v>188.3400000000225</v>
      </c>
      <c r="P322" t="n">
        <v>172.6676861059835</v>
      </c>
      <c r="Q322" t="n">
        <v>53.15233029452734</v>
      </c>
      <c r="R322" t="n">
        <v>125.5599999999922</v>
      </c>
      <c r="S322" t="n">
        <v>140.9458155385994</v>
      </c>
      <c r="T322" t="n">
        <v>58.85871937381401</v>
      </c>
    </row>
    <row r="323">
      <c r="O323" t="n">
        <v>188.9400000000228</v>
      </c>
      <c r="P323" t="n">
        <v>172.433130977768</v>
      </c>
      <c r="Q323" t="n">
        <v>53.08506528867861</v>
      </c>
      <c r="R323" t="n">
        <v>125.9599999999921</v>
      </c>
      <c r="S323" t="n">
        <v>141.8084676975755</v>
      </c>
      <c r="T323" t="n">
        <v>58.94973783450143</v>
      </c>
    </row>
    <row r="324">
      <c r="O324" t="n">
        <v>188.9400000000228</v>
      </c>
      <c r="P324" t="n">
        <v>172.433130977768</v>
      </c>
      <c r="Q324" t="n">
        <v>53.08506528867861</v>
      </c>
      <c r="R324" t="n">
        <v>126.359999999992</v>
      </c>
      <c r="S324" t="n">
        <v>142.6851492853744</v>
      </c>
      <c r="T324" t="n">
        <v>59.04101310908649</v>
      </c>
    </row>
    <row r="325">
      <c r="R325" t="n">
        <v>126.7599999999919</v>
      </c>
      <c r="S325" t="n">
        <v>143.5762108911698</v>
      </c>
      <c r="T325" t="n">
        <v>59.1325511795533</v>
      </c>
    </row>
    <row r="326">
      <c r="R326" t="n">
        <v>127.1599999999918</v>
      </c>
      <c r="S326" t="n">
        <v>144.4820101702437</v>
      </c>
      <c r="T326" t="n">
        <v>59.22435789930474</v>
      </c>
    </row>
    <row r="327">
      <c r="R327" t="n">
        <v>127.5599999999918</v>
      </c>
      <c r="S327" t="n">
        <v>145.4029119848783</v>
      </c>
      <c r="T327" t="n">
        <v>59.31643898782946</v>
      </c>
    </row>
    <row r="328">
      <c r="R328" t="n">
        <v>127.9599999999917</v>
      </c>
      <c r="S328" t="n">
        <v>146.3392885321691</v>
      </c>
      <c r="T328" t="n">
        <v>59.40880002501444</v>
      </c>
    </row>
    <row r="329">
      <c r="R329" t="n">
        <v>128.3599999999919</v>
      </c>
      <c r="S329" t="n">
        <v>147.2915194577069</v>
      </c>
      <c r="T329" t="n">
        <v>59.50144644520403</v>
      </c>
    </row>
    <row r="330">
      <c r="R330" t="n">
        <v>128.7599999999921</v>
      </c>
      <c r="S330" t="n">
        <v>148.2599919543808</v>
      </c>
      <c r="T330" t="n">
        <v>59.59438353110769</v>
      </c>
    </row>
    <row r="331">
      <c r="R331" t="n">
        <v>129.1599999999923</v>
      </c>
      <c r="S331" t="n">
        <v>149.2451008459082</v>
      </c>
      <c r="T331" t="n">
        <v>59.68761640766495</v>
      </c>
    </row>
    <row r="332">
      <c r="R332" t="n">
        <v>129.5599999999925</v>
      </c>
      <c r="S332" t="n">
        <v>150.2472486550616</v>
      </c>
      <c r="T332" t="n">
        <v>59.78115003597993</v>
      </c>
    </row>
    <row r="333">
      <c r="R333" t="n">
        <v>129.9599999999927</v>
      </c>
      <c r="S333" t="n">
        <v>151.2668456569708</v>
      </c>
      <c r="T333" t="n">
        <v>59.87498920742656</v>
      </c>
    </row>
    <row r="334">
      <c r="R334" t="n">
        <v>130.3599999999929</v>
      </c>
      <c r="S334" t="n">
        <v>152.3043099182726</v>
      </c>
      <c r="T334" t="n">
        <v>59.96913853803499</v>
      </c>
    </row>
    <row r="335">
      <c r="R335" t="n">
        <v>130.7599999999931</v>
      </c>
      <c r="S335" t="n">
        <v>153.3600673232944</v>
      </c>
      <c r="T335" t="n">
        <v>60.06360246324969</v>
      </c>
    </row>
    <row r="336">
      <c r="R336" t="n">
        <v>131.1599999999933</v>
      </c>
      <c r="S336" t="n">
        <v>154.4345515888488</v>
      </c>
      <c r="T336" t="n">
        <v>60.15838523314852</v>
      </c>
    </row>
    <row r="337">
      <c r="R337" t="n">
        <v>131.5599999999935</v>
      </c>
      <c r="S337" t="n">
        <v>155.5282042695817</v>
      </c>
      <c r="T337" t="n">
        <v>60.25349090819917</v>
      </c>
    </row>
    <row r="338">
      <c r="R338" t="n">
        <v>131.9599999999937</v>
      </c>
      <c r="S338" t="n">
        <v>156.6414747561391</v>
      </c>
      <c r="T338" t="n">
        <v>60.34892335561216</v>
      </c>
    </row>
    <row r="339">
      <c r="R339" t="n">
        <v>132.3599999999939</v>
      </c>
      <c r="S339" t="n">
        <v>157.7748202687058</v>
      </c>
      <c r="T339" t="n">
        <v>60.44468624633905</v>
      </c>
    </row>
    <row r="340">
      <c r="R340" t="n">
        <v>132.7599999999941</v>
      </c>
      <c r="S340" t="n">
        <v>158.9287058486761</v>
      </c>
      <c r="T340" t="n">
        <v>60.54078305274824</v>
      </c>
    </row>
    <row r="341">
      <c r="R341" t="n">
        <v>133.1599999999943</v>
      </c>
      <c r="S341" t="n">
        <v>160.103604351364</v>
      </c>
      <c r="T341" t="n">
        <v>60.63721704698687</v>
      </c>
    </row>
    <row r="342">
      <c r="R342" t="n">
        <v>133.5599999999945</v>
      </c>
      <c r="S342" t="n">
        <v>161.2999964427487</v>
      </c>
      <c r="T342" t="n">
        <v>60.73399130003915</v>
      </c>
    </row>
    <row r="343">
      <c r="R343" t="n">
        <v>133.9599999999947</v>
      </c>
      <c r="S343" t="n">
        <v>162.5183706031867</v>
      </c>
      <c r="T343" t="n">
        <v>60.83110868144801</v>
      </c>
    </row>
    <row r="344">
      <c r="R344" t="n">
        <v>134.3599999999949</v>
      </c>
      <c r="S344" t="n">
        <v>163.7592231410062</v>
      </c>
      <c r="T344" t="n">
        <v>60.92857185968317</v>
      </c>
    </row>
    <row r="345">
      <c r="R345" t="n">
        <v>134.7599999999951</v>
      </c>
      <c r="S345" t="n">
        <v>165.0230582186271</v>
      </c>
      <c r="T345" t="n">
        <v>61.0263833030991</v>
      </c>
    </row>
    <row r="346">
      <c r="R346" t="n">
        <v>135.1599999999953</v>
      </c>
      <c r="S346" t="n">
        <v>166.3103878936532</v>
      </c>
      <c r="T346" t="n">
        <v>61.12454528143299</v>
      </c>
    </row>
    <row r="347">
      <c r="R347" t="n">
        <v>135.5599999999955</v>
      </c>
      <c r="S347" t="n">
        <v>167.6217321770297</v>
      </c>
      <c r="T347" t="n">
        <v>61.22305986777558</v>
      </c>
    </row>
    <row r="348">
      <c r="R348" t="n">
        <v>135.9599999999957</v>
      </c>
      <c r="S348" t="n">
        <v>168.9576191099143</v>
      </c>
      <c r="T348" t="n">
        <v>61.32192894093998</v>
      </c>
    </row>
    <row r="349">
      <c r="R349" t="n">
        <v>136.3599999999959</v>
      </c>
      <c r="S349" t="n">
        <v>170.3185848605473</v>
      </c>
      <c r="T349" t="n">
        <v>61.42115418816112</v>
      </c>
    </row>
    <row r="350">
      <c r="R350" t="n">
        <v>136.7599999999962</v>
      </c>
      <c r="S350" t="n">
        <v>171.7051738417883</v>
      </c>
      <c r="T350" t="n">
        <v>61.52073710803878</v>
      </c>
    </row>
    <row r="351">
      <c r="R351" t="n">
        <v>137.1599999999964</v>
      </c>
      <c r="S351" t="n">
        <v>173.1179388495831</v>
      </c>
      <c r="T351" t="n">
        <v>61.62067901366052</v>
      </c>
    </row>
    <row r="352">
      <c r="R352" t="n">
        <v>137.5599999999966</v>
      </c>
      <c r="S352" t="n">
        <v>174.5574412220041</v>
      </c>
      <c r="T352" t="n">
        <v>61.72098103582645</v>
      </c>
    </row>
    <row r="353">
      <c r="R353" t="n">
        <v>137.9599999999968</v>
      </c>
      <c r="S353" t="n">
        <v>176.0242510180336</v>
      </c>
      <c r="T353" t="n">
        <v>61.8216441263165</v>
      </c>
    </row>
    <row r="354">
      <c r="R354" t="n">
        <v>138.359999999997</v>
      </c>
      <c r="S354" t="n">
        <v>177.5189472147371</v>
      </c>
      <c r="T354" t="n">
        <v>61.92266906114044</v>
      </c>
    </row>
    <row r="355">
      <c r="R355" t="n">
        <v>138.7599999999972</v>
      </c>
      <c r="S355" t="n">
        <v>179.042117921056</v>
      </c>
      <c r="T355" t="n">
        <v>62.02405644373633</v>
      </c>
    </row>
    <row r="356">
      <c r="R356" t="n">
        <v>139.1599999999974</v>
      </c>
      <c r="S356" t="n">
        <v>180.5943606059516</v>
      </c>
      <c r="T356" t="n">
        <v>62.12580670806472</v>
      </c>
    </row>
    <row r="357">
      <c r="R357" t="n">
        <v>139.5599999999976</v>
      </c>
      <c r="S357" t="n">
        <v>182.1762823384179</v>
      </c>
      <c r="T357" t="n">
        <v>62.22792012159526</v>
      </c>
    </row>
    <row r="358">
      <c r="R358" t="n">
        <v>139.9599999999978</v>
      </c>
      <c r="S358" t="n">
        <v>183.7885000365121</v>
      </c>
      <c r="T358" t="n">
        <v>62.33039678816232</v>
      </c>
    </row>
    <row r="359">
      <c r="R359" t="n">
        <v>140.359999999998</v>
      </c>
      <c r="S359" t="n">
        <v>185.4316407224258</v>
      </c>
      <c r="T359" t="n">
        <v>62.43323665069228</v>
      </c>
    </row>
    <row r="360">
      <c r="R360" t="n">
        <v>140.7599999999982</v>
      </c>
      <c r="S360" t="n">
        <v>187.1063417804992</v>
      </c>
      <c r="T360" t="n">
        <v>62.53643949381468</v>
      </c>
    </row>
    <row r="361">
      <c r="R361" t="n">
        <v>141.1599999999984</v>
      </c>
      <c r="S361" t="n">
        <v>188.8132512150974</v>
      </c>
      <c r="T361" t="n">
        <v>62.64000494637455</v>
      </c>
    </row>
    <row r="362">
      <c r="R362" t="n">
        <v>141.5599999999986</v>
      </c>
      <c r="S362" t="n">
        <v>190.5530279052883</v>
      </c>
      <c r="T362" t="n">
        <v>62.74393248387012</v>
      </c>
    </row>
    <row r="363">
      <c r="R363" t="n">
        <v>141.9599999999988</v>
      </c>
      <c r="S363" t="n">
        <v>192.3263418534843</v>
      </c>
      <c r="T363" t="n">
        <v>62.84822143085167</v>
      </c>
    </row>
    <row r="364">
      <c r="R364" t="n">
        <v>142.359999999999</v>
      </c>
      <c r="S364" t="n">
        <v>194.1338744253495</v>
      </c>
      <c r="T364" t="n">
        <v>62.95287096331118</v>
      </c>
    </row>
    <row r="365">
      <c r="R365" t="n">
        <v>142.7599999999992</v>
      </c>
      <c r="S365" t="n">
        <v>195.9763185786039</v>
      </c>
      <c r="T365" t="n">
        <v>63.05788011110048</v>
      </c>
    </row>
    <row r="366">
      <c r="R366" t="n">
        <v>143.1599999999994</v>
      </c>
      <c r="S366" t="n">
        <v>197.8543790786681</v>
      </c>
      <c r="T366" t="n">
        <v>63.16324776041436</v>
      </c>
    </row>
    <row r="367">
      <c r="R367" t="n">
        <v>143.5599999999996</v>
      </c>
      <c r="S367" t="n">
        <v>199.7687726994137</v>
      </c>
      <c r="T367" t="n">
        <v>63.26897265636619</v>
      </c>
    </row>
    <row r="368">
      <c r="R368" t="n">
        <v>143.9599999999998</v>
      </c>
      <c r="S368" t="n">
        <v>201.7202284076988</v>
      </c>
      <c r="T368" t="n">
        <v>63.37505340568399</v>
      </c>
    </row>
    <row r="369">
      <c r="R369" t="n">
        <v>144.36</v>
      </c>
      <c r="S369" t="n">
        <v>203.7094875307207</v>
      </c>
      <c r="T369" t="n">
        <v>63.48148847955086</v>
      </c>
    </row>
    <row r="370">
      <c r="R370" t="n">
        <v>144.7600000000002</v>
      </c>
      <c r="S370" t="n">
        <v>205.7373039055976</v>
      </c>
      <c r="T370" t="n">
        <v>63.58827621659949</v>
      </c>
    </row>
    <row r="371">
      <c r="R371" t="n">
        <v>145.1600000000005</v>
      </c>
      <c r="S371" t="n">
        <v>207.8044440109395</v>
      </c>
      <c r="T371" t="n">
        <v>63.69541482606688</v>
      </c>
    </row>
    <row r="372">
      <c r="R372" t="n">
        <v>145.5600000000007</v>
      </c>
      <c r="S372" t="n">
        <v>209.9116870805077</v>
      </c>
      <c r="T372" t="n">
        <v>63.8029023911074</v>
      </c>
    </row>
    <row r="373">
      <c r="R373" t="n">
        <v>145.5800000000007</v>
      </c>
      <c r="S373" t="n">
        <v>210.0181160913929</v>
      </c>
      <c r="T373" t="n">
        <v>63.80828589381064</v>
      </c>
    </row>
  </sheetData>
  <hyperlinks>
    <hyperlink ref="B3" location="'Übersicht'!A1" display="← zur Übersicht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2026-10-15T13:38:50Z</dcterms:created>
  <dcterms:modified xmlns:dcterms="http://purl.org/dc/terms/" xmlns:xsi="http://www.w3.org/2001/XMLSchema-instance" xsi:type="dcterms:W3CDTF">2026-10-15T13:38:50Z</dcterms:modified>
</cp:coreProperties>
</file>