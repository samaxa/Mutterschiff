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ersicht" sheetId="1" state="visible" r:id="rId1"/>
    <sheet xmlns:r="http://schemas.openxmlformats.org/officeDocument/2006/relationships" name="01 Stillstand &amp; Zieldruck" sheetId="2" state="visible" r:id="rId2"/>
    <sheet xmlns:r="http://schemas.openxmlformats.org/officeDocument/2006/relationships" name="02 Arbeitsgas &amp; Teufe" sheetId="3" state="visible" r:id="rId3"/>
    <sheet xmlns:r="http://schemas.openxmlformats.org/officeDocument/2006/relationships" name="03 Zyklus" sheetId="4" state="visible" r:id="rId4"/>
    <sheet xmlns:r="http://schemas.openxmlformats.org/officeDocument/2006/relationships" name="04 Bohrlochkopf" sheetId="5" state="visible" r:id="rId5"/>
    <sheet xmlns:r="http://schemas.openxmlformats.org/officeDocument/2006/relationships" name="05 Speicherbedarf" sheetId="6" state="visible" r:id="rId6"/>
    <sheet xmlns:r="http://schemas.openxmlformats.org/officeDocument/2006/relationships" name="06 Ausspeichergas" sheetId="7" state="visible" r:id="rId7"/>
    <sheet xmlns:r="http://schemas.openxmlformats.org/officeDocument/2006/relationships" name="Quellen" sheetId="8" state="visible" r:id="rId8"/>
    <sheet xmlns:r="http://schemas.openxmlformats.org/officeDocument/2006/relationships" name="Diagrammdaten" sheetId="9" state="visible" r:id="rId9"/>
  </sheets>
  <definedNames>
    <definedName name="z_lccs">Übersicht!$F$29</definedName>
    <definedName name="dz_bezug">Übersicht!$F$30</definedName>
    <definedName name="V_kav">Übersicht!$F$31</definedName>
    <definedName name="p_max">Übersicht!$F$32</definedName>
    <definedName name="p_min">Übersicht!$F$33</definedName>
    <definedName name="T0">Übersicht!$F$35</definedName>
    <definedName name="gradT">Übersicht!$F$36</definedName>
    <definedName name="UA">Übersicht!$F$37</definedName>
    <definedName name="Vn_min">Übersicht!$F$39</definedName>
    <definedName name="Vn_max">Übersicht!$F$40</definedName>
    <definedName name="dpdt_max">Übersicht!$F$41</definedName>
    <definedName name="dpdt_vors">Übersicht!$F$42</definedName>
    <definedName name="t_still">Übersicht!$F$43</definedName>
    <definedName name="D_strang">Übersicht!$F$45</definedName>
    <definedName name="f_darcy">Übersicht!$F$46</definedName>
    <definedName name="v_max">Übersicht!$F$47</definedName>
    <definedName name="p_rueck">Übersicht!$F$49</definedName>
    <definedName name="p_gas">Übersicht!$F$50</definedName>
    <definedName name="T_kopf_min">Übersicht!$F$51</definedName>
    <definedName name="Stand_ok">Übersicht!$Q$25</definedName>
    <definedName name="Kopf_voll">'01 Stillstand &amp; Zieldruck'!$D$8</definedName>
    <definedName name="Kopf_leer">'01 Stillstand &amp; Zieldruck'!$D$10</definedName>
    <definedName name="p_grenzfall">'01 Stillstand &amp; Zieldruck'!$C$9</definedName>
    <definedName name="Kopf_betr_S1">'01 Stillstand &amp; Zieldruck'!$D$15</definedName>
    <definedName name="Kopf_betr_S2">'01 Stillstand &amp; Zieldruck'!$D$17</definedName>
    <definedName name="TGV">'02 Arbeitsgas &amp; Teufe'!$C$7</definedName>
    <definedName name="Grenzrate">'03 Zyklus'!$L$19</definedName>
    <definedName name="AG_zyklus">'03 Zyklus'!$C$54</definedName>
    <definedName name="AG_anteil">'03 Zyklus'!$D$54</definedName>
    <definedName name="Zyklusdauer">'03 Zyklus'!$E$54</definedName>
    <definedName name="Zyklen_a">'03 Zyklus'!$F$54</definedName>
    <definedName name="Kopf_aus_min">'04 Bohrlochkopf'!$D$15</definedName>
    <definedName name="T_kopf_aus_min">'04 Bohrlochkopf'!$D$16</definedName>
    <definedName name="T_drossel_min">'04 Bohrlochkopf'!$D$17</definedName>
    <definedName name="Kavernen_min">'05 Speicherbedarf'!$C$9</definedName>
    <definedName name="Kavernen_max">'05 Speicherbedarf'!$D$9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0.0"/>
    <numFmt numFmtId="165" formatCode="0.000"/>
    <numFmt numFmtId="166" formatCode="0.0000"/>
    <numFmt numFmtId="167" formatCode="0.0%"/>
    <numFmt numFmtId="168" formatCode="#,##0.0#"/>
    <numFmt numFmtId="169" formatCode="#,##0.0"/>
    <numFmt numFmtId="170" formatCode="0.000000"/>
  </numFmts>
  <fonts count="20">
    <font>
      <name val="Calibri"/>
      <family val="2"/>
      <color theme="1"/>
      <sz val="11"/>
      <scheme val="minor"/>
    </font>
    <font>
      <name val="Calibri"/>
      <b val="1"/>
      <color rgb="0000304F"/>
      <sz val="20"/>
    </font>
    <font>
      <name val="Calibri"/>
      <i val="1"/>
      <color rgb="00595959"/>
      <sz val="10"/>
    </font>
    <font>
      <name val="Calibri"/>
      <b val="1"/>
      <color rgb="0000304F"/>
      <sz val="11"/>
    </font>
    <font>
      <name val="Calibri"/>
      <sz val="10"/>
    </font>
    <font>
      <name val="Calibri"/>
      <b val="1"/>
      <color rgb="000000FF"/>
      <sz val="10"/>
    </font>
    <font>
      <name val="Calibri"/>
      <i val="1"/>
      <color rgb="00595959"/>
      <sz val="9"/>
    </font>
    <font>
      <name val="Calibri"/>
      <color rgb="00404040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color rgb="009C0006"/>
      <sz val="10"/>
    </font>
    <font>
      <name val="Calibri"/>
      <b val="1"/>
      <color rgb="000476D9"/>
      <sz val="10"/>
    </font>
    <font>
      <name val="Calibri"/>
      <b val="1"/>
      <color rgb="00FFFFFF"/>
      <sz val="12"/>
    </font>
    <font>
      <name val="Calibri"/>
      <b val="1"/>
      <sz val="10"/>
    </font>
    <font>
      <name val="Calibri"/>
      <b val="1"/>
      <color rgb="00FFFFFF"/>
      <sz val="10"/>
    </font>
    <font>
      <name val="Calibri"/>
      <b val="1"/>
      <color rgb="0000304F"/>
      <sz val="10"/>
    </font>
    <font>
      <color rgb="00FFFFFF"/>
      <sz val="8"/>
    </font>
    <font>
      <b val="1"/>
      <color rgb="0000304F"/>
    </font>
    <font>
      <b val="1"/>
    </font>
    <font>
      <name val="Calibri"/>
      <b val="1"/>
      <color rgb="0000304F"/>
      <sz val="16"/>
    </font>
  </fonts>
  <fills count="11">
    <fill>
      <patternFill/>
    </fill>
    <fill>
      <patternFill patternType="gray125"/>
    </fill>
    <fill>
      <patternFill patternType="solid">
        <fgColor rgb="00FFF7EE"/>
      </patternFill>
    </fill>
    <fill>
      <patternFill patternType="solid">
        <fgColor rgb="00FFF2CC"/>
      </patternFill>
    </fill>
    <fill>
      <patternFill patternType="solid">
        <fgColor rgb="00E7E6E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8CBAD"/>
      </patternFill>
    </fill>
    <fill>
      <patternFill patternType="solid">
        <fgColor rgb="0000304F"/>
      </patternFill>
    </fill>
    <fill>
      <patternFill patternType="solid">
        <fgColor rgb="001F4E79"/>
      </patternFill>
    </fill>
    <fill>
      <patternFill patternType="solid">
        <fgColor rgb="00DDE7F0"/>
      </patternFill>
    </fill>
  </fills>
  <borders count="17">
    <border>
      <left/>
      <right/>
      <top/>
      <bottom/>
      <diagonal/>
    </border>
    <border>
      <left style="thin">
        <color rgb="00EE7203"/>
      </left>
      <right style="thin">
        <color rgb="00EE7203"/>
      </right>
      <top style="thin">
        <color rgb="00EE7203"/>
      </top>
      <bottom style="thin">
        <color rgb="00EE7203"/>
      </bottom>
    </border>
    <border>
      <left/>
      <right/>
      <top style="thin">
        <color rgb="00EE7203"/>
      </top>
      <bottom/>
      <diagonal/>
    </border>
    <border>
      <left style="thin">
        <color rgb="00EE7203"/>
      </left>
      <right/>
      <top/>
      <bottom/>
      <diagonal/>
    </border>
    <border>
      <left/>
      <right style="thin">
        <color rgb="00EE7203"/>
      </right>
      <top style="thin">
        <color rgb="00EE7203"/>
      </top>
      <bottom/>
      <diagonal/>
    </border>
    <border>
      <left/>
      <right style="thin">
        <color rgb="00EE7203"/>
      </right>
      <top/>
      <bottom/>
      <diagonal/>
    </border>
    <border>
      <left style="thin">
        <color rgb="00EE7203"/>
      </left>
      <right/>
      <top/>
      <bottom style="thin">
        <color rgb="00EE7203"/>
      </bottom>
      <diagonal/>
    </border>
    <border>
      <left/>
      <right/>
      <top/>
      <bottom style="thin">
        <color rgb="00EE7203"/>
      </bottom>
      <diagonal/>
    </border>
    <border>
      <left/>
      <right style="thin">
        <color rgb="00EE7203"/>
      </right>
      <top/>
      <bottom style="thin">
        <color rgb="00EE7203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EE7203"/>
      </top>
      <bottom style="thin">
        <color rgb="00EE7203"/>
      </bottom>
      <diagonal/>
    </border>
    <border>
      <left/>
      <right style="thin">
        <color rgb="00EE7203"/>
      </right>
      <top style="thin">
        <color rgb="00EE7203"/>
      </top>
      <bottom style="thin">
        <color rgb="00EE7203"/>
      </bottom>
      <diagonal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2" borderId="1" applyAlignment="1" pivotButton="0" quotePrefix="0" xfId="0">
      <alignment vertical="top" wrapText="1"/>
    </xf>
    <xf numFmtId="0" fontId="0" fillId="0" borderId="2" pivotButton="0" quotePrefix="0" xfId="0"/>
    <xf numFmtId="0" fontId="0" fillId="0" borderId="4" pivotButton="0" quotePrefix="0" xfId="0"/>
    <xf numFmtId="164" fontId="5" fillId="3" borderId="9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0" fillId="0" borderId="3" pivotButton="0" quotePrefix="0" xfId="0"/>
    <xf numFmtId="0" fontId="0" fillId="0" borderId="5" pivotButton="0" quotePrefix="0" xfId="0"/>
    <xf numFmtId="164" fontId="7" fillId="4" borderId="9" applyAlignment="1" pivotButton="0" quotePrefix="0" xfId="0">
      <alignment horizontal="center" vertical="center"/>
    </xf>
    <xf numFmtId="164" fontId="8" fillId="5" borderId="9" applyAlignment="1" pivotButton="0" quotePrefix="0" xfId="0">
      <alignment horizontal="center" vertical="center"/>
    </xf>
    <xf numFmtId="164" fontId="9" fillId="6" borderId="9" applyAlignment="1" pivotButton="0" quotePrefix="0" xfId="0">
      <alignment horizontal="center" vertical="center"/>
    </xf>
    <xf numFmtId="0" fontId="10" fillId="7" borderId="9" applyAlignment="1" pivotButton="0" quotePrefix="0" xfId="0">
      <alignment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11" fillId="0" borderId="0" applyAlignment="1" pivotButton="0" quotePrefix="0" xfId="0">
      <alignment vertical="center"/>
    </xf>
    <xf numFmtId="0" fontId="4" fillId="0" borderId="10" applyAlignment="1" pivotButton="0" quotePrefix="0" xfId="0">
      <alignment vertical="center" wrapText="1"/>
    </xf>
    <xf numFmtId="0" fontId="12" fillId="8" borderId="0" applyAlignment="1" pivotButton="0" quotePrefix="0" xfId="0">
      <alignment vertical="center"/>
    </xf>
    <xf numFmtId="0" fontId="13" fillId="0" borderId="9" applyAlignment="1" pivotButton="0" quotePrefix="0" xfId="0">
      <alignment vertical="center" wrapText="1"/>
    </xf>
    <xf numFmtId="0" fontId="0" fillId="0" borderId="13" pivotButton="0" quotePrefix="0" xfId="0"/>
    <xf numFmtId="0" fontId="0" fillId="0" borderId="14" pivotButton="0" quotePrefix="0" xfId="0"/>
    <xf numFmtId="0" fontId="16" fillId="0" borderId="0" pivotButton="0" quotePrefix="0" xfId="0"/>
    <xf numFmtId="0" fontId="14" fillId="9" borderId="9" applyAlignment="1" pivotButton="0" quotePrefix="0" xfId="0">
      <alignment horizontal="center" vertical="center" wrapText="1"/>
    </xf>
    <xf numFmtId="0" fontId="15" fillId="10" borderId="9" applyAlignment="1" pivotButton="0" quotePrefix="0" xfId="0">
      <alignment vertical="center"/>
    </xf>
    <xf numFmtId="0" fontId="4" fillId="0" borderId="9" applyAlignment="1" pivotButton="0" quotePrefix="0" xfId="0">
      <alignment vertical="center" wrapText="1"/>
    </xf>
    <xf numFmtId="1" fontId="5" fillId="3" borderId="9" applyAlignment="1" pivotButton="0" quotePrefix="0" xfId="0">
      <alignment horizontal="center" vertical="center"/>
    </xf>
    <xf numFmtId="1" fontId="7" fillId="4" borderId="9" applyAlignment="1" pivotButton="0" quotePrefix="0" xfId="0">
      <alignment horizontal="center" vertical="center"/>
    </xf>
    <xf numFmtId="3" fontId="5" fillId="3" borderId="9" applyAlignment="1" pivotButton="0" quotePrefix="0" xfId="0">
      <alignment horizontal="center" vertical="center"/>
    </xf>
    <xf numFmtId="3" fontId="7" fillId="4" borderId="9" applyAlignment="1" pivotButton="0" quotePrefix="0" xfId="0">
      <alignment horizontal="center" vertical="center"/>
    </xf>
    <xf numFmtId="165" fontId="5" fillId="3" borderId="9" applyAlignment="1" pivotButton="0" quotePrefix="0" xfId="0">
      <alignment horizontal="center" vertical="center"/>
    </xf>
    <xf numFmtId="165" fontId="7" fillId="4" borderId="9" applyAlignment="1" pivotButton="0" quotePrefix="0" xfId="0">
      <alignment horizontal="center" vertical="center"/>
    </xf>
    <xf numFmtId="2" fontId="5" fillId="3" borderId="9" applyAlignment="1" pivotButton="0" quotePrefix="0" xfId="0">
      <alignment horizontal="center" vertical="center"/>
    </xf>
    <xf numFmtId="2" fontId="7" fillId="4" borderId="9" applyAlignment="1" pivotButton="0" quotePrefix="0" xfId="0">
      <alignment horizontal="center" vertical="center"/>
    </xf>
    <xf numFmtId="166" fontId="5" fillId="3" borderId="9" applyAlignment="1" pivotButton="0" quotePrefix="0" xfId="0">
      <alignment horizontal="center" vertical="center"/>
    </xf>
    <xf numFmtId="166" fontId="7" fillId="4" borderId="9" applyAlignment="1" pivotButton="0" quotePrefix="0" xfId="0">
      <alignment horizontal="center" vertical="center"/>
    </xf>
    <xf numFmtId="0" fontId="7" fillId="4" borderId="9" applyAlignment="1" pivotButton="0" quotePrefix="0" xfId="0">
      <alignment horizontal="center" vertical="center"/>
    </xf>
    <xf numFmtId="3" fontId="9" fillId="6" borderId="9" applyAlignment="1" pivotButton="0" quotePrefix="0" xfId="0">
      <alignment horizontal="center" vertical="center"/>
    </xf>
    <xf numFmtId="1" fontId="9" fillId="6" borderId="9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4" fillId="0" borderId="9" applyAlignment="1" pivotButton="0" quotePrefix="0" xfId="0">
      <alignment horizontal="center" vertical="center" wrapText="1"/>
    </xf>
    <xf numFmtId="3" fontId="8" fillId="5" borderId="9" applyAlignment="1" pivotButton="0" quotePrefix="0" xfId="0">
      <alignment horizontal="center" vertical="center"/>
    </xf>
    <xf numFmtId="9" fontId="9" fillId="6" borderId="9" applyAlignment="1" pivotButton="0" quotePrefix="0" xfId="0">
      <alignment horizontal="center" vertical="center"/>
    </xf>
    <xf numFmtId="9" fontId="8" fillId="5" borderId="9" applyAlignment="1" pivotButton="0" quotePrefix="0" xfId="0">
      <alignment horizontal="center" vertical="center"/>
    </xf>
    <xf numFmtId="167" fontId="8" fillId="5" borderId="9" applyAlignment="1" pivotButton="0" quotePrefix="0" xfId="0">
      <alignment horizontal="center" vertical="center"/>
    </xf>
    <xf numFmtId="1" fontId="8" fillId="5" borderId="9" applyAlignment="1" pivotButton="0" quotePrefix="0" xfId="0">
      <alignment horizontal="center" vertical="center"/>
    </xf>
    <xf numFmtId="9" fontId="7" fillId="4" borderId="9" applyAlignment="1" pivotButton="0" quotePrefix="0" xfId="0">
      <alignment horizontal="center" vertical="center"/>
    </xf>
    <xf numFmtId="165" fontId="8" fillId="5" borderId="9" applyAlignment="1" pivotButton="0" quotePrefix="0" xfId="0">
      <alignment horizontal="center" vertical="center"/>
    </xf>
    <xf numFmtId="2" fontId="8" fillId="5" borderId="9" applyAlignment="1" pivotButton="0" quotePrefix="0" xfId="0">
      <alignment horizontal="center" vertical="center"/>
    </xf>
    <xf numFmtId="168" fontId="7" fillId="4" borderId="9" applyAlignment="1" pivotButton="0" quotePrefix="0" xfId="0">
      <alignment horizontal="center" vertical="center"/>
    </xf>
    <xf numFmtId="169" fontId="7" fillId="4" borderId="9" applyAlignment="1" pivotButton="0" quotePrefix="0" xfId="0">
      <alignment horizontal="center" vertical="center"/>
    </xf>
    <xf numFmtId="170" fontId="7" fillId="4" borderId="9" applyAlignment="1" pivotButton="0" quotePrefix="0" xfId="0">
      <alignment horizontal="center" vertical="center"/>
    </xf>
    <xf numFmtId="0" fontId="19" fillId="0" borderId="0" pivotButton="0" quotePrefix="0" xfId="0"/>
    <xf numFmtId="0" fontId="2" fillId="0" borderId="0" pivotButton="0" quotePrefix="0" xfId="0"/>
    <xf numFmtId="0" fontId="17" fillId="0" borderId="0" pivotButton="0" quotePrefix="0" xfId="0"/>
    <xf numFmtId="0" fontId="18" fillId="0" borderId="0" pivotButton="0" quotePrefix="0" xfId="0"/>
  </cellXfs>
  <cellStyles count="1">
    <cellStyle name="Normal" xfId="0" builtinId="0" hidden="0"/>
  </cellStyles>
  <dxfs count="3">
    <dxf>
      <font>
        <b val="1"/>
        <color rgb="009C0006"/>
      </font>
      <fill>
        <patternFill>
          <bgColor rgb="00FFE5E5"/>
        </patternFill>
      </fill>
    </dxf>
    <dxf>
      <font>
        <b val="1"/>
        <color rgb="00007335"/>
      </font>
    </dxf>
    <dxf>
      <font>
        <color rgb="009C0006"/>
      </font>
      <fill>
        <patternFill>
          <bgColor rgb="00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00304F"/>
                </a:solidFill>
              </a:defRPr>
            </a:pPr>
            <a:r>
              <a:rPr sz="1100" b="1">
                <a:solidFill>
                  <a:srgbClr val="00304F"/>
                </a:solidFill>
              </a:rPr>
              <a:t>Druck im Bohrloch: Stillstand und Einspeisen (100.000 Nm³/h)</a:t>
            </a:r>
          </a:p>
        </rich>
      </tx>
      <overlay val="0"/>
    </title>
    <plotArea>
      <scatterChart>
        <ser>
          <idx val="0"/>
          <order val="0"/>
          <tx>
            <v>Stillstand voll</v>
          </tx>
          <spPr>
            <a:ln xmlns:a="http://schemas.openxmlformats.org/drawingml/2006/main" w="25400">
              <a:solidFill>
                <a:srgbClr val="00304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'Diagrammdaten'!$D$7:$D$31</f>
            </numRef>
          </xVal>
          <yVal>
            <numRef>
              <f>'Diagrammdaten'!$B$7:$B$31</f>
            </numRef>
          </yVal>
          <smooth val="0"/>
        </ser>
        <ser>
          <idx val="1"/>
          <order val="1"/>
          <tx>
            <v>Stillstand Grenzfall</v>
          </tx>
          <spPr>
            <a:ln xmlns:a="http://schemas.openxmlformats.org/drawingml/2006/main" w="25400">
              <a:solidFill>
                <a:srgbClr val="7F7F7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'Diagrammdaten'!$E$7:$E$31</f>
            </numRef>
          </xVal>
          <yVal>
            <numRef>
              <f>'Diagrammdaten'!$B$7:$B$31</f>
            </numRef>
          </yVal>
          <smooth val="0"/>
        </ser>
        <ser>
          <idx val="2"/>
          <order val="2"/>
          <tx>
            <v>Stillstand leer</v>
          </tx>
          <spPr>
            <a:ln xmlns:a="http://schemas.openxmlformats.org/drawingml/2006/main" w="25400">
              <a:solidFill>
                <a:srgbClr val="8EA9C1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'Diagrammdaten'!$F$7:$F$31</f>
            </numRef>
          </xVal>
          <yVal>
            <numRef>
              <f>'Diagrammdaten'!$B$7:$B$31</f>
            </numRef>
          </yVal>
          <smooth val="0"/>
        </ser>
        <ser>
          <idx val="3"/>
          <order val="3"/>
          <tx>
            <v>Einspeisen S1</v>
          </tx>
          <spPr>
            <a:ln xmlns:a="http://schemas.openxmlformats.org/drawingml/2006/main" w="25400">
              <a:solidFill>
                <a:srgbClr val="00733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'Diagrammdaten'!$G$7:$G$31</f>
            </numRef>
          </xVal>
          <yVal>
            <numRef>
              <f>'Diagrammdaten'!$B$7:$B$31</f>
            </numRef>
          </yVal>
          <smooth val="0"/>
        </ser>
        <ser>
          <idx val="4"/>
          <order val="4"/>
          <tx>
            <v>Einspeisen S2</v>
          </tx>
          <spPr>
            <a:ln xmlns:a="http://schemas.openxmlformats.org/drawingml/2006/main" w="25400">
              <a:solidFill>
                <a:srgbClr val="EE720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'Diagrammdaten'!$I$7:$I$31</f>
            </numRef>
          </xVal>
          <yVal>
            <numRef>
              <f>'Diagrammdaten'!$B$7:$B$31</f>
            </numRef>
          </yVal>
          <smooth val="0"/>
        </ser>
        <axId val="10"/>
        <axId val="20"/>
      </scatterChart>
      <valAx>
        <axId val="10"/>
        <scaling>
          <orientation val="minMax"/>
          <max val="220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Druck [bar]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axMin"/>
          <max val="1200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Teufe [m]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00304F"/>
                </a:solidFill>
              </a:defRPr>
            </a:pPr>
            <a:r>
              <a:rPr sz="1100" b="1">
                <a:solidFill>
                  <a:srgbClr val="00304F"/>
                </a:solidFill>
              </a:rPr>
              <a:t>Temperatur im Bohrloch: Gebirge (Stillstand) und strömende Säule</a:t>
            </a:r>
          </a:p>
        </rich>
      </tx>
      <overlay val="0"/>
    </title>
    <plotArea>
      <scatterChart>
        <ser>
          <idx val="0"/>
          <order val="0"/>
          <tx>
            <v>Gebirge = Stillstand</v>
          </tx>
          <spPr>
            <a:ln xmlns:a="http://schemas.openxmlformats.org/drawingml/2006/main" w="25400">
              <a:solidFill>
                <a:srgbClr val="00304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'Diagrammdaten'!$C$7:$C$31</f>
            </numRef>
          </xVal>
          <yVal>
            <numRef>
              <f>'Diagrammdaten'!$B$7:$B$31</f>
            </numRef>
          </yVal>
          <smooth val="0"/>
        </ser>
        <ser>
          <idx val="1"/>
          <order val="1"/>
          <tx>
            <v>Einspeisen S1</v>
          </tx>
          <spPr>
            <a:ln xmlns:a="http://schemas.openxmlformats.org/drawingml/2006/main" w="25400">
              <a:solidFill>
                <a:srgbClr val="00733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'Diagrammdaten'!$H$7:$H$31</f>
            </numRef>
          </xVal>
          <yVal>
            <numRef>
              <f>'Diagrammdaten'!$B$7:$B$31</f>
            </numRef>
          </yVal>
          <smooth val="0"/>
        </ser>
        <ser>
          <idx val="2"/>
          <order val="2"/>
          <tx>
            <v>Einspeisen S2</v>
          </tx>
          <spPr>
            <a:ln xmlns:a="http://schemas.openxmlformats.org/drawingml/2006/main" w="25400">
              <a:solidFill>
                <a:srgbClr val="EE720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'Diagrammdaten'!$J$7:$J$31</f>
            </numRef>
          </xVal>
          <yVal>
            <numRef>
              <f>'Diagrammdaten'!$B$7:$B$31</f>
            </numRef>
          </yVal>
          <smooth val="0"/>
        </ser>
        <axId val="10"/>
        <axId val="20"/>
      </scatterChart>
      <valAx>
        <axId val="10"/>
        <scaling>
          <orientation val="minMax"/>
          <max val="60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Temperatur [°C]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axMin"/>
          <max val="1200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Teufe [m]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00304F"/>
                </a:solidFill>
              </a:defRPr>
            </a:pPr>
            <a:r>
              <a:rPr sz="1100" b="1">
                <a:solidFill>
                  <a:srgbClr val="00304F"/>
                </a:solidFill>
              </a:rPr>
              <a:t>Dichte des Kaverneninhalts über dem Druck (Gebirgstemperatur)</a:t>
            </a:r>
          </a:p>
        </rich>
      </tx>
      <overlay val="0"/>
    </title>
    <plotArea>
      <scatterChart>
        <ser>
          <idx val="0"/>
          <order val="0"/>
          <tx>
            <v>reines CO₂</v>
          </tx>
          <spPr>
            <a:ln xmlns:a="http://schemas.openxmlformats.org/drawingml/2006/main" w="28575">
              <a:solidFill>
                <a:srgbClr val="00304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'Diagrammdaten'!$L$7:$L$49</f>
            </numRef>
          </xVal>
          <yVal>
            <numRef>
              <f>'Diagrammdaten'!$M$7:$M$49</f>
            </numRef>
          </yVal>
          <smooth val="0"/>
        </ser>
        <axId val="10"/>
        <axId val="20"/>
      </scatterChart>
      <valAx>
        <axId val="10"/>
        <scaling>
          <orientation val="minMax"/>
          <max val="240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Druck Kavernenmitte [bar]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Dichte [kg/m³]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00304F"/>
                </a:solidFill>
              </a:defRPr>
            </a:pPr>
            <a:r>
              <a:rPr sz="1100" b="1">
                <a:solidFill>
                  <a:srgbClr val="00304F"/>
                </a:solidFill>
              </a:rPr>
              <a:t>Zulässige Rate aus der Druckänderung (10 bar/d bzw. 6 bar/d)</a:t>
            </a:r>
          </a:p>
        </rich>
      </tx>
      <overlay val="0"/>
    </title>
    <plotArea>
      <scatterChart>
        <ser>
          <idx val="0"/>
          <order val="0"/>
          <tx>
            <v>isotherm, 10 bar/d</v>
          </tx>
          <spPr>
            <a:ln xmlns:a="http://schemas.openxmlformats.org/drawingml/2006/main" w="25400">
              <a:solidFill>
                <a:srgbClr val="00304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'03 Zyklus'!$B$16:$B$44</f>
            </numRef>
          </xVal>
          <yVal>
            <numRef>
              <f>'03 Zyklus'!$D$16:$D$44</f>
            </numRef>
          </yVal>
          <smooth val="0"/>
        </ser>
        <ser>
          <idx val="1"/>
          <order val="1"/>
          <tx>
            <v>isotherm, 6 bar/d</v>
          </tx>
          <spPr>
            <a:ln xmlns:a="http://schemas.openxmlformats.org/drawingml/2006/main" w="19050">
              <a:solidFill>
                <a:srgbClr val="00304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'03 Zyklus'!$B$16:$B$44</f>
            </numRef>
          </xVal>
          <yVal>
            <numRef>
              <f>'03 Zyklus'!$C$16:$C$44</f>
            </numRef>
          </yVal>
          <smooth val="0"/>
        </ser>
        <ser>
          <idx val="2"/>
          <order val="2"/>
          <tx>
            <v>isentrop, 10 bar/d</v>
          </tx>
          <spPr>
            <a:ln xmlns:a="http://schemas.openxmlformats.org/drawingml/2006/main" w="25400">
              <a:solidFill>
                <a:srgbClr val="EE720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'03 Zyklus'!$B$16:$B$44</f>
            </numRef>
          </xVal>
          <yVal>
            <numRef>
              <f>'03 Zyklus'!$F$16:$F$44</f>
            </numRef>
          </yVal>
          <smooth val="0"/>
        </ser>
        <ser>
          <idx val="3"/>
          <order val="3"/>
          <tx>
            <v>isentrop, 6 bar/d</v>
          </tx>
          <spPr>
            <a:ln xmlns:a="http://schemas.openxmlformats.org/drawingml/2006/main" w="19050">
              <a:solidFill>
                <a:srgbClr val="EE7203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'03 Zyklus'!$B$16:$B$44</f>
            </numRef>
          </xVal>
          <yVal>
            <numRef>
              <f>'03 Zyklus'!$E$16:$E$44</f>
            </numRef>
          </yVal>
          <smooth val="0"/>
        </ser>
        <axId val="10"/>
        <axId val="20"/>
      </scatterChart>
      <valAx>
        <axId val="10"/>
        <scaling>
          <orientation val="minMax"/>
          <max val="220"/>
          <min val="6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Druck LCCS [bar]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Rate [kg/s]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00304F"/>
                </a:solidFill>
              </a:defRPr>
            </a:pPr>
            <a:r>
              <a:rPr sz="1100" b="1">
                <a:solidFill>
                  <a:srgbClr val="00304F"/>
                </a:solidFill>
              </a:rPr>
              <a:t>Druck an der LCCS über einen Zyklus (S2, 100.000 Nm³/h)</a:t>
            </a:r>
          </a:p>
        </rich>
      </tx>
      <overlay val="0"/>
    </title>
    <plotArea>
      <scatterChart>
        <ser>
          <idx val="0"/>
          <order val="0"/>
          <tx>
            <v>Stillstand 21,67 d (Q-028)</v>
          </tx>
          <spPr>
            <a:ln xmlns:a="http://schemas.openxmlformats.org/drawingml/2006/main" w="25400">
              <a:solidFill>
                <a:srgbClr val="00304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'Diagrammdaten'!$O$7:$O$337</f>
            </numRef>
          </xVal>
          <yVal>
            <numRef>
              <f>'Diagrammdaten'!$P$7:$P$337</f>
            </numRef>
          </yVal>
          <smooth val="0"/>
        </ser>
        <ser>
          <idx val="1"/>
          <order val="1"/>
          <tx>
            <v>kontinuierlich (0 d)</v>
          </tx>
          <spPr>
            <a:ln xmlns:a="http://schemas.openxmlformats.org/drawingml/2006/main" w="25400">
              <a:solidFill>
                <a:srgbClr val="EE720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'Diagrammdaten'!$R$7:$R$393</f>
            </numRef>
          </xVal>
          <yVal>
            <numRef>
              <f>'Diagrammdaten'!$S$7:$S$393</f>
            </numRef>
          </yVal>
          <smooth val="0"/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Zeit [d]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220"/>
          <min val="5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 LCCS [bar]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00304F"/>
                </a:solidFill>
              </a:defRPr>
            </a:pPr>
            <a:r>
              <a:rPr sz="1100" b="1">
                <a:solidFill>
                  <a:srgbClr val="00304F"/>
                </a:solidFill>
              </a:rPr>
              <a:t>Temperatur des Kaverneninhalts über einen Zyklus (S2, 100.000 Nm³/h)</a:t>
            </a:r>
          </a:p>
        </rich>
      </tx>
      <overlay val="0"/>
    </title>
    <plotArea>
      <scatterChart>
        <ser>
          <idx val="0"/>
          <order val="0"/>
          <tx>
            <v>Stillstand 21,67 d (Q-028)</v>
          </tx>
          <spPr>
            <a:ln xmlns:a="http://schemas.openxmlformats.org/drawingml/2006/main" w="25400">
              <a:solidFill>
                <a:srgbClr val="00304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'Diagrammdaten'!$O$7:$O$337</f>
            </numRef>
          </xVal>
          <yVal>
            <numRef>
              <f>'Diagrammdaten'!$Q$7:$Q$337</f>
            </numRef>
          </yVal>
          <smooth val="0"/>
        </ser>
        <ser>
          <idx val="1"/>
          <order val="1"/>
          <tx>
            <v>kontinuierlich (0 d)</v>
          </tx>
          <spPr>
            <a:ln xmlns:a="http://schemas.openxmlformats.org/drawingml/2006/main" w="25400">
              <a:solidFill>
                <a:srgbClr val="EE720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'Diagrammdaten'!$R$7:$R$393</f>
            </numRef>
          </xVal>
          <yVal>
            <numRef>
              <f>'Diagrammdaten'!$T$7:$T$393</f>
            </numRef>
          </yVal>
          <smooth val="0"/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Zeit [d]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 [°C]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00304F"/>
                </a:solidFill>
              </a:defRPr>
            </a:pPr>
            <a:r>
              <a:rPr sz="1100" b="1">
                <a:solidFill>
                  <a:srgbClr val="00304F"/>
                </a:solidFill>
              </a:rPr>
              <a:t>Kopfdruck über dem Kavernendruck (100.000 Nm³/h) – Kopfdruckfenster</a:t>
            </a:r>
          </a:p>
        </rich>
      </tx>
      <overlay val="0"/>
    </title>
    <plotArea>
      <scatterChart>
        <ser>
          <idx val="0"/>
          <order val="0"/>
          <tx>
            <v>Ausspeisen</v>
          </tx>
          <spPr>
            <a:ln xmlns:a="http://schemas.openxmlformats.org/drawingml/2006/main" w="25400">
              <a:solidFill>
                <a:srgbClr val="00304F"/>
              </a:solidFill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00304F"/>
              </a:solidFill>
              <a:ln xmlns:a="http://schemas.openxmlformats.org/drawingml/2006/main">
                <a:solidFill>
                  <a:srgbClr val="00304F"/>
                </a:solidFill>
                <a:prstDash val="solid"/>
              </a:ln>
            </spPr>
          </marker>
          <xVal>
            <numRef>
              <f>'Diagrammdaten'!$V$7:$V$20</f>
            </numRef>
          </xVal>
          <yVal>
            <numRef>
              <f>'Diagrammdaten'!$W$7:$W$20</f>
            </numRef>
          </yVal>
          <smooth val="0"/>
        </ser>
        <ser>
          <idx val="1"/>
          <order val="1"/>
          <tx>
            <v>Einspeisen S1</v>
          </tx>
          <spPr>
            <a:ln xmlns:a="http://schemas.openxmlformats.org/drawingml/2006/main" w="25400">
              <a:solidFill>
                <a:srgbClr val="007335"/>
              </a:solidFill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007335"/>
              </a:solidFill>
              <a:ln xmlns:a="http://schemas.openxmlformats.org/drawingml/2006/main">
                <a:solidFill>
                  <a:srgbClr val="007335"/>
                </a:solidFill>
                <a:prstDash val="solid"/>
              </a:ln>
            </spPr>
          </marker>
          <xVal>
            <numRef>
              <f>'Diagrammdaten'!$Y$7:$Y$20</f>
            </numRef>
          </xVal>
          <yVal>
            <numRef>
              <f>'Diagrammdaten'!$Z$7:$Z$20</f>
            </numRef>
          </yVal>
          <smooth val="0"/>
        </ser>
        <ser>
          <idx val="2"/>
          <order val="2"/>
          <tx>
            <v>Einspeisen S2</v>
          </tx>
          <spPr>
            <a:ln xmlns:a="http://schemas.openxmlformats.org/drawingml/2006/main" w="25400">
              <a:solidFill>
                <a:srgbClr val="EE7203"/>
              </a:solidFill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EE7203"/>
              </a:solidFill>
              <a:ln xmlns:a="http://schemas.openxmlformats.org/drawingml/2006/main">
                <a:solidFill>
                  <a:srgbClr val="EE7203"/>
                </a:solidFill>
                <a:prstDash val="solid"/>
              </a:ln>
            </spPr>
          </marker>
          <xVal>
            <numRef>
              <f>'Diagrammdaten'!$AB$7:$AB$20</f>
            </numRef>
          </xVal>
          <yVal>
            <numRef>
              <f>'Diagrammdaten'!$AC$7:$AC$20</f>
            </numRef>
          </yVal>
          <smooth val="0"/>
        </ser>
        <axId val="10"/>
        <axId val="20"/>
      </scatterChart>
      <valAx>
        <axId val="10"/>
        <scaling>
          <orientation val="minMax"/>
          <max val="220"/>
          <min val="6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Druck LCCS [bar]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Kopfdruck [bar]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00304F"/>
                </a:solidFill>
              </a:defRPr>
            </a:pPr>
            <a:r>
              <a:rPr sz="1100" b="1">
                <a:solidFill>
                  <a:srgbClr val="00304F"/>
                </a:solidFill>
              </a:rPr>
              <a:t>Kopftemperatur über dem Kavernendruck (100.000 Nm³/h)</a:t>
            </a:r>
          </a:p>
        </rich>
      </tx>
      <overlay val="0"/>
    </title>
    <plotArea>
      <scatterChart>
        <ser>
          <idx val="0"/>
          <order val="0"/>
          <tx>
            <v>Ausspeisen</v>
          </tx>
          <spPr>
            <a:ln xmlns:a="http://schemas.openxmlformats.org/drawingml/2006/main" w="25400">
              <a:solidFill>
                <a:srgbClr val="00304F"/>
              </a:solidFill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00304F"/>
              </a:solidFill>
              <a:ln xmlns:a="http://schemas.openxmlformats.org/drawingml/2006/main">
                <a:solidFill>
                  <a:srgbClr val="00304F"/>
                </a:solidFill>
                <a:prstDash val="solid"/>
              </a:ln>
            </spPr>
          </marker>
          <xVal>
            <numRef>
              <f>'Diagrammdaten'!$V$7:$V$20</f>
            </numRef>
          </xVal>
          <yVal>
            <numRef>
              <f>'Diagrammdaten'!$X$7:$X$20</f>
            </numRef>
          </yVal>
          <smooth val="0"/>
        </ser>
        <ser>
          <idx val="1"/>
          <order val="1"/>
          <tx>
            <v>Einspeisen S1</v>
          </tx>
          <spPr>
            <a:ln xmlns:a="http://schemas.openxmlformats.org/drawingml/2006/main" w="25400">
              <a:solidFill>
                <a:srgbClr val="007335"/>
              </a:solidFill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007335"/>
              </a:solidFill>
              <a:ln xmlns:a="http://schemas.openxmlformats.org/drawingml/2006/main">
                <a:solidFill>
                  <a:srgbClr val="007335"/>
                </a:solidFill>
                <a:prstDash val="solid"/>
              </a:ln>
            </spPr>
          </marker>
          <xVal>
            <numRef>
              <f>'Diagrammdaten'!$Y$7:$Y$20</f>
            </numRef>
          </xVal>
          <yVal>
            <numRef>
              <f>'Diagrammdaten'!$AA$7:$AA$20</f>
            </numRef>
          </yVal>
          <smooth val="0"/>
        </ser>
        <ser>
          <idx val="2"/>
          <order val="2"/>
          <tx>
            <v>Einspeisen S2</v>
          </tx>
          <spPr>
            <a:ln xmlns:a="http://schemas.openxmlformats.org/drawingml/2006/main" w="25400">
              <a:solidFill>
                <a:srgbClr val="EE7203"/>
              </a:solidFill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EE7203"/>
              </a:solidFill>
              <a:ln xmlns:a="http://schemas.openxmlformats.org/drawingml/2006/main">
                <a:solidFill>
                  <a:srgbClr val="EE7203"/>
                </a:solidFill>
                <a:prstDash val="solid"/>
              </a:ln>
            </spPr>
          </marker>
          <xVal>
            <numRef>
              <f>'Diagrammdaten'!$AB$7:$AB$20</f>
            </numRef>
          </xVal>
          <yVal>
            <numRef>
              <f>'Diagrammdaten'!$AD$7:$AD$20</f>
            </numRef>
          </yVal>
          <smooth val="0"/>
        </ser>
        <axId val="10"/>
        <axId val="20"/>
      </scatterChart>
      <valAx>
        <axId val="10"/>
        <scaling>
          <orientation val="minMax"/>
          <max val="220"/>
          <min val="6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Druck LCCS [bar]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Kopftemperatur [°C]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Relationship Type="http://schemas.openxmlformats.org/officeDocument/2006/relationships/chart" Target="/xl/charts/chart6.xml" Id="rId3"/></Relationships>
</file>

<file path=xl/drawings/_rels/drawing4.xml.rels><Relationships xmlns="http://schemas.openxmlformats.org/package/2006/relationships"><Relationship Type="http://schemas.openxmlformats.org/officeDocument/2006/relationships/chart" Target="/xl/charts/chart7.xml" Id="rId1"/><Relationship Type="http://schemas.openxmlformats.org/officeDocument/2006/relationships/chart" Target="/xl/charts/chart8.xml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19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19</row>
      <rowOff>0</rowOff>
    </from>
    <ext cx="54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26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7</col>
      <colOff>0</colOff>
      <row>21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</col>
      <colOff>0</colOff>
      <row>57</row>
      <rowOff>0</rowOff>
    </from>
    <ext cx="576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6</col>
      <colOff>0</colOff>
      <row>57</row>
      <rowOff>0</rowOff>
    </from>
    <ext cx="576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</col>
      <colOff>0</colOff>
      <row>40</row>
      <rowOff>0</rowOff>
    </from>
    <ext cx="612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40</row>
      <rowOff>0</rowOff>
    </from>
    <ext cx="612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tabColor rgb="0000304F"/>
    <outlinePr summaryBelow="1" summaryRight="1"/>
    <pageSetUpPr fitToPage="1"/>
  </sheetPr>
  <dimension ref="B1:Q66"/>
  <sheetViews>
    <sheetView showGridLines="0" workbookViewId="0">
      <selection activeCell="A1" sqref="A1"/>
    </sheetView>
  </sheetViews>
  <sheetFormatPr baseColWidth="8" defaultRowHeight="15"/>
  <cols>
    <col width="2.7" customWidth="1" min="1" max="1"/>
    <col width="12" customWidth="1" min="2" max="2"/>
    <col width="12" customWidth="1" min="3" max="3"/>
    <col width="14" customWidth="1" min="4" max="4"/>
    <col width="11" customWidth="1" min="5" max="5"/>
    <col width="12" customWidth="1" min="6" max="6"/>
    <col width="9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 ht="30" customHeight="1">
      <c r="B1" s="1" t="inlineStr">
        <is>
          <t>CO₂-Zwischenspeicherung in Salzkavernen – Kaverne · reines CO₂</t>
        </is>
      </c>
    </row>
    <row r="2">
      <c r="B2" s="2" t="inlineStr">
        <is>
          <t>Rechenübersicht Kaverne · Masterarbeit Sarah Maxara · TH Köln / Uniper Energy Storage</t>
        </is>
      </c>
    </row>
    <row r="3">
      <c r="B3" s="2" t="inlineStr">
        <is>
          <t>Stand: 15.10.2026 (nach der Besprechung mit K. Vosbeck) · Stoffdaten: CoolProp 8.0.0 (Span &amp; Wagner 1996) · Abbild der Skripte Kaverne/Reines_CO2/01–04 und Kaverne/Ausspeichergas/06</t>
        </is>
      </c>
    </row>
    <row r="5">
      <c r="B5" s="3" t="inlineStr">
        <is>
          <t>Worum geht es?</t>
        </is>
      </c>
      <c r="J5" s="3" t="inlineStr">
        <is>
          <t>Farblegende der Zellen</t>
        </is>
      </c>
    </row>
    <row r="6" ht="22" customHeight="1">
      <c r="B6" s="4" t="inlineStr">
        <is>
          <r>
            <rPr>
              <rFont val="Calibri"/>
              <sz val="10"/>
            </rPr>
            <t xml:space="preserve">Diese Mappe zeigt, was in der Kaverne zwischen Einspeicherung und Ausspeicherung passiert – so weit es für die Obertageanlage wichtig ist:
</t>
          </r>
          <r>
            <rPr>
              <rFont val="Calibri"/>
              <sz val="10"/>
            </rPr>
            <t xml:space="preserve">01  Welcher Kopfdruck im Stillstand und – neu – im Betrieb (= Zieldruck der Pumpe)?
</t>
          </r>
          <r>
            <rPr>
              <rFont val="Calibri"/>
              <sz val="10"/>
            </rPr>
            <t xml:space="preserve">02  Wie viel CO₂ lässt sich umschlagen (Arbeitsgas), welche Teufe ist günstig?
</t>
          </r>
          <r>
            <rPr>
              <rFont val="Calibri"/>
              <sz val="10"/>
            </rPr>
            <t xml:space="preserve">03  Welche Rate verträgt die Kaverne, wie verläuft ein Zyklus – mit Stillstand 21,67 d (Q-028) oder kontinuierlich?
</t>
          </r>
          <r>
            <rPr>
              <rFont val="Calibri"/>
              <sz val="10"/>
            </rPr>
            <t xml:space="preserve">04  Welcher Kopfdruck und welche Temperatur beim Ein- und Ausspeichern (Kopfdruckfenster für die Regelung)?
</t>
          </r>
          <r>
            <rPr>
              <rFont val="Calibri"/>
              <sz val="10"/>
            </rPr>
            <t xml:space="preserve">05  Wie viele Kavernen braucht der Bedarf (Q-002), wie oft wird umgeschlagen?
</t>
          </r>
          <r>
            <rPr>
              <rFont val="Calibri"/>
              <sz val="10"/>
            </rPr>
            <t>06  Mit welcher Zusammensetzung startet der Ausspeicherpfad (Min- und Max-Fall nach Q-089)?</t>
          </r>
        </is>
      </c>
      <c r="C6" s="5" t="n"/>
      <c r="D6" s="5" t="n"/>
      <c r="E6" s="5" t="n"/>
      <c r="F6" s="5" t="n"/>
      <c r="G6" s="5" t="n"/>
      <c r="H6" s="6" t="n"/>
      <c r="J6" s="7" t="n">
        <v>210</v>
      </c>
      <c r="K6" s="8" t="inlineStr">
        <is>
          <t>Annahme – darf geändert werden</t>
        </is>
      </c>
    </row>
    <row r="7" ht="22" customHeight="1">
      <c r="B7" s="9" t="n"/>
      <c r="H7" s="10" t="n"/>
      <c r="J7" s="11" t="n">
        <v>806.2</v>
      </c>
      <c r="K7" s="8" t="inlineStr">
        <is>
          <t>Wert aus dem Python-Code – fest</t>
        </is>
      </c>
    </row>
    <row r="8" ht="22" customHeight="1">
      <c r="B8" s="9" t="n"/>
      <c r="H8" s="10" t="n"/>
      <c r="J8" s="12" t="n">
        <v>100</v>
      </c>
      <c r="K8" s="8" t="inlineStr">
        <is>
          <t>Excel-Formel – rechnet sofort mit</t>
        </is>
      </c>
    </row>
    <row r="9" ht="22" customHeight="1">
      <c r="B9" s="9" t="n"/>
      <c r="H9" s="10" t="n"/>
      <c r="J9" s="13" t="n">
        <v>114.3</v>
      </c>
      <c r="K9" s="8" t="inlineStr">
        <is>
          <t>wichtiges Ergebnis</t>
        </is>
      </c>
    </row>
    <row r="10" ht="22" customHeight="1">
      <c r="B10" s="9" t="n"/>
      <c r="H10" s="10" t="n"/>
      <c r="J10" s="14" t="inlineStr">
        <is>
          <t>rot</t>
        </is>
      </c>
      <c r="K10" s="8" t="inlineStr">
        <is>
          <t>fester Wert passt nicht mehr zu den Annahmen → Skripte neu rechnen</t>
        </is>
      </c>
    </row>
    <row r="11" ht="22" customHeight="1">
      <c r="B11" s="15" t="n"/>
      <c r="C11" s="16" t="n"/>
      <c r="D11" s="16" t="n"/>
      <c r="E11" s="16" t="n"/>
      <c r="F11" s="16" t="n"/>
      <c r="G11" s="16" t="n"/>
      <c r="H11" s="17" t="n"/>
    </row>
    <row r="13">
      <c r="B13" s="3" t="inlineStr">
        <is>
          <t>Inhalt</t>
        </is>
      </c>
    </row>
    <row r="14">
      <c r="B14" s="18" t="inlineStr">
        <is>
          <t>→ 01 Stillstand &amp; Zieldruck</t>
        </is>
      </c>
      <c r="E14" s="19" t="inlineStr">
        <is>
          <t>Gassäule für voll, Grenzfall und leer; strömende Säule beim Einspeisen – Zieldruck S1 und S2.</t>
        </is>
      </c>
    </row>
    <row r="15">
      <c r="B15" s="18" t="inlineStr">
        <is>
          <t>→ 02 Arbeitsgas &amp; Teufe</t>
        </is>
      </c>
      <c r="E15" s="19" t="inlineStr">
        <is>
          <t>Inhalt, Kissengas und Arbeitsgas (isotherm / isentrop); Kontrolle gegen DBI; Teufenfenster.</t>
        </is>
      </c>
    </row>
    <row r="16">
      <c r="B16" s="18" t="inlineStr">
        <is>
          <t>→ 03 Zyklus</t>
        </is>
      </c>
      <c r="E16" s="19" t="inlineStr">
        <is>
          <t>Rate aus 10 bar/d; Kavernenbilanz über einen Zyklus (S1/S2, 2 Raten, mit und ohne Stillstand); Nachrechnung Q-028.</t>
        </is>
      </c>
    </row>
    <row r="17">
      <c r="B17" s="18" t="inlineStr">
        <is>
          <t>→ 04 Bohrlochkopf</t>
        </is>
      </c>
      <c r="E17" s="19" t="inlineStr">
        <is>
          <t>Kopfdruckfenster beim Ein- und Ausspeichern, Pumpe oder Drossel, Phase im Strang, Reibung.</t>
        </is>
      </c>
    </row>
    <row r="18">
      <c r="B18" s="18" t="inlineStr">
        <is>
          <t>→ 05 Speicherbedarf</t>
        </is>
      </c>
      <c r="E18" s="19" t="inlineStr">
        <is>
          <t>Arbeitsgas je Kaverne gegen den Bedarf aus Q-002; Zyklen pro Jahr (Q-029). Rechnet live mit.</t>
        </is>
      </c>
    </row>
    <row r="19">
      <c r="B19" s="18" t="inlineStr">
        <is>
          <t>→ 06 Ausspeichergas</t>
        </is>
      </c>
      <c r="E19" s="19" t="inlineStr">
        <is>
          <t>Zusammensetzung nach der Kaverne (Min-/Max-Fall), Wasser, Rückgabegrenzen OGE.</t>
        </is>
      </c>
    </row>
    <row r="20">
      <c r="B20" s="18" t="inlineStr">
        <is>
          <t>→ Quellen</t>
        </is>
      </c>
      <c r="E20" s="19" t="inlineStr">
        <is>
          <t>Herkunft aller Annahmen mit Fundstelle.</t>
        </is>
      </c>
    </row>
    <row r="21">
      <c r="B21" s="18" t="inlineStr">
        <is>
          <t>→ Diagrammdaten</t>
        </is>
      </c>
      <c r="E21" s="19" t="inlineStr">
        <is>
          <t>Hilfstabellen für die Diagramme (nicht ändern).</t>
        </is>
      </c>
    </row>
    <row r="23">
      <c r="B23" s="20" t="inlineStr">
        <is>
          <t>Annahmen</t>
        </is>
      </c>
    </row>
    <row r="24">
      <c r="B24" s="8" t="inlineStr">
        <is>
          <t>Blaue Werte dürfen geändert werden. Graue Werte kommen aus dem Python-Code (Kavernenbilanz, CoolProp) und passen nur zu den Annahmen in „gerechnet mit“ – wird eine Annahme geändert, färben sich alle grauen Werte rot: Skripte neu rechnen und diese Mappe neu erzeugen.</t>
        </is>
      </c>
    </row>
    <row r="25">
      <c r="B25" s="21" t="inlineStr">
        <is>
          <t>Status</t>
        </is>
      </c>
      <c r="C25" s="22" t="n"/>
      <c r="D25" s="23" t="n"/>
      <c r="E25" s="21">
        <f>IF(Stand_ok,"✔ Alle grauen Werte passen zu den Annahmen.","⚠ Mindestens eine Annahme wurde geändert – rot markierte Werte sind veraltet: Skripte neu rechnen.")</f>
        <v/>
      </c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3" t="n"/>
      <c r="Q25" s="24">
        <f>COUNTIF($N$28:$N$53,"⚠*")=0</f>
        <v/>
      </c>
    </row>
    <row r="27" ht="20" customHeight="1">
      <c r="B27" s="25" t="inlineStr">
        <is>
          <t>Größe</t>
        </is>
      </c>
      <c r="C27" s="22" t="n"/>
      <c r="D27" s="23" t="n"/>
      <c r="E27" s="25" t="inlineStr">
        <is>
          <t>Symbol</t>
        </is>
      </c>
      <c r="F27" s="25" t="inlineStr">
        <is>
          <t>Wert</t>
        </is>
      </c>
      <c r="G27" s="25" t="inlineStr">
        <is>
          <t>Einheit</t>
        </is>
      </c>
      <c r="H27" s="25" t="inlineStr">
        <is>
          <t>Quelle / Begründung</t>
        </is>
      </c>
      <c r="I27" s="22" t="n"/>
      <c r="J27" s="22" t="n"/>
      <c r="K27" s="22" t="n"/>
      <c r="L27" s="23" t="n"/>
      <c r="M27" s="25" t="inlineStr">
        <is>
          <t>gerechnet mit</t>
        </is>
      </c>
      <c r="N27" s="25" t="inlineStr">
        <is>
          <t>Status</t>
        </is>
      </c>
      <c r="O27" s="23" t="n"/>
    </row>
    <row r="28">
      <c r="B28" s="26" t="inlineStr">
        <is>
          <t>Referenzkaverne (nur tief – die flache Kaverne entfällt, Q-030 S. 17)</t>
        </is>
      </c>
      <c r="C28" s="22" t="n"/>
      <c r="D28" s="22" t="n"/>
      <c r="E28" s="2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3" t="n"/>
    </row>
    <row r="29" ht="18" customHeight="1">
      <c r="B29" s="27" t="inlineStr">
        <is>
          <t>Teufe LCCS</t>
        </is>
      </c>
      <c r="C29" s="22" t="n"/>
      <c r="D29" s="23" t="n"/>
      <c r="E29" s="27" t="inlineStr">
        <is>
          <t>z_lccs</t>
        </is>
      </c>
      <c r="F29" s="28" t="n">
        <v>1200</v>
      </c>
      <c r="G29" s="27" t="inlineStr">
        <is>
          <t>m</t>
        </is>
      </c>
      <c r="H29" s="27" t="inlineStr">
        <is>
          <t>Q-030 Tab. 1, Option 2 (Uniper-Bestand); abgestimmt mit M. Wall</t>
        </is>
      </c>
      <c r="I29" s="22" t="n"/>
      <c r="J29" s="22" t="n"/>
      <c r="K29" s="22" t="n"/>
      <c r="L29" s="23" t="n"/>
      <c r="M29" s="29" t="n">
        <v>1200</v>
      </c>
      <c r="N29" s="27">
        <f>IF(ABS(F29-M29)&lt;0.000000001,"✔ passt","⚠ geändert – neu rechnen")</f>
        <v/>
      </c>
      <c r="O29" s="23" t="n"/>
    </row>
    <row r="30" ht="27" customHeight="1">
      <c r="B30" s="27" t="inlineStr">
        <is>
          <t>Bezugsteufe des Kaverneninhalts unter der LCCS</t>
        </is>
      </c>
      <c r="C30" s="22" t="n"/>
      <c r="D30" s="23" t="n"/>
      <c r="E30" s="27" t="inlineStr">
        <is>
          <t>dz_bezug</t>
        </is>
      </c>
      <c r="F30" s="28" t="n">
        <v>205</v>
      </c>
      <c r="G30" s="27" t="inlineStr">
        <is>
          <t>m</t>
        </is>
      </c>
      <c r="H30" s="27" t="inlineStr">
        <is>
          <t>Q-028 Tab. 1: LCCS 1150 m, Kavernentemperatur in 1355 m angegeben → gleiche Form</t>
        </is>
      </c>
      <c r="I30" s="22" t="n"/>
      <c r="J30" s="22" t="n"/>
      <c r="K30" s="22" t="n"/>
      <c r="L30" s="23" t="n"/>
      <c r="M30" s="29" t="n">
        <v>205</v>
      </c>
      <c r="N30" s="27">
        <f>IF(ABS(F30-M30)&lt;0.000000001,"✔ passt","⚠ geändert – neu rechnen")</f>
        <v/>
      </c>
      <c r="O30" s="23" t="n"/>
    </row>
    <row r="31" ht="27" customHeight="1">
      <c r="B31" s="27" t="inlineStr">
        <is>
          <t>Geometrisches Volumen</t>
        </is>
      </c>
      <c r="C31" s="22" t="n"/>
      <c r="D31" s="23" t="n"/>
      <c r="E31" s="27" t="inlineStr">
        <is>
          <t>V_kav</t>
        </is>
      </c>
      <c r="F31" s="30" t="n">
        <v>650000</v>
      </c>
      <c r="G31" s="27" t="inlineStr">
        <is>
          <t>m³</t>
        </is>
      </c>
      <c r="H31" s="27" t="inlineStr">
        <is>
          <t>Q-028 Tab. 1 („accessible for storage“); bestätigt in der Besprechung K. Vosbeck 15.10.2026</t>
        </is>
      </c>
      <c r="I31" s="22" t="n"/>
      <c r="J31" s="22" t="n"/>
      <c r="K31" s="22" t="n"/>
      <c r="L31" s="23" t="n"/>
      <c r="M31" s="31" t="n">
        <v>650000</v>
      </c>
      <c r="N31" s="27">
        <f>IF(ABS(F31-M31)&lt;0.000000001,"✔ passt","⚠ geändert – neu rechnen")</f>
        <v/>
      </c>
      <c r="O31" s="23" t="n"/>
    </row>
    <row r="32" ht="18" customHeight="1">
      <c r="B32" s="27" t="inlineStr">
        <is>
          <t>Maximaldruck an der LCCS</t>
        </is>
      </c>
      <c r="C32" s="22" t="n"/>
      <c r="D32" s="23" t="n"/>
      <c r="E32" s="27" t="inlineStr">
        <is>
          <t>p_max</t>
        </is>
      </c>
      <c r="F32" s="28" t="n">
        <v>210</v>
      </c>
      <c r="G32" s="27" t="inlineStr">
        <is>
          <t>bar</t>
        </is>
      </c>
      <c r="H32" s="27" t="inlineStr">
        <is>
          <t>Vorgabe M. Wall; zwischen Q-028 Tab. 1 (200) und Q-030 Tab. 1 (240)</t>
        </is>
      </c>
      <c r="I32" s="22" t="n"/>
      <c r="J32" s="22" t="n"/>
      <c r="K32" s="22" t="n"/>
      <c r="L32" s="23" t="n"/>
      <c r="M32" s="29" t="n">
        <v>210</v>
      </c>
      <c r="N32" s="27">
        <f>IF(ABS(F32-M32)&lt;0.000000001,"✔ passt","⚠ geändert – neu rechnen")</f>
        <v/>
      </c>
      <c r="O32" s="23" t="n"/>
    </row>
    <row r="33" ht="18" customHeight="1">
      <c r="B33" s="27" t="inlineStr">
        <is>
          <t>Minimaldruck an der LCCS</t>
        </is>
      </c>
      <c r="C33" s="22" t="n"/>
      <c r="D33" s="23" t="n"/>
      <c r="E33" s="27" t="inlineStr">
        <is>
          <t>p_min</t>
        </is>
      </c>
      <c r="F33" s="28" t="n">
        <v>70</v>
      </c>
      <c r="G33" s="27" t="inlineStr">
        <is>
          <t>bar</t>
        </is>
      </c>
      <c r="H33" s="27" t="inlineStr">
        <is>
          <t>Q-028 Tab. 1: geomechanisches Minimum</t>
        </is>
      </c>
      <c r="I33" s="22" t="n"/>
      <c r="J33" s="22" t="n"/>
      <c r="K33" s="22" t="n"/>
      <c r="L33" s="23" t="n"/>
      <c r="M33" s="29" t="n">
        <v>70</v>
      </c>
      <c r="N33" s="27">
        <f>IF(ABS(F33-M33)&lt;0.000000001,"✔ passt","⚠ geändert – neu rechnen")</f>
        <v/>
      </c>
      <c r="O33" s="23" t="n"/>
    </row>
    <row r="34">
      <c r="B34" s="26" t="inlineStr">
        <is>
          <t>Gebirge</t>
        </is>
      </c>
      <c r="C34" s="22" t="n"/>
      <c r="D34" s="22" t="n"/>
      <c r="E34" s="22" t="n"/>
      <c r="F34" s="22" t="n"/>
      <c r="G34" s="22" t="n"/>
      <c r="H34" s="22" t="n"/>
      <c r="I34" s="22" t="n"/>
      <c r="J34" s="22" t="n"/>
      <c r="K34" s="22" t="n"/>
      <c r="L34" s="22" t="n"/>
      <c r="M34" s="22" t="n"/>
      <c r="N34" s="22" t="n"/>
      <c r="O34" s="23" t="n"/>
    </row>
    <row r="35" ht="18" customHeight="1">
      <c r="B35" s="27" t="inlineStr">
        <is>
          <t>Gebirgstemperatur an der Oberfläche</t>
        </is>
      </c>
      <c r="C35" s="22" t="n"/>
      <c r="D35" s="23" t="n"/>
      <c r="E35" s="27" t="inlineStr">
        <is>
          <t>T0</t>
        </is>
      </c>
      <c r="F35" s="7" t="n">
        <v>10</v>
      </c>
      <c r="G35" s="27" t="inlineStr">
        <is>
          <t>°C</t>
        </is>
      </c>
      <c r="H35" s="27" t="inlineStr">
        <is>
          <t>Q-028 Kap. 3 (S. 5), Fig. 3</t>
        </is>
      </c>
      <c r="I35" s="22" t="n"/>
      <c r="J35" s="22" t="n"/>
      <c r="K35" s="22" t="n"/>
      <c r="L35" s="23" t="n"/>
      <c r="M35" s="11" t="n">
        <v>10</v>
      </c>
      <c r="N35" s="27">
        <f>IF(ABS(F35-M35)&lt;0.000000001,"✔ passt","⚠ geändert – neu rechnen")</f>
        <v/>
      </c>
      <c r="O35" s="23" t="n"/>
    </row>
    <row r="36" ht="18" customHeight="1">
      <c r="B36" s="27" t="inlineStr">
        <is>
          <t>Geothermischer Gradient</t>
        </is>
      </c>
      <c r="C36" s="22" t="n"/>
      <c r="D36" s="23" t="n"/>
      <c r="E36" s="27" t="inlineStr">
        <is>
          <t>gradT</t>
        </is>
      </c>
      <c r="F36" s="32" t="n">
        <v>0.03</v>
      </c>
      <c r="G36" s="27" t="inlineStr">
        <is>
          <t>K/m</t>
        </is>
      </c>
      <c r="H36" s="27" t="inlineStr">
        <is>
          <t>Q-028 Kap. 3 (S. 5), Fig. 3</t>
        </is>
      </c>
      <c r="I36" s="22" t="n"/>
      <c r="J36" s="22" t="n"/>
      <c r="K36" s="22" t="n"/>
      <c r="L36" s="23" t="n"/>
      <c r="M36" s="33" t="n">
        <v>0.03</v>
      </c>
      <c r="N36" s="27">
        <f>IF(ABS(F36-M36)&lt;0.000000001,"✔ passt","⚠ geändert – neu rechnen")</f>
        <v/>
      </c>
      <c r="O36" s="23" t="n"/>
    </row>
    <row r="37" ht="27" customHeight="1">
      <c r="B37" s="27" t="inlineStr">
        <is>
          <t>Wärmeübergang Kaverne–Gebirge (konstant)</t>
        </is>
      </c>
      <c r="C37" s="22" t="n"/>
      <c r="D37" s="23" t="n"/>
      <c r="E37" s="27" t="inlineStr">
        <is>
          <t>UA</t>
        </is>
      </c>
      <c r="F37" s="28" t="n">
        <v>546</v>
      </c>
      <c r="G37" s="27" t="inlineStr">
        <is>
          <t>kW/K</t>
        </is>
      </c>
      <c r="H37" s="27" t="inlineStr">
        <is>
          <t>an der Simulation aus Q-028 (S. 10) kalibriert – Nachrechnung Blatt „03 Zyklus“</t>
        </is>
      </c>
      <c r="I37" s="22" t="n"/>
      <c r="J37" s="22" t="n"/>
      <c r="K37" s="22" t="n"/>
      <c r="L37" s="23" t="n"/>
      <c r="M37" s="29" t="n">
        <v>546</v>
      </c>
      <c r="N37" s="27">
        <f>IF(ABS(F37-M37)&lt;0.000000001,"✔ passt","⚠ geändert – neu rechnen")</f>
        <v/>
      </c>
      <c r="O37" s="23" t="n"/>
    </row>
    <row r="38">
      <c r="B38" s="26" t="inlineStr">
        <is>
          <t>Betrieb</t>
        </is>
      </c>
      <c r="C38" s="22" t="n"/>
      <c r="D38" s="22" t="n"/>
      <c r="E38" s="22" t="n"/>
      <c r="F38" s="22" t="n"/>
      <c r="G38" s="22" t="n"/>
      <c r="H38" s="22" t="n"/>
      <c r="I38" s="22" t="n"/>
      <c r="J38" s="22" t="n"/>
      <c r="K38" s="22" t="n"/>
      <c r="L38" s="22" t="n"/>
      <c r="M38" s="22" t="n"/>
      <c r="N38" s="22" t="n"/>
      <c r="O38" s="23" t="n"/>
    </row>
    <row r="39" ht="18" customHeight="1">
      <c r="B39" s="27" t="inlineStr">
        <is>
          <t>Normvolumenstrom, unterer Fall</t>
        </is>
      </c>
      <c r="C39" s="22" t="n"/>
      <c r="D39" s="23" t="n"/>
      <c r="E39" s="27" t="inlineStr">
        <is>
          <t>Vn_min</t>
        </is>
      </c>
      <c r="F39" s="30" t="n">
        <v>50000</v>
      </c>
      <c r="G39" s="27" t="inlineStr">
        <is>
          <t>Nm³/h</t>
        </is>
      </c>
      <c r="H39" s="27" t="inlineStr">
        <is>
          <t>wie Einspeicherung (abgestimmt mit M. Wall)</t>
        </is>
      </c>
      <c r="I39" s="22" t="n"/>
      <c r="J39" s="22" t="n"/>
      <c r="K39" s="22" t="n"/>
      <c r="L39" s="23" t="n"/>
      <c r="M39" s="31" t="n">
        <v>50000</v>
      </c>
      <c r="N39" s="27">
        <f>IF(ABS(F39-M39)&lt;0.000000001,"✔ passt","⚠ geändert – neu rechnen")</f>
        <v/>
      </c>
      <c r="O39" s="23" t="n"/>
    </row>
    <row r="40" ht="18" customHeight="1">
      <c r="B40" s="27" t="inlineStr">
        <is>
          <t>Normvolumenstrom, oberer Fall (Auslegung)</t>
        </is>
      </c>
      <c r="C40" s="22" t="n"/>
      <c r="D40" s="23" t="n"/>
      <c r="E40" s="27" t="inlineStr">
        <is>
          <t>Vn_max</t>
        </is>
      </c>
      <c r="F40" s="30" t="n">
        <v>100000</v>
      </c>
      <c r="G40" s="27" t="inlineStr">
        <is>
          <t>Nm³/h</t>
        </is>
      </c>
      <c r="H40" s="27" t="inlineStr">
        <is>
          <t>wie Einspeicherung</t>
        </is>
      </c>
      <c r="I40" s="22" t="n"/>
      <c r="J40" s="22" t="n"/>
      <c r="K40" s="22" t="n"/>
      <c r="L40" s="23" t="n"/>
      <c r="M40" s="31" t="n">
        <v>100000</v>
      </c>
      <c r="N40" s="27">
        <f>IF(ABS(F40-M40)&lt;0.000000001,"✔ passt","⚠ geändert – neu rechnen")</f>
        <v/>
      </c>
      <c r="O40" s="23" t="n"/>
    </row>
    <row r="41" ht="18" customHeight="1">
      <c r="B41" s="27" t="inlineStr">
        <is>
          <t>Zulässige Druckänderung an der LCCS</t>
        </is>
      </c>
      <c r="C41" s="22" t="n"/>
      <c r="D41" s="23" t="n"/>
      <c r="E41" s="27" t="inlineStr">
        <is>
          <t>dpdt_max</t>
        </is>
      </c>
      <c r="F41" s="28" t="n">
        <v>10</v>
      </c>
      <c r="G41" s="27" t="inlineStr">
        <is>
          <t>bar/d</t>
        </is>
      </c>
      <c r="H41" s="27" t="inlineStr">
        <is>
          <t>Q-030 Kap. 1.2.1; Q-089 Tab. 2</t>
        </is>
      </c>
      <c r="I41" s="22" t="n"/>
      <c r="J41" s="22" t="n"/>
      <c r="K41" s="22" t="n"/>
      <c r="L41" s="23" t="n"/>
      <c r="M41" s="29" t="n">
        <v>10</v>
      </c>
      <c r="N41" s="27">
        <f>IF(ABS(F41-M41)&lt;0.000000001,"✔ passt","⚠ geändert – neu rechnen")</f>
        <v/>
      </c>
      <c r="O41" s="23" t="n"/>
    </row>
    <row r="42" ht="18" customHeight="1">
      <c r="B42" s="27" t="inlineStr">
        <is>
          <t>Zulässige Druckänderung, vorsichtig (Vergleich)</t>
        </is>
      </c>
      <c r="C42" s="22" t="n"/>
      <c r="D42" s="23" t="n"/>
      <c r="E42" s="27" t="inlineStr">
        <is>
          <t>dpdt_vors</t>
        </is>
      </c>
      <c r="F42" s="28" t="n">
        <v>6</v>
      </c>
      <c r="G42" s="27" t="inlineStr">
        <is>
          <t>bar/d</t>
        </is>
      </c>
      <c r="H42" s="27" t="inlineStr">
        <is>
          <t>Q-028 Tab. 1 (Simulation)</t>
        </is>
      </c>
      <c r="I42" s="22" t="n"/>
      <c r="J42" s="22" t="n"/>
      <c r="K42" s="22" t="n"/>
      <c r="L42" s="23" t="n"/>
      <c r="M42" s="29" t="n">
        <v>6</v>
      </c>
      <c r="N42" s="27">
        <f>IF(ABS(F42-M42)&lt;0.000000001,"✔ passt","⚠ geändert – neu rechnen")</f>
        <v/>
      </c>
      <c r="O42" s="23" t="n"/>
    </row>
    <row r="43" ht="27" customHeight="1">
      <c r="B43" s="27" t="inlineStr">
        <is>
          <t>Stillstand nach Aus- und nach Einspeichern</t>
        </is>
      </c>
      <c r="C43" s="22" t="n"/>
      <c r="D43" s="23" t="n"/>
      <c r="E43" s="27" t="inlineStr">
        <is>
          <t>t_still</t>
        </is>
      </c>
      <c r="F43" s="34" t="n">
        <v>21.67</v>
      </c>
      <c r="G43" s="27" t="inlineStr">
        <is>
          <t>d</t>
        </is>
      </c>
      <c r="H43" s="27" t="inlineStr">
        <is>
          <t>Q-028 S. 10 (Kap. 4): Betriebsszenario „Standstill phase (21.67 d)“ – gleiche Begründung wie dort; Vergleich kontinuierlich (0 d)</t>
        </is>
      </c>
      <c r="I43" s="22" t="n"/>
      <c r="J43" s="22" t="n"/>
      <c r="K43" s="22" t="n"/>
      <c r="L43" s="23" t="n"/>
      <c r="M43" s="35" t="n">
        <v>21.67</v>
      </c>
      <c r="N43" s="27">
        <f>IF(ABS(F43-M43)&lt;0.000000001,"✔ passt","⚠ geändert – neu rechnen")</f>
        <v/>
      </c>
      <c r="O43" s="23" t="n"/>
    </row>
    <row r="44">
      <c r="B44" s="26" t="inlineStr">
        <is>
          <t>Förderstrang und Übergabe</t>
        </is>
      </c>
      <c r="C44" s="22" t="n"/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3" t="n"/>
    </row>
    <row r="45" ht="18" customHeight="1">
      <c r="B45" s="27" t="inlineStr">
        <is>
          <t>Innendurchmesser Förderstrang (8 5/8" 36# J55)</t>
        </is>
      </c>
      <c r="C45" s="22" t="n"/>
      <c r="D45" s="23" t="n"/>
      <c r="E45" s="27" t="inlineStr">
        <is>
          <t>D_strang</t>
        </is>
      </c>
      <c r="F45" s="36" t="n">
        <v>0.198755</v>
      </c>
      <c r="G45" s="27" t="inlineStr">
        <is>
          <t>m</t>
        </is>
      </c>
      <c r="H45" s="27" t="inlineStr">
        <is>
          <t>Q-030 Tab. 1 und Kap. 1.2.1 (S. 12)</t>
        </is>
      </c>
      <c r="I45" s="22" t="n"/>
      <c r="J45" s="22" t="n"/>
      <c r="K45" s="22" t="n"/>
      <c r="L45" s="23" t="n"/>
      <c r="M45" s="37" t="n">
        <v>0.198755</v>
      </c>
      <c r="N45" s="27">
        <f>IF(ABS(F45-M45)&lt;0.000000001,"✔ passt","⚠ geändert – neu rechnen")</f>
        <v/>
      </c>
      <c r="O45" s="23" t="n"/>
    </row>
    <row r="46" ht="18" customHeight="1">
      <c r="B46" s="27" t="inlineStr">
        <is>
          <t>Rohrreibungszahl (Darcy)</t>
        </is>
      </c>
      <c r="C46" s="22" t="n"/>
      <c r="D46" s="23" t="n"/>
      <c r="E46" s="27" t="inlineStr">
        <is>
          <t>f_darcy</t>
        </is>
      </c>
      <c r="F46" s="32" t="n">
        <v>0.016</v>
      </c>
      <c r="G46" s="27" t="inlineStr">
        <is>
          <t>–</t>
        </is>
      </c>
      <c r="H46" s="27" t="inlineStr">
        <is>
          <t>Q-003 Kap. 6.2: 0,015–0,017 für neues Stahlrohr</t>
        </is>
      </c>
      <c r="I46" s="22" t="n"/>
      <c r="J46" s="22" t="n"/>
      <c r="K46" s="22" t="n"/>
      <c r="L46" s="23" t="n"/>
      <c r="M46" s="33" t="n">
        <v>0.016</v>
      </c>
      <c r="N46" s="27">
        <f>IF(ABS(F46-M46)&lt;0.000000001,"✔ passt","⚠ geändert – neu rechnen")</f>
        <v/>
      </c>
      <c r="O46" s="23" t="n"/>
    </row>
    <row r="47" ht="18" customHeight="1">
      <c r="B47" s="27" t="inlineStr">
        <is>
          <t>Strömungsgeschwindigkeit höchstens</t>
        </is>
      </c>
      <c r="C47" s="22" t="n"/>
      <c r="D47" s="23" t="n"/>
      <c r="E47" s="27" t="inlineStr">
        <is>
          <t>v_max</t>
        </is>
      </c>
      <c r="F47" s="28" t="n">
        <v>20</v>
      </c>
      <c r="G47" s="27" t="inlineStr">
        <is>
          <t>m/s</t>
        </is>
      </c>
      <c r="H47" s="27" t="inlineStr">
        <is>
          <t>Q-030 Kap. 1.2.1</t>
        </is>
      </c>
      <c r="I47" s="22" t="n"/>
      <c r="J47" s="22" t="n"/>
      <c r="K47" s="22" t="n"/>
      <c r="L47" s="23" t="n"/>
      <c r="M47" s="29" t="n">
        <v>20</v>
      </c>
      <c r="N47" s="27">
        <f>IF(ABS(F47-M47)&lt;0.000000001,"✔ passt","⚠ geändert – neu rechnen")</f>
        <v/>
      </c>
      <c r="O47" s="23" t="n"/>
    </row>
    <row r="48" ht="27" customHeight="1">
      <c r="B48" s="27" t="inlineStr">
        <is>
          <t>Strömung im Strang</t>
        </is>
      </c>
      <c r="C48" s="22" t="n"/>
      <c r="D48" s="23" t="n"/>
      <c r="E48" s="27" t="inlineStr">
        <is>
          <t>–</t>
        </is>
      </c>
      <c r="F48" s="38" t="inlineStr">
        <is>
          <t>adiabat</t>
        </is>
      </c>
      <c r="G48" s="27" t="inlineStr">
        <is>
          <t>–</t>
        </is>
      </c>
      <c r="H48" s="27" t="inlineStr">
        <is>
          <t>Besprechung K. Vosbeck 15.10.2026: schnelle Förderung, kein Wärmeaustausch mit dem Gebirge (h + g·z = konst.)</t>
        </is>
      </c>
      <c r="I48" s="22" t="n"/>
      <c r="J48" s="22" t="n"/>
      <c r="K48" s="22" t="n"/>
      <c r="L48" s="23" t="n"/>
      <c r="M48" s="38" t="inlineStr">
        <is>
          <t>–</t>
        </is>
      </c>
      <c r="N48" s="27" t="inlineStr">
        <is>
          <t>Modellannahme</t>
        </is>
      </c>
      <c r="O48" s="23" t="n"/>
    </row>
    <row r="49" ht="18" customHeight="1">
      <c r="B49" s="27" t="inlineStr">
        <is>
          <t>Rückgabe ins Netz (dicht)</t>
        </is>
      </c>
      <c r="C49" s="22" t="n"/>
      <c r="D49" s="23" t="n"/>
      <c r="E49" s="27" t="inlineStr">
        <is>
          <t>p_rueck</t>
        </is>
      </c>
      <c r="F49" s="28" t="n">
        <v>91</v>
      </c>
      <c r="G49" s="27" t="inlineStr">
        <is>
          <t>bar</t>
        </is>
      </c>
      <c r="H49" s="27" t="inlineStr">
        <is>
          <t>OGE-Austausch 16.09.2026 (wie Übergabe S1)</t>
        </is>
      </c>
      <c r="I49" s="22" t="n"/>
      <c r="J49" s="22" t="n"/>
      <c r="K49" s="22" t="n"/>
      <c r="L49" s="23" t="n"/>
      <c r="M49" s="29" t="n">
        <v>91</v>
      </c>
      <c r="N49" s="27">
        <f>IF(ABS(F49-M49)&lt;0.000000001,"✔ passt","⚠ geändert – neu rechnen")</f>
        <v/>
      </c>
      <c r="O49" s="23" t="n"/>
    </row>
    <row r="50" ht="18" customHeight="1">
      <c r="B50" s="27" t="inlineStr">
        <is>
          <t>Gasförmige Übergabe / Drosselung auf</t>
        </is>
      </c>
      <c r="C50" s="22" t="n"/>
      <c r="D50" s="23" t="n"/>
      <c r="E50" s="27" t="inlineStr">
        <is>
          <t>p_gas</t>
        </is>
      </c>
      <c r="F50" s="28" t="n">
        <v>30</v>
      </c>
      <c r="G50" s="27" t="inlineStr">
        <is>
          <t>bar</t>
        </is>
      </c>
      <c r="H50" s="27" t="inlineStr">
        <is>
          <t>wie Übergabe S2</t>
        </is>
      </c>
      <c r="I50" s="22" t="n"/>
      <c r="J50" s="22" t="n"/>
      <c r="K50" s="22" t="n"/>
      <c r="L50" s="23" t="n"/>
      <c r="M50" s="29" t="n">
        <v>30</v>
      </c>
      <c r="N50" s="27">
        <f>IF(ABS(F50-M50)&lt;0.000000001,"✔ passt","⚠ geändert – neu rechnen")</f>
        <v/>
      </c>
      <c r="O50" s="23" t="n"/>
    </row>
    <row r="51" ht="18" customHeight="1">
      <c r="B51" s="27" t="inlineStr">
        <is>
          <t>Kopftemperatur mindestens (Vergleich Erdgas)</t>
        </is>
      </c>
      <c r="C51" s="22" t="n"/>
      <c r="D51" s="23" t="n"/>
      <c r="E51" s="27" t="inlineStr">
        <is>
          <t>T_kopf_min</t>
        </is>
      </c>
      <c r="F51" s="28" t="n">
        <v>5</v>
      </c>
      <c r="G51" s="27" t="inlineStr">
        <is>
          <t>°C</t>
        </is>
      </c>
      <c r="H51" s="27" t="inlineStr">
        <is>
          <t>Q-035 Folie 36 (Speicher Epe, Erdgas)</t>
        </is>
      </c>
      <c r="I51" s="22" t="n"/>
      <c r="J51" s="22" t="n"/>
      <c r="K51" s="22" t="n"/>
      <c r="L51" s="23" t="n"/>
      <c r="M51" s="29" t="n">
        <v>5</v>
      </c>
      <c r="N51" s="27">
        <f>IF(ABS(F51-M51)&lt;0.000000001,"✔ passt","⚠ geändert – neu rechnen")</f>
        <v/>
      </c>
      <c r="O51" s="23" t="n"/>
    </row>
    <row r="52">
      <c r="B52" s="26" t="inlineStr">
        <is>
          <t>Einspeisung (gekoppelt an die Einspeicherung)</t>
        </is>
      </c>
      <c r="C52" s="22" t="n"/>
      <c r="D52" s="22" t="n"/>
      <c r="E52" s="22" t="n"/>
      <c r="F52" s="22" t="n"/>
      <c r="G52" s="22" t="n"/>
      <c r="H52" s="22" t="n"/>
      <c r="I52" s="22" t="n"/>
      <c r="J52" s="22" t="n"/>
      <c r="K52" s="22" t="n"/>
      <c r="L52" s="22" t="n"/>
      <c r="M52" s="22" t="n"/>
      <c r="N52" s="22" t="n"/>
      <c r="O52" s="23" t="n"/>
    </row>
    <row r="53" ht="27" customHeight="1">
      <c r="B53" s="27" t="inlineStr">
        <is>
          <t>Kopftemperatur beim Einspeisen</t>
        </is>
      </c>
      <c r="C53" s="22" t="n"/>
      <c r="D53" s="23" t="n"/>
      <c r="E53" s="27" t="inlineStr">
        <is>
          <t>–</t>
        </is>
      </c>
      <c r="F53" s="38" t="inlineStr">
        <is>
          <t>Pumpenaustritt</t>
        </is>
      </c>
      <c r="G53" s="27" t="inlineStr">
        <is>
          <t>–</t>
        </is>
      </c>
      <c r="H53" s="27" t="inlineStr">
        <is>
          <t>S1: 91 bar / 15 °C + Pumpe; S2: Kühler 91 bar / 26 °C + Pumpe (Einspeicherung/Begleitstoffe_CO2/Grundlagen); bei kleinerem Kopfdruck isenthalp gedrosselt (Q-030 S. 15)</t>
        </is>
      </c>
      <c r="I53" s="22" t="n"/>
      <c r="J53" s="22" t="n"/>
      <c r="K53" s="22" t="n"/>
      <c r="L53" s="23" t="n"/>
      <c r="M53" s="38" t="inlineStr">
        <is>
          <t>–</t>
        </is>
      </c>
      <c r="N53" s="27" t="inlineStr">
        <is>
          <t>Modellannahme</t>
        </is>
      </c>
      <c r="O53" s="23" t="n"/>
    </row>
    <row r="55">
      <c r="B55" s="20" t="inlineStr">
        <is>
          <t>Kernergebnisse auf einen Blick</t>
        </is>
      </c>
    </row>
    <row r="56" ht="18" customHeight="1">
      <c r="B56" s="27" t="inlineStr">
        <is>
          <t>Kopfdruck im Stillstand, Kaverne voll</t>
        </is>
      </c>
      <c r="C56" s="22" t="n"/>
      <c r="D56" s="22" t="n"/>
      <c r="E56" s="23" t="n"/>
      <c r="F56" s="13">
        <f>Kopf_voll</f>
        <v/>
      </c>
      <c r="G56" s="27" t="inlineStr">
        <is>
          <t>bar</t>
        </is>
      </c>
      <c r="H56" s="27" t="inlineStr">
        <is>
          <t>Blatt 01 – ruhende Säule</t>
        </is>
      </c>
      <c r="I56" s="22" t="n"/>
      <c r="J56" s="22" t="n"/>
      <c r="K56" s="22" t="n"/>
      <c r="L56" s="22" t="n"/>
      <c r="M56" s="22" t="n"/>
      <c r="N56" s="22" t="n"/>
      <c r="O56" s="23" t="n"/>
    </row>
    <row r="57" ht="27" customHeight="1">
      <c r="B57" s="27" t="inlineStr">
        <is>
          <t>Zieldruck der Pumpe im Betrieb S1 (100.000 Nm³/h)</t>
        </is>
      </c>
      <c r="C57" s="22" t="n"/>
      <c r="D57" s="22" t="n"/>
      <c r="E57" s="23" t="n"/>
      <c r="F57" s="13">
        <f>Kopf_betr_S1</f>
        <v/>
      </c>
      <c r="G57" s="27" t="inlineStr">
        <is>
          <t>bar</t>
        </is>
      </c>
      <c r="H57" s="27" t="inlineStr">
        <is>
          <t>Blatt 01 – strömende Säule</t>
        </is>
      </c>
      <c r="I57" s="22" t="n"/>
      <c r="J57" s="22" t="n"/>
      <c r="K57" s="22" t="n"/>
      <c r="L57" s="22" t="n"/>
      <c r="M57" s="22" t="n"/>
      <c r="N57" s="22" t="n"/>
      <c r="O57" s="23" t="n"/>
    </row>
    <row r="58" ht="27" customHeight="1">
      <c r="B58" s="27" t="inlineStr">
        <is>
          <t>Zieldruck der Pumpe im Betrieb S2 (100.000 Nm³/h)</t>
        </is>
      </c>
      <c r="C58" s="22" t="n"/>
      <c r="D58" s="22" t="n"/>
      <c r="E58" s="23" t="n"/>
      <c r="F58" s="13">
        <f>Kopf_betr_S2</f>
        <v/>
      </c>
      <c r="G58" s="27" t="inlineStr">
        <is>
          <t>bar</t>
        </is>
      </c>
      <c r="H58" s="27" t="inlineStr">
        <is>
          <t>Blatt 01 – Auslegung der Pumpe</t>
        </is>
      </c>
      <c r="I58" s="22" t="n"/>
      <c r="J58" s="22" t="n"/>
      <c r="K58" s="22" t="n"/>
      <c r="L58" s="22" t="n"/>
      <c r="M58" s="22" t="n"/>
      <c r="N58" s="22" t="n"/>
      <c r="O58" s="23" t="n"/>
    </row>
    <row r="59" ht="18" customHeight="1">
      <c r="B59" s="27" t="inlineStr">
        <is>
          <t>Kopfdruck im Stillstand, Kaverne leer</t>
        </is>
      </c>
      <c r="C59" s="22" t="n"/>
      <c r="D59" s="22" t="n"/>
      <c r="E59" s="23" t="n"/>
      <c r="F59" s="13">
        <f>Kopf_leer</f>
        <v/>
      </c>
      <c r="G59" s="27" t="inlineStr">
        <is>
          <t>bar</t>
        </is>
      </c>
      <c r="H59" s="27" t="inlineStr">
        <is>
          <t>Blatt 01</t>
        </is>
      </c>
      <c r="I59" s="22" t="n"/>
      <c r="J59" s="22" t="n"/>
      <c r="K59" s="22" t="n"/>
      <c r="L59" s="22" t="n"/>
      <c r="M59" s="22" t="n"/>
      <c r="N59" s="22" t="n"/>
      <c r="O59" s="23" t="n"/>
    </row>
    <row r="60" ht="18" customHeight="1">
      <c r="B60" s="27" t="inlineStr">
        <is>
          <t>Inhalt bei 210 bar (TGV)</t>
        </is>
      </c>
      <c r="C60" s="22" t="n"/>
      <c r="D60" s="22" t="n"/>
      <c r="E60" s="23" t="n"/>
      <c r="F60" s="39">
        <f>TGV</f>
        <v/>
      </c>
      <c r="G60" s="27" t="inlineStr">
        <is>
          <t>t</t>
        </is>
      </c>
      <c r="H60" s="27" t="inlineStr">
        <is>
          <t>Blatt 02</t>
        </is>
      </c>
      <c r="I60" s="22" t="n"/>
      <c r="J60" s="22" t="n"/>
      <c r="K60" s="22" t="n"/>
      <c r="L60" s="22" t="n"/>
      <c r="M60" s="22" t="n"/>
      <c r="N60" s="22" t="n"/>
      <c r="O60" s="23" t="n"/>
    </row>
    <row r="61" ht="27" customHeight="1">
      <c r="B61" s="27" t="inlineStr">
        <is>
          <t>Arbeitsgas je Zyklus (S2, 100.000 Nm³/h, Stillstand 21,67 d)</t>
        </is>
      </c>
      <c r="C61" s="22" t="n"/>
      <c r="D61" s="22" t="n"/>
      <c r="E61" s="23" t="n"/>
      <c r="F61" s="39">
        <f>AG_zyklus</f>
        <v/>
      </c>
      <c r="G61" s="27" t="inlineStr">
        <is>
          <t>t</t>
        </is>
      </c>
      <c r="H61" s="27" t="inlineStr">
        <is>
          <t>Blatt 03</t>
        </is>
      </c>
      <c r="I61" s="22" t="n"/>
      <c r="J61" s="22" t="n"/>
      <c r="K61" s="22" t="n"/>
      <c r="L61" s="22" t="n"/>
      <c r="M61" s="22" t="n"/>
      <c r="N61" s="22" t="n"/>
      <c r="O61" s="23" t="n"/>
    </row>
    <row r="62" ht="18" customHeight="1">
      <c r="B62" s="27" t="inlineStr">
        <is>
          <t>Zyklusdauer / Zyklen pro Jahr</t>
        </is>
      </c>
      <c r="C62" s="22" t="n"/>
      <c r="D62" s="22" t="n"/>
      <c r="E62" s="23" t="n"/>
      <c r="F62" s="40">
        <f>Zyklusdauer</f>
        <v/>
      </c>
      <c r="G62" s="27" t="inlineStr">
        <is>
          <t>d</t>
        </is>
      </c>
      <c r="H62" s="27">
        <f>"→ "&amp;TEXT(Zyklen_a,"0.0")&amp;" Zyklen pro Jahr (Q-029: 4 bzw. 1)"</f>
        <v/>
      </c>
      <c r="I62" s="22" t="n"/>
      <c r="J62" s="22" t="n"/>
      <c r="K62" s="22" t="n"/>
      <c r="L62" s="22" t="n"/>
      <c r="M62" s="22" t="n"/>
      <c r="N62" s="22" t="n"/>
      <c r="O62" s="23" t="n"/>
    </row>
    <row r="63" ht="27" customHeight="1">
      <c r="B63" s="27" t="inlineStr">
        <is>
          <t>Grenzrate: Kaverne bleibt beim Ausspeichern einphasig bis</t>
        </is>
      </c>
      <c r="C63" s="22" t="n"/>
      <c r="D63" s="22" t="n"/>
      <c r="E63" s="23" t="n"/>
      <c r="F63" s="40">
        <f>Grenzrate</f>
        <v/>
      </c>
      <c r="G63" s="27" t="inlineStr">
        <is>
          <t>kg/s</t>
        </is>
      </c>
      <c r="H63" s="27" t="inlineStr">
        <is>
          <t>Blatt 03</t>
        </is>
      </c>
      <c r="I63" s="22" t="n"/>
      <c r="J63" s="22" t="n"/>
      <c r="K63" s="22" t="n"/>
      <c r="L63" s="22" t="n"/>
      <c r="M63" s="22" t="n"/>
      <c r="N63" s="22" t="n"/>
      <c r="O63" s="23" t="n"/>
    </row>
    <row r="64" ht="27" customHeight="1">
      <c r="B64" s="27" t="inlineStr">
        <is>
          <t>Kopfdruck beim Ausspeichern mindestens (100.000 Nm³/h)</t>
        </is>
      </c>
      <c r="C64" s="22" t="n"/>
      <c r="D64" s="22" t="n"/>
      <c r="E64" s="23" t="n"/>
      <c r="F64" s="13">
        <f>Kopf_aus_min</f>
        <v/>
      </c>
      <c r="G64" s="27" t="inlineStr">
        <is>
          <t>bar</t>
        </is>
      </c>
      <c r="H64" s="27" t="inlineStr">
        <is>
          <t>Blatt 04 → Rückverdichtung auf 91 bar nötig</t>
        </is>
      </c>
      <c r="I64" s="22" t="n"/>
      <c r="J64" s="22" t="n"/>
      <c r="K64" s="22" t="n"/>
      <c r="L64" s="22" t="n"/>
      <c r="M64" s="22" t="n"/>
      <c r="N64" s="22" t="n"/>
      <c r="O64" s="23" t="n"/>
    </row>
    <row r="65" ht="18" customHeight="1">
      <c r="B65" s="27" t="inlineStr">
        <is>
          <t>Temperatur nach Drossel auf 30 bar mindestens</t>
        </is>
      </c>
      <c r="C65" s="22" t="n"/>
      <c r="D65" s="22" t="n"/>
      <c r="E65" s="23" t="n"/>
      <c r="F65" s="13">
        <f>T_drossel_min</f>
        <v/>
      </c>
      <c r="G65" s="27" t="inlineStr">
        <is>
          <t>°C</t>
        </is>
      </c>
      <c r="H65" s="27" t="inlineStr">
        <is>
          <t>Blatt 04 → Vorwärmung</t>
        </is>
      </c>
      <c r="I65" s="22" t="n"/>
      <c r="J65" s="22" t="n"/>
      <c r="K65" s="22" t="n"/>
      <c r="L65" s="22" t="n"/>
      <c r="M65" s="22" t="n"/>
      <c r="N65" s="22" t="n"/>
      <c r="O65" s="23" t="n"/>
    </row>
    <row r="66" ht="27" customHeight="1">
      <c r="B66" s="27" t="inlineStr">
        <is>
          <t>Kavernen für den Bedarf nach Q-002 (unten / oben)</t>
        </is>
      </c>
      <c r="C66" s="22" t="n"/>
      <c r="D66" s="22" t="n"/>
      <c r="E66" s="23" t="n"/>
      <c r="F66" s="40">
        <f>Kavernen_min</f>
        <v/>
      </c>
      <c r="G66" s="27" t="inlineStr">
        <is>
          <t>–</t>
        </is>
      </c>
      <c r="H66" s="27">
        <f>"bis "&amp;TEXT(Kavernen_max,"0")&amp;" Kavernen bei 1,21 Mt (Blatt 05)"</f>
        <v/>
      </c>
      <c r="I66" s="22" t="n"/>
      <c r="J66" s="22" t="n"/>
      <c r="K66" s="22" t="n"/>
      <c r="L66" s="22" t="n"/>
      <c r="M66" s="22" t="n"/>
      <c r="N66" s="22" t="n"/>
      <c r="O66" s="23" t="n"/>
    </row>
  </sheetData>
  <mergeCells count="106">
    <mergeCell ref="B42:D42"/>
    <mergeCell ref="B65:E65"/>
    <mergeCell ref="H43:L43"/>
    <mergeCell ref="B53:D53"/>
    <mergeCell ref="H41:L41"/>
    <mergeCell ref="N53:O53"/>
    <mergeCell ref="H58:O58"/>
    <mergeCell ref="B37:D37"/>
    <mergeCell ref="N46:O46"/>
    <mergeCell ref="H64:O64"/>
    <mergeCell ref="H49:L49"/>
    <mergeCell ref="B30:D30"/>
    <mergeCell ref="H60:O60"/>
    <mergeCell ref="N39:O39"/>
    <mergeCell ref="N48:O48"/>
    <mergeCell ref="B44:O44"/>
    <mergeCell ref="N29:O29"/>
    <mergeCell ref="N31:O31"/>
    <mergeCell ref="N40:O40"/>
    <mergeCell ref="H48:L48"/>
    <mergeCell ref="B43:D43"/>
    <mergeCell ref="N35:O35"/>
    <mergeCell ref="H29:L29"/>
    <mergeCell ref="E21:O21"/>
    <mergeCell ref="N50:O50"/>
    <mergeCell ref="B64:E64"/>
    <mergeCell ref="N51:O51"/>
    <mergeCell ref="E14:O14"/>
    <mergeCell ref="H31:L31"/>
    <mergeCell ref="H40:L40"/>
    <mergeCell ref="B63:E63"/>
    <mergeCell ref="B52:O52"/>
    <mergeCell ref="H59:O59"/>
    <mergeCell ref="H51:L51"/>
    <mergeCell ref="N42:O42"/>
    <mergeCell ref="B66:E66"/>
    <mergeCell ref="H61:O61"/>
    <mergeCell ref="B36:D36"/>
    <mergeCell ref="B45:D45"/>
    <mergeCell ref="B34:O34"/>
    <mergeCell ref="B28:O28"/>
    <mergeCell ref="B47:D47"/>
    <mergeCell ref="H65:O65"/>
    <mergeCell ref="B61:E61"/>
    <mergeCell ref="N30:O30"/>
    <mergeCell ref="B31:D31"/>
    <mergeCell ref="B46:D46"/>
    <mergeCell ref="E16:O16"/>
    <mergeCell ref="E25:O25"/>
    <mergeCell ref="H42:L42"/>
    <mergeCell ref="B39:D39"/>
    <mergeCell ref="B48:D48"/>
    <mergeCell ref="E18:O18"/>
    <mergeCell ref="H30:L30"/>
    <mergeCell ref="N32:O32"/>
    <mergeCell ref="H63:O63"/>
    <mergeCell ref="N41:O41"/>
    <mergeCell ref="N43:O43"/>
    <mergeCell ref="E20:O20"/>
    <mergeCell ref="B49:D49"/>
    <mergeCell ref="H46:L46"/>
    <mergeCell ref="N33:O33"/>
    <mergeCell ref="B23:O23"/>
    <mergeCell ref="B51:D51"/>
    <mergeCell ref="B56:E56"/>
    <mergeCell ref="H45:L45"/>
    <mergeCell ref="B41:D41"/>
    <mergeCell ref="B58:E58"/>
    <mergeCell ref="E15:O15"/>
    <mergeCell ref="H32:L32"/>
    <mergeCell ref="B35:D35"/>
    <mergeCell ref="B50:D50"/>
    <mergeCell ref="B25:D25"/>
    <mergeCell ref="H47:L47"/>
    <mergeCell ref="B60:E60"/>
    <mergeCell ref="H27:L27"/>
    <mergeCell ref="B57:E57"/>
    <mergeCell ref="B6:H11"/>
    <mergeCell ref="H33:L33"/>
    <mergeCell ref="H62:O62"/>
    <mergeCell ref="N45:O45"/>
    <mergeCell ref="H53:L53"/>
    <mergeCell ref="H35:L35"/>
    <mergeCell ref="N47:O47"/>
    <mergeCell ref="H50:L50"/>
    <mergeCell ref="B29:D29"/>
    <mergeCell ref="N37:O37"/>
    <mergeCell ref="E17:O17"/>
    <mergeCell ref="H39:L39"/>
    <mergeCell ref="H56:O56"/>
    <mergeCell ref="B62:E62"/>
    <mergeCell ref="B40:D40"/>
    <mergeCell ref="E19:O19"/>
    <mergeCell ref="H36:L36"/>
    <mergeCell ref="B59:E59"/>
    <mergeCell ref="B33:D33"/>
    <mergeCell ref="B38:O38"/>
    <mergeCell ref="B32:D32"/>
    <mergeCell ref="H57:O57"/>
    <mergeCell ref="H37:L37"/>
    <mergeCell ref="H66:O66"/>
    <mergeCell ref="B55:O55"/>
    <mergeCell ref="B27:D27"/>
    <mergeCell ref="N49:O49"/>
    <mergeCell ref="N27:O27"/>
    <mergeCell ref="N36:O36"/>
  </mergeCells>
  <conditionalFormatting sqref="E25:O25">
    <cfRule type="expression" priority="1" dxfId="0">
      <formula>NOT(Stand_ok)</formula>
    </cfRule>
    <cfRule type="expression" priority="2" dxfId="1">
      <formula>Stand_ok</formula>
    </cfRule>
  </conditionalFormatting>
  <conditionalFormatting sqref="N28:O53">
    <cfRule type="expression" priority="3" dxfId="0">
      <formula>LEFT(N28,1)="⚠"</formula>
    </cfRule>
    <cfRule type="expression" priority="4" dxfId="1">
      <formula>LEFT(N28,1)="✔"</formula>
    </cfRule>
  </conditionalFormatting>
  <hyperlinks>
    <hyperlink ref="B14" location="'01 Stillstand &amp; Zieldruck'!A1" display="→ 01 Stillstand &amp; Zieldruck"/>
    <hyperlink ref="B15" location="'02 Arbeitsgas &amp; Teufe'!A1" display="→ 02 Arbeitsgas &amp; Teufe"/>
    <hyperlink ref="B16" location="'03 Zyklus'!A1" display="→ 03 Zyklus"/>
    <hyperlink ref="B17" location="'04 Bohrlochkopf'!A1" display="→ 04 Bohrlochkopf"/>
    <hyperlink ref="B18" location="'05 Speicherbedarf'!A1" display="→ 05 Speicherbedarf"/>
    <hyperlink ref="B19" location="'06 Ausspeichergas'!A1" display="→ 06 Ausspeichergas"/>
    <hyperlink ref="B20" location="'Quellen'!A1" display="→ Quellen"/>
    <hyperlink ref="B21" location="'Diagrammdaten'!A1" display="→ Diagrammdaten"/>
  </hyperlink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B1:L18"/>
  <sheetViews>
    <sheetView showGridLines="0" workbookViewId="0">
      <selection activeCell="A1" sqref="A1"/>
    </sheetView>
  </sheetViews>
  <sheetFormatPr baseColWidth="8" defaultRowHeight="15"/>
  <cols>
    <col width="2.7" customWidth="1" min="1" max="1"/>
    <col width="3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3" customWidth="1" min="9" max="9"/>
    <col width="26" customWidth="1" min="10" max="10"/>
    <col width="12" customWidth="1" min="11" max="11"/>
    <col width="12" customWidth="1" min="12" max="12"/>
  </cols>
  <sheetData>
    <row r="1" ht="30" customHeight="1">
      <c r="B1" s="1" t="inlineStr">
        <is>
          <t>01 Stillstand &amp; Zieldruck – welcher Druck am Bohrlochkopf?</t>
        </is>
      </c>
    </row>
    <row r="2">
      <c r="B2" s="2" t="inlineStr">
        <is>
          <t>Referenzkaverne (LCCS 1200 m) · reines CO₂ · Code: Kaverne/Reines_CO2/01_stillstand_und_zieldruck.py (Bausteine kaverne_bausteine.py)</t>
        </is>
      </c>
    </row>
    <row r="3">
      <c r="B3" s="18" t="inlineStr">
        <is>
          <t>← zur Übersicht</t>
        </is>
      </c>
    </row>
    <row r="4" ht="120" customHeight="1">
      <c r="B4" s="4" t="inlineStr">
        <is>
          <r>
            <rPr>
              <rFont val="Calibri"/>
              <b val="1"/>
              <sz val="10"/>
            </rPr>
            <t>STILLSTAND:</t>
          </r>
          <r>
            <rPr>
              <rFont val="Calibri"/>
              <sz val="10"/>
            </rPr>
            <t xml:space="preserve">  Ruhendes CO₂ hat Gebirgstemperatur T(z) = T₀ + grad T·z. Die Säule wird in 2-m-Schritten von unten (bekannter Druck an der LCCS) nach oben gerechnet: dp/dz = ρ(p,T)·g. Drei Füllstände wie Q-028 Fig. 3: voll, Grenzfall (Kopf = p_krit 73,8 bar: darüber ganzes Bohrloch einphasig) und leer.
</t>
          </r>
          <r>
            <rPr>
              <rFont val="Calibri"/>
              <b val="1"/>
              <sz val="10"/>
            </rPr>
            <t>BETRIEB (NEU):</t>
          </r>
          <r>
            <rPr>
              <rFont val="Calibri"/>
              <sz val="10"/>
            </rPr>
            <t xml:space="preserve">  Beim Einspeisen strömt das CO₂ mit der Temperatur nach der Pumpe nach unten – adiabat (h + g·z = konst., kein Wärmeaustausch mit dem Gebirge; Besprechung K. Vosbeck 15.10.2026), mit Reibung im 8 5/8"-Strang (Darcy f = 0,016, Q-003 Kap. 6.2). Pumpenaustritt und Kopfdruck hängen voneinander ab → Iteration. S1 (15 °C) gibt eine kältere, schwerere Säule als im Stillstand, S2 (26 °C + Pumpe) eine wärmere, leichtere.
</t>
          </r>
          <r>
            <rPr>
              <rFont val="Calibri"/>
              <b val="1"/>
              <sz val="10"/>
            </rPr>
            <t>ERGEBNIS:</t>
          </r>
          <r>
            <rPr>
              <rFont val="Calibri"/>
              <sz val="10"/>
            </rPr>
            <t xml:space="preserve">  Zieldruck der Pumpe bei 100.000 Nm³/h: S1 105,4 bar, S2 114,6 bar (Stillstand voll 107,6 bar).
</t>
          </r>
          <r>
            <rPr>
              <rFont val="Calibri"/>
              <b val="1"/>
              <sz val="10"/>
            </rPr>
            <t>GRENZE:</t>
          </r>
          <r>
            <rPr>
              <rFont val="Calibri"/>
              <sz val="10"/>
            </rPr>
            <t xml:space="preserve">  homogen und einphasig gerechnet; ein zweiphasiger Abschnitt wird nur angezeigt – genauer nur mit Mehrphasen-Bohrlochmodell (Q-028 S. 11).</t>
          </r>
        </is>
      </c>
      <c r="C4" s="41" t="n"/>
      <c r="D4" s="41" t="n"/>
      <c r="E4" s="41" t="n"/>
      <c r="F4" s="41" t="n"/>
      <c r="G4" s="41" t="n"/>
      <c r="H4" s="41" t="n"/>
      <c r="I4" s="41" t="n"/>
      <c r="J4" s="41" t="n"/>
      <c r="K4" s="41" t="n"/>
      <c r="L4" s="42" t="n"/>
    </row>
    <row r="6">
      <c r="B6" s="3" t="inlineStr">
        <is>
          <t>Stillstand: drei Füllstände der Kaverne (Gebirgstemperatur)</t>
        </is>
      </c>
    </row>
    <row r="7" ht="42" customHeight="1">
      <c r="B7" s="25" t="inlineStr">
        <is>
          <t>Fall</t>
        </is>
      </c>
      <c r="C7" s="25" t="inlineStr">
        <is>
          <t>Druck LCCS [bar]</t>
        </is>
      </c>
      <c r="D7" s="25" t="inlineStr">
        <is>
          <t>Kopfdruck [bar]</t>
        </is>
      </c>
      <c r="E7" s="25" t="inlineStr">
        <is>
          <t>T Kopf [°C]</t>
        </is>
      </c>
      <c r="F7" s="25" t="inlineStr">
        <is>
          <t>ρ Kopf [kg/m³]</t>
        </is>
      </c>
      <c r="G7" s="25" t="inlineStr">
        <is>
          <t>ρ LCCS [kg/m³]</t>
        </is>
      </c>
      <c r="H7" s="25" t="inlineStr">
        <is>
          <t>Säulengewinn [bar]</t>
        </is>
      </c>
      <c r="I7" s="25" t="inlineStr">
        <is>
          <t>zweiphasig im Bohrloch [m]</t>
        </is>
      </c>
      <c r="J7" s="25" t="inlineStr">
        <is>
          <t>Bedeutung</t>
        </is>
      </c>
    </row>
    <row r="8">
      <c r="B8" s="21" t="inlineStr">
        <is>
          <t>voll</t>
        </is>
      </c>
      <c r="C8" s="11" t="n">
        <v>210</v>
      </c>
      <c r="D8" s="13" t="n">
        <v>107.603219569636</v>
      </c>
      <c r="E8" s="11" t="n">
        <v>10</v>
      </c>
      <c r="F8" s="29" t="n">
        <v>926.3220368040497</v>
      </c>
      <c r="G8" s="29" t="n">
        <v>817.604266524432</v>
      </c>
      <c r="H8" s="12">
        <f>C8-D8</f>
        <v/>
      </c>
      <c r="I8" s="43" t="inlineStr">
        <is>
          <t>–</t>
        </is>
      </c>
      <c r="J8" s="27" t="inlineStr">
        <is>
          <t>Kopfdruck im Stillstand bei voller Kaverne</t>
        </is>
      </c>
    </row>
    <row r="9">
      <c r="B9" s="21" t="inlineStr">
        <is>
          <t>Grenzfall</t>
        </is>
      </c>
      <c r="C9" s="11" t="n">
        <v>171.652277239534</v>
      </c>
      <c r="D9" s="11" t="n">
        <v>73.77298373440598</v>
      </c>
      <c r="E9" s="11" t="n">
        <v>10</v>
      </c>
      <c r="F9" s="29" t="n">
        <v>897.0218423755089</v>
      </c>
      <c r="G9" s="29" t="n">
        <v>771.2551973675049</v>
      </c>
      <c r="H9" s="12">
        <f>C9-D9</f>
        <v/>
      </c>
      <c r="I9" s="43" t="inlineStr">
        <is>
          <t>–</t>
        </is>
      </c>
      <c r="J9" s="27" t="inlineStr">
        <is>
          <t>Kopf = p_krit 73,8 bar</t>
        </is>
      </c>
    </row>
    <row r="10">
      <c r="B10" s="21" t="inlineStr">
        <is>
          <t>leer</t>
        </is>
      </c>
      <c r="C10" s="11" t="n">
        <v>70</v>
      </c>
      <c r="D10" s="11" t="n">
        <v>44.99299418696985</v>
      </c>
      <c r="E10" s="11" t="n">
        <v>10</v>
      </c>
      <c r="F10" s="29" t="n">
        <v>134.9728724557712</v>
      </c>
      <c r="G10" s="29" t="n">
        <v>180.7373183907008</v>
      </c>
      <c r="H10" s="12">
        <f>C10-D10</f>
        <v/>
      </c>
      <c r="I10" s="43" t="inlineStr">
        <is>
          <t>0–236</t>
        </is>
      </c>
      <c r="J10" s="27" t="inlineStr">
        <is>
          <t>niedrigster Kopfdruck im Stillstand</t>
        </is>
      </c>
    </row>
    <row r="12">
      <c r="B12" s="3" t="inlineStr">
        <is>
          <t>Betrieb: Einspeisen mit strömender Säule (Pumpenaustritt am Kopf, 210 bar an der LCCS)</t>
        </is>
      </c>
    </row>
    <row r="13" ht="42" customHeight="1">
      <c r="B13" s="25" t="inlineStr">
        <is>
          <t>Fall</t>
        </is>
      </c>
      <c r="C13" s="25" t="inlineStr">
        <is>
          <t>ṁ [kg/s]</t>
        </is>
      </c>
      <c r="D13" s="25" t="inlineStr">
        <is>
          <t>Kopfdruck [bar]</t>
        </is>
      </c>
      <c r="E13" s="25" t="inlineStr">
        <is>
          <t>T Kopf [°C]</t>
        </is>
      </c>
      <c r="F13" s="25" t="inlineStr">
        <is>
          <t>T LCCS [°C]</t>
        </is>
      </c>
      <c r="G13" s="25" t="inlineStr">
        <is>
          <t>v Kopf [m/s]</t>
        </is>
      </c>
      <c r="H13" s="25" t="inlineStr">
        <is>
          <t>davon Reibung [bar]</t>
        </is>
      </c>
      <c r="I13" s="25" t="inlineStr">
        <is>
          <t>Säulengewinn [bar]</t>
        </is>
      </c>
      <c r="J13" s="25" t="inlineStr">
        <is>
          <t>Bedeutung</t>
        </is>
      </c>
    </row>
    <row r="14">
      <c r="B14" s="21" t="inlineStr">
        <is>
          <t>Einspeisen S1, 50.000 Nm³/h</t>
        </is>
      </c>
      <c r="C14" s="35" t="n">
        <v>27.45573252043847</v>
      </c>
      <c r="D14" s="11" t="n">
        <v>104.179005740051</v>
      </c>
      <c r="E14" s="11" t="n">
        <v>16.43633182883542</v>
      </c>
      <c r="F14" s="11" t="n">
        <v>25.48893686143083</v>
      </c>
      <c r="G14" s="35" t="n">
        <v>0.9999025873497633</v>
      </c>
      <c r="H14" s="35" t="inlineStr">
        <is>
          <t>–</t>
        </is>
      </c>
      <c r="I14" s="12">
        <f>210-D14</f>
        <v/>
      </c>
      <c r="J14" s="27" t="inlineStr"/>
    </row>
    <row r="15">
      <c r="B15" s="21" t="inlineStr">
        <is>
          <t>Einspeisen S1, 100.000 Nm³/h</t>
        </is>
      </c>
      <c r="C15" s="35" t="n">
        <v>54.91146504087695</v>
      </c>
      <c r="D15" s="13" t="n">
        <v>105.4411023087268</v>
      </c>
      <c r="E15" s="11" t="n">
        <v>16.57186183757796</v>
      </c>
      <c r="F15" s="11" t="n">
        <v>25.57424145386437</v>
      </c>
      <c r="G15" s="35" t="n">
        <v>1.998952873190172</v>
      </c>
      <c r="H15" s="35" t="n">
        <v>1.618974446129997</v>
      </c>
      <c r="I15" s="12">
        <f>210-D15</f>
        <v/>
      </c>
      <c r="J15" s="27" t="inlineStr">
        <is>
          <t>Zieldruck Pumpe S1 (Auslegung)</t>
        </is>
      </c>
    </row>
    <row r="16">
      <c r="B16" s="21" t="inlineStr">
        <is>
          <t>Einspeisen S2, 50.000 Nm³/h</t>
        </is>
      </c>
      <c r="C16" s="35" t="n">
        <v>27.45573252043847</v>
      </c>
      <c r="D16" s="11" t="n">
        <v>113.2600365197303</v>
      </c>
      <c r="E16" s="11" t="n">
        <v>29.38907104476311</v>
      </c>
      <c r="F16" s="11" t="n">
        <v>40.62195425991717</v>
      </c>
      <c r="G16" s="35" t="n">
        <v>1.102014846632815</v>
      </c>
      <c r="H16" s="35" t="inlineStr">
        <is>
          <t>–</t>
        </is>
      </c>
      <c r="I16" s="12">
        <f>210-D16</f>
        <v/>
      </c>
      <c r="J16" s="27" t="inlineStr"/>
    </row>
    <row r="17">
      <c r="B17" s="21" t="inlineStr">
        <is>
          <t>Einspeisen S2, 100.000 Nm³/h</t>
        </is>
      </c>
      <c r="C17" s="35" t="n">
        <v>54.91146504087695</v>
      </c>
      <c r="D17" s="13" t="n">
        <v>114.6341589872628</v>
      </c>
      <c r="E17" s="11" t="n">
        <v>29.58976389993643</v>
      </c>
      <c r="F17" s="11" t="n">
        <v>40.71835330057093</v>
      </c>
      <c r="G17" s="35" t="n">
        <v>2.202290698427762</v>
      </c>
      <c r="H17" s="35" t="n">
        <v>1.750165342168955</v>
      </c>
      <c r="I17" s="12">
        <f>210-D17</f>
        <v/>
      </c>
      <c r="J17" s="27" t="inlineStr">
        <is>
          <t>Zieldruck Pumpe S2 (Auslegung)</t>
        </is>
      </c>
    </row>
    <row r="18">
      <c r="B18" s="8" t="inlineStr">
        <is>
          <t>Reibung = Kopfdruck mit minus ohne Rohrreibung (nur bei 100.000 Nm³/h gerechnet; bei 50.000 Nm³/h etwa ein Viertel, da ~ṁ²). Säulengewinn = 210 bar − Kopfdruck (enthält die Reibung).</t>
        </is>
      </c>
    </row>
  </sheetData>
  <mergeCells count="1">
    <mergeCell ref="B4:L4"/>
  </mergeCells>
  <conditionalFormatting sqref="C8:G10">
    <cfRule type="expression" priority="1" dxfId="2">
      <formula>NOT(Stand_ok)</formula>
    </cfRule>
  </conditionalFormatting>
  <conditionalFormatting sqref="C14:H17">
    <cfRule type="expression" priority="2" dxfId="2">
      <formula>NOT(Stand_ok)</formula>
    </cfRule>
  </conditionalFormatting>
  <hyperlinks>
    <hyperlink ref="B3" location="'Übersicht'!A1" display="← zur Übersicht"/>
  </hyperlinks>
  <pageMargins left="0.4" right="0.4" top="0.5" bottom="0.5" header="0.3" footer="0.3"/>
  <pageSetup orientation="landscape" paperSize="9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B1:K34"/>
  <sheetViews>
    <sheetView showGridLines="0" workbookViewId="0">
      <selection activeCell="A1" sqref="A1"/>
    </sheetView>
  </sheetViews>
  <sheetFormatPr baseColWidth="8" defaultRowHeight="15"/>
  <cols>
    <col width="2.7" customWidth="1" min="1" max="1"/>
    <col width="30" customWidth="1" min="2" max="2"/>
    <col width="12" customWidth="1" min="3" max="3"/>
    <col width="13" customWidth="1" min="4" max="4"/>
    <col width="13" customWidth="1" min="5" max="5"/>
    <col width="12" customWidth="1" min="6" max="6"/>
    <col width="13" customWidth="1" min="7" max="7"/>
    <col width="13" customWidth="1" min="8" max="8"/>
    <col width="12" customWidth="1" min="9" max="9"/>
    <col width="12" customWidth="1" min="10" max="10"/>
    <col width="12" customWidth="1" min="11" max="11"/>
  </cols>
  <sheetData>
    <row r="1" ht="30" customHeight="1">
      <c r="B1" s="1" t="inlineStr">
        <is>
          <t>02 Arbeitsgas &amp; Teufe – wie viel CO₂ lässt sich umschlagen?</t>
        </is>
      </c>
    </row>
    <row r="2">
      <c r="B2" s="2" t="inlineStr">
        <is>
          <t>reines CO₂ · Code: Kaverne/Reines_CO2/02_arbeitsgas_teufenfenster.py</t>
        </is>
      </c>
    </row>
    <row r="3">
      <c r="B3" s="18" t="inlineStr">
        <is>
          <t>← zur Übersicht</t>
        </is>
      </c>
    </row>
    <row r="4" ht="92" customHeight="1">
      <c r="B4" s="4" t="inlineStr">
        <is>
          <r>
            <rPr>
              <rFont val="Calibri"/>
              <b val="1"/>
              <sz val="10"/>
            </rPr>
            <t>INHALT (TGV):</t>
          </r>
          <r>
            <rPr>
              <rFont val="Calibri"/>
              <sz val="10"/>
            </rPr>
            <t xml:space="preserve">  Masse in der vollen Kaverne bei 210 bar an der LCCS und Gebirgstemperatur: m = ρ(p_Mitte, T)·V.
</t>
          </r>
          <r>
            <rPr>
              <rFont val="Calibri"/>
              <b val="1"/>
              <sz val="10"/>
            </rPr>
            <t>KISSENGAS (CGV):</t>
          </r>
          <r>
            <rPr>
              <rFont val="Calibri"/>
              <sz val="10"/>
            </rPr>
            <t xml:space="preserve">  was bei p_min in der Kaverne bleibt – isotherm (langsam, das Gebirge hält die Temperatur) oder isentrop (schnell, das CO₂ kühlt beim Entspannen ab und ist dichter → mehr bleibt drin).
</t>
          </r>
          <r>
            <rPr>
              <rFont val="Calibri"/>
              <b val="1"/>
              <sz val="10"/>
            </rPr>
            <t>ARBEITSGAS (WGV):</t>
          </r>
          <r>
            <rPr>
              <rFont val="Calibri"/>
              <sz val="10"/>
            </rPr>
            <t xml:space="preserve">  TGV − CGV. Realistisch liegt der Zyklus dazwischen – die Kavernenbilanz (Blatt 03) rechnet den Wärmeübergang mit.
</t>
          </r>
          <r>
            <rPr>
              <rFont val="Calibri"/>
              <b val="1"/>
              <sz val="10"/>
            </rPr>
            <t>TEUFENFENSTER:</t>
          </r>
          <r>
            <rPr>
              <rFont val="Calibri"/>
              <sz val="10"/>
            </rPr>
            <t xml:space="preserve">  ab welcher Teufe bleibt der Kaverneninhalt (Gebirgstemperatur) mit Abstand über der kritischen Temperatur; bis welche Teufe passt p_max zum Gebirge.</t>
          </r>
        </is>
      </c>
      <c r="C4" s="41" t="n"/>
      <c r="D4" s="41" t="n"/>
      <c r="E4" s="41" t="n"/>
      <c r="F4" s="41" t="n"/>
      <c r="G4" s="41" t="n"/>
      <c r="H4" s="41" t="n"/>
      <c r="I4" s="41" t="n"/>
      <c r="J4" s="41" t="n"/>
      <c r="K4" s="42" t="n"/>
    </row>
    <row r="6">
      <c r="B6" s="3" t="inlineStr">
        <is>
          <t>Inhalt, Kissengas und Arbeitsgas</t>
        </is>
      </c>
    </row>
    <row r="7">
      <c r="B7" s="21" t="inlineStr">
        <is>
          <t>Inhalt bei p_max (TGV) [t]</t>
        </is>
      </c>
      <c r="C7" s="39" t="n">
        <v>520976.3474491802</v>
      </c>
    </row>
    <row r="9" ht="42" customHeight="1">
      <c r="B9" s="25" t="inlineStr">
        <is>
          <t>p_min-Variante</t>
        </is>
      </c>
      <c r="C9" s="25" t="inlineStr">
        <is>
          <t>p_min LCCS [bar]</t>
        </is>
      </c>
      <c r="D9" s="25" t="inlineStr">
        <is>
          <t>CGV isotherm [t]</t>
        </is>
      </c>
      <c r="E9" s="25" t="inlineStr">
        <is>
          <t>CGV isentrop [t]</t>
        </is>
      </c>
      <c r="F9" s="25" t="inlineStr">
        <is>
          <t>T isentrop [°C]</t>
        </is>
      </c>
      <c r="G9" s="25" t="inlineStr">
        <is>
          <t>WGV isotherm [t]</t>
        </is>
      </c>
      <c r="H9" s="25" t="inlineStr">
        <is>
          <t>WGV isentrop [t]</t>
        </is>
      </c>
      <c r="I9" s="25" t="inlineStr">
        <is>
          <t>Anteil isotherm</t>
        </is>
      </c>
      <c r="J9" s="25" t="inlineStr">
        <is>
          <t>Anteil isentrop</t>
        </is>
      </c>
    </row>
    <row r="10">
      <c r="B10" s="21" t="inlineStr">
        <is>
          <t>geomechanisch (Q-028)</t>
        </is>
      </c>
      <c r="C10" s="11" t="n">
        <v>70</v>
      </c>
      <c r="D10" s="31" t="n">
        <v>118420.8361265042</v>
      </c>
      <c r="E10" s="31" t="n">
        <v>464519.4479247984</v>
      </c>
      <c r="F10" s="11" t="n">
        <v>30.54573133819542</v>
      </c>
      <c r="G10" s="44">
        <f>TGV-D10</f>
        <v/>
      </c>
      <c r="H10" s="44">
        <f>IF(ISNUMBER(E10),TGV-E10,"–")</f>
        <v/>
      </c>
      <c r="I10" s="45">
        <f>G10/TGV</f>
        <v/>
      </c>
      <c r="J10" s="46">
        <f>IF(ISNUMBER(H10),H10/TGV,"–")</f>
        <v/>
      </c>
    </row>
    <row r="11">
      <c r="B11" s="21" t="inlineStr">
        <is>
          <t>überkritisch (p_krit)</t>
        </is>
      </c>
      <c r="C11" s="11" t="n">
        <v>73.77298373446752</v>
      </c>
      <c r="D11" s="31" t="n">
        <v>130296.4090379591</v>
      </c>
      <c r="E11" s="31" t="n">
        <v>467039.7850727706</v>
      </c>
      <c r="F11" s="11" t="n">
        <v>31.37007732532834</v>
      </c>
      <c r="G11" s="44">
        <f>TGV-D11</f>
        <v/>
      </c>
      <c r="H11" s="44">
        <f>IF(ISNUMBER(E11),TGV-E11,"–")</f>
        <v/>
      </c>
      <c r="I11" s="45">
        <f>G11/TGV</f>
        <v/>
      </c>
      <c r="J11" s="46">
        <f>IF(ISNUMBER(H11),H11/TGV,"–")</f>
        <v/>
      </c>
    </row>
    <row r="12">
      <c r="B12" s="21" t="inlineStr">
        <is>
          <t>Bohrloch dicht (Grenzfall 01)</t>
        </is>
      </c>
      <c r="C12" s="11" t="n">
        <v>171.652277239534</v>
      </c>
      <c r="D12" s="31" t="n">
        <v>489434.1898410708</v>
      </c>
      <c r="E12" s="31" t="n">
        <v>509672.0522878882</v>
      </c>
      <c r="F12" s="11" t="n">
        <v>47.38408354182138</v>
      </c>
      <c r="G12" s="44">
        <f>TGV-D12</f>
        <v/>
      </c>
      <c r="H12" s="44">
        <f>IF(ISNUMBER(E12),TGV-E12,"–")</f>
        <v/>
      </c>
      <c r="I12" s="45">
        <f>G12/TGV</f>
        <v/>
      </c>
      <c r="J12" s="46">
        <f>IF(ISNUMBER(H12),H12/TGV,"–")</f>
        <v/>
      </c>
    </row>
    <row r="14">
      <c r="B14" s="3" t="inlineStr">
        <is>
          <t>Kontrolle der Stoffdaten gegen DBI (Q-030 Tab. 1 / Q-029)</t>
        </is>
      </c>
    </row>
    <row r="15" ht="30" customHeight="1">
      <c r="B15" s="25" t="inlineStr">
        <is>
          <t>Option</t>
        </is>
      </c>
      <c r="C15" s="25" t="inlineStr">
        <is>
          <t>p [bar]</t>
        </is>
      </c>
      <c r="D15" s="25" t="inlineStr">
        <is>
          <t>T [°C]</t>
        </is>
      </c>
      <c r="E15" s="25" t="inlineStr">
        <is>
          <t>ρ DBI [kg/m³]</t>
        </is>
      </c>
      <c r="F15" s="25" t="inlineStr">
        <is>
          <t>ρ CoolProp [kg/m³]</t>
        </is>
      </c>
      <c r="G15" s="25" t="inlineStr">
        <is>
          <t>Abweichung</t>
        </is>
      </c>
    </row>
    <row r="16">
      <c r="B16" s="27" t="inlineStr">
        <is>
          <t>Option 2</t>
        </is>
      </c>
      <c r="C16" s="29" t="n">
        <v>240</v>
      </c>
      <c r="D16" s="29" t="n">
        <v>50</v>
      </c>
      <c r="E16" s="11" t="n">
        <v>825.6369999999999</v>
      </c>
      <c r="F16" s="11" t="n">
        <v>825.6225446810123</v>
      </c>
      <c r="G16" s="47">
        <f>F16/E16-1</f>
        <v/>
      </c>
    </row>
    <row r="17">
      <c r="B17" s="27" t="inlineStr">
        <is>
          <t>Option 2</t>
        </is>
      </c>
      <c r="C17" s="29" t="n">
        <v>160</v>
      </c>
      <c r="D17" s="29" t="n">
        <v>50</v>
      </c>
      <c r="E17" s="11" t="n">
        <v>722.101</v>
      </c>
      <c r="F17" s="11" t="n">
        <v>722.0887041059273</v>
      </c>
      <c r="G17" s="47">
        <f>F17/E17-1</f>
        <v/>
      </c>
    </row>
    <row r="18">
      <c r="B18" s="27" t="inlineStr">
        <is>
          <t>Option 2</t>
        </is>
      </c>
      <c r="C18" s="29" t="n">
        <v>100</v>
      </c>
      <c r="D18" s="29" t="n">
        <v>50</v>
      </c>
      <c r="E18" s="11" t="n">
        <v>384.334</v>
      </c>
      <c r="F18" s="11" t="n">
        <v>384.327151676668</v>
      </c>
      <c r="G18" s="47">
        <f>F18/E18-1</f>
        <v/>
      </c>
    </row>
    <row r="19">
      <c r="B19" s="27" t="inlineStr">
        <is>
          <t>Option 2</t>
        </is>
      </c>
      <c r="C19" s="29" t="n">
        <v>55</v>
      </c>
      <c r="D19" s="29" t="n">
        <v>50</v>
      </c>
      <c r="E19" s="11" t="n">
        <v>119.482</v>
      </c>
      <c r="F19" s="11" t="n">
        <v>119.3780741875152</v>
      </c>
      <c r="G19" s="47">
        <f>F19/E19-1</f>
        <v/>
      </c>
    </row>
    <row r="20">
      <c r="B20" s="27" t="inlineStr">
        <is>
          <t>Option 1</t>
        </is>
      </c>
      <c r="C20" s="29" t="n">
        <v>260</v>
      </c>
      <c r="D20" s="29" t="n">
        <v>84</v>
      </c>
      <c r="E20" s="11" t="n">
        <v>677.684</v>
      </c>
      <c r="F20" s="11" t="n">
        <v>680.493898864201</v>
      </c>
      <c r="G20" s="47">
        <f>F20/E20-1</f>
        <v/>
      </c>
    </row>
    <row r="21">
      <c r="B21" s="27" t="inlineStr">
        <is>
          <t>Option 1</t>
        </is>
      </c>
      <c r="C21" s="29" t="n">
        <v>70</v>
      </c>
      <c r="D21" s="29" t="n">
        <v>84</v>
      </c>
      <c r="E21" s="11" t="n">
        <v>131.309</v>
      </c>
      <c r="F21" s="11" t="n">
        <v>130.7965392729444</v>
      </c>
      <c r="G21" s="47">
        <f>F21/E21-1</f>
        <v/>
      </c>
    </row>
    <row r="22">
      <c r="B22" s="27" t="inlineStr">
        <is>
          <t>Option 3</t>
        </is>
      </c>
      <c r="C22" s="29" t="n">
        <v>50</v>
      </c>
      <c r="D22" s="29" t="n">
        <v>33</v>
      </c>
      <c r="E22" s="11" t="n">
        <v>120.816</v>
      </c>
      <c r="F22" s="11" t="n">
        <v>120.3284174217837</v>
      </c>
      <c r="G22" s="47">
        <f>F22/E22-1</f>
        <v/>
      </c>
    </row>
    <row r="23">
      <c r="B23" s="27" t="inlineStr">
        <is>
          <t>Option 3</t>
        </is>
      </c>
      <c r="C23" s="29" t="n">
        <v>40</v>
      </c>
      <c r="D23" s="29" t="n">
        <v>33</v>
      </c>
      <c r="E23" s="11" t="n">
        <v>87.986</v>
      </c>
      <c r="F23" s="11" t="n">
        <v>87.8144029444064</v>
      </c>
      <c r="G23" s="47">
        <f>F23/E23-1</f>
        <v/>
      </c>
    </row>
    <row r="26">
      <c r="B26" s="3" t="inlineStr">
        <is>
          <t>Teufenfenster</t>
        </is>
      </c>
    </row>
    <row r="27" ht="20" customHeight="1">
      <c r="B27" s="25" t="inlineStr">
        <is>
          <t>Größe</t>
        </is>
      </c>
      <c r="C27" s="25" t="inlineStr">
        <is>
          <t>Wert</t>
        </is>
      </c>
      <c r="D27" s="25" t="inlineStr">
        <is>
          <t>Einheit</t>
        </is>
      </c>
    </row>
    <row r="28">
      <c r="B28" s="27" t="inlineStr">
        <is>
          <t>Grenztemperatur (T_krit)</t>
        </is>
      </c>
      <c r="C28" s="11" t="n">
        <v>30.97820000298071</v>
      </c>
      <c r="D28" s="43" t="inlineStr">
        <is>
          <t>°C</t>
        </is>
      </c>
    </row>
    <row r="29">
      <c r="B29" s="27" t="inlineStr">
        <is>
          <t>Grenzdruck</t>
        </is>
      </c>
      <c r="C29" s="11" t="n">
        <v>73.77298373446752</v>
      </c>
      <c r="D29" s="43" t="inlineStr">
        <is>
          <t>bar</t>
        </is>
      </c>
    </row>
    <row r="30">
      <c r="B30" s="27" t="inlineStr">
        <is>
          <t>Sicherheitsabstand</t>
        </is>
      </c>
      <c r="C30" s="11" t="n">
        <v>3</v>
      </c>
      <c r="D30" s="43" t="inlineStr">
        <is>
          <t>K</t>
        </is>
      </c>
    </row>
    <row r="31">
      <c r="B31" s="27" t="inlineStr">
        <is>
          <t>Bezugsteufe mindestens</t>
        </is>
      </c>
      <c r="C31" s="11" t="n">
        <v>799.2733334326905</v>
      </c>
      <c r="D31" s="43" t="inlineStr">
        <is>
          <t>m</t>
        </is>
      </c>
    </row>
    <row r="32">
      <c r="B32" s="27" t="inlineStr">
        <is>
          <t>LCCS-Teufe mindestens</t>
        </is>
      </c>
      <c r="C32" s="11" t="n">
        <v>594.2733334326905</v>
      </c>
      <c r="D32" s="43" t="inlineStr">
        <is>
          <t>m</t>
        </is>
      </c>
    </row>
    <row r="33">
      <c r="B33" s="27" t="inlineStr">
        <is>
          <t>LCCS-Teufe höchstens (p_max-Gradient)</t>
        </is>
      </c>
      <c r="C33" s="11" t="n">
        <v>1264.6797211623</v>
      </c>
      <c r="D33" s="43" t="inlineStr">
        <is>
          <t>m</t>
        </is>
      </c>
    </row>
    <row r="34">
      <c r="B34" s="8" t="inlineStr">
        <is>
          <t>Die Referenzkaverne (LCCS 1200 m) liegt im Fenster. Flache Kavernen fallen heraus – DBI verwirft die flache Option selbst (Q-030 S. 17).</t>
        </is>
      </c>
    </row>
  </sheetData>
  <mergeCells count="1">
    <mergeCell ref="B4:K4"/>
  </mergeCells>
  <conditionalFormatting sqref="C10:F12">
    <cfRule type="expression" priority="1" dxfId="2">
      <formula>NOT(Stand_ok)</formula>
    </cfRule>
  </conditionalFormatting>
  <conditionalFormatting sqref="C7">
    <cfRule type="expression" priority="2" dxfId="2">
      <formula>NOT(Stand_ok)</formula>
    </cfRule>
  </conditionalFormatting>
  <hyperlinks>
    <hyperlink ref="B3" location="'Übersicht'!A1" display="← zur Übersicht"/>
  </hyperlinks>
  <pageMargins left="0.4" right="0.4" top="0.5" bottom="0.5" header="0.3" footer="0.3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B1:O56"/>
  <sheetViews>
    <sheetView showGridLines="0" workbookViewId="0">
      <selection activeCell="A1" sqref="A1"/>
    </sheetView>
  </sheetViews>
  <sheetFormatPr baseColWidth="8" defaultRowHeight="15"/>
  <cols>
    <col width="2.7" customWidth="1" min="1" max="1"/>
    <col width="3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30" customHeight="1">
      <c r="B1" s="1" t="inlineStr">
        <is>
          <t>03 Raten und Kavernenzyklus – mit Stillstand oder kontinuierlich</t>
        </is>
      </c>
    </row>
    <row r="2">
      <c r="B2" s="2" t="inlineStr">
        <is>
          <t>reines CO₂ · Code: Kaverne/Reines_CO2/03_kavernenzyklus.py · Kavernenbilanz als ideal durchmischter Knoten mit Wärmeübergang UA</t>
        </is>
      </c>
    </row>
    <row r="3">
      <c r="B3" s="18" t="inlineStr">
        <is>
          <t>← zur Übersicht</t>
        </is>
      </c>
    </row>
    <row r="4" ht="120" customHeight="1">
      <c r="B4" s="4" t="inlineStr">
        <is>
          <r>
            <rPr>
              <rFont val="Calibri"/>
              <b val="1"/>
              <sz val="10"/>
            </rPr>
            <t>RATE:</t>
          </r>
          <r>
            <rPr>
              <rFont val="Calibri"/>
              <sz val="10"/>
            </rPr>
            <t xml:space="preserve">  Die Kaverne darf an der LCCS höchstens 10 bar/d Druck ändern (Q-030 Kap. 1.2.1). Daraus folgt eine zulässige Massenrate ṁ = V·(∂ρ/∂p)·dp/dt – sie hängt vom Zustand ab (isotherm: langsam; isentrop: schnell).
</t>
          </r>
          <r>
            <rPr>
              <rFont val="Calibri"/>
              <b val="1"/>
              <sz val="10"/>
            </rPr>
            <t>ZYKLUS:</t>
          </r>
          <r>
            <rPr>
              <rFont val="Calibri"/>
              <sz val="10"/>
            </rPr>
            <t xml:space="preserve">  voll (210 bar, Gebirgstemperatur) → Ausspeichern bis 70 bar → Stillstand → Einspeichern bis 210 bar → Stillstand. Die Einspeiseenthalpie kommt aus der Einspeicherung (Pumpenaustritt S1 bzw. S2, adiabater Strang). Die Rate wird gedrosselt, wo 10 bar/d sonst überschritten würden.
</t>
          </r>
          <r>
            <rPr>
              <rFont val="Calibri"/>
              <b val="1"/>
              <sz val="10"/>
            </rPr>
            <t>STILLSTAND 21,67 d:</t>
          </r>
          <r>
            <rPr>
              <rFont val="Calibri"/>
              <sz val="10"/>
            </rPr>
            <t xml:space="preserve">  aus Q-028 S. 10 (Kap. 4) – Betriebsszenario der dortigen Simulation („Standstill phase (21.67 d)“); gleiche Begründung wie in der Quelle, und an dieser Simulation ist UA kalibriert. Vergleich: kontinuierlich (0 d).
</t>
          </r>
          <r>
            <rPr>
              <rFont val="Calibri"/>
              <b val="1"/>
              <sz val="10"/>
            </rPr>
            <t>GRENZE:</t>
          </r>
          <r>
            <rPr>
              <rFont val="Calibri"/>
              <sz val="10"/>
            </rPr>
            <t xml:space="preserve">  konstantes UA statt instationärer Wärmeleitung – im Stillstand gleicht sich die Temperatur in Tagen an; Q-035 beschreibt für Erdgas Monate. Das Ende eines Zyklus hängt deshalb kaum vom Stillstand ab, der Start der nächsten Phase schon.</t>
          </r>
        </is>
      </c>
      <c r="C4" s="41" t="n"/>
      <c r="D4" s="41" t="n"/>
      <c r="E4" s="41" t="n"/>
      <c r="F4" s="41" t="n"/>
      <c r="G4" s="41" t="n"/>
      <c r="H4" s="41" t="n"/>
      <c r="I4" s="41" t="n"/>
      <c r="J4" s="41" t="n"/>
      <c r="K4" s="41" t="n"/>
      <c r="L4" s="41" t="n"/>
      <c r="M4" s="41" t="n"/>
      <c r="N4" s="41" t="n"/>
      <c r="O4" s="42" t="n"/>
    </row>
    <row r="6">
      <c r="B6" s="3" t="inlineStr">
        <is>
          <t>Nachrechnung Q-028 (reines CO₂, Einspeisung 30 °C an der LCCS) – Kalibrierung von UA</t>
        </is>
      </c>
    </row>
    <row r="7" ht="20" customHeight="1">
      <c r="B7" s="25" t="inlineStr">
        <is>
          <t>Größe</t>
        </is>
      </c>
      <c r="C7" s="25" t="inlineStr">
        <is>
          <t>Q-028</t>
        </is>
      </c>
      <c r="D7" s="25" t="inlineStr">
        <is>
          <t>Kavernenbilanz</t>
        </is>
      </c>
      <c r="E7" s="25" t="inlineStr">
        <is>
          <t>Abweichung</t>
        </is>
      </c>
    </row>
    <row r="8">
      <c r="B8" s="27" t="inlineStr">
        <is>
          <t>Druck LCCS am Ende der Ausspeicherung [bar]</t>
        </is>
      </c>
      <c r="C8" s="11" t="n">
        <v>77.59999999999999</v>
      </c>
      <c r="D8" s="11" t="n">
        <v>78.94395589881599</v>
      </c>
      <c r="E8" s="12">
        <f>D8-C8</f>
        <v/>
      </c>
    </row>
    <row r="9">
      <c r="B9" s="27" t="inlineStr">
        <is>
          <t>Temperatur am Ende [°C]</t>
        </is>
      </c>
      <c r="C9" s="11" t="n">
        <v>33.1</v>
      </c>
      <c r="D9" s="11" t="n">
        <v>34.13062387520984</v>
      </c>
      <c r="E9" s="12">
        <f>D9-C9</f>
        <v/>
      </c>
    </row>
    <row r="10">
      <c r="B10" s="27" t="inlineStr">
        <is>
          <t>Rate min. [t/h]</t>
        </is>
      </c>
      <c r="C10" s="29" t="n">
        <v>90</v>
      </c>
      <c r="D10" s="29" t="n">
        <v>154.6658937968386</v>
      </c>
      <c r="E10" s="48">
        <f>D10-C10</f>
        <v/>
      </c>
    </row>
    <row r="11">
      <c r="B11" s="27" t="inlineStr">
        <is>
          <t>Rate max. [t/h]</t>
        </is>
      </c>
      <c r="C11" s="29" t="n">
        <v>600</v>
      </c>
      <c r="D11" s="29" t="n">
        <v>624.3144236250264</v>
      </c>
      <c r="E11" s="48">
        <f>D11-C11</f>
        <v/>
      </c>
    </row>
    <row r="12">
      <c r="B12" s="8" t="inlineStr">
        <is>
          <t>Q-028 S. 10 (Text: 77,6 bar / 33,1 °C am Ende der ersten Ausspeicherung) und Fig. 7/8 (S. 12: Druck, Temperatur, Raten ca. 90–600 t/h); Nachrechnung nur für reines CO₂ – sie kalibriert UA für beide Stoffe.</t>
        </is>
      </c>
    </row>
    <row r="14">
      <c r="B14" s="3" t="inlineStr">
        <is>
          <t>Zulässige Rate aus der Druckänderung an der LCCS</t>
        </is>
      </c>
    </row>
    <row r="15" ht="42" customHeight="1">
      <c r="B15" s="25" t="inlineStr">
        <is>
          <t>p LCCS [bar]</t>
        </is>
      </c>
      <c r="C15" s="25" t="inlineStr">
        <is>
          <t>isotherm 6 bar/d [kg/s]</t>
        </is>
      </c>
      <c r="D15" s="25" t="inlineStr">
        <is>
          <t>isotherm 10 bar/d [kg/s]</t>
        </is>
      </c>
      <c r="E15" s="25" t="inlineStr">
        <is>
          <t>isentrop 6 bar/d [kg/s]</t>
        </is>
      </c>
      <c r="F15" s="25" t="inlineStr">
        <is>
          <t>isentrop 10 bar/d [kg/s]</t>
        </is>
      </c>
      <c r="H15" s="21" t="inlineStr">
        <is>
          <t>Auslegungsraten [kg/s]</t>
        </is>
      </c>
    </row>
    <row r="16">
      <c r="B16" s="29" t="n">
        <v>70</v>
      </c>
      <c r="C16" s="11" t="n">
        <v>190.5533317789629</v>
      </c>
      <c r="D16" s="11" t="n">
        <v>317.5888862982716</v>
      </c>
      <c r="E16" s="11" t="n">
        <v>83.72509612322342</v>
      </c>
      <c r="F16" s="11" t="n">
        <v>139.5418268720391</v>
      </c>
      <c r="H16" s="27" t="inlineStr">
        <is>
          <t>50.000 Nm³/h</t>
        </is>
      </c>
      <c r="I16" s="11" t="n">
        <v>27.45573252043847</v>
      </c>
    </row>
    <row r="17">
      <c r="B17" s="29" t="n">
        <v>75</v>
      </c>
      <c r="C17" s="11" t="n">
        <v>219.4706523898254</v>
      </c>
      <c r="D17" s="11" t="n">
        <v>365.784420649709</v>
      </c>
      <c r="E17" s="11" t="n">
        <v>86.48629213814959</v>
      </c>
      <c r="F17" s="11" t="n">
        <v>144.1438202302493</v>
      </c>
      <c r="H17" s="27" t="inlineStr">
        <is>
          <t>100.000 Nm³/h</t>
        </is>
      </c>
      <c r="I17" s="11" t="n">
        <v>54.91146504087695</v>
      </c>
    </row>
    <row r="18">
      <c r="B18" s="29" t="n">
        <v>80</v>
      </c>
      <c r="C18" s="11" t="n">
        <v>258.9349801926306</v>
      </c>
      <c r="D18" s="11" t="n">
        <v>431.5583003210509</v>
      </c>
      <c r="E18" s="11" t="n">
        <v>89.25489806935023</v>
      </c>
      <c r="F18" s="11" t="n">
        <v>148.7581634489171</v>
      </c>
    </row>
    <row r="19">
      <c r="B19" s="29" t="n">
        <v>85</v>
      </c>
      <c r="C19" s="11" t="n">
        <v>314.0647076326994</v>
      </c>
      <c r="D19" s="11" t="n">
        <v>523.4411793878323</v>
      </c>
      <c r="E19" s="11" t="n">
        <v>91.77137532584049</v>
      </c>
      <c r="F19" s="11" t="n">
        <v>152.9522922097341</v>
      </c>
      <c r="H19" s="27" t="inlineStr">
        <is>
          <t>Grenzrate: Kaverneninhalt bleibt beim Ausspeichern einphasig bis [kg/s]</t>
        </is>
      </c>
      <c r="I19" s="22" t="n"/>
      <c r="J19" s="22" t="n"/>
      <c r="K19" s="23" t="n"/>
      <c r="L19" s="13" t="n">
        <v>150</v>
      </c>
    </row>
    <row r="20">
      <c r="B20" s="29" t="n">
        <v>90</v>
      </c>
      <c r="C20" s="11" t="n">
        <v>388.6806520504073</v>
      </c>
      <c r="D20" s="11" t="n">
        <v>647.801086750679</v>
      </c>
      <c r="E20" s="11" t="n">
        <v>93.35540957710484</v>
      </c>
      <c r="F20" s="11" t="n">
        <v>155.5923492951747</v>
      </c>
      <c r="H20" s="27" t="inlineStr">
        <is>
          <t>bindend (unterhalb der Suchgrenze 150 kg/s)?</t>
        </is>
      </c>
      <c r="I20" s="22" t="n"/>
      <c r="J20" s="22" t="n"/>
      <c r="K20" s="23" t="n"/>
      <c r="L20" s="43" t="inlineStr">
        <is>
          <t>nein</t>
        </is>
      </c>
    </row>
    <row r="21">
      <c r="B21" s="29" t="n">
        <v>95</v>
      </c>
      <c r="C21" s="11" t="n">
        <v>468.5916202783866</v>
      </c>
      <c r="D21" s="11" t="n">
        <v>780.9860337973111</v>
      </c>
      <c r="E21" s="11" t="n">
        <v>92.44409399574387</v>
      </c>
      <c r="F21" s="11" t="n">
        <v>154.0734899929064</v>
      </c>
    </row>
    <row r="22">
      <c r="B22" s="29" t="n">
        <v>100</v>
      </c>
      <c r="C22" s="11" t="n">
        <v>491.1715607793962</v>
      </c>
      <c r="D22" s="11" t="n">
        <v>818.6192679656604</v>
      </c>
      <c r="E22" s="11" t="n">
        <v>86.57845107817217</v>
      </c>
      <c r="F22" s="11" t="n">
        <v>144.2974184636203</v>
      </c>
    </row>
    <row r="23">
      <c r="B23" s="29" t="n">
        <v>105</v>
      </c>
      <c r="C23" s="11" t="n">
        <v>415.9008636989082</v>
      </c>
      <c r="D23" s="11" t="n">
        <v>693.168106164847</v>
      </c>
      <c r="E23" s="11" t="n">
        <v>76.18797814404226</v>
      </c>
      <c r="F23" s="11" t="n">
        <v>126.9799635734038</v>
      </c>
    </row>
    <row r="24">
      <c r="B24" s="29" t="n">
        <v>110</v>
      </c>
      <c r="C24" s="11" t="n">
        <v>321.1696874430431</v>
      </c>
      <c r="D24" s="11" t="n">
        <v>535.2828124050718</v>
      </c>
      <c r="E24" s="11" t="n">
        <v>65.47411943272864</v>
      </c>
      <c r="F24" s="11" t="n">
        <v>109.1235323878811</v>
      </c>
    </row>
    <row r="25">
      <c r="B25" s="29" t="n">
        <v>115</v>
      </c>
      <c r="C25" s="11" t="n">
        <v>250.5552058683118</v>
      </c>
      <c r="D25" s="11" t="n">
        <v>417.5920097805196</v>
      </c>
      <c r="E25" s="11" t="n">
        <v>56.87599686876344</v>
      </c>
      <c r="F25" s="11" t="n">
        <v>94.79332811460574</v>
      </c>
    </row>
    <row r="26">
      <c r="B26" s="29" t="n">
        <v>120</v>
      </c>
      <c r="C26" s="11" t="n">
        <v>202.7066731233</v>
      </c>
      <c r="D26" s="11" t="n">
        <v>337.8444552055001</v>
      </c>
      <c r="E26" s="11" t="n">
        <v>50.31394545195045</v>
      </c>
      <c r="F26" s="11" t="n">
        <v>83.85657575325075</v>
      </c>
    </row>
    <row r="27">
      <c r="B27" s="29" t="n">
        <v>125</v>
      </c>
      <c r="C27" s="11" t="n">
        <v>169.6004489688351</v>
      </c>
      <c r="D27" s="11" t="n">
        <v>282.6674149480585</v>
      </c>
      <c r="E27" s="11" t="n">
        <v>45.2340560458383</v>
      </c>
      <c r="F27" s="11" t="n">
        <v>75.3900934097305</v>
      </c>
    </row>
    <row r="28">
      <c r="B28" s="29" t="n">
        <v>130</v>
      </c>
      <c r="C28" s="11" t="n">
        <v>145.6738653472473</v>
      </c>
      <c r="D28" s="11" t="n">
        <v>242.7897755787454</v>
      </c>
      <c r="E28" s="11" t="n">
        <v>41.2016444627296</v>
      </c>
      <c r="F28" s="11" t="n">
        <v>68.66940743788265</v>
      </c>
    </row>
    <row r="29">
      <c r="B29" s="29" t="n">
        <v>135</v>
      </c>
      <c r="C29" s="11" t="n">
        <v>127.6672204974416</v>
      </c>
      <c r="D29" s="11" t="n">
        <v>212.7787008290693</v>
      </c>
      <c r="E29" s="11" t="n">
        <v>37.9230337072377</v>
      </c>
      <c r="F29" s="11" t="n">
        <v>63.2050561787295</v>
      </c>
    </row>
    <row r="30">
      <c r="B30" s="29" t="n">
        <v>140</v>
      </c>
      <c r="C30" s="11" t="n">
        <v>113.6617487582462</v>
      </c>
      <c r="D30" s="11" t="n">
        <v>189.4362479304103</v>
      </c>
      <c r="E30" s="11" t="n">
        <v>35.20175758364041</v>
      </c>
      <c r="F30" s="11" t="n">
        <v>58.66959597273401</v>
      </c>
    </row>
    <row r="31">
      <c r="B31" s="29" t="n">
        <v>145</v>
      </c>
      <c r="C31" s="11" t="n">
        <v>102.4767939620526</v>
      </c>
      <c r="D31" s="11" t="n">
        <v>170.794656603421</v>
      </c>
      <c r="E31" s="11" t="n">
        <v>32.90361507648696</v>
      </c>
      <c r="F31" s="11" t="n">
        <v>54.8393584608116</v>
      </c>
    </row>
    <row r="32">
      <c r="B32" s="29" t="n">
        <v>150</v>
      </c>
      <c r="C32" s="11" t="n">
        <v>93.34990664934513</v>
      </c>
      <c r="D32" s="11" t="n">
        <v>155.5831777489086</v>
      </c>
      <c r="E32" s="11" t="n">
        <v>30.93434410090602</v>
      </c>
      <c r="F32" s="11" t="n">
        <v>51.5572401681767</v>
      </c>
    </row>
    <row r="33">
      <c r="B33" s="29" t="n">
        <v>155</v>
      </c>
      <c r="C33" s="11" t="n">
        <v>85.7675778896956</v>
      </c>
      <c r="D33" s="11" t="n">
        <v>142.9459631494927</v>
      </c>
      <c r="E33" s="11" t="n">
        <v>29.22591490277934</v>
      </c>
      <c r="F33" s="11" t="n">
        <v>48.70985817129891</v>
      </c>
    </row>
    <row r="34">
      <c r="B34" s="29" t="n">
        <v>160</v>
      </c>
      <c r="C34" s="11" t="n">
        <v>79.3718660327561</v>
      </c>
      <c r="D34" s="11" t="n">
        <v>132.2864433879269</v>
      </c>
      <c r="E34" s="11" t="n">
        <v>27.72802869517076</v>
      </c>
      <c r="F34" s="11" t="n">
        <v>46.21338115861793</v>
      </c>
    </row>
    <row r="35">
      <c r="B35" s="29" t="n">
        <v>165</v>
      </c>
      <c r="C35" s="11" t="n">
        <v>73.9061396428436</v>
      </c>
      <c r="D35" s="11" t="n">
        <v>123.1768994047393</v>
      </c>
      <c r="E35" s="11" t="n">
        <v>26.40269945884444</v>
      </c>
      <c r="F35" s="11" t="n">
        <v>44.00449909807406</v>
      </c>
    </row>
    <row r="36">
      <c r="B36" s="29" t="n">
        <v>170</v>
      </c>
      <c r="C36" s="11" t="n">
        <v>69.18199191456549</v>
      </c>
      <c r="D36" s="11" t="n">
        <v>115.3033198576091</v>
      </c>
      <c r="E36" s="11" t="n">
        <v>25.22069707854504</v>
      </c>
      <c r="F36" s="11" t="n">
        <v>42.0344951309084</v>
      </c>
    </row>
    <row r="37">
      <c r="B37" s="29" t="n">
        <v>175</v>
      </c>
      <c r="C37" s="11" t="n">
        <v>65.05824023360773</v>
      </c>
      <c r="D37" s="11" t="n">
        <v>108.4304003893462</v>
      </c>
      <c r="E37" s="11" t="n">
        <v>24.15914944983196</v>
      </c>
      <c r="F37" s="11" t="n">
        <v>40.26524908305326</v>
      </c>
    </row>
    <row r="38">
      <c r="B38" s="29" t="n">
        <v>180</v>
      </c>
      <c r="C38" s="11" t="n">
        <v>61.42715853159844</v>
      </c>
      <c r="D38" s="11" t="n">
        <v>102.3785975526641</v>
      </c>
      <c r="E38" s="11" t="n">
        <v>23.19988853472653</v>
      </c>
      <c r="F38" s="11" t="n">
        <v>38.66648089121087</v>
      </c>
    </row>
    <row r="39">
      <c r="B39" s="29" t="n">
        <v>185</v>
      </c>
      <c r="C39" s="11" t="n">
        <v>58.20520912074025</v>
      </c>
      <c r="D39" s="11" t="n">
        <v>97.00868186790041</v>
      </c>
      <c r="E39" s="11" t="n">
        <v>22.32828658098601</v>
      </c>
      <c r="F39" s="11" t="n">
        <v>37.21381096831001</v>
      </c>
    </row>
    <row r="40">
      <c r="B40" s="29" t="n">
        <v>190</v>
      </c>
      <c r="C40" s="11" t="n">
        <v>55.32666183386207</v>
      </c>
      <c r="D40" s="11" t="n">
        <v>92.2111030564368</v>
      </c>
      <c r="E40" s="11" t="n">
        <v>21.53242240919906</v>
      </c>
      <c r="F40" s="11" t="n">
        <v>35.88737068199843</v>
      </c>
    </row>
    <row r="41">
      <c r="B41" s="29" t="n">
        <v>195</v>
      </c>
      <c r="C41" s="11" t="n">
        <v>52.73911357311315</v>
      </c>
      <c r="D41" s="11" t="n">
        <v>87.89852262185525</v>
      </c>
      <c r="E41" s="11" t="n">
        <v>20.80247416438871</v>
      </c>
      <c r="F41" s="11" t="n">
        <v>34.67079027398118</v>
      </c>
    </row>
    <row r="42">
      <c r="B42" s="29" t="n">
        <v>200</v>
      </c>
      <c r="C42" s="11" t="n">
        <v>50.40028593367414</v>
      </c>
      <c r="D42" s="11" t="n">
        <v>84.00047655612357</v>
      </c>
      <c r="E42" s="11" t="n">
        <v>20.13027008366794</v>
      </c>
      <c r="F42" s="11" t="n">
        <v>33.55045013944656</v>
      </c>
    </row>
    <row r="43">
      <c r="B43" s="29" t="n">
        <v>205</v>
      </c>
      <c r="C43" s="11" t="n">
        <v>48.27569882307851</v>
      </c>
      <c r="D43" s="11" t="n">
        <v>80.45949803846418</v>
      </c>
      <c r="E43" s="11" t="n">
        <v>19.50895125949029</v>
      </c>
      <c r="F43" s="11" t="n">
        <v>32.51491876581715</v>
      </c>
    </row>
    <row r="44">
      <c r="B44" s="29" t="n">
        <v>210</v>
      </c>
      <c r="C44" s="11" t="n">
        <v>46.33695488624706</v>
      </c>
      <c r="D44" s="11" t="n">
        <v>77.22825814374511</v>
      </c>
      <c r="E44" s="11" t="n">
        <v>18.93271497102297</v>
      </c>
      <c r="F44" s="11" t="n">
        <v>31.55452495170494</v>
      </c>
    </row>
    <row r="46">
      <c r="B46" s="3" t="inlineStr">
        <is>
          <t>Kavernenzyklus: Ergebnisse je Fall</t>
        </is>
      </c>
    </row>
    <row r="47" ht="56" customHeight="1">
      <c r="B47" s="25" t="inlineStr">
        <is>
          <t>Fall</t>
        </is>
      </c>
      <c r="C47" s="25" t="inlineStr">
        <is>
          <t>Arbeitsgas [t]</t>
        </is>
      </c>
      <c r="D47" s="25" t="inlineStr">
        <is>
          <t>Anteil am Inhalt</t>
        </is>
      </c>
      <c r="E47" s="25" t="inlineStr">
        <is>
          <t>Zyklusdauer [d]</t>
        </is>
      </c>
      <c r="F47" s="25" t="inlineStr">
        <is>
          <t>Zyklen pro Jahr</t>
        </is>
      </c>
      <c r="G47" s="25" t="inlineStr">
        <is>
          <t>Aus: Dauer [d]</t>
        </is>
      </c>
      <c r="H47" s="25" t="inlineStr">
        <is>
          <t>Aus: T min [°C]</t>
        </is>
      </c>
      <c r="I47" s="25" t="inlineStr">
        <is>
          <t>Aus: Rate gedrosselt [%]</t>
        </is>
      </c>
      <c r="J47" s="25" t="inlineStr">
        <is>
          <t>Stillstand 1: p LCCS danach [bar]</t>
        </is>
      </c>
      <c r="K47" s="25" t="inlineStr">
        <is>
          <t>Ein: Dauer [d]</t>
        </is>
      </c>
      <c r="L47" s="25" t="inlineStr">
        <is>
          <t>Ein: T max [°C]</t>
        </is>
      </c>
      <c r="M47" s="25" t="inlineStr">
        <is>
          <t>Stillstand 2: p LCCS danach [bar]</t>
        </is>
      </c>
      <c r="N47" s="25" t="inlineStr">
        <is>
          <t>Kaverne zweiphasig?</t>
        </is>
      </c>
      <c r="O47" s="25" t="inlineStr">
        <is>
          <t>T an der LCCS beim Einspeisen [°C]</t>
        </is>
      </c>
    </row>
    <row r="48" ht="27" customHeight="1">
      <c r="B48" s="21" t="inlineStr">
        <is>
          <t>S1, 50.000 Nm³/h, Stillstand 21,67 d (Q-028)</t>
        </is>
      </c>
      <c r="C48" s="31" t="n">
        <v>393543.8805721001</v>
      </c>
      <c r="D48" s="49" t="n">
        <v>0.7553968284721202</v>
      </c>
      <c r="E48" s="29" t="n">
        <v>366.9599999999562</v>
      </c>
      <c r="F48" s="12">
        <f>365/E48</f>
        <v/>
      </c>
      <c r="G48" s="29" t="n">
        <v>165.9000000000111</v>
      </c>
      <c r="H48" s="11" t="n">
        <v>43.99875122433815</v>
      </c>
      <c r="I48" s="29" t="n">
        <v>0</v>
      </c>
      <c r="J48" s="11" t="n">
        <v>72.73210151387924</v>
      </c>
      <c r="K48" s="29" t="n">
        <v>157.6999999999538</v>
      </c>
      <c r="L48" s="11" t="n">
        <v>57.74799177262639</v>
      </c>
      <c r="M48" s="11" t="n">
        <v>187.1659538100592</v>
      </c>
      <c r="N48" s="43" t="inlineStr">
        <is>
          <t>nein</t>
        </is>
      </c>
      <c r="O48" s="11" t="n">
        <v>25.48893686143083</v>
      </c>
    </row>
    <row r="49" ht="27" customHeight="1">
      <c r="B49" s="21" t="inlineStr">
        <is>
          <t>S1, 50.000 Nm³/h, kontinuierlich (0 d)</t>
        </is>
      </c>
      <c r="C49" s="31" t="n">
        <v>393543.8805721001</v>
      </c>
      <c r="D49" s="49" t="n">
        <v>0.7553968284721202</v>
      </c>
      <c r="E49" s="29" t="n">
        <v>323.5999999999956</v>
      </c>
      <c r="F49" s="12">
        <f>365/E49</f>
        <v/>
      </c>
      <c r="G49" s="29" t="n">
        <v>165.9000000000111</v>
      </c>
      <c r="H49" s="11" t="n">
        <v>43.99875122433815</v>
      </c>
      <c r="I49" s="29" t="n">
        <v>0</v>
      </c>
      <c r="J49" s="11" t="n">
        <v>69.99123997044674</v>
      </c>
      <c r="K49" s="29" t="n">
        <v>157.6999999999846</v>
      </c>
      <c r="L49" s="11" t="n">
        <v>57.74799177262582</v>
      </c>
      <c r="M49" s="11" t="n">
        <v>210.0642586969716</v>
      </c>
      <c r="N49" s="43" t="inlineStr">
        <is>
          <t>nein</t>
        </is>
      </c>
      <c r="O49" s="11" t="n">
        <v>25.48893686143083</v>
      </c>
    </row>
    <row r="50" ht="27" customHeight="1">
      <c r="B50" s="21" t="inlineStr">
        <is>
          <t>S1, 100.000 Nm³/h, Stillstand 21,67 d (Q-028)</t>
        </is>
      </c>
      <c r="C50" s="31" t="n">
        <v>380315.5390422236</v>
      </c>
      <c r="D50" s="49" t="n">
        <v>0.7300053848976749</v>
      </c>
      <c r="E50" s="29" t="n">
        <v>198.6600000000278</v>
      </c>
      <c r="F50" s="12">
        <f>365/E50</f>
        <v/>
      </c>
      <c r="G50" s="29" t="n">
        <v>81.68000000000089</v>
      </c>
      <c r="H50" s="11" t="n">
        <v>38.08246058891331</v>
      </c>
      <c r="I50" s="29" t="n">
        <v>7.443682664054848</v>
      </c>
      <c r="J50" s="11" t="n">
        <v>76.52497315005577</v>
      </c>
      <c r="K50" s="29" t="n">
        <v>73.62000000002016</v>
      </c>
      <c r="L50" s="11" t="n">
        <v>60.94477270397806</v>
      </c>
      <c r="M50" s="11" t="n">
        <v>175.8364933010595</v>
      </c>
      <c r="N50" s="43" t="inlineStr">
        <is>
          <t>nein</t>
        </is>
      </c>
      <c r="O50" s="11" t="n">
        <v>25.57424145386437</v>
      </c>
    </row>
    <row r="51" ht="27" customHeight="1">
      <c r="B51" s="21" t="inlineStr">
        <is>
          <t>S1, 100.000 Nm³/h, kontinuierlich (0 d)</t>
        </is>
      </c>
      <c r="C51" s="31" t="n">
        <v>380315.5390422236</v>
      </c>
      <c r="D51" s="49" t="n">
        <v>0.7300053848976749</v>
      </c>
      <c r="E51" s="29" t="n">
        <v>155.3000000000056</v>
      </c>
      <c r="F51" s="12">
        <f>365/E51</f>
        <v/>
      </c>
      <c r="G51" s="29" t="n">
        <v>81.68000000000089</v>
      </c>
      <c r="H51" s="11" t="n">
        <v>38.08246058891331</v>
      </c>
      <c r="I51" s="29" t="n">
        <v>7.443682664054848</v>
      </c>
      <c r="J51" s="11" t="n">
        <v>69.98741983238004</v>
      </c>
      <c r="K51" s="29" t="n">
        <v>73.62000000000475</v>
      </c>
      <c r="L51" s="11" t="n">
        <v>60.94476250754303</v>
      </c>
      <c r="M51" s="11" t="n">
        <v>210.018344062793</v>
      </c>
      <c r="N51" s="43" t="inlineStr">
        <is>
          <t>nein</t>
        </is>
      </c>
      <c r="O51" s="11" t="n">
        <v>25.57424145386437</v>
      </c>
    </row>
    <row r="52" ht="27" customHeight="1">
      <c r="B52" s="21" t="inlineStr">
        <is>
          <t>S2, 50.000 Nm³/h, Stillstand 21,67 d (Q-028)</t>
        </is>
      </c>
      <c r="C52" s="31" t="n">
        <v>393543.8805721001</v>
      </c>
      <c r="D52" s="49" t="n">
        <v>0.7553968284721202</v>
      </c>
      <c r="E52" s="29" t="n">
        <v>364.8399999999581</v>
      </c>
      <c r="F52" s="12">
        <f>365/E52</f>
        <v/>
      </c>
      <c r="G52" s="29" t="n">
        <v>165.9000000000111</v>
      </c>
      <c r="H52" s="11" t="n">
        <v>43.99875122433815</v>
      </c>
      <c r="I52" s="29" t="n">
        <v>0</v>
      </c>
      <c r="J52" s="11" t="n">
        <v>72.73210151387924</v>
      </c>
      <c r="K52" s="29" t="n">
        <v>155.5799999999557</v>
      </c>
      <c r="L52" s="11" t="n">
        <v>59.13986475013326</v>
      </c>
      <c r="M52" s="11" t="n">
        <v>182.060426486639</v>
      </c>
      <c r="N52" s="43" t="inlineStr">
        <is>
          <t>nein</t>
        </is>
      </c>
      <c r="O52" s="11" t="n">
        <v>40.62195425991717</v>
      </c>
    </row>
    <row r="53" ht="27" customHeight="1">
      <c r="B53" s="21" t="inlineStr">
        <is>
          <t>S2, 50.000 Nm³/h, kontinuierlich (0 d)</t>
        </is>
      </c>
      <c r="C53" s="31" t="n">
        <v>393543.8805721001</v>
      </c>
      <c r="D53" s="49" t="n">
        <v>0.7553968284721202</v>
      </c>
      <c r="E53" s="29" t="n">
        <v>321.4799999999976</v>
      </c>
      <c r="F53" s="12">
        <f>365/E53</f>
        <v/>
      </c>
      <c r="G53" s="29" t="n">
        <v>165.9000000000111</v>
      </c>
      <c r="H53" s="11" t="n">
        <v>43.99875122433815</v>
      </c>
      <c r="I53" s="29" t="n">
        <v>0</v>
      </c>
      <c r="J53" s="11" t="n">
        <v>69.99123997044674</v>
      </c>
      <c r="K53" s="29" t="n">
        <v>155.5799999999865</v>
      </c>
      <c r="L53" s="11" t="n">
        <v>59.13986475013257</v>
      </c>
      <c r="M53" s="11" t="n">
        <v>210.0244158072109</v>
      </c>
      <c r="N53" s="43" t="inlineStr">
        <is>
          <t>nein</t>
        </is>
      </c>
      <c r="O53" s="11" t="n">
        <v>40.62195425991717</v>
      </c>
    </row>
    <row r="54" ht="27" customHeight="1">
      <c r="B54" s="21" t="inlineStr">
        <is>
          <t>S2, 100.000 Nm³/h, Stillstand 21,67 d (Q-028)</t>
        </is>
      </c>
      <c r="C54" s="31" t="n">
        <v>380315.5390422236</v>
      </c>
      <c r="D54" s="49" t="n">
        <v>0.7300053848976749</v>
      </c>
      <c r="E54" s="29" t="n">
        <v>196.7600000000268</v>
      </c>
      <c r="F54" s="12">
        <f>365/E54</f>
        <v/>
      </c>
      <c r="G54" s="29" t="n">
        <v>81.68000000000089</v>
      </c>
      <c r="H54" s="11" t="n">
        <v>38.08246058891331</v>
      </c>
      <c r="I54" s="29" t="n">
        <v>7.443682664054848</v>
      </c>
      <c r="J54" s="11" t="n">
        <v>76.52497315005577</v>
      </c>
      <c r="K54" s="29" t="n">
        <v>71.72000000001918</v>
      </c>
      <c r="L54" s="11" t="n">
        <v>63.41557079930203</v>
      </c>
      <c r="M54" s="11" t="n">
        <v>168.0225489970906</v>
      </c>
      <c r="N54" s="43" t="inlineStr">
        <is>
          <t>nein</t>
        </is>
      </c>
      <c r="O54" s="11" t="n">
        <v>40.71835330057093</v>
      </c>
    </row>
    <row r="55" ht="27" customHeight="1">
      <c r="B55" s="21" t="inlineStr">
        <is>
          <t>S2, 100.000 Nm³/h, kontinuierlich (0 d)</t>
        </is>
      </c>
      <c r="C55" s="31" t="n">
        <v>380315.5390422236</v>
      </c>
      <c r="D55" s="49" t="n">
        <v>0.7300053848976749</v>
      </c>
      <c r="E55" s="29" t="n">
        <v>153.4000000000047</v>
      </c>
      <c r="F55" s="12">
        <f>365/E55</f>
        <v/>
      </c>
      <c r="G55" s="29" t="n">
        <v>81.68000000000089</v>
      </c>
      <c r="H55" s="11" t="n">
        <v>38.08246058891331</v>
      </c>
      <c r="I55" s="29" t="n">
        <v>7.443682664054848</v>
      </c>
      <c r="J55" s="11" t="n">
        <v>69.98741983238004</v>
      </c>
      <c r="K55" s="29" t="n">
        <v>71.72000000000378</v>
      </c>
      <c r="L55" s="11" t="n">
        <v>63.41555981431691</v>
      </c>
      <c r="M55" s="11" t="n">
        <v>210.1027571879472</v>
      </c>
      <c r="N55" s="43" t="inlineStr">
        <is>
          <t>nein</t>
        </is>
      </c>
      <c r="O55" s="11" t="n">
        <v>40.71835330057093</v>
      </c>
    </row>
    <row r="56">
      <c r="B56" s="8" t="inlineStr">
        <is>
          <t>Arbeitsgas = in einem Zyklus umgeschlagene Masse. Mit Stillstand 21,67 d nach jeder Phase; kontinuierlich = ohne Pause. Auslegungsfall (Kernergebnisse, Blatt 05): S2, 100.000 Nm³/h, Stillstand 21,67 d.</t>
        </is>
      </c>
    </row>
  </sheetData>
  <mergeCells count="3">
    <mergeCell ref="H20:K20"/>
    <mergeCell ref="B4:O4"/>
    <mergeCell ref="H19:K19"/>
  </mergeCells>
  <conditionalFormatting sqref="B16:F44">
    <cfRule type="expression" priority="1" dxfId="2">
      <formula>NOT(Stand_ok)</formula>
    </cfRule>
  </conditionalFormatting>
  <conditionalFormatting sqref="C48:E55">
    <cfRule type="expression" priority="2" dxfId="2">
      <formula>NOT(Stand_ok)</formula>
    </cfRule>
  </conditionalFormatting>
  <conditionalFormatting sqref="G48:M55">
    <cfRule type="expression" priority="3" dxfId="2">
      <formula>NOT(Stand_ok)</formula>
    </cfRule>
  </conditionalFormatting>
  <conditionalFormatting sqref="O48:O55">
    <cfRule type="expression" priority="4" dxfId="2">
      <formula>NOT(Stand_ok)</formula>
    </cfRule>
  </conditionalFormatting>
  <hyperlinks>
    <hyperlink ref="B3" location="'Übersicht'!A1" display="← zur Übersicht"/>
  </hyperlinks>
  <pageMargins left="0.4" right="0.4" top="0.5" bottom="0.5" header="0.3" footer="0.3"/>
  <pageSetup orientation="landscape" paperSize="9"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B1:K39"/>
  <sheetViews>
    <sheetView showGridLines="0" workbookViewId="0">
      <selection activeCell="A1" sqref="A1"/>
    </sheetView>
  </sheetViews>
  <sheetFormatPr baseColWidth="8" defaultRowHeight="15"/>
  <cols>
    <col width="2.7" customWidth="1" min="1" max="1"/>
    <col width="3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 ht="30" customHeight="1">
      <c r="B1" s="1" t="inlineStr">
        <is>
          <t>04 Bohrlochkopf – Kopfdruckfenster beim Ein- und Ausspeichern</t>
        </is>
      </c>
    </row>
    <row r="2">
      <c r="B2" s="2" t="inlineStr">
        <is>
          <t>reines CO₂ · Code: Kaverne/Reines_CO2/04_bohrlochkopf.py · Strang adiabat, homogen, Reibung f = 0,016</t>
        </is>
      </c>
    </row>
    <row r="3">
      <c r="B3" s="18" t="inlineStr">
        <is>
          <t>← zur Übersicht</t>
        </is>
      </c>
    </row>
    <row r="4" ht="120" customHeight="1">
      <c r="B4" s="4" t="inlineStr">
        <is>
          <r>
            <rPr>
              <rFont val="Calibri"/>
              <b val="1"/>
              <sz val="10"/>
            </rPr>
            <t>REGELUNG ÜBER DEN KOPFDRUCK (Besprechung K. Vosbeck 15.10.2026, Pkt. 6):</t>
          </r>
          <r>
            <rPr>
              <rFont val="Calibri"/>
              <sz val="10"/>
            </rPr>
            <t xml:space="preserve">  Die Anlage muss über den ganzen Zyklus den passenden Kopfdruck liefern bzw. aufnehmen. Höchster Wert = Auslegung der Pumpe (Einspeisen in die volle Kaverne bei 100.000 Nm³/h), kleinster Wert = Rückverdichtung bzw. Drossel beim Ausspeichern.
</t>
          </r>
          <r>
            <rPr>
              <rFont val="Calibri"/>
              <b val="1"/>
              <sz val="10"/>
            </rPr>
            <t>EINSPEISEN:</t>
          </r>
          <r>
            <rPr>
              <rFont val="Calibri"/>
              <sz val="10"/>
            </rPr>
            <t xml:space="preserve">  Reicht der Lieferdruck (91 bar) für den nötigen Kopfdruck, läuft die Pumpe nicht – dann wird am Kopf isenthalp gedrosselt (kalter Kopf, unten zweiphasiger Strang möglich). Erst ab einem höheren Kavernendruck läuft die Pumpe.
</t>
          </r>
          <r>
            <rPr>
              <rFont val="Calibri"/>
              <b val="1"/>
              <sz val="10"/>
            </rPr>
            <t>AUSSPEICHERN:</t>
          </r>
          <r>
            <rPr>
              <rFont val="Calibri"/>
              <sz val="10"/>
            </rPr>
            <t xml:space="preserve">  Strömung nach oben, adiabat: das CO₂ entspannt und kühlt im Strang; bei niedrigem Kavernendruck wird der Strang zweiphasig (Band unten). Danach Drosselung auf 30 bar (gasförmige Übergabe) oder Rückgabe dicht mit 91 bar (Rückverdichtung nötig, wenn der Kopf darunter liegt).
</t>
          </r>
          <r>
            <rPr>
              <rFont val="Calibri"/>
              <b val="1"/>
              <sz val="10"/>
            </rPr>
            <t>GRENZE:</t>
          </r>
          <r>
            <rPr>
              <rFont val="Calibri"/>
              <sz val="10"/>
            </rPr>
            <t xml:space="preserve">  homogenes Modell – zweiphasige Abschnitte nur angezeigt (Q-028 S. 11).</t>
          </r>
        </is>
      </c>
      <c r="C4" s="41" t="n"/>
      <c r="D4" s="41" t="n"/>
      <c r="E4" s="41" t="n"/>
      <c r="F4" s="41" t="n"/>
      <c r="G4" s="41" t="n"/>
      <c r="H4" s="41" t="n"/>
      <c r="I4" s="41" t="n"/>
      <c r="J4" s="41" t="n"/>
      <c r="K4" s="42" t="n"/>
    </row>
    <row r="6">
      <c r="B6" s="3" t="inlineStr">
        <is>
          <t>Kopfdruckfenster (Übersicht)</t>
        </is>
      </c>
    </row>
    <row r="7" ht="30" customHeight="1">
      <c r="B7" s="25" t="inlineStr">
        <is>
          <t>Betriebsfall</t>
        </is>
      </c>
      <c r="C7" s="25" t="inlineStr">
        <is>
          <t>50.000 Nm³/h</t>
        </is>
      </c>
      <c r="D7" s="25" t="inlineStr">
        <is>
          <t>100.000 Nm³/h</t>
        </is>
      </c>
      <c r="E7" s="25" t="inlineStr">
        <is>
          <t>Einheit</t>
        </is>
      </c>
      <c r="F7" s="25" t="inlineStr">
        <is>
          <t>Bedeutung</t>
        </is>
      </c>
      <c r="G7" s="22" t="n"/>
      <c r="H7" s="23" t="n"/>
    </row>
    <row r="8">
      <c r="B8" s="21" t="inlineStr">
        <is>
          <t>Stillstand, Kaverne voll</t>
        </is>
      </c>
      <c r="C8" s="11" t="n">
        <v>107.603219569636</v>
      </c>
      <c r="D8" s="11" t="n">
        <v>107.603219569636</v>
      </c>
      <c r="E8" s="43" t="inlineStr">
        <is>
          <t>bar</t>
        </is>
      </c>
      <c r="F8" s="27" t="inlineStr">
        <is>
          <t>Kopfdruck ruhend</t>
        </is>
      </c>
      <c r="G8" s="22" t="n"/>
      <c r="H8" s="23" t="n"/>
    </row>
    <row r="9">
      <c r="B9" s="21" t="inlineStr">
        <is>
          <t>Stillstand, Kaverne leer</t>
        </is>
      </c>
      <c r="C9" s="11" t="n">
        <v>44.99299418696985</v>
      </c>
      <c r="D9" s="11" t="n">
        <v>44.99299418696985</v>
      </c>
      <c r="E9" s="43" t="inlineStr">
        <is>
          <t>bar</t>
        </is>
      </c>
      <c r="F9" s="27" t="inlineStr">
        <is>
          <t>Kopfdruck ruhend</t>
        </is>
      </c>
      <c r="G9" s="22" t="n"/>
      <c r="H9" s="23" t="n"/>
    </row>
    <row r="10">
      <c r="B10" s="21" t="inlineStr">
        <is>
          <t>Einspeisen S1: Kopfdruck höchstens</t>
        </is>
      </c>
      <c r="C10" s="11" t="n">
        <v>103.8530278802353</v>
      </c>
      <c r="D10" s="13" t="n">
        <v>105.3278603351592</v>
      </c>
      <c r="E10" s="43" t="inlineStr">
        <is>
          <t>bar</t>
        </is>
      </c>
      <c r="F10" s="27" t="inlineStr">
        <is>
          <t>Ende der Einspeicherung (Pumpe)</t>
        </is>
      </c>
      <c r="G10" s="22" t="n"/>
      <c r="H10" s="23" t="n"/>
    </row>
    <row r="11">
      <c r="B11" s="21" t="inlineStr">
        <is>
          <t>Einspeisen S1: Kopfdruck mindestens</t>
        </is>
      </c>
      <c r="C11" s="11" t="n">
        <v>19.87026684570726</v>
      </c>
      <c r="D11" s="13" t="n">
        <v>22.13164298389873</v>
      </c>
      <c r="E11" s="43" t="inlineStr">
        <is>
          <t>bar</t>
        </is>
      </c>
      <c r="F11" s="27" t="inlineStr">
        <is>
          <t>Start in die leere Kaverne (gedrosselt)</t>
        </is>
      </c>
      <c r="G11" s="22" t="n"/>
      <c r="H11" s="23" t="n"/>
    </row>
    <row r="12">
      <c r="B12" s="21" t="inlineStr">
        <is>
          <t>Einspeisen S2: Kopfdruck höchstens</t>
        </is>
      </c>
      <c r="C12" s="11" t="n">
        <v>112.6739113635545</v>
      </c>
      <c r="D12" s="13" t="n">
        <v>114.0073166857435</v>
      </c>
      <c r="E12" s="43" t="inlineStr">
        <is>
          <t>bar</t>
        </is>
      </c>
      <c r="F12" s="27" t="inlineStr">
        <is>
          <t>Ende der Einspeicherung (Pumpe)</t>
        </is>
      </c>
      <c r="G12" s="22" t="n"/>
      <c r="H12" s="23" t="n"/>
    </row>
    <row r="13">
      <c r="B13" s="21" t="inlineStr">
        <is>
          <t>Einspeisen S2: Kopfdruck mindestens</t>
        </is>
      </c>
      <c r="C13" s="11" t="n">
        <v>26.8422256698729</v>
      </c>
      <c r="D13" s="13" t="n">
        <v>29.493303868521</v>
      </c>
      <c r="E13" s="43" t="inlineStr">
        <is>
          <t>bar</t>
        </is>
      </c>
      <c r="F13" s="27" t="inlineStr">
        <is>
          <t>Start in die leere Kaverne (gedrosselt)</t>
        </is>
      </c>
      <c r="G13" s="22" t="n"/>
      <c r="H13" s="23" t="n"/>
    </row>
    <row r="14">
      <c r="B14" s="21" t="inlineStr">
        <is>
          <t>Ausspeisen: Kopfdruck höchstens</t>
        </is>
      </c>
      <c r="C14" s="11" t="n">
        <v>119.9254209897193</v>
      </c>
      <c r="D14" s="13" t="n">
        <v>119.763187614421</v>
      </c>
      <c r="E14" s="43" t="inlineStr">
        <is>
          <t>bar</t>
        </is>
      </c>
      <c r="F14" s="27" t="inlineStr">
        <is>
          <t>Start (Kaverne voll)</t>
        </is>
      </c>
      <c r="G14" s="22" t="n"/>
      <c r="H14" s="23" t="n"/>
    </row>
    <row r="15">
      <c r="B15" s="21" t="inlineStr">
        <is>
          <t>Ausspeisen: Kopfdruck mindestens</t>
        </is>
      </c>
      <c r="C15" s="11" t="n">
        <v>49.27062047406617</v>
      </c>
      <c r="D15" s="13" t="n">
        <v>40.49645355341156</v>
      </c>
      <c r="E15" s="43" t="inlineStr">
        <is>
          <t>bar</t>
        </is>
      </c>
      <c r="F15" s="27" t="inlineStr">
        <is>
          <t>Ende (Kaverne leer) → Rückverdichtung auf 91 bar</t>
        </is>
      </c>
      <c r="G15" s="22" t="n"/>
      <c r="H15" s="23" t="n"/>
    </row>
    <row r="16">
      <c r="B16" s="21" t="inlineStr">
        <is>
          <t>Ausspeisen: Kopftemperatur mindestens</t>
        </is>
      </c>
      <c r="C16" s="11" t="n">
        <v>14.36700748338706</v>
      </c>
      <c r="D16" s="13" t="n">
        <v>5.783418732250709</v>
      </c>
      <c r="E16" s="43" t="inlineStr">
        <is>
          <t>°C</t>
        </is>
      </c>
      <c r="F16" s="27" t="inlineStr">
        <is>
          <t>Vergleich Epe: 5 °C (Q-035 Folie 36)</t>
        </is>
      </c>
      <c r="G16" s="22" t="n"/>
      <c r="H16" s="23" t="n"/>
    </row>
    <row r="17">
      <c r="B17" s="21" t="inlineStr">
        <is>
          <t>Ausspeisen: T nach Drossel auf 30 bar mindestens</t>
        </is>
      </c>
      <c r="C17" s="11" t="n">
        <v>-5.552129613720922</v>
      </c>
      <c r="D17" s="13" t="n">
        <v>-5.552129613720922</v>
      </c>
      <c r="E17" s="43" t="inlineStr">
        <is>
          <t>°C</t>
        </is>
      </c>
      <c r="F17" s="27" t="inlineStr">
        <is>
          <t>→ Vorwärmung vor der Drossel nötig</t>
        </is>
      </c>
      <c r="G17" s="22" t="n"/>
      <c r="H17" s="23" t="n"/>
    </row>
    <row r="18">
      <c r="B18" s="21" t="inlineStr">
        <is>
          <t>Ausspeisen: Geschwindigkeit am Kopf höchstens</t>
        </is>
      </c>
      <c r="C18" s="11" t="n">
        <v>6.591182653862578</v>
      </c>
      <c r="D18" s="13" t="n">
        <v>14.4503935354743</v>
      </c>
      <c r="E18" s="43" t="inlineStr">
        <is>
          <t>m/s</t>
        </is>
      </c>
      <c r="F18" s="27" t="inlineStr">
        <is>
          <t>Grenze 20 m/s (Q-030 Kap. 1.2.1)</t>
        </is>
      </c>
      <c r="G18" s="22" t="n"/>
      <c r="H18" s="23" t="n"/>
    </row>
    <row r="20">
      <c r="B20" s="3" t="inlineStr">
        <is>
          <t>Einspeisen: ab welchem Kavernendruck einphasig, ab wann Pumpe?</t>
        </is>
      </c>
    </row>
    <row r="21" ht="42" customHeight="1">
      <c r="B21" s="25" t="inlineStr">
        <is>
          <t>Fall</t>
        </is>
      </c>
      <c r="C21" s="25" t="inlineStr">
        <is>
          <t>Zieldruck Pumpe (Auslegung) [bar]</t>
        </is>
      </c>
      <c r="D21" s="25" t="inlineStr">
        <is>
          <t>Strang einphasig ab p LCCS [bar]</t>
        </is>
      </c>
      <c r="E21" s="25" t="inlineStr">
        <is>
          <t>Pumpe nötig ab p LCCS [bar]</t>
        </is>
      </c>
      <c r="F21" s="25" t="inlineStr">
        <is>
          <t>darunter</t>
        </is>
      </c>
      <c r="G21" s="22" t="n"/>
      <c r="H21" s="23" t="n"/>
    </row>
    <row r="22">
      <c r="B22" s="21" t="inlineStr">
        <is>
          <t>Einspeisen S1, 50.000 Nm³/h</t>
        </is>
      </c>
      <c r="C22" s="11" t="n">
        <v>104.179005740051</v>
      </c>
      <c r="D22" s="11" t="n">
        <v>149.1371617959686</v>
      </c>
      <c r="E22" s="11" t="n">
        <v>196.4180179295004</v>
      </c>
      <c r="F22" s="27" t="inlineStr">
        <is>
          <t>gedrosselt, Strang unten zweiphasig möglich</t>
        </is>
      </c>
      <c r="G22" s="22" t="n"/>
      <c r="H22" s="23" t="n"/>
    </row>
    <row r="23">
      <c r="B23" s="21" t="inlineStr">
        <is>
          <t>Einspeisen S1, 100.000 Nm³/h</t>
        </is>
      </c>
      <c r="C23" s="11" t="n">
        <v>105.4411023087268</v>
      </c>
      <c r="D23" s="11" t="n">
        <v>147.7779220795523</v>
      </c>
      <c r="E23" s="11" t="n">
        <v>195.1044002090661</v>
      </c>
      <c r="F23" s="27" t="inlineStr">
        <is>
          <t>gedrosselt, Strang unten zweiphasig möglich</t>
        </is>
      </c>
      <c r="G23" s="22" t="n"/>
      <c r="H23" s="23" t="n"/>
    </row>
    <row r="24">
      <c r="B24" s="21" t="inlineStr">
        <is>
          <t>Einspeisen S2, 50.000 Nm³/h</t>
        </is>
      </c>
      <c r="C24" s="11" t="n">
        <v>113.2600365197303</v>
      </c>
      <c r="D24" s="11" t="n">
        <v>151.8042444135368</v>
      </c>
      <c r="E24" s="11" t="n">
        <v>186.7048139445543</v>
      </c>
      <c r="F24" s="27" t="inlineStr">
        <is>
          <t>gedrosselt, Strang unten zweiphasig möglich</t>
        </is>
      </c>
      <c r="G24" s="22" t="n"/>
      <c r="H24" s="23" t="n"/>
    </row>
    <row r="25">
      <c r="B25" s="21" t="inlineStr">
        <is>
          <t>Einspeisen S2, 100.000 Nm³/h</t>
        </is>
      </c>
      <c r="C25" s="11" t="n">
        <v>114.6341589872628</v>
      </c>
      <c r="D25" s="11" t="n">
        <v>150.2802771204235</v>
      </c>
      <c r="E25" s="11" t="n">
        <v>185.2474970898164</v>
      </c>
      <c r="F25" s="27" t="inlineStr">
        <is>
          <t>gedrosselt, Strang unten zweiphasig möglich</t>
        </is>
      </c>
      <c r="G25" s="22" t="n"/>
      <c r="H25" s="23" t="n"/>
    </row>
    <row r="27">
      <c r="B27" s="3" t="inlineStr">
        <is>
          <t>Ausspeisen: Kavernendruck, bei dem der Strang zweiphasig ist</t>
        </is>
      </c>
    </row>
    <row r="28" ht="42" customHeight="1">
      <c r="B28" s="25" t="inlineStr">
        <is>
          <t>Rate</t>
        </is>
      </c>
      <c r="C28" s="25" t="inlineStr">
        <is>
          <t>zweiphasig unter p LCCS [bar]</t>
        </is>
      </c>
      <c r="D28" s="25" t="inlineStr">
        <is>
          <t>wieder einphasig unter p LCCS [bar]</t>
        </is>
      </c>
      <c r="E28" s="25" t="inlineStr">
        <is>
          <t>Vergleich DBI</t>
        </is>
      </c>
    </row>
    <row r="29">
      <c r="B29" s="21" t="inlineStr">
        <is>
          <t>50.000 Nm³/h</t>
        </is>
      </c>
      <c r="C29" s="11" t="n">
        <v>152.1519156669935</v>
      </c>
      <c r="D29" s="11" t="n">
        <v>81.99661913349726</v>
      </c>
      <c r="E29" s="27" t="inlineStr">
        <is>
          <t>Q-030 S. 17: 160 bar Mindestdruck (Option 2)</t>
        </is>
      </c>
    </row>
    <row r="30">
      <c r="B30" s="21" t="inlineStr">
        <is>
          <t>100.000 Nm³/h</t>
        </is>
      </c>
      <c r="C30" s="11" t="n">
        <v>153.9766552080656</v>
      </c>
      <c r="D30" s="11" t="inlineStr">
        <is>
          <t>bis p_min</t>
        </is>
      </c>
      <c r="E30" s="27" t="inlineStr">
        <is>
          <t>Q-030 S. 17: 160 bar Mindestdruck (Option 2)</t>
        </is>
      </c>
    </row>
    <row r="32">
      <c r="B32" s="3" t="inlineStr">
        <is>
          <t>Reibung im Strang (100.000 Nm³/h)</t>
        </is>
      </c>
    </row>
    <row r="33" ht="30" customHeight="1">
      <c r="B33" s="25" t="inlineStr">
        <is>
          <t>Fall</t>
        </is>
      </c>
      <c r="C33" s="25" t="inlineStr">
        <is>
          <t>p LCCS [bar]</t>
        </is>
      </c>
      <c r="D33" s="25" t="inlineStr">
        <is>
          <t>Kopfdruck [bar]</t>
        </is>
      </c>
      <c r="E33" s="25" t="inlineStr">
        <is>
          <t>ohne Reibung [bar]</t>
        </is>
      </c>
      <c r="F33" s="25" t="inlineStr">
        <is>
          <t>Δp Reibung [bar]</t>
        </is>
      </c>
      <c r="G33" s="25" t="inlineStr">
        <is>
          <t>ΔT Kopf [K]</t>
        </is>
      </c>
    </row>
    <row r="34">
      <c r="B34" s="27" t="inlineStr">
        <is>
          <t>Ausspeisen</t>
        </is>
      </c>
      <c r="C34" s="11" t="n">
        <v>209.8299959511235</v>
      </c>
      <c r="D34" s="11" t="n">
        <v>119.763187614421</v>
      </c>
      <c r="E34" s="11" t="n">
        <v>120.3956114354046</v>
      </c>
      <c r="F34" s="12">
        <f>D34-E34</f>
        <v/>
      </c>
      <c r="G34" s="11" t="n">
        <v>-0.08839993898556031</v>
      </c>
    </row>
    <row r="35">
      <c r="B35" s="27" t="inlineStr">
        <is>
          <t>Ausspeisen</t>
        </is>
      </c>
      <c r="C35" s="11" t="n">
        <v>79.70497793186443</v>
      </c>
      <c r="D35" s="11" t="n">
        <v>46.4154588740521</v>
      </c>
      <c r="E35" s="11" t="n">
        <v>51.95560280912279</v>
      </c>
      <c r="F35" s="12">
        <f>D35-E35</f>
        <v/>
      </c>
      <c r="G35" s="11" t="n">
        <v>-4.643617365774674</v>
      </c>
    </row>
    <row r="36">
      <c r="B36" s="27" t="inlineStr">
        <is>
          <t>Ausspeisen</t>
        </is>
      </c>
      <c r="C36" s="11" t="n">
        <v>70.06084563903107</v>
      </c>
      <c r="D36" s="11" t="n">
        <v>41.76130372458788</v>
      </c>
      <c r="E36" s="11" t="n">
        <v>50.12462397880978</v>
      </c>
      <c r="F36" s="12">
        <f>D36-E36</f>
        <v/>
      </c>
      <c r="G36" s="11" t="n">
        <v>-10.24420452775871</v>
      </c>
    </row>
    <row r="37">
      <c r="B37" s="27" t="inlineStr">
        <is>
          <t>Einspeisen S1 (Kaverne voll)</t>
        </is>
      </c>
      <c r="C37" s="11" t="n">
        <v>210</v>
      </c>
      <c r="D37" s="11" t="n">
        <v>105.4411023087268</v>
      </c>
      <c r="E37" s="11" t="n">
        <v>103.8221278625968</v>
      </c>
      <c r="F37" s="12">
        <f>D37-E37</f>
        <v/>
      </c>
      <c r="G37" s="43" t="inlineStr">
        <is>
          <t>–</t>
        </is>
      </c>
    </row>
    <row r="38">
      <c r="B38" s="27" t="inlineStr">
        <is>
          <t>Einspeisen S2 (Kaverne voll)</t>
        </is>
      </c>
      <c r="C38" s="11" t="n">
        <v>210</v>
      </c>
      <c r="D38" s="11" t="n">
        <v>114.6341589872628</v>
      </c>
      <c r="E38" s="11" t="n">
        <v>112.8839936450939</v>
      </c>
      <c r="F38" s="12">
        <f>D38-E38</f>
        <v/>
      </c>
      <c r="G38" s="43" t="inlineStr">
        <is>
          <t>–</t>
        </is>
      </c>
    </row>
    <row r="39">
      <c r="B39" s="8" t="inlineStr">
        <is>
          <t>Beim Ausspeichern kostet die Reibung Kopfdruck und – über den Joule-Thomson-Effekt – Temperatur, am stärksten am Ende (niedriger Druck, hohe Geschwindigkeit).</t>
        </is>
      </c>
    </row>
  </sheetData>
  <mergeCells count="18">
    <mergeCell ref="F23:H23"/>
    <mergeCell ref="F10:H10"/>
    <mergeCell ref="F16:H16"/>
    <mergeCell ref="F21:H21"/>
    <mergeCell ref="F14:H14"/>
    <mergeCell ref="B4:K4"/>
    <mergeCell ref="F13:H13"/>
    <mergeCell ref="F18:H18"/>
    <mergeCell ref="F22:H22"/>
    <mergeCell ref="F8:H8"/>
    <mergeCell ref="F17:H17"/>
    <mergeCell ref="F9:H9"/>
    <mergeCell ref="F7:H7"/>
    <mergeCell ref="F12:H12"/>
    <mergeCell ref="F15:H15"/>
    <mergeCell ref="F11:H11"/>
    <mergeCell ref="F24:H24"/>
    <mergeCell ref="F25:H25"/>
  </mergeCells>
  <conditionalFormatting sqref="C8:D18">
    <cfRule type="expression" priority="1" dxfId="2">
      <formula>NOT(Stand_ok)</formula>
    </cfRule>
  </conditionalFormatting>
  <conditionalFormatting sqref="C22:E25">
    <cfRule type="expression" priority="2" dxfId="2">
      <formula>NOT(Stand_ok)</formula>
    </cfRule>
  </conditionalFormatting>
  <conditionalFormatting sqref="C29:D30">
    <cfRule type="expression" priority="3" dxfId="2">
      <formula>NOT(Stand_ok)</formula>
    </cfRule>
  </conditionalFormatting>
  <conditionalFormatting sqref="C34:E38">
    <cfRule type="expression" priority="4" dxfId="2">
      <formula>NOT(Stand_ok)</formula>
    </cfRule>
  </conditionalFormatting>
  <hyperlinks>
    <hyperlink ref="B3" location="'Übersicht'!A1" display="← zur Übersicht"/>
  </hyperlinks>
  <pageMargins left="0.4" right="0.4" top="0.5" bottom="0.5" header="0.3" footer="0.3"/>
  <pageSetup orientation="landscape"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007335"/>
    <outlinePr summaryBelow="1" summaryRight="1"/>
    <pageSetUpPr fitToPage="1"/>
  </sheetPr>
  <dimension ref="B1:F16"/>
  <sheetViews>
    <sheetView showGridLines="0" workbookViewId="0">
      <selection activeCell="A1" sqref="A1"/>
    </sheetView>
  </sheetViews>
  <sheetFormatPr baseColWidth="8" defaultRowHeight="15"/>
  <cols>
    <col width="2.7" customWidth="1" min="1" max="1"/>
    <col width="46" customWidth="1" min="2" max="2"/>
    <col width="14" customWidth="1" min="3" max="3"/>
    <col width="14" customWidth="1" min="4" max="4"/>
    <col width="12" customWidth="1" min="5" max="5"/>
    <col width="60" customWidth="1" min="6" max="6"/>
  </cols>
  <sheetData>
    <row r="1" ht="30" customHeight="1">
      <c r="B1" s="1" t="inlineStr">
        <is>
          <t>05 Speicherbedarf – wie viele Kavernen, wie oft umgeschlagen?</t>
        </is>
      </c>
    </row>
    <row r="2">
      <c r="B2" s="2" t="inlineStr">
        <is>
          <t>reines CO₂ · rechnet live mit den Ergebnissen aus Blatt 03 · Bedarf nach Q-002, Zyklen nach Q-029</t>
        </is>
      </c>
    </row>
    <row r="3">
      <c r="B3" s="18" t="inlineStr">
        <is>
          <t>← zur Übersicht</t>
        </is>
      </c>
    </row>
    <row r="4" ht="92" customHeight="1">
      <c r="B4" s="4" t="inlineStr">
        <is>
          <r>
            <rPr>
              <rFont val="Calibri"/>
              <b val="1"/>
              <sz val="10"/>
            </rPr>
            <t>FRAGE:</t>
          </r>
          <r>
            <rPr>
              <rFont val="Calibri"/>
              <sz val="10"/>
            </rPr>
            <t xml:space="preserve">  Reicht eine Referenzkaverne für den Zwischenspeicherbedarf? Q-002 (CO₂START, S. 94–95) nennt für die Szenarien 1–8 einen Bedarf von 0,21 bis 1,21 Mt. Eine Kaverne schlägt je Zyklus das Arbeitsgas aus Blatt 03 um.
</t>
          </r>
          <r>
            <rPr>
              <rFont val="Calibri"/>
              <b val="1"/>
              <sz val="10"/>
            </rPr>
            <t>ZYKLEN:</t>
          </r>
          <r>
            <rPr>
              <rFont val="Calibri"/>
              <sz val="10"/>
            </rPr>
            <t xml:space="preserve">  Q-029 (DBI für Uniper, Management Summary und Kap. 5) rechnet zwei Fälle: multizyklisch mit 4 Zyklen pro Jahr (Approach 2) und saisonal mit 1 Zyklus pro Jahr (Approach 8). Die Kavernenbilanz hier ergibt bei 100.000 Nm³/h und Stillstand 21,67 d weniger als 2 Zyklen pro Jahr – 4 Zyklen bräuchten eine höhere Rate oder kürzere Stillstände.
</t>
          </r>
          <r>
            <rPr>
              <rFont val="Calibri"/>
              <sz val="10"/>
            </rPr>
            <t>BLAU = darf geändert werden (Bedarf, Zyklen); alles andere rechnet mit.</t>
          </r>
        </is>
      </c>
      <c r="C4" s="41" t="n"/>
      <c r="D4" s="41" t="n"/>
      <c r="E4" s="41" t="n"/>
      <c r="F4" s="42" t="n"/>
    </row>
    <row r="6" ht="20" customHeight="1">
      <c r="B6" s="25" t="inlineStr">
        <is>
          <t>Größe</t>
        </is>
      </c>
      <c r="C6" s="25" t="inlineStr">
        <is>
          <t>unterer Bedarf</t>
        </is>
      </c>
      <c r="D6" s="25" t="inlineStr">
        <is>
          <t>oberer Bedarf</t>
        </is>
      </c>
      <c r="E6" s="25" t="inlineStr">
        <is>
          <t>Einheit</t>
        </is>
      </c>
      <c r="F6" s="25" t="inlineStr">
        <is>
          <t>Quelle / Formel</t>
        </is>
      </c>
    </row>
    <row r="7" ht="20" customHeight="1">
      <c r="B7" s="27" t="inlineStr">
        <is>
          <t>Zwischenspeicherbedarf</t>
        </is>
      </c>
      <c r="C7" s="34" t="n">
        <v>0.21</v>
      </c>
      <c r="D7" s="34" t="n">
        <v>1.21</v>
      </c>
      <c r="E7" s="43" t="inlineStr">
        <is>
          <t>Mt</t>
        </is>
      </c>
      <c r="F7" s="27" t="inlineStr">
        <is>
          <t>Q-002 S. 94–95 (Szenarien 1–8)</t>
        </is>
      </c>
    </row>
    <row r="8" ht="20" customHeight="1">
      <c r="B8" s="27" t="inlineStr">
        <is>
          <t>Arbeitsgas je Kaverne und Zyklus</t>
        </is>
      </c>
      <c r="C8" s="50">
        <f>AG_zyklus/1000000</f>
        <v/>
      </c>
      <c r="D8" s="50">
        <f>AG_zyklus/1000000</f>
        <v/>
      </c>
      <c r="E8" s="43" t="inlineStr">
        <is>
          <t>Mt</t>
        </is>
      </c>
      <c r="F8" s="27" t="inlineStr">
        <is>
          <t>Blatt 03: S2, 100.000 Nm³/h, Stillstand 21,67 d</t>
        </is>
      </c>
    </row>
    <row r="9" ht="20" customHeight="1">
      <c r="B9" s="21" t="inlineStr">
        <is>
          <t>Kavernen nötig (Bedarf in einem Zyklus)</t>
        </is>
      </c>
      <c r="C9" s="40">
        <f>ROUNDUP(C7/C8,0)</f>
        <v/>
      </c>
      <c r="D9" s="40">
        <f>ROUNDUP(D7/D8,0)</f>
        <v/>
      </c>
      <c r="E9" s="43" t="inlineStr">
        <is>
          <t>–</t>
        </is>
      </c>
      <c r="F9" s="27" t="inlineStr">
        <is>
          <t>Bedarf / Arbeitsgas, aufgerundet</t>
        </is>
      </c>
    </row>
    <row r="10" ht="20" customHeight="1">
      <c r="B10" s="27" t="inlineStr">
        <is>
          <t>Zyklen pro Jahr (Kavernenbilanz)</t>
        </is>
      </c>
      <c r="C10" s="12">
        <f>Zyklen_a</f>
        <v/>
      </c>
      <c r="D10" s="12">
        <f>Zyklen_a</f>
        <v/>
      </c>
      <c r="E10" s="43" t="inlineStr">
        <is>
          <t>1/a</t>
        </is>
      </c>
      <c r="F10" s="27" t="inlineStr">
        <is>
          <t>365 d / Zyklusdauer (Blatt 03)</t>
        </is>
      </c>
    </row>
    <row r="11" ht="20" customHeight="1">
      <c r="B11" s="27" t="inlineStr">
        <is>
          <t>Umschlag je Kaverne und Jahr (Kavernenbilanz)</t>
        </is>
      </c>
      <c r="C11" s="51">
        <f>C8*C10</f>
        <v/>
      </c>
      <c r="D11" s="51">
        <f>D8*D10</f>
        <v/>
      </c>
      <c r="E11" s="43" t="inlineStr">
        <is>
          <t>Mt/a</t>
        </is>
      </c>
      <c r="F11" s="27" t="inlineStr">
        <is>
          <t>Arbeitsgas × Zyklen</t>
        </is>
      </c>
    </row>
    <row r="12" ht="20" customHeight="1">
      <c r="B12" s="27" t="inlineStr">
        <is>
          <t>Zyklen pro Jahr laut Q-029 (multizyklisch)</t>
        </is>
      </c>
      <c r="C12" s="28" t="n">
        <v>4</v>
      </c>
      <c r="D12" s="28" t="n">
        <v>4</v>
      </c>
      <c r="E12" s="43" t="inlineStr">
        <is>
          <t>1/a</t>
        </is>
      </c>
      <c r="F12" s="27" t="inlineStr">
        <is>
          <t>Q-029 Management Summary (PDF-S. 3), Kap. 5 (PDF-S. 41–43): Approach 2</t>
        </is>
      </c>
    </row>
    <row r="13" ht="20" customHeight="1">
      <c r="B13" s="27" t="inlineStr">
        <is>
          <t>Umschlag je Kaverne und Jahr bei 4 Zyklen</t>
        </is>
      </c>
      <c r="C13" s="51">
        <f>C8*C12</f>
        <v/>
      </c>
      <c r="D13" s="51">
        <f>D8*D12</f>
        <v/>
      </c>
      <c r="E13" s="43" t="inlineStr">
        <is>
          <t>Mt/a</t>
        </is>
      </c>
      <c r="F13" s="27" t="inlineStr">
        <is>
          <t>Arbeitsgas × 4</t>
        </is>
      </c>
    </row>
    <row r="14" ht="20" customHeight="1">
      <c r="B14" s="27" t="inlineStr">
        <is>
          <t>Zyklusdauer, die 4 Zyklen erlauben würde</t>
        </is>
      </c>
      <c r="C14" s="48">
        <f>365/C12</f>
        <v/>
      </c>
      <c r="D14" s="48">
        <f>365/D12</f>
        <v/>
      </c>
      <c r="E14" s="43" t="inlineStr">
        <is>
          <t>d</t>
        </is>
      </c>
      <c r="F14" s="27" t="inlineStr">
        <is>
          <t>zum Vergleich mit Blatt 03</t>
        </is>
      </c>
    </row>
    <row r="16">
      <c r="B16" s="8" t="inlineStr">
        <is>
          <t>Grobe Abschätzung: Umschlag in einem Zyklus. Q-029 kommt mit ca. zwei Kavernen bis 2035 aus (Management Summary) – dort mit kleinerem Volumen (250.000 m³) und anderer Betriebsweise.</t>
        </is>
      </c>
    </row>
  </sheetData>
  <mergeCells count="1">
    <mergeCell ref="B4:F4"/>
  </mergeCells>
  <hyperlinks>
    <hyperlink ref="B3" location="'Übersicht'!A1" display="← zur Übersicht"/>
  </hyperlinks>
  <pageMargins left="0.4" right="0.4" top="0.5" bottom="0.5" header="0.3" footer="0.3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tabColor rgb="00CA220E"/>
    <outlinePr summaryBelow="1" summaryRight="1"/>
    <pageSetUpPr fitToPage="1"/>
  </sheetPr>
  <dimension ref="B1:G31"/>
  <sheetViews>
    <sheetView showGridLines="0" workbookViewId="0">
      <selection activeCell="A1" sqref="A1"/>
    </sheetView>
  </sheetViews>
  <sheetFormatPr baseColWidth="8" defaultRowHeight="15"/>
  <cols>
    <col width="2.7" customWidth="1" min="1" max="1"/>
    <col width="40" customWidth="1" min="2" max="2"/>
    <col width="14" customWidth="1" min="3" max="3"/>
    <col width="14" customWidth="1" min="4" max="4"/>
    <col width="14" customWidth="1" min="5" max="5"/>
    <col width="14" customWidth="1" min="6" max="6"/>
    <col width="40" customWidth="1" min="7" max="7"/>
  </cols>
  <sheetData>
    <row r="1" ht="30" customHeight="1">
      <c r="B1" s="1" t="inlineStr">
        <is>
          <t>06 Ausspeichergas – mit welcher Zusammensetzung startet der Ausspeicherpfad?</t>
        </is>
      </c>
    </row>
    <row r="2">
      <c r="B2" s="2" t="inlineStr">
        <is>
          <t>Code: Kaverne/Ausspeichergas/06_zusammensetzung_nach_kaverne.py (Bausteine ausspeichergas.py) · Bandbreite nach Q-089 (H₂-Studie UGS für DGMK 2024, übertragen auf CO₂)</t>
        </is>
      </c>
    </row>
    <row r="3">
      <c r="B3" s="18" t="inlineStr">
        <is>
          <t>← zur Übersicht</t>
        </is>
      </c>
    </row>
    <row r="4" ht="64" customHeight="1">
      <c r="B4" s="4" t="inlineStr">
        <is>
          <r>
            <rPr>
              <rFont val="Calibri"/>
              <b val="1"/>
              <sz val="10"/>
            </rPr>
            <t>BANDBREITE STATT EINES WORST CASE (Besprechung K. Vosbeck 15.10.2026):</t>
          </r>
          <r>
            <rPr>
              <rFont val="Calibri"/>
              <sz val="10"/>
            </rPr>
            <t xml:space="preserve">  Min-Fall mit den unteren, Max-Fall mit den oberen Werten aus Q-089 – Wasser (Abschn. 6.5, Tab. 19), Resterdgas im Finger (Abschn. 6.3, Tab. 16/17), Diesel-Blanket (Tab. 10), Verdichteröl (Tab. 20), Mikrobiologie (Abschn. 6.4).
</t>
          </r>
          <r>
            <rPr>
              <rFont val="Calibri"/>
              <b val="1"/>
              <sz val="10"/>
            </rPr>
            <t>RÜCKGABE (OGE 16.09.2026):</t>
          </r>
          <r>
            <rPr>
              <rFont val="Calibri"/>
              <sz val="10"/>
            </rPr>
            <t xml:space="preserve">  H₂O ≤ 30 ppm, H₂S &lt; 0,5 ppm, mindestens 91 bar – die Spalte „entfernen“ zeigt, was die Aufbereitung leisten muss.</t>
          </r>
        </is>
      </c>
      <c r="C4" s="41" t="n"/>
      <c r="D4" s="41" t="n"/>
      <c r="E4" s="41" t="n"/>
      <c r="F4" s="41" t="n"/>
      <c r="G4" s="42" t="n"/>
    </row>
    <row r="6">
      <c r="B6" s="3" t="inlineStr">
        <is>
          <t>Einträge in ppm (mol) – erster Zyklus</t>
        </is>
      </c>
    </row>
    <row r="7" ht="20" customHeight="1">
      <c r="B7" s="25" t="inlineStr">
        <is>
          <t>Eintrag</t>
        </is>
      </c>
      <c r="C7" s="25" t="inlineStr">
        <is>
          <t>Min-Fall</t>
        </is>
      </c>
      <c r="D7" s="25" t="inlineStr">
        <is>
          <t>Max-Fall</t>
        </is>
      </c>
      <c r="E7" s="25" t="inlineStr">
        <is>
          <t>Einheit</t>
        </is>
      </c>
    </row>
    <row r="8">
      <c r="B8" s="27" t="inlineStr">
        <is>
          <t>Wasser</t>
        </is>
      </c>
      <c r="C8" s="52" t="n">
        <v>5611.971628164053</v>
      </c>
      <c r="D8" s="52" t="n">
        <v>7482.628837552071</v>
      </c>
      <c r="E8" s="43" t="inlineStr">
        <is>
          <t>ppm</t>
        </is>
      </c>
    </row>
    <row r="9">
      <c r="B9" s="27" t="inlineStr">
        <is>
          <t>Resterdgas CH4</t>
        </is>
      </c>
      <c r="C9" s="52" t="n">
        <v>1026.609792775677</v>
      </c>
      <c r="D9" s="52" t="n">
        <v>2053.219585551354</v>
      </c>
      <c r="E9" s="43" t="inlineStr">
        <is>
          <t>ppm</t>
        </is>
      </c>
    </row>
    <row r="10">
      <c r="B10" s="27" t="inlineStr">
        <is>
          <t>H2S</t>
        </is>
      </c>
      <c r="C10" s="52" t="n">
        <v>10</v>
      </c>
      <c r="D10" s="52" t="n">
        <v>10</v>
      </c>
      <c r="E10" s="43" t="inlineStr">
        <is>
          <t>ppm</t>
        </is>
      </c>
    </row>
    <row r="11">
      <c r="B11" s="27" t="inlineStr">
        <is>
          <t>CH4 mikrobiell</t>
        </is>
      </c>
      <c r="C11" s="52" t="n">
        <v>0</v>
      </c>
      <c r="D11" s="52" t="n">
        <v>0</v>
      </c>
      <c r="E11" s="43" t="inlineStr">
        <is>
          <t>ppm</t>
        </is>
      </c>
    </row>
    <row r="12">
      <c r="B12" s="27" t="inlineStr">
        <is>
          <t>Diesel</t>
        </is>
      </c>
      <c r="C12" s="52" t="n">
        <v>0.02553617192380004</v>
      </c>
      <c r="D12" s="52" t="n">
        <v>0.5350436022129533</v>
      </c>
      <c r="E12" s="43" t="inlineStr">
        <is>
          <t>ppm</t>
        </is>
      </c>
    </row>
    <row r="13">
      <c r="B13" s="27" t="inlineStr">
        <is>
          <t>Verdichteroel</t>
        </is>
      </c>
      <c r="C13" s="52" t="n">
        <v>0.100862855453738</v>
      </c>
      <c r="D13" s="52" t="n">
        <v>0.1942543882812731</v>
      </c>
      <c r="E13" s="43" t="inlineStr">
        <is>
          <t>ppm</t>
        </is>
      </c>
    </row>
    <row r="14">
      <c r="B14" s="27" t="inlineStr">
        <is>
          <t>Wasser (bezogen auf Normvolumen)</t>
        </is>
      </c>
      <c r="C14" s="35" t="n">
        <v>4.536021463528479</v>
      </c>
      <c r="D14" s="35" t="n">
        <v>6.059427701485416</v>
      </c>
      <c r="E14" s="43" t="inlineStr">
        <is>
          <t>g/Nm³</t>
        </is>
      </c>
    </row>
    <row r="16">
      <c r="B16" s="3" t="inlineStr">
        <is>
          <t>Rückgabe ins Netz: was die Aufbereitung entfernen muss</t>
        </is>
      </c>
    </row>
    <row r="17" ht="20" customHeight="1">
      <c r="B17" s="25" t="inlineStr">
        <is>
          <t>Größe</t>
        </is>
      </c>
      <c r="C17" s="25" t="inlineStr">
        <is>
          <t>Min-Fall</t>
        </is>
      </c>
      <c r="D17" s="25" t="inlineStr">
        <is>
          <t>Max-Fall</t>
        </is>
      </c>
      <c r="E17" s="25" t="inlineStr">
        <is>
          <t>Einheit</t>
        </is>
      </c>
    </row>
    <row r="18">
      <c r="B18" s="27" t="inlineStr">
        <is>
          <t>H2O entfernen ppm</t>
        </is>
      </c>
      <c r="C18" s="53" t="n">
        <v>5581.971628164053</v>
      </c>
      <c r="D18" s="53" t="n">
        <v>7452.628837552071</v>
      </c>
      <c r="E18" s="43" t="inlineStr">
        <is>
          <t>ppm</t>
        </is>
      </c>
    </row>
    <row r="19">
      <c r="B19" s="27" t="inlineStr">
        <is>
          <t>H2O entfernen kg h</t>
        </is>
      </c>
      <c r="C19" s="53" t="n">
        <v>451.1773186287925</v>
      </c>
      <c r="D19" s="53" t="n">
        <v>603.5133722057722</v>
      </c>
      <c r="E19" s="43" t="inlineStr">
        <is>
          <t>kg/h</t>
        </is>
      </c>
    </row>
    <row r="20">
      <c r="B20" s="27" t="inlineStr">
        <is>
          <t>H2S entfernen ppm</t>
        </is>
      </c>
      <c r="C20" s="53" t="n">
        <v>9.5</v>
      </c>
      <c r="D20" s="53" t="n">
        <v>9.5</v>
      </c>
      <c r="E20" s="43" t="inlineStr">
        <is>
          <t>ppm</t>
        </is>
      </c>
    </row>
    <row r="22">
      <c r="B22" s="3" t="inlineStr">
        <is>
          <t>Zusammensetzung feucht (Molanteil) – Übergabe an den Ausspeicherpfad</t>
        </is>
      </c>
    </row>
    <row r="23" ht="30" customHeight="1">
      <c r="B23" s="25" t="inlineStr">
        <is>
          <t>Komponente</t>
        </is>
      </c>
      <c r="C23" s="25" t="inlineStr">
        <is>
          <t>Min-Fall</t>
        </is>
      </c>
      <c r="D23" s="25" t="inlineStr">
        <is>
          <t>Max-Fall</t>
        </is>
      </c>
      <c r="E23" s="25" t="inlineStr">
        <is>
          <t>ab 2. Zyklus (Max, trocken)</t>
        </is>
      </c>
    </row>
    <row r="24">
      <c r="B24" s="27" t="inlineStr">
        <is>
          <t>CO2</t>
        </is>
      </c>
      <c r="C24" s="54" t="n">
        <v>0.9933581779972825</v>
      </c>
      <c r="D24" s="54" t="n">
        <v>0.9904730853437743</v>
      </c>
      <c r="E24" s="54" t="n">
        <v>0.9999900000999991</v>
      </c>
    </row>
    <row r="25">
      <c r="B25" s="27" t="inlineStr">
        <is>
          <t>Methane</t>
        </is>
      </c>
      <c r="C25" s="54" t="n">
        <v>0.001019791233265814</v>
      </c>
      <c r="D25" s="54" t="n">
        <v>0.002033658737789315</v>
      </c>
      <c r="E25" s="54" t="n">
        <v>0</v>
      </c>
    </row>
    <row r="26">
      <c r="B26" s="27" t="inlineStr">
        <is>
          <t>HydrogenSulfide</t>
        </is>
      </c>
      <c r="C26" s="54" t="n">
        <v>9.933581779972826e-06</v>
      </c>
      <c r="D26" s="54" t="n">
        <v>9.904730853437743e-06</v>
      </c>
      <c r="E26" s="54" t="n">
        <v>9.999900000999991e-06</v>
      </c>
    </row>
    <row r="27">
      <c r="B27" s="27" t="inlineStr">
        <is>
          <t>Diesel (C10-C20)</t>
        </is>
      </c>
      <c r="C27" s="54" t="n">
        <v>2.536656521525137e-08</v>
      </c>
      <c r="D27" s="54" t="n">
        <v>5.29946287477311e-07</v>
      </c>
      <c r="E27" s="54" t="n">
        <v>0</v>
      </c>
    </row>
    <row r="28">
      <c r="B28" s="27" t="inlineStr">
        <is>
          <t>Verdichteroel</t>
        </is>
      </c>
      <c r="C28" s="54" t="n">
        <v>1.001929423211284e-07</v>
      </c>
      <c r="D28" s="54" t="n">
        <v>1.924037433025201e-07</v>
      </c>
      <c r="E28" s="54" t="n">
        <v>0</v>
      </c>
    </row>
    <row r="29">
      <c r="B29" s="27" t="inlineStr">
        <is>
          <t>Water</t>
        </is>
      </c>
      <c r="C29" s="54" t="n">
        <v>0.005611971628164053</v>
      </c>
      <c r="D29" s="54" t="n">
        <v>0.007482628837552071</v>
      </c>
      <c r="E29" s="54" t="n">
        <v>0</v>
      </c>
    </row>
    <row r="31">
      <c r="B31" s="8" t="inlineStr">
        <is>
          <t>Molanteile wie in zusammensetzung_nach_kaverne.json (Übergabe an HYSYS über ausspeichergas.py). Max-Fall ist der Auslegungsfall.</t>
        </is>
      </c>
    </row>
  </sheetData>
  <mergeCells count="1">
    <mergeCell ref="B4:G4"/>
  </mergeCells>
  <conditionalFormatting sqref="C8:D14">
    <cfRule type="expression" priority="1" dxfId="2">
      <formula>NOT(Stand_ok)</formula>
    </cfRule>
  </conditionalFormatting>
  <conditionalFormatting sqref="C24:E29">
    <cfRule type="expression" priority="2" dxfId="2">
      <formula>NOT(Stand_ok)</formula>
    </cfRule>
  </conditionalFormatting>
  <hyperlinks>
    <hyperlink ref="B3" location="'Übersicht'!A1" display="← zur Übersicht"/>
  </hyperlinks>
  <pageMargins left="0.4" right="0.4" top="0.5" bottom="0.5" header="0.3" footer="0.3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tabColor rgb="00A6A6A6"/>
    <outlinePr summaryBelow="1" summaryRight="1"/>
    <pageSetUpPr fitToPage="1"/>
  </sheetPr>
  <dimension ref="B1:D16"/>
  <sheetViews>
    <sheetView showGridLines="0" workbookViewId="0">
      <selection activeCell="A1" sqref="A1"/>
    </sheetView>
  </sheetViews>
  <sheetFormatPr baseColWidth="8" defaultRowHeight="15"/>
  <cols>
    <col width="2.7" customWidth="1" min="1" max="1"/>
    <col width="12" customWidth="1" min="2" max="2"/>
    <col width="80" customWidth="1" min="3" max="3"/>
    <col width="70" customWidth="1" min="4" max="4"/>
  </cols>
  <sheetData>
    <row r="1" ht="30" customHeight="1">
      <c r="B1" s="1" t="inlineStr">
        <is>
          <t>Quellen</t>
        </is>
      </c>
    </row>
    <row r="2">
      <c r="B2" s="2" t="inlineStr">
        <is>
          <t>Herkunft der Annahmen dieser Mappe (IDs wie in der Quellen- und Wissensmatrix), mit Fundstelle</t>
        </is>
      </c>
    </row>
    <row r="3">
      <c r="B3" s="18" t="inlineStr">
        <is>
          <t>← zur Übersicht</t>
        </is>
      </c>
    </row>
    <row r="4" ht="20" customHeight="1">
      <c r="B4" s="25" t="inlineStr">
        <is>
          <t>ID</t>
        </is>
      </c>
      <c r="C4" s="25" t="inlineStr">
        <is>
          <t>Quelle</t>
        </is>
      </c>
      <c r="D4" s="25" t="inlineStr">
        <is>
          <t>Verwendet für (Fundstelle)</t>
        </is>
      </c>
    </row>
    <row r="5" ht="45" customHeight="1">
      <c r="B5" s="21" t="inlineStr">
        <is>
          <t>Q-002</t>
        </is>
      </c>
      <c r="C5" s="27" t="inlineStr">
        <is>
          <t>DBI; DVGW-EBI am KIT; GWI (2026): CO₂-Management – Phase I: Grundlagenermittlung / CO₂START. DVGW-Forschungsbericht G 202434.</t>
        </is>
      </c>
      <c r="D5" s="27" t="inlineStr">
        <is>
          <t>S. 94–95: Zwischenspeicherbedarf 0,21–1,21 Mt (Szenarien 1–8) → Blatt 05</t>
        </is>
      </c>
    </row>
    <row r="6" ht="45" customHeight="1">
      <c r="B6" s="21" t="inlineStr">
        <is>
          <t>Q-003</t>
        </is>
      </c>
      <c r="C6" s="27" t="inlineStr">
        <is>
          <t>IfG; UGS; CTU Prag (2022): Energiespeicherung in Salzkavernen mit superkritischem CO₂ – ESsCO₂. Abschlussbericht, FKZ 03ET6154.</t>
        </is>
      </c>
      <c r="D6" s="27" t="inlineStr">
        <is>
          <t>Kap. 6.2: Rohrreibungszahl 0,015–0,017 → f = 0,016; Kap. 9.3.2.4: Restsole ≤ 1 %</t>
        </is>
      </c>
    </row>
    <row r="7" ht="45" customHeight="1">
      <c r="B7" s="21" t="inlineStr">
        <is>
          <t>Q-028</t>
        </is>
      </c>
      <c r="C7" s="27" t="inlineStr">
        <is>
          <t>Buzogany, R.; Kruck, O. (2022): CO₂ – Storage in Salt Caverns: Thermodynamic Analysis and Challenges. SMRI Fall 2022.</t>
        </is>
      </c>
      <c r="D7" s="27" t="inlineStr">
        <is>
          <t>Tab. 1: Kavernendaten (Volumen, p_min, Bezugsteufe); Kap. 3 (S. 5), Fig. 3: Gebirge 10 °C + 0,03 K/m, Gassäulen; S. 10 (Kap. 4): Betriebsszenario mit Stillstand 21,67 d, Kalibrierung UA; S. 11: Mehrphasen-Bohrlochmodell nötig</t>
        </is>
      </c>
    </row>
    <row r="8" ht="45" customHeight="1">
      <c r="B8" s="21" t="inlineStr">
        <is>
          <t>Q-029</t>
        </is>
      </c>
      <c r="C8" s="27" t="inlineStr">
        <is>
          <t>DBI für Uniper (2024): CCUS-P2 – CO₂-Storage for CCU/S, Phase 2 – Detailing Study, Final Report V08.</t>
        </is>
      </c>
      <c r="D8" s="27" t="inlineStr">
        <is>
          <t>Management Summary (PDF-S. 3), Kap. 5 (PDF-S. 41–43): 4 Zyklen/a (Approach 2) bzw. 1 Zyklus/a (Approach 8)</t>
        </is>
      </c>
    </row>
    <row r="9" ht="45" customHeight="1">
      <c r="B9" s="21" t="inlineStr">
        <is>
          <t>Q-030</t>
        </is>
      </c>
      <c r="C9" s="27" t="inlineStr">
        <is>
          <t>DBI für Uniper (2023): CCUS-P1 – CO₂-Storage for CCU/S, Phase 1 – Initial Concept Study, Final Report.</t>
        </is>
      </c>
      <c r="D9" s="27" t="inlineStr">
        <is>
          <t>Tab. 1: Teufe 1200 m (Option 2), Förderstrang 8 5/8"; Kap. 1.2.1: 10 bar/d, 20 m/s; S. 15: Einspeisung mit konstanter Kopftemperatur; S. 17: flache Option verworfen, 160 bar Mindestdruck (Option 2)</t>
        </is>
      </c>
    </row>
    <row r="10" ht="45" customHeight="1">
      <c r="B10" s="21" t="inlineStr">
        <is>
          <t>Q-035</t>
        </is>
      </c>
      <c r="C10" s="27" t="inlineStr">
        <is>
          <t>Uniper Energy Storage (2024): Kavernenspeicher – Technische Kennlinien, Kapazitäten, Restriktionen (Onboarding, intern).</t>
        </is>
      </c>
      <c r="D10" s="27" t="inlineStr">
        <is>
          <t>Folie 5: Druckbereich Epe; Folie 31: unterer Druckbereich höchstens 60 Tage je Jahr; Folie 36: Gastemperatur am Kopf ≥ 5 °C</t>
        </is>
      </c>
    </row>
    <row r="11" ht="45" customHeight="1">
      <c r="B11" s="21" t="inlineStr">
        <is>
          <t>Q-089</t>
        </is>
      </c>
      <c r="C11" s="27" t="inlineStr">
        <is>
          <t>UGS GmbH (Frommhold, Schwabe) für DGMK (2024): Konzeptstudie zu Reinheitsanforderungen H₂-Netz.</t>
        </is>
      </c>
      <c r="D11" s="27" t="inlineStr">
        <is>
          <t>Tab. 2: 10 bar/d; Abschn. 6.3–6.5, Tab. 10, 12, 16, 19, 20: Einträge in das Speichergas → Blatt 06</t>
        </is>
      </c>
    </row>
    <row r="12" ht="45" customHeight="1">
      <c r="B12" s="21" t="inlineStr">
        <is>
          <t>OGE</t>
        </is>
      </c>
      <c r="C12" s="27" t="inlineStr">
        <is>
          <t>Gesprächsnotiz Austausch OGE / Uniper, 16.09.2026 (Notizen S. Maxara).</t>
        </is>
      </c>
      <c r="D12" s="27" t="inlineStr">
        <is>
          <t>Rückgabe: mind. 91 bar, H₂O ≤ 30 ppm, H₂S &lt; 0,5 ppm</t>
        </is>
      </c>
    </row>
    <row r="13" ht="45" customHeight="1">
      <c r="B13" s="21" t="inlineStr">
        <is>
          <t>Vosbeck</t>
        </is>
      </c>
      <c r="C13" s="27" t="inlineStr">
        <is>
          <t>Besprechung mit Katrin Vosbeck (Uniper, Kavernen), 15.10.2026 (Notizen S. Maxara).</t>
        </is>
      </c>
      <c r="D13" s="27" t="inlineStr">
        <is>
          <t>nur tiefe Kaverne; Strang adiabat; Einspeisung gekoppelt an die Einspeicherung; Regelung über den Kopfdruck; Stillstand aus einer Quelle; Bandbreite Ausspeichergas</t>
        </is>
      </c>
    </row>
    <row r="14" ht="45" customHeight="1">
      <c r="B14" s="21" t="inlineStr">
        <is>
          <t>—</t>
        </is>
      </c>
      <c r="C14" s="27" t="inlineStr">
        <is>
          <t>Span, R.; Wagner, W. (1996): A New Equation of State for Carbon Dioxide … J. Phys. Chem. Ref. Data 25(6), 1509–1596.</t>
        </is>
      </c>
      <c r="D14" s="27" t="inlineStr">
        <is>
          <t>Zustandsgleichung reines CO₂ (über CoolProp)</t>
        </is>
      </c>
    </row>
    <row r="15" ht="45" customHeight="1">
      <c r="B15" s="21" t="inlineStr">
        <is>
          <t>—</t>
        </is>
      </c>
      <c r="C15" s="27" t="inlineStr">
        <is>
          <t>Kunz, O.; Wagner, W. (2012): The GERG-2008 Wide-Range Equation of State for Natural Gases and Other Mixtures. J. Chem. Eng. Data 57, 3032–3091.</t>
        </is>
      </c>
      <c r="D15" s="27" t="inlineStr">
        <is>
          <t>Mischungsregel für das Worst-Case-Gemisch</t>
        </is>
      </c>
    </row>
    <row r="16" ht="45" customHeight="1">
      <c r="B16" s="21" t="inlineStr">
        <is>
          <t>—</t>
        </is>
      </c>
      <c r="C16" s="27" t="inlineStr">
        <is>
          <t>Bell, I. H. et al. (2014): Pure and Pseudo-pure Fluid Thermophysical Property Evaluation and the Open-Source Thermophysical Property Library CoolProp. Ind. Eng. Chem. Res. 53(6), 2498–2508.</t>
        </is>
      </c>
      <c r="D16" s="27" t="inlineStr">
        <is>
          <t>CoolProp 8.0.0</t>
        </is>
      </c>
    </row>
  </sheetData>
  <hyperlinks>
    <hyperlink ref="B3" location="'Übersicht'!A1" display="← zur Übersicht"/>
  </hyperlinks>
  <pageMargins left="0.4" right="0.4" top="0.5" bottom="0.5" header="0.3" footer="0.3"/>
  <pageSetup orientation="landscape" paperSize="9" fitToHeight="0" fitToWidth="1"/>
</worksheet>
</file>

<file path=xl/worksheets/sheet9.xml><?xml version="1.0" encoding="utf-8"?>
<worksheet xmlns="http://schemas.openxmlformats.org/spreadsheetml/2006/main">
  <sheetPr>
    <tabColor rgb="00D9D9D9"/>
    <outlinePr summaryBelow="1" summaryRight="1"/>
    <pageSetUpPr/>
  </sheetPr>
  <dimension ref="B1:AD393"/>
  <sheetViews>
    <sheetView showGridLines="0" workbookViewId="0">
      <selection activeCell="A1" sqref="A1"/>
    </sheetView>
  </sheetViews>
  <sheetFormatPr baseColWidth="8" defaultRowHeight="15"/>
  <sheetData>
    <row r="1">
      <c r="B1" s="55" t="inlineStr">
        <is>
          <t>Diagrammdaten – Hilfstabellen (nicht ändern)</t>
        </is>
      </c>
    </row>
    <row r="2">
      <c r="B2" s="56" t="inlineStr">
        <is>
          <t>Werte aus den JSON-Dateien der Skripte, Grundlage der Diagramme.</t>
        </is>
      </c>
    </row>
    <row r="3">
      <c r="B3" s="18" t="inlineStr">
        <is>
          <t>← zur Übersicht</t>
        </is>
      </c>
    </row>
    <row r="5">
      <c r="B5" s="57" t="inlineStr">
        <is>
          <t>01 Profile (alle 50 m)</t>
        </is>
      </c>
      <c r="L5" s="57" t="inlineStr">
        <is>
          <t>02 Dichte über Druck (Gebirgstemperatur Kavernenmitte)</t>
        </is>
      </c>
      <c r="O5" s="57" t="inlineStr">
        <is>
          <t>03 Zyklusverlauf 100.000 Nm³/h, S2</t>
        </is>
      </c>
      <c r="V5" s="57" t="inlineStr">
        <is>
          <t>04 Kopfdruck über Kavernendruck (100.000 Nm³/h)</t>
        </is>
      </c>
    </row>
    <row r="6">
      <c r="B6" s="58" t="inlineStr">
        <is>
          <t>z [m]</t>
        </is>
      </c>
      <c r="C6" s="58" t="inlineStr">
        <is>
          <t>T Gebirge [°C]</t>
        </is>
      </c>
      <c r="D6" s="58" t="inlineStr">
        <is>
          <t>p voll [bar]</t>
        </is>
      </c>
      <c r="E6" s="58" t="inlineStr">
        <is>
          <t>p Grenzfall [bar]</t>
        </is>
      </c>
      <c r="F6" s="58" t="inlineStr">
        <is>
          <t>p leer [bar]</t>
        </is>
      </c>
      <c r="G6" s="58" t="inlineStr">
        <is>
          <t>p S1 Betrieb [bar]</t>
        </is>
      </c>
      <c r="H6" s="58" t="inlineStr">
        <is>
          <t>T S1 Betrieb [°C]</t>
        </is>
      </c>
      <c r="I6" s="58" t="inlineStr">
        <is>
          <t>p S2 Betrieb [bar]</t>
        </is>
      </c>
      <c r="J6" s="58" t="inlineStr">
        <is>
          <t>T S2 Betrieb [°C]</t>
        </is>
      </c>
      <c r="L6" s="58" t="inlineStr">
        <is>
          <t>p [bar]</t>
        </is>
      </c>
      <c r="M6" s="58" t="inlineStr">
        <is>
          <t>ρ [kg/m³]</t>
        </is>
      </c>
      <c r="O6" s="58" t="inlineStr">
        <is>
          <t>t [d]</t>
        </is>
      </c>
      <c r="P6" s="58" t="inlineStr">
        <is>
          <t>p LCCS [bar] (Stillstand 21,67 d (Q-028))</t>
        </is>
      </c>
      <c r="Q6" s="58" t="inlineStr">
        <is>
          <t>T Kaverne [°C] (Stillstand 21,67 d (Q-028))</t>
        </is>
      </c>
      <c r="R6" s="58" t="inlineStr">
        <is>
          <t>t [d]</t>
        </is>
      </c>
      <c r="S6" s="58" t="inlineStr">
        <is>
          <t>p LCCS [bar] (kontinuierlich (0 d))</t>
        </is>
      </c>
      <c r="T6" s="58" t="inlineStr">
        <is>
          <t>T Kaverne [°C] (kontinuierlich (0 d))</t>
        </is>
      </c>
      <c r="V6" s="58" t="inlineStr">
        <is>
          <t>p LCCS</t>
        </is>
      </c>
      <c r="W6" s="58" t="inlineStr">
        <is>
          <t>p Kopf Ausspeisen</t>
        </is>
      </c>
      <c r="X6" s="58" t="inlineStr">
        <is>
          <t>T Kopf Ausspeisen</t>
        </is>
      </c>
      <c r="Y6" s="58" t="inlineStr">
        <is>
          <t>p LCCS</t>
        </is>
      </c>
      <c r="Z6" s="58" t="inlineStr">
        <is>
          <t>p Kopf Einspeisen S1</t>
        </is>
      </c>
      <c r="AA6" s="58" t="inlineStr">
        <is>
          <t>T Kopf Einspeisen S1</t>
        </is>
      </c>
      <c r="AB6" s="58" t="inlineStr">
        <is>
          <t>p LCCS</t>
        </is>
      </c>
      <c r="AC6" s="58" t="inlineStr">
        <is>
          <t>p Kopf Einspeisen S2</t>
        </is>
      </c>
      <c r="AD6" s="58" t="inlineStr">
        <is>
          <t>T Kopf Einspeisen S2</t>
        </is>
      </c>
    </row>
    <row r="7">
      <c r="B7" t="n">
        <v>0</v>
      </c>
      <c r="C7" t="n">
        <v>10</v>
      </c>
      <c r="D7" t="n">
        <v>107.603219569636</v>
      </c>
      <c r="E7" t="n">
        <v>73.77298373440598</v>
      </c>
      <c r="F7" t="n">
        <v>44.99299418696985</v>
      </c>
      <c r="G7" t="n">
        <v>105.4411023087268</v>
      </c>
      <c r="H7" t="n">
        <v>16.57186209795532</v>
      </c>
      <c r="I7" t="n">
        <v>114.6341589872628</v>
      </c>
      <c r="J7" t="n">
        <v>29.58976245299937</v>
      </c>
      <c r="L7" t="n">
        <v>20</v>
      </c>
      <c r="M7" t="n">
        <v>35.29029391158594</v>
      </c>
      <c r="O7" t="n">
        <v>0</v>
      </c>
      <c r="P7" t="n">
        <v>209.8299959511235</v>
      </c>
      <c r="Q7" t="n">
        <v>52.14999999999679</v>
      </c>
      <c r="R7" t="n">
        <v>0</v>
      </c>
      <c r="S7" t="n">
        <v>209.8299959511235</v>
      </c>
      <c r="T7" t="n">
        <v>52.14999999999679</v>
      </c>
      <c r="V7" t="n">
        <v>70.06084563903107</v>
      </c>
      <c r="W7" t="n">
        <v>41.76130372458788</v>
      </c>
      <c r="X7" t="n">
        <v>6.996084557493873</v>
      </c>
      <c r="Y7" t="n">
        <v>76.52497315005577</v>
      </c>
      <c r="Z7" t="n">
        <v>22.13164298389873</v>
      </c>
      <c r="AA7" t="n">
        <v>-16.1590178359632</v>
      </c>
      <c r="AB7" t="n">
        <v>76.52497315005577</v>
      </c>
      <c r="AC7" t="n">
        <v>29.493303868521</v>
      </c>
      <c r="AD7" t="n">
        <v>-6.169206209380377</v>
      </c>
    </row>
    <row r="8">
      <c r="B8" t="n">
        <v>50</v>
      </c>
      <c r="C8" t="n">
        <v>11.5</v>
      </c>
      <c r="D8" t="n">
        <v>112.1341797962734</v>
      </c>
      <c r="E8" t="n">
        <v>78.15826732125981</v>
      </c>
      <c r="F8" t="n">
        <v>46.65802733630341</v>
      </c>
      <c r="G8" t="n">
        <v>109.7169347335559</v>
      </c>
      <c r="H8" t="n">
        <v>16.98249806373076</v>
      </c>
      <c r="I8" t="n">
        <v>118.5031902328756</v>
      </c>
      <c r="J8" t="n">
        <v>30.11109266516024</v>
      </c>
      <c r="L8" t="n">
        <v>25</v>
      </c>
      <c r="M8" t="n">
        <v>45.12745670121906</v>
      </c>
      <c r="O8" t="n">
        <v>0.6000000000000002</v>
      </c>
      <c r="P8" t="n">
        <v>203.8696991176944</v>
      </c>
      <c r="Q8" t="n">
        <v>51.44768481401059</v>
      </c>
      <c r="R8" t="n">
        <v>0.4000000000000001</v>
      </c>
      <c r="S8" t="n">
        <v>205.847339409332</v>
      </c>
      <c r="T8" t="n">
        <v>51.68012258139811</v>
      </c>
      <c r="V8" t="n">
        <v>74.70659698189552</v>
      </c>
      <c r="W8" t="n">
        <v>44.77505450917499</v>
      </c>
      <c r="X8" t="n">
        <v>9.778474245540224</v>
      </c>
      <c r="Y8" t="n">
        <v>77.36808733479361</v>
      </c>
      <c r="Z8" t="n">
        <v>22.24843931810115</v>
      </c>
      <c r="AA8" t="n">
        <v>-15.98274771558272</v>
      </c>
      <c r="AB8" t="n">
        <v>79.27610254590097</v>
      </c>
      <c r="AC8" t="n">
        <v>30.02855728406314</v>
      </c>
      <c r="AD8" t="n">
        <v>-5.517579562038122</v>
      </c>
    </row>
    <row r="9">
      <c r="B9" t="n">
        <v>100</v>
      </c>
      <c r="C9" t="n">
        <v>13</v>
      </c>
      <c r="D9" t="n">
        <v>116.6408956363133</v>
      </c>
      <c r="E9" t="n">
        <v>82.51551500684315</v>
      </c>
      <c r="F9" t="n">
        <v>48.46967378877172</v>
      </c>
      <c r="G9" t="n">
        <v>114.0004368170145</v>
      </c>
      <c r="H9" t="n">
        <v>17.38934892642328</v>
      </c>
      <c r="I9" t="n">
        <v>122.3824410614434</v>
      </c>
      <c r="J9" t="n">
        <v>30.62597950887431</v>
      </c>
      <c r="L9" t="n">
        <v>30</v>
      </c>
      <c r="M9" t="n">
        <v>55.46569054970354</v>
      </c>
      <c r="O9" t="n">
        <v>1.200000000000001</v>
      </c>
      <c r="P9" t="n">
        <v>197.9853311527279</v>
      </c>
      <c r="Q9" t="n">
        <v>50.7592113659415</v>
      </c>
      <c r="R9" t="n">
        <v>0.8000000000000004</v>
      </c>
      <c r="S9" t="n">
        <v>201.9004992916163</v>
      </c>
      <c r="T9" t="n">
        <v>51.21678608891909</v>
      </c>
      <c r="V9" t="n">
        <v>77.37521545732005</v>
      </c>
      <c r="W9" t="n">
        <v>46.10716809098706</v>
      </c>
      <c r="X9" t="n">
        <v>10.96355168447371</v>
      </c>
      <c r="Y9" t="n">
        <v>81.64066219923487</v>
      </c>
      <c r="Z9" t="n">
        <v>22.87109114743818</v>
      </c>
      <c r="AA9" t="n">
        <v>-15.05428964326831</v>
      </c>
      <c r="AB9" t="n">
        <v>84.27628654357838</v>
      </c>
      <c r="AC9" t="n">
        <v>31.06410847413752</v>
      </c>
      <c r="AD9" t="n">
        <v>-4.280692229945089</v>
      </c>
    </row>
    <row r="10">
      <c r="B10" t="n">
        <v>150</v>
      </c>
      <c r="C10" t="n">
        <v>14.5</v>
      </c>
      <c r="D10" t="n">
        <v>121.1234940528359</v>
      </c>
      <c r="E10" t="n">
        <v>86.84482412678328</v>
      </c>
      <c r="F10" t="n">
        <v>50.28738698402123</v>
      </c>
      <c r="G10" t="n">
        <v>118.2915251555654</v>
      </c>
      <c r="H10" t="n">
        <v>17.79252802254371</v>
      </c>
      <c r="I10" t="n">
        <v>126.2717475604869</v>
      </c>
      <c r="J10" t="n">
        <v>31.13467453679135</v>
      </c>
      <c r="L10" t="n">
        <v>35</v>
      </c>
      <c r="M10" t="n">
        <v>66.36862506998216</v>
      </c>
      <c r="O10" t="n">
        <v>1.800000000000001</v>
      </c>
      <c r="P10" t="n">
        <v>192.1626157708636</v>
      </c>
      <c r="Q10" t="n">
        <v>50.08187424727248</v>
      </c>
      <c r="R10" t="n">
        <v>1.200000000000001</v>
      </c>
      <c r="S10" t="n">
        <v>197.9853311527279</v>
      </c>
      <c r="T10" t="n">
        <v>50.7592113659415</v>
      </c>
      <c r="V10" t="n">
        <v>78.88569396468444</v>
      </c>
      <c r="W10" t="n">
        <v>46.6545966580701</v>
      </c>
      <c r="X10" t="n">
        <v>11.44305796146261</v>
      </c>
      <c r="Y10" t="n">
        <v>85.8793871126382</v>
      </c>
      <c r="Z10" t="n">
        <v>23.54332723786412</v>
      </c>
      <c r="AA10" t="n">
        <v>-14.07242301998173</v>
      </c>
      <c r="AB10" t="n">
        <v>88.91918617948795</v>
      </c>
      <c r="AC10" t="n">
        <v>32.10412663161566</v>
      </c>
      <c r="AD10" t="n">
        <v>-3.06857667319963</v>
      </c>
    </row>
    <row r="11">
      <c r="B11" t="n">
        <v>200</v>
      </c>
      <c r="C11" t="n">
        <v>16</v>
      </c>
      <c r="D11" t="n">
        <v>125.5821115549518</v>
      </c>
      <c r="E11" t="n">
        <v>91.14630895292252</v>
      </c>
      <c r="F11" t="n">
        <v>52.11301240220459</v>
      </c>
      <c r="G11" t="n">
        <v>122.5900723916812</v>
      </c>
      <c r="H11" t="n">
        <v>18.19216444517679</v>
      </c>
      <c r="I11" t="n">
        <v>130.1708919087041</v>
      </c>
      <c r="J11" t="n">
        <v>31.63744787745907</v>
      </c>
      <c r="L11" t="n">
        <v>40</v>
      </c>
      <c r="M11" t="n">
        <v>77.912955541353</v>
      </c>
      <c r="O11" t="n">
        <v>2.400000000000002</v>
      </c>
      <c r="P11" t="n">
        <v>186.3865192122276</v>
      </c>
      <c r="Q11" t="n">
        <v>49.41277821418811</v>
      </c>
      <c r="R11" t="n">
        <v>1.600000000000001</v>
      </c>
      <c r="S11" t="n">
        <v>194.0975795507781</v>
      </c>
      <c r="T11" t="n">
        <v>50.30658998501843</v>
      </c>
      <c r="V11" t="n">
        <v>79.57382572138619</v>
      </c>
      <c r="W11" t="n">
        <v>46.77752963942552</v>
      </c>
      <c r="X11" t="n">
        <v>11.55015133364407</v>
      </c>
      <c r="Y11" t="n">
        <v>90.07765264205648</v>
      </c>
      <c r="Z11" t="n">
        <v>24.26765712105598</v>
      </c>
      <c r="AA11" t="n">
        <v>-13.03715739398814</v>
      </c>
      <c r="AB11" t="n">
        <v>93.52952518107224</v>
      </c>
      <c r="AC11" t="n">
        <v>33.21890939973549</v>
      </c>
      <c r="AD11" t="n">
        <v>-1.800962844979892</v>
      </c>
    </row>
    <row r="12">
      <c r="B12" t="n">
        <v>250</v>
      </c>
      <c r="C12" t="n">
        <v>17.5</v>
      </c>
      <c r="D12" t="n">
        <v>130.0168939094205</v>
      </c>
      <c r="E12" t="n">
        <v>95.42010059519869</v>
      </c>
      <c r="F12" t="n">
        <v>53.57639577927532</v>
      </c>
      <c r="G12" t="n">
        <v>126.8960031680653</v>
      </c>
      <c r="H12" t="n">
        <v>18.58835755440012</v>
      </c>
      <c r="I12" t="n">
        <v>134.0797288024173</v>
      </c>
      <c r="J12" t="n">
        <v>32.1345133689926</v>
      </c>
      <c r="L12" t="n">
        <v>45</v>
      </c>
      <c r="M12" t="n">
        <v>90.19218763230015</v>
      </c>
      <c r="O12" t="n">
        <v>3.000000000000002</v>
      </c>
      <c r="P12" t="n">
        <v>180.6408942803299</v>
      </c>
      <c r="Q12" t="n">
        <v>48.74876179390947</v>
      </c>
      <c r="R12" t="n">
        <v>2.000000000000001</v>
      </c>
      <c r="S12" t="n">
        <v>190.2328408992781</v>
      </c>
      <c r="T12" t="n">
        <v>49.85807634908792</v>
      </c>
      <c r="V12" t="n">
        <v>79.60327178712483</v>
      </c>
      <c r="W12" t="n">
        <v>46.08784625227177</v>
      </c>
      <c r="X12" t="n">
        <v>10.94654862558565</v>
      </c>
      <c r="Y12" t="n">
        <v>94.19329464968816</v>
      </c>
      <c r="Z12" t="n">
        <v>25.04024573108379</v>
      </c>
      <c r="AA12" t="n">
        <v>-11.95753625846277</v>
      </c>
      <c r="AB12" t="n">
        <v>98.03011434047144</v>
      </c>
      <c r="AC12" t="n">
        <v>34.39394165265235</v>
      </c>
      <c r="AD12" t="n">
        <v>-0.4982925336146877</v>
      </c>
    </row>
    <row r="13">
      <c r="B13" t="n">
        <v>300</v>
      </c>
      <c r="C13" t="n">
        <v>19</v>
      </c>
      <c r="D13" t="n">
        <v>134.4279957838498</v>
      </c>
      <c r="E13" t="n">
        <v>99.66634677921857</v>
      </c>
      <c r="F13" t="n">
        <v>54.42245109944623</v>
      </c>
      <c r="G13" t="n">
        <v>131.2091987993775</v>
      </c>
      <c r="H13" t="n">
        <v>18.98122235423455</v>
      </c>
      <c r="I13" t="n">
        <v>137.9980595860541</v>
      </c>
      <c r="J13" t="n">
        <v>32.62610496814489</v>
      </c>
      <c r="L13" t="n">
        <v>50</v>
      </c>
      <c r="M13" t="n">
        <v>103.3218008768971</v>
      </c>
      <c r="O13" t="n">
        <v>3.600000000000003</v>
      </c>
      <c r="P13" t="n">
        <v>174.9080039673767</v>
      </c>
      <c r="Q13" t="n">
        <v>48.08629410636945</v>
      </c>
      <c r="R13" t="n">
        <v>2.400000000000002</v>
      </c>
      <c r="S13" t="n">
        <v>186.3865192122276</v>
      </c>
      <c r="T13" t="n">
        <v>49.41277821418811</v>
      </c>
      <c r="V13" t="n">
        <v>79.70497793186443</v>
      </c>
      <c r="W13" t="n">
        <v>46.4154588740521</v>
      </c>
      <c r="X13" t="n">
        <v>11.23411827078604</v>
      </c>
      <c r="Y13" t="n">
        <v>98.72167449801913</v>
      </c>
      <c r="Z13" t="n">
        <v>25.96958767909734</v>
      </c>
      <c r="AA13" t="n">
        <v>-10.69068788857425</v>
      </c>
      <c r="AB13" t="n">
        <v>103.1028746079408</v>
      </c>
      <c r="AC13" t="n">
        <v>35.83217257109074</v>
      </c>
      <c r="AD13" t="n">
        <v>1.05224652012879</v>
      </c>
    </row>
    <row r="14">
      <c r="B14" t="n">
        <v>350</v>
      </c>
      <c r="C14" t="n">
        <v>20.5</v>
      </c>
      <c r="D14" t="n">
        <v>138.8155803530323</v>
      </c>
      <c r="E14" t="n">
        <v>103.8852115876218</v>
      </c>
      <c r="F14" t="n">
        <v>55.26994550478808</v>
      </c>
      <c r="G14" t="n">
        <v>135.5295907624302</v>
      </c>
      <c r="H14" t="n">
        <v>19.37084667554618</v>
      </c>
      <c r="I14" t="n">
        <v>141.9257543643456</v>
      </c>
      <c r="J14" t="n">
        <v>33.11240690609853</v>
      </c>
      <c r="L14" t="n">
        <v>55</v>
      </c>
      <c r="M14" t="n">
        <v>117.4465099821219</v>
      </c>
      <c r="O14" t="n">
        <v>4.199999999999998</v>
      </c>
      <c r="P14" t="n">
        <v>169.1678653692563</v>
      </c>
      <c r="Q14" t="n">
        <v>47.42133163858614</v>
      </c>
      <c r="R14" t="n">
        <v>2.800000000000002</v>
      </c>
      <c r="S14" t="n">
        <v>182.5537727573342</v>
      </c>
      <c r="T14" t="n">
        <v>48.96974519122244</v>
      </c>
      <c r="V14" t="n">
        <v>79.77027044536868</v>
      </c>
      <c r="W14" t="n">
        <v>46.67186213211372</v>
      </c>
      <c r="X14" t="n">
        <v>11.45811172602504</v>
      </c>
      <c r="Y14" t="n">
        <v>104.3154388976974</v>
      </c>
      <c r="Z14" t="n">
        <v>27.24742882609236</v>
      </c>
      <c r="AA14" t="n">
        <v>-9.001860523252731</v>
      </c>
      <c r="AB14" t="n">
        <v>108.7996264803101</v>
      </c>
      <c r="AC14" t="n">
        <v>37.60892994823671</v>
      </c>
      <c r="AD14" t="n">
        <v>2.905499141970097</v>
      </c>
    </row>
    <row r="15">
      <c r="B15" t="n">
        <v>400</v>
      </c>
      <c r="C15" t="n">
        <v>22</v>
      </c>
      <c r="D15" t="n">
        <v>143.1798189021624</v>
      </c>
      <c r="E15" t="n">
        <v>108.0768752419294</v>
      </c>
      <c r="F15" t="n">
        <v>56.11907933946505</v>
      </c>
      <c r="G15" t="n">
        <v>139.85706787708</v>
      </c>
      <c r="H15" t="n">
        <v>19.75733373547126</v>
      </c>
      <c r="I15" t="n">
        <v>145.8626306327178</v>
      </c>
      <c r="J15" t="n">
        <v>33.59362415768783</v>
      </c>
      <c r="L15" t="n">
        <v>60</v>
      </c>
      <c r="M15" t="n">
        <v>132.7506938765205</v>
      </c>
      <c r="O15" t="n">
        <v>4.799999999999986</v>
      </c>
      <c r="P15" t="n">
        <v>163.3973174673537</v>
      </c>
      <c r="Q15" t="n">
        <v>46.7491133477547</v>
      </c>
      <c r="R15" t="n">
        <v>3.200000000000002</v>
      </c>
      <c r="S15" t="n">
        <v>178.7294489616366</v>
      </c>
      <c r="T15" t="n">
        <v>48.527954633788</v>
      </c>
      <c r="V15" t="n">
        <v>80.04373748540792</v>
      </c>
      <c r="W15" t="n">
        <v>45.79952220509647</v>
      </c>
      <c r="X15" t="n">
        <v>10.69218298459657</v>
      </c>
      <c r="Y15" t="n">
        <v>111.2012923277987</v>
      </c>
      <c r="Z15" t="n">
        <v>29.05103594454094</v>
      </c>
      <c r="AA15" t="n">
        <v>-6.714205655469641</v>
      </c>
      <c r="AB15" t="n">
        <v>116.1142734059573</v>
      </c>
      <c r="AC15" t="n">
        <v>40.18182368931371</v>
      </c>
      <c r="AD15" t="n">
        <v>5.477391077303082</v>
      </c>
    </row>
    <row r="16">
      <c r="B16" t="n">
        <v>450</v>
      </c>
      <c r="C16" t="n">
        <v>23.5</v>
      </c>
      <c r="D16" t="n">
        <v>147.5208904585417</v>
      </c>
      <c r="E16" t="n">
        <v>112.2415339760143</v>
      </c>
      <c r="F16" t="n">
        <v>56.970011793445</v>
      </c>
      <c r="G16" t="n">
        <v>144.1915675017153</v>
      </c>
      <c r="H16" t="n">
        <v>20.14076172682144</v>
      </c>
      <c r="I16" t="n">
        <v>149.8085714406843</v>
      </c>
      <c r="J16" t="n">
        <v>34.06991730821903</v>
      </c>
      <c r="L16" t="n">
        <v>65</v>
      </c>
      <c r="M16" t="n">
        <v>149.4737046981636</v>
      </c>
      <c r="O16" t="n">
        <v>5.399999999999973</v>
      </c>
      <c r="P16" t="n">
        <v>157.5686496403577</v>
      </c>
      <c r="Q16" t="n">
        <v>46.06385740476514</v>
      </c>
      <c r="R16" t="n">
        <v>3.600000000000003</v>
      </c>
      <c r="S16" t="n">
        <v>174.9080039673767</v>
      </c>
      <c r="T16" t="n">
        <v>48.08629410636945</v>
      </c>
      <c r="V16" t="n">
        <v>82.2702428753137</v>
      </c>
      <c r="W16" t="n">
        <v>45.32475697810732</v>
      </c>
      <c r="X16" t="n">
        <v>10.27068510181795</v>
      </c>
      <c r="Y16" t="n">
        <v>120.3688344999054</v>
      </c>
      <c r="Z16" t="n">
        <v>31.94838834740765</v>
      </c>
      <c r="AA16" t="n">
        <v>-3.248231167884512</v>
      </c>
      <c r="AB16" t="n">
        <v>125.251093966633</v>
      </c>
      <c r="AC16" t="n">
        <v>43.96068174558633</v>
      </c>
      <c r="AD16" t="n">
        <v>9.040837529280168</v>
      </c>
    </row>
    <row r="17">
      <c r="B17" t="n">
        <v>500</v>
      </c>
      <c r="C17" t="n">
        <v>25</v>
      </c>
      <c r="D17" t="n">
        <v>151.8389814770035</v>
      </c>
      <c r="E17" t="n">
        <v>116.3794000175083</v>
      </c>
      <c r="F17" t="n">
        <v>57.82287123568764</v>
      </c>
      <c r="G17" t="n">
        <v>148.5329850271831</v>
      </c>
      <c r="H17" t="n">
        <v>20.5212238869392</v>
      </c>
      <c r="I17" t="n">
        <v>153.7634080815212</v>
      </c>
      <c r="J17" t="n">
        <v>34.5414677563341</v>
      </c>
      <c r="L17" t="n">
        <v>70</v>
      </c>
      <c r="M17" t="n">
        <v>167.932813750642</v>
      </c>
      <c r="O17" t="n">
        <v>5.99999999999996</v>
      </c>
      <c r="P17" t="n">
        <v>151.6475016353565</v>
      </c>
      <c r="Q17" t="n">
        <v>45.35829433052078</v>
      </c>
      <c r="R17" t="n">
        <v>4.000000000000003</v>
      </c>
      <c r="S17" t="n">
        <v>171.0834018783309</v>
      </c>
      <c r="T17" t="n">
        <v>47.64353932163306</v>
      </c>
      <c r="V17" t="n">
        <v>89.13252576167886</v>
      </c>
      <c r="W17" t="n">
        <v>40.49645355341156</v>
      </c>
      <c r="X17" t="n">
        <v>5.783418732250709</v>
      </c>
      <c r="Y17" t="n">
        <v>133.4324062063048</v>
      </c>
      <c r="Z17" t="n">
        <v>37.49707548685205</v>
      </c>
      <c r="AA17" t="n">
        <v>2.790762944919891</v>
      </c>
      <c r="AB17" t="n">
        <v>137.8945434932219</v>
      </c>
      <c r="AC17" t="n">
        <v>50.61272591985673</v>
      </c>
      <c r="AD17" t="n">
        <v>14.78838231168612</v>
      </c>
    </row>
    <row r="18">
      <c r="B18" t="n">
        <v>550</v>
      </c>
      <c r="C18" t="n">
        <v>26.5</v>
      </c>
      <c r="D18" t="n">
        <v>156.1342855942196</v>
      </c>
      <c r="E18" t="n">
        <v>120.4907016558676</v>
      </c>
      <c r="F18" t="n">
        <v>58.67776215619738</v>
      </c>
      <c r="G18" t="n">
        <v>152.8812629287368</v>
      </c>
      <c r="H18" t="n">
        <v>20.89879026161702</v>
      </c>
      <c r="I18" t="n">
        <v>157.7270346236587</v>
      </c>
      <c r="J18" t="n">
        <v>35.00841677902469</v>
      </c>
      <c r="L18" t="n">
        <v>75</v>
      </c>
      <c r="M18" t="n">
        <v>188.5581543449753</v>
      </c>
      <c r="O18" t="n">
        <v>6.599999999999947</v>
      </c>
      <c r="P18" t="n">
        <v>145.8155647480264</v>
      </c>
      <c r="Q18" t="n">
        <v>44.65625010257662</v>
      </c>
      <c r="R18" t="n">
        <v>4.399999999999994</v>
      </c>
      <c r="S18" t="n">
        <v>167.248986755373</v>
      </c>
      <c r="T18" t="n">
        <v>47.1983259887437</v>
      </c>
      <c r="V18" t="n">
        <v>107.626873604892</v>
      </c>
      <c r="W18" t="n">
        <v>42.93230429852461</v>
      </c>
      <c r="X18" t="n">
        <v>8.094540642200457</v>
      </c>
      <c r="Y18" t="n">
        <v>150.972475763565</v>
      </c>
      <c r="Z18" t="n">
        <v>50.1877057380938</v>
      </c>
      <c r="AA18" t="n">
        <v>12.21941002740471</v>
      </c>
      <c r="AB18" t="n">
        <v>154.3981104863961</v>
      </c>
      <c r="AC18" t="n">
        <v>63.33475047077989</v>
      </c>
      <c r="AD18" t="n">
        <v>22.36086365389991</v>
      </c>
    </row>
    <row r="19">
      <c r="B19" t="n">
        <v>600</v>
      </c>
      <c r="C19" t="n">
        <v>28</v>
      </c>
      <c r="D19" t="n">
        <v>160.4070034547488</v>
      </c>
      <c r="E19" t="n">
        <v>124.5756833429593</v>
      </c>
      <c r="F19" t="n">
        <v>59.53477003538883</v>
      </c>
      <c r="G19" t="n">
        <v>157.2363024059586</v>
      </c>
      <c r="H19" t="n">
        <v>21.27354555171848</v>
      </c>
      <c r="I19" t="n">
        <v>161.6992942927338</v>
      </c>
      <c r="J19" t="n">
        <v>35.47092621876277</v>
      </c>
      <c r="L19" t="n">
        <v>80</v>
      </c>
      <c r="M19" t="n">
        <v>211.945961955669</v>
      </c>
      <c r="O19" t="n">
        <v>7.199999999999934</v>
      </c>
      <c r="P19" t="n">
        <v>140.4070081116269</v>
      </c>
      <c r="Q19" t="n">
        <v>44.00624866571724</v>
      </c>
      <c r="R19" t="n">
        <v>4.799999999999986</v>
      </c>
      <c r="S19" t="n">
        <v>163.3973174673537</v>
      </c>
      <c r="T19" t="n">
        <v>46.7491133477547</v>
      </c>
      <c r="V19" t="n">
        <v>149.6576435882709</v>
      </c>
      <c r="W19" t="n">
        <v>64.83914217521989</v>
      </c>
      <c r="X19" t="n">
        <v>25.33460789987248</v>
      </c>
      <c r="Y19" t="n">
        <v>175.2192237188352</v>
      </c>
      <c r="Z19" t="n">
        <v>72.53207304129094</v>
      </c>
      <c r="AA19" t="n">
        <v>13.89130212683909</v>
      </c>
      <c r="AB19" t="n">
        <v>177.6581530366139</v>
      </c>
      <c r="AC19" t="n">
        <v>84.13729660624938</v>
      </c>
      <c r="AD19" t="n">
        <v>25.21856098453395</v>
      </c>
    </row>
    <row r="20">
      <c r="B20" t="n">
        <v>650</v>
      </c>
      <c r="C20" t="n">
        <v>29.5</v>
      </c>
      <c r="D20" t="n">
        <v>164.6573425989316</v>
      </c>
      <c r="E20" t="n">
        <v>128.6346057501493</v>
      </c>
      <c r="F20" t="n">
        <v>60.39396490390562</v>
      </c>
      <c r="G20" t="n">
        <v>161.5980504262413</v>
      </c>
      <c r="H20" t="n">
        <v>21.64555284978832</v>
      </c>
      <c r="I20" t="n">
        <v>165.6800906475562</v>
      </c>
      <c r="J20" t="n">
        <v>35.92912131862386</v>
      </c>
      <c r="L20" t="n">
        <v>85</v>
      </c>
      <c r="M20" t="n">
        <v>238.936038444556</v>
      </c>
      <c r="O20" t="n">
        <v>7.799999999999922</v>
      </c>
      <c r="P20" t="n">
        <v>135.3979426234605</v>
      </c>
      <c r="Q20" t="n">
        <v>43.40593264155524</v>
      </c>
      <c r="R20" t="n">
        <v>5.199999999999977</v>
      </c>
      <c r="S20" t="n">
        <v>159.5199510056044</v>
      </c>
      <c r="T20" t="n">
        <v>46.29413614742145</v>
      </c>
      <c r="V20" t="n">
        <v>209.8299959511235</v>
      </c>
      <c r="W20" t="n">
        <v>119.763187614421</v>
      </c>
      <c r="X20" t="n">
        <v>38.67439642297842</v>
      </c>
      <c r="Y20" t="n">
        <v>209.8786632524461</v>
      </c>
      <c r="Z20" t="n">
        <v>105.3278603351592</v>
      </c>
      <c r="AA20" t="n">
        <v>16.56621952363804</v>
      </c>
      <c r="AB20" t="n">
        <v>209.31390990211</v>
      </c>
      <c r="AC20" t="n">
        <v>114.0073166857435</v>
      </c>
      <c r="AD20" t="n">
        <v>29.53252747727595</v>
      </c>
    </row>
    <row r="21">
      <c r="B21" t="n">
        <v>700</v>
      </c>
      <c r="C21" t="n">
        <v>31</v>
      </c>
      <c r="D21" t="n">
        <v>168.8855173915603</v>
      </c>
      <c r="E21" t="n">
        <v>132.6677456990701</v>
      </c>
      <c r="F21" t="n">
        <v>61.25540404515662</v>
      </c>
      <c r="G21" t="n">
        <v>165.9664133666367</v>
      </c>
      <c r="H21" t="n">
        <v>22.01488948940755</v>
      </c>
      <c r="I21" t="n">
        <v>169.6692773440914</v>
      </c>
      <c r="J21" t="n">
        <v>36.3831474382954</v>
      </c>
      <c r="L21" t="n">
        <v>90</v>
      </c>
      <c r="M21" t="n">
        <v>270.7017683076572</v>
      </c>
      <c r="O21" t="n">
        <v>8.39999999999991</v>
      </c>
      <c r="P21" t="n">
        <v>130.7608789578835</v>
      </c>
      <c r="Q21" t="n">
        <v>42.85231504469584</v>
      </c>
      <c r="R21" t="n">
        <v>5.599999999999969</v>
      </c>
      <c r="S21" t="n">
        <v>155.6071528441802</v>
      </c>
      <c r="T21" t="n">
        <v>45.83134023107539</v>
      </c>
    </row>
    <row r="22">
      <c r="B22" t="n">
        <v>750</v>
      </c>
      <c r="C22" t="n">
        <v>32.5</v>
      </c>
      <c r="D22" t="n">
        <v>173.0917489623185</v>
      </c>
      <c r="E22" t="n">
        <v>136.6753958922887</v>
      </c>
      <c r="F22" t="n">
        <v>62.11913411443616</v>
      </c>
      <c r="G22" t="n">
        <v>170.3413421683277</v>
      </c>
      <c r="H22" t="n">
        <v>22.3816125779384</v>
      </c>
      <c r="I22" t="n">
        <v>173.6667661998167</v>
      </c>
      <c r="J22" t="n">
        <v>36.83311629896048</v>
      </c>
      <c r="L22" t="n">
        <v>95</v>
      </c>
      <c r="M22" t="n">
        <v>308.7422577381112</v>
      </c>
      <c r="O22" t="n">
        <v>8.999999999999897</v>
      </c>
      <c r="P22" t="n">
        <v>126.4701361432281</v>
      </c>
      <c r="Q22" t="n">
        <v>42.34256936598263</v>
      </c>
      <c r="R22" t="n">
        <v>5.99999999999996</v>
      </c>
      <c r="S22" t="n">
        <v>151.6475016353565</v>
      </c>
      <c r="T22" t="n">
        <v>45.35829433052078</v>
      </c>
    </row>
    <row r="23">
      <c r="B23" t="n">
        <v>800</v>
      </c>
      <c r="C23" t="n">
        <v>34</v>
      </c>
      <c r="D23" t="n">
        <v>177.276265125521</v>
      </c>
      <c r="E23" t="n">
        <v>140.6578643924624</v>
      </c>
      <c r="F23" t="n">
        <v>62.98519284420566</v>
      </c>
      <c r="G23" t="n">
        <v>174.7227478541143</v>
      </c>
      <c r="H23" t="n">
        <v>22.74579303959541</v>
      </c>
      <c r="I23" t="n">
        <v>177.6724200734261</v>
      </c>
      <c r="J23" t="n">
        <v>37.27915917937969</v>
      </c>
      <c r="L23" t="n">
        <v>100</v>
      </c>
      <c r="M23" t="n">
        <v>354.3475973134166</v>
      </c>
      <c r="O23" t="n">
        <v>9.599999999999884</v>
      </c>
      <c r="P23" t="n">
        <v>122.5017418781526</v>
      </c>
      <c r="Q23" t="n">
        <v>41.8740229963646</v>
      </c>
      <c r="R23" t="n">
        <v>6.399999999999952</v>
      </c>
      <c r="S23" t="n">
        <v>147.7122167041413</v>
      </c>
      <c r="T23" t="n">
        <v>44.88449859634386</v>
      </c>
    </row>
    <row r="24">
      <c r="B24" t="n">
        <v>850</v>
      </c>
      <c r="C24" t="n">
        <v>35.5</v>
      </c>
      <c r="D24" t="n">
        <v>181.4393002480552</v>
      </c>
      <c r="E24" t="n">
        <v>144.6154738291048</v>
      </c>
      <c r="F24" t="n">
        <v>63.85361044320612</v>
      </c>
      <c r="G24" t="n">
        <v>179.1105849062914</v>
      </c>
      <c r="H24" t="n">
        <v>23.10748279039308</v>
      </c>
      <c r="I24" t="n">
        <v>181.6861580339101</v>
      </c>
      <c r="J24" t="n">
        <v>37.72137624938017</v>
      </c>
      <c r="L24" t="n">
        <v>105</v>
      </c>
      <c r="M24" t="n">
        <v>406.8343607775609</v>
      </c>
      <c r="O24" t="n">
        <v>10.19999999999987</v>
      </c>
      <c r="P24" t="n">
        <v>118.8333322601308</v>
      </c>
      <c r="Q24" t="n">
        <v>41.44415028238643</v>
      </c>
      <c r="R24" t="n">
        <v>6.799999999999943</v>
      </c>
      <c r="S24" t="n">
        <v>143.9665503743025</v>
      </c>
      <c r="T24" t="n">
        <v>44.43387118328457</v>
      </c>
    </row>
    <row r="25">
      <c r="B25" t="n">
        <v>900</v>
      </c>
      <c r="C25" t="n">
        <v>37</v>
      </c>
      <c r="D25" t="n">
        <v>185.5810950402171</v>
      </c>
      <c r="E25" t="n">
        <v>148.5485603444501</v>
      </c>
      <c r="F25" t="n">
        <v>64.72441075981877</v>
      </c>
      <c r="G25" t="n">
        <v>183.5047685442049</v>
      </c>
      <c r="H25" t="n">
        <v>23.46674713825706</v>
      </c>
      <c r="I25" t="n">
        <v>185.7078511250123</v>
      </c>
      <c r="J25" t="n">
        <v>38.15988662458977</v>
      </c>
      <c r="L25" t="n">
        <v>110</v>
      </c>
      <c r="M25" t="n">
        <v>461.1347341097391</v>
      </c>
      <c r="O25" t="n">
        <v>10.79999999999986</v>
      </c>
      <c r="P25" t="n">
        <v>115.4440522969507</v>
      </c>
      <c r="Q25" t="n">
        <v>41.05056537474718</v>
      </c>
      <c r="R25" t="n">
        <v>7.199999999999934</v>
      </c>
      <c r="S25" t="n">
        <v>140.4070081116269</v>
      </c>
      <c r="T25" t="n">
        <v>44.00624866571724</v>
      </c>
    </row>
    <row r="26">
      <c r="B26" t="n">
        <v>950</v>
      </c>
      <c r="C26" t="n">
        <v>38.5</v>
      </c>
      <c r="D26" t="n">
        <v>189.7018962532259</v>
      </c>
      <c r="E26" t="n">
        <v>152.4574723180242</v>
      </c>
      <c r="F26" t="n">
        <v>65.59761225739726</v>
      </c>
      <c r="G26" t="n">
        <v>187.9052564219005</v>
      </c>
      <c r="H26" t="n">
        <v>23.82363346480111</v>
      </c>
      <c r="I26" t="n">
        <v>189.7374248321779</v>
      </c>
      <c r="J26" t="n">
        <v>38.59478050305819</v>
      </c>
      <c r="L26" t="n">
        <v>115</v>
      </c>
      <c r="M26" t="n">
        <v>509.9643430920541</v>
      </c>
      <c r="O26" t="n">
        <v>11.39999999999985</v>
      </c>
      <c r="P26" t="n">
        <v>112.3144584080141</v>
      </c>
      <c r="Q26" t="n">
        <v>40.69101501094235</v>
      </c>
      <c r="R26" t="n">
        <v>7.599999999999926</v>
      </c>
      <c r="S26" t="n">
        <v>137.0249782442565</v>
      </c>
      <c r="T26" t="n">
        <v>43.60070512593535</v>
      </c>
    </row>
    <row r="27">
      <c r="B27" t="n">
        <v>1000</v>
      </c>
      <c r="C27" t="n">
        <v>40</v>
      </c>
      <c r="D27" t="n">
        <v>193.8019562780313</v>
      </c>
      <c r="E27" t="n">
        <v>156.3425689290484</v>
      </c>
      <c r="F27" t="n">
        <v>66.47322883532421</v>
      </c>
      <c r="G27" t="n">
        <v>192.3119675691614</v>
      </c>
      <c r="H27" t="n">
        <v>24.17820212424834</v>
      </c>
      <c r="I27" t="n">
        <v>193.7747575292987</v>
      </c>
      <c r="J27" t="n">
        <v>39.0261663989337</v>
      </c>
      <c r="L27" t="n">
        <v>120</v>
      </c>
      <c r="M27" t="n">
        <v>550.1928972648093</v>
      </c>
      <c r="O27" t="n">
        <v>11.99999999999983</v>
      </c>
      <c r="P27" t="n">
        <v>109.4264239373383</v>
      </c>
      <c r="Q27" t="n">
        <v>40.36337135064144</v>
      </c>
      <c r="R27" t="n">
        <v>7.999999999999917</v>
      </c>
      <c r="S27" t="n">
        <v>133.8122256527286</v>
      </c>
      <c r="T27" t="n">
        <v>43.2163475499479</v>
      </c>
    </row>
    <row r="28">
      <c r="B28" t="n">
        <v>1050</v>
      </c>
      <c r="C28" t="n">
        <v>41.5</v>
      </c>
      <c r="D28" t="n">
        <v>197.8815326508965</v>
      </c>
      <c r="E28" t="n">
        <v>160.204218624754</v>
      </c>
      <c r="F28" t="n">
        <v>67.35127052085804</v>
      </c>
      <c r="G28" t="n">
        <v>196.7248624976126</v>
      </c>
      <c r="H28" t="n">
        <v>24.53049651236506</v>
      </c>
      <c r="I28" t="n">
        <v>197.8197804169077</v>
      </c>
      <c r="J28" t="n">
        <v>39.45412582980319</v>
      </c>
      <c r="L28" t="n">
        <v>125</v>
      </c>
      <c r="M28" t="n">
        <v>582.5729758879783</v>
      </c>
      <c r="O28" t="n">
        <v>12.59999999999982</v>
      </c>
      <c r="P28" t="n">
        <v>106.7630485114276</v>
      </c>
      <c r="Q28" t="n">
        <v>40.06562496056767</v>
      </c>
      <c r="R28" t="n">
        <v>8.39999999999991</v>
      </c>
      <c r="S28" t="n">
        <v>130.7608789578835</v>
      </c>
      <c r="T28" t="n">
        <v>42.85231504469584</v>
      </c>
    </row>
    <row r="29">
      <c r="B29" t="n">
        <v>1100</v>
      </c>
      <c r="C29" t="n">
        <v>43</v>
      </c>
      <c r="D29" t="n">
        <v>201.9408874806155</v>
      </c>
      <c r="E29" t="n">
        <v>164.0427975615796</v>
      </c>
      <c r="F29" t="n">
        <v>68.23174405137232</v>
      </c>
      <c r="G29" t="n">
        <v>201.1438637141444</v>
      </c>
      <c r="H29" t="n">
        <v>24.88057258793606</v>
      </c>
      <c r="I29" t="n">
        <v>201.8723784721617</v>
      </c>
      <c r="J29" t="n">
        <v>39.87875800303846</v>
      </c>
      <c r="L29" t="n">
        <v>130</v>
      </c>
      <c r="M29" t="n">
        <v>608.9495422022297</v>
      </c>
      <c r="O29" t="n">
        <v>13.19999999999981</v>
      </c>
      <c r="P29" t="n">
        <v>104.308571891351</v>
      </c>
      <c r="Q29" t="n">
        <v>39.79587802544251</v>
      </c>
      <c r="R29" t="n">
        <v>8.799999999999901</v>
      </c>
      <c r="S29" t="n">
        <v>127.8634174820126</v>
      </c>
      <c r="T29" t="n">
        <v>42.50777800217003</v>
      </c>
    </row>
    <row r="30">
      <c r="B30" t="n">
        <v>1150</v>
      </c>
      <c r="C30" t="n">
        <v>44.5</v>
      </c>
      <c r="D30" t="n">
        <v>205.9802868190127</v>
      </c>
      <c r="E30" t="n">
        <v>167.8586880773859</v>
      </c>
      <c r="F30" t="n">
        <v>69.11465336308154</v>
      </c>
      <c r="G30" t="n">
        <v>205.5689343169702</v>
      </c>
      <c r="H30" t="n">
        <v>25.2284702226292</v>
      </c>
      <c r="I30" t="n">
        <v>205.932488014636</v>
      </c>
      <c r="J30" t="n">
        <v>40.30013682979583</v>
      </c>
      <c r="L30" t="n">
        <v>135</v>
      </c>
      <c r="M30" t="n">
        <v>630.9308349675301</v>
      </c>
      <c r="O30" t="n">
        <v>13.79999999999979</v>
      </c>
      <c r="P30" t="n">
        <v>102.0482927938154</v>
      </c>
      <c r="Q30" t="n">
        <v>39.5523378435704</v>
      </c>
      <c r="R30" t="n">
        <v>9.199999999999893</v>
      </c>
      <c r="S30" t="n">
        <v>125.1126580729657</v>
      </c>
      <c r="T30" t="n">
        <v>42.18193722107753</v>
      </c>
    </row>
    <row r="31">
      <c r="B31" t="n">
        <v>1200</v>
      </c>
      <c r="C31" t="n">
        <v>46</v>
      </c>
      <c r="D31" t="n">
        <v>210</v>
      </c>
      <c r="E31" t="n">
        <v>171.652277239534</v>
      </c>
      <c r="F31" t="n">
        <v>70</v>
      </c>
      <c r="G31" t="n">
        <v>210</v>
      </c>
      <c r="H31" t="n">
        <v>25.57424145386437</v>
      </c>
      <c r="I31" t="n">
        <v>210</v>
      </c>
      <c r="J31" t="n">
        <v>40.71835330057093</v>
      </c>
      <c r="L31" t="n">
        <v>140</v>
      </c>
      <c r="M31" t="n">
        <v>649.6686417792034</v>
      </c>
      <c r="O31" t="n">
        <v>14.39999999999978</v>
      </c>
      <c r="P31" t="n">
        <v>99.96849299249962</v>
      </c>
      <c r="Q31" t="n">
        <v>39.33331064988954</v>
      </c>
      <c r="R31" t="n">
        <v>9.599999999999884</v>
      </c>
      <c r="S31" t="n">
        <v>122.5017418781526</v>
      </c>
      <c r="T31" t="n">
        <v>41.8740229963646</v>
      </c>
    </row>
    <row r="32">
      <c r="L32" t="n">
        <v>145</v>
      </c>
      <c r="M32" t="n">
        <v>665.9535969583948</v>
      </c>
      <c r="O32" t="n">
        <v>14.99999999999977</v>
      </c>
      <c r="P32" t="n">
        <v>98.05636685905019</v>
      </c>
      <c r="Q32" t="n">
        <v>39.13719579559051</v>
      </c>
      <c r="R32" t="n">
        <v>9.999999999999876</v>
      </c>
      <c r="S32" t="n">
        <v>120.0241211505249</v>
      </c>
      <c r="T32" t="n">
        <v>41.58329418626607</v>
      </c>
    </row>
    <row r="33">
      <c r="L33" t="n">
        <v>150</v>
      </c>
      <c r="M33" t="n">
        <v>680.33400656689</v>
      </c>
      <c r="O33" t="n">
        <v>15.59999999999976</v>
      </c>
      <c r="P33" t="n">
        <v>96.299956363912</v>
      </c>
      <c r="Q33" t="n">
        <v>38.96248030144886</v>
      </c>
      <c r="R33" t="n">
        <v>10.39999999999987</v>
      </c>
      <c r="S33" t="n">
        <v>117.6735461625172</v>
      </c>
      <c r="T33" t="n">
        <v>41.30903726579936</v>
      </c>
    </row>
    <row r="34">
      <c r="L34" t="n">
        <v>155</v>
      </c>
      <c r="M34" t="n">
        <v>693.2001754980288</v>
      </c>
      <c r="O34" t="n">
        <v>16.19999999999974</v>
      </c>
      <c r="P34" t="n">
        <v>94.68809143182638</v>
      </c>
      <c r="Q34" t="n">
        <v>38.80773379154618</v>
      </c>
      <c r="R34" t="n">
        <v>10.79999999999986</v>
      </c>
      <c r="S34" t="n">
        <v>115.4440522969507</v>
      </c>
      <c r="T34" t="n">
        <v>41.05056537474718</v>
      </c>
    </row>
    <row r="35">
      <c r="L35" t="n">
        <v>160</v>
      </c>
      <c r="M35" t="n">
        <v>704.837756229145</v>
      </c>
      <c r="O35" t="n">
        <v>16.79999999999973</v>
      </c>
      <c r="P35" t="n">
        <v>93.21033543733172</v>
      </c>
      <c r="Q35" t="n">
        <v>38.67160380485848</v>
      </c>
      <c r="R35" t="n">
        <v>11.19999999999985</v>
      </c>
      <c r="S35" t="n">
        <v>113.3299473766128</v>
      </c>
      <c r="T35" t="n">
        <v>40.80721736729038</v>
      </c>
    </row>
    <row r="36">
      <c r="L36" t="n">
        <v>165</v>
      </c>
      <c r="M36" t="n">
        <v>715.4610864869053</v>
      </c>
      <c r="O36" t="n">
        <v>17.39999999999972</v>
      </c>
      <c r="P36" t="n">
        <v>91.85693553420209</v>
      </c>
      <c r="Q36" t="n">
        <v>38.55281147415633</v>
      </c>
      <c r="R36" t="n">
        <v>11.59999999999984</v>
      </c>
      <c r="S36" t="n">
        <v>111.325799286743</v>
      </c>
      <c r="T36" t="n">
        <v>40.5783568695731</v>
      </c>
    </row>
    <row r="37">
      <c r="L37" t="n">
        <v>170</v>
      </c>
      <c r="M37" t="n">
        <v>725.2344867924127</v>
      </c>
      <c r="O37" t="n">
        <v>17.99999999999971</v>
      </c>
      <c r="P37" t="n">
        <v>90.61877744163441</v>
      </c>
      <c r="Q37" t="n">
        <v>38.45014755470635</v>
      </c>
      <c r="R37" t="n">
        <v>11.99999999999983</v>
      </c>
      <c r="S37" t="n">
        <v>109.4264239373383</v>
      </c>
      <c r="T37" t="n">
        <v>40.36337135064144</v>
      </c>
    </row>
    <row r="38">
      <c r="L38" t="n">
        <v>175</v>
      </c>
      <c r="M38" t="n">
        <v>734.2862966343124</v>
      </c>
      <c r="O38" t="n">
        <v>18.59999999999969</v>
      </c>
      <c r="P38" t="n">
        <v>89.48734426096975</v>
      </c>
      <c r="Q38" t="n">
        <v>38.36246877938106</v>
      </c>
      <c r="R38" t="n">
        <v>12.39999999999982</v>
      </c>
      <c r="S38" t="n">
        <v>107.626873604892</v>
      </c>
      <c r="T38" t="n">
        <v>40.16167121139961</v>
      </c>
    </row>
    <row r="39">
      <c r="L39" t="n">
        <v>180</v>
      </c>
      <c r="M39" t="n">
        <v>742.7184050793093</v>
      </c>
      <c r="O39" t="n">
        <v>19.19999999999968</v>
      </c>
      <c r="P39" t="n">
        <v>88.45467887074958</v>
      </c>
      <c r="Q39" t="n">
        <v>38.28869451201842</v>
      </c>
      <c r="R39" t="n">
        <v>12.79999999999982</v>
      </c>
      <c r="S39" t="n">
        <v>105.9224256863644</v>
      </c>
      <c r="T39" t="n">
        <v>39.97268889550503</v>
      </c>
    </row>
    <row r="40">
      <c r="L40" t="n">
        <v>185</v>
      </c>
      <c r="M40" t="n">
        <v>750.6128891955316</v>
      </c>
      <c r="O40" t="n">
        <v>19.79999999999967</v>
      </c>
      <c r="P40" t="n">
        <v>87.5133494447244</v>
      </c>
      <c r="Q40" t="n">
        <v>38.22780366722202</v>
      </c>
      <c r="R40" t="n">
        <v>13.19999999999981</v>
      </c>
      <c r="S40" t="n">
        <v>104.308571891351</v>
      </c>
      <c r="T40" t="n">
        <v>39.79587802544251</v>
      </c>
    </row>
    <row r="41">
      <c r="L41" t="n">
        <v>190</v>
      </c>
      <c r="M41" t="n">
        <v>758.0367379035426</v>
      </c>
      <c r="O41" t="n">
        <v>20.39999999999965</v>
      </c>
      <c r="P41" t="n">
        <v>86.6564176555423</v>
      </c>
      <c r="Q41" t="n">
        <v>38.17883186232086</v>
      </c>
      <c r="R41" t="n">
        <v>13.5999999999998</v>
      </c>
      <c r="S41" t="n">
        <v>102.7810078921652</v>
      </c>
      <c r="T41" t="n">
        <v>39.63071256641092</v>
      </c>
    </row>
    <row r="42">
      <c r="L42" t="n">
        <v>195</v>
      </c>
      <c r="M42" t="n">
        <v>765.0452756983452</v>
      </c>
      <c r="O42" t="n">
        <v>20.99999999999964</v>
      </c>
      <c r="P42" t="n">
        <v>85.87740916352642</v>
      </c>
      <c r="Q42" t="n">
        <v>38.1408687659362</v>
      </c>
      <c r="R42" t="n">
        <v>13.99999999999979</v>
      </c>
      <c r="S42" t="n">
        <v>101.3356234453551</v>
      </c>
      <c r="T42" t="n">
        <v>39.47668602009588</v>
      </c>
    </row>
    <row r="43">
      <c r="L43" t="n">
        <v>200</v>
      </c>
      <c r="M43" t="n">
        <v>771.6846848199024</v>
      </c>
      <c r="O43" t="n">
        <v>21.59999999999963</v>
      </c>
      <c r="P43" t="n">
        <v>85.1702860411735</v>
      </c>
      <c r="Q43" t="n">
        <v>38.11305560754522</v>
      </c>
      <c r="R43" t="n">
        <v>14.39999999999978</v>
      </c>
      <c r="S43" t="n">
        <v>99.96849299249962</v>
      </c>
      <c r="T43" t="n">
        <v>39.33331064988954</v>
      </c>
    </row>
    <row r="44">
      <c r="L44" t="n">
        <v>205</v>
      </c>
      <c r="M44" t="n">
        <v>777.9938910679334</v>
      </c>
      <c r="O44" t="n">
        <v>22.19999999999962</v>
      </c>
      <c r="P44" t="n">
        <v>84.5294208450411</v>
      </c>
      <c r="Q44" t="n">
        <v>38.09458281362299</v>
      </c>
      <c r="R44" t="n">
        <v>14.79999999999977</v>
      </c>
      <c r="S44" t="n">
        <v>98.67586674260168</v>
      </c>
      <c r="T44" t="n">
        <v>39.20011673866082</v>
      </c>
    </row>
    <row r="45">
      <c r="L45" t="n">
        <v>210</v>
      </c>
      <c r="M45" t="n">
        <v>784.0059933472343</v>
      </c>
      <c r="O45" t="n">
        <v>22.7999999999996</v>
      </c>
      <c r="P45" t="n">
        <v>83.94957211234248</v>
      </c>
      <c r="Q45" t="n">
        <v>38.08468773841992</v>
      </c>
      <c r="R45" t="n">
        <v>15.19999999999976</v>
      </c>
      <c r="S45" t="n">
        <v>97.45416223336707</v>
      </c>
      <c r="T45" t="n">
        <v>39.07665187974635</v>
      </c>
    </row>
    <row r="46">
      <c r="L46" t="n">
        <v>215</v>
      </c>
      <c r="M46" t="n">
        <v>789.74936133732</v>
      </c>
      <c r="O46" t="n">
        <v>23.39999999999959</v>
      </c>
      <c r="P46" t="n">
        <v>83.42586112446644</v>
      </c>
      <c r="Q46" t="n">
        <v>38.08265246124438</v>
      </c>
      <c r="R46" t="n">
        <v>15.59999999999976</v>
      </c>
      <c r="S46" t="n">
        <v>96.299956363912</v>
      </c>
      <c r="T46" t="n">
        <v>38.96248030144886</v>
      </c>
    </row>
    <row r="47">
      <c r="L47" t="n">
        <v>220</v>
      </c>
      <c r="M47" t="n">
        <v>795.2484885067911</v>
      </c>
      <c r="O47" t="n">
        <v>23.99999999999958</v>
      </c>
      <c r="P47" t="n">
        <v>82.95374983900781</v>
      </c>
      <c r="Q47" t="n">
        <v>38.08780162736235</v>
      </c>
      <c r="R47" t="n">
        <v>15.99999999999975</v>
      </c>
      <c r="S47" t="n">
        <v>95.20997788717978</v>
      </c>
      <c r="T47" t="n">
        <v>38.85718222496905</v>
      </c>
    </row>
    <row r="48">
      <c r="L48" t="n">
        <v>225</v>
      </c>
      <c r="M48" t="n">
        <v>800.5246624716304</v>
      </c>
      <c r="O48" t="n">
        <v>24.59999999999956</v>
      </c>
      <c r="P48" t="n">
        <v>82.52901994144375</v>
      </c>
      <c r="Q48" t="n">
        <v>38.09950031637925</v>
      </c>
      <c r="R48" t="n">
        <v>16.39999999999974</v>
      </c>
      <c r="S48" t="n">
        <v>94.18110034648798</v>
      </c>
      <c r="T48" t="n">
        <v>38.76035325536674</v>
      </c>
    </row>
    <row r="49">
      <c r="L49" t="n">
        <v>230</v>
      </c>
      <c r="M49" t="n">
        <v>805.596497339301</v>
      </c>
      <c r="O49" t="n">
        <v>25.19999999999955</v>
      </c>
      <c r="P49" t="n">
        <v>82.14775300418995</v>
      </c>
      <c r="Q49" t="n">
        <v>38.11715193028084</v>
      </c>
      <c r="R49" t="n">
        <v>16.79999999999973</v>
      </c>
      <c r="S49" t="n">
        <v>93.21033543733172</v>
      </c>
      <c r="T49" t="n">
        <v>38.67160380485848</v>
      </c>
    </row>
    <row r="50">
      <c r="O50" t="n">
        <v>25.79999999999954</v>
      </c>
      <c r="P50" t="n">
        <v>81.8063117621041</v>
      </c>
      <c r="Q50" t="n">
        <v>38.14019610312977</v>
      </c>
      <c r="R50" t="n">
        <v>17.19999999999972</v>
      </c>
      <c r="S50" t="n">
        <v>92.29482677274652</v>
      </c>
      <c r="T50" t="n">
        <v>38.5905585474685</v>
      </c>
    </row>
    <row r="51">
      <c r="O51" t="n">
        <v>26.39999999999953</v>
      </c>
      <c r="P51" t="n">
        <v>81.50132251881148</v>
      </c>
      <c r="Q51" t="n">
        <v>38.16810664544062</v>
      </c>
      <c r="R51" t="n">
        <v>17.59999999999971</v>
      </c>
      <c r="S51" t="n">
        <v>91.43184402836889</v>
      </c>
      <c r="T51" t="n">
        <v>38.51685590383215</v>
      </c>
    </row>
    <row r="52">
      <c r="O52" t="n">
        <v>26.99999999999951</v>
      </c>
      <c r="P52" t="n">
        <v>81.22965868734572</v>
      </c>
      <c r="Q52" t="n">
        <v>38.20038954784525</v>
      </c>
      <c r="R52" t="n">
        <v>17.99999999999971</v>
      </c>
      <c r="S52" t="n">
        <v>90.61877744163441</v>
      </c>
      <c r="T52" t="n">
        <v>38.45014755470635</v>
      </c>
    </row>
    <row r="53">
      <c r="O53" t="n">
        <v>27.5999999999995</v>
      </c>
      <c r="P53" t="n">
        <v>80.98842544317938</v>
      </c>
      <c r="Q53" t="n">
        <v>38.23658107966799</v>
      </c>
      <c r="R53" t="n">
        <v>18.3999999999997</v>
      </c>
      <c r="S53" t="n">
        <v>89.8531326386391</v>
      </c>
      <c r="T53" t="n">
        <v>38.39009798158372</v>
      </c>
    </row>
    <row r="54">
      <c r="O54" t="n">
        <v>28.19999999999949</v>
      </c>
      <c r="P54" t="n">
        <v>80.77494543021386</v>
      </c>
      <c r="Q54" t="n">
        <v>38.27624602670431</v>
      </c>
      <c r="R54" t="n">
        <v>18.79999999999969</v>
      </c>
      <c r="S54" t="n">
        <v>89.13252576167886</v>
      </c>
      <c r="T54" t="n">
        <v>38.33638403262552</v>
      </c>
    </row>
    <row r="55">
      <c r="O55" t="n">
        <v>28.79999999999947</v>
      </c>
      <c r="P55" t="n">
        <v>80.58674541509636</v>
      </c>
      <c r="Q55" t="n">
        <v>38.31897611657263</v>
      </c>
      <c r="R55" t="n">
        <v>19.19999999999968</v>
      </c>
      <c r="S55" t="n">
        <v>88.45467887074958</v>
      </c>
      <c r="T55" t="n">
        <v>38.28869451201842</v>
      </c>
    </row>
    <row r="56">
      <c r="O56" t="n">
        <v>29.39999999999946</v>
      </c>
      <c r="P56" t="n">
        <v>80.42154373860623</v>
      </c>
      <c r="Q56" t="n">
        <v>38.3643886769579</v>
      </c>
      <c r="R56" t="n">
        <v>19.59999999999967</v>
      </c>
      <c r="S56" t="n">
        <v>87.81741559293813</v>
      </c>
      <c r="T56" t="n">
        <v>38.24672979075302</v>
      </c>
    </row>
    <row r="57">
      <c r="O57" t="n">
        <v>29.99999999999945</v>
      </c>
      <c r="P57" t="n">
        <v>80.27723837278427</v>
      </c>
      <c r="Q57" t="n">
        <v>38.41212555962858</v>
      </c>
      <c r="R57" t="n">
        <v>19.99999999999966</v>
      </c>
      <c r="S57" t="n">
        <v>87.21865699494134</v>
      </c>
      <c r="T57" t="n">
        <v>38.2102014367623</v>
      </c>
    </row>
    <row r="58">
      <c r="O58" t="n">
        <v>30.59999999999944</v>
      </c>
      <c r="P58" t="n">
        <v>80.15189536902852</v>
      </c>
      <c r="Q58" t="n">
        <v>38.46185234032032</v>
      </c>
      <c r="R58" t="n">
        <v>20.39999999999965</v>
      </c>
      <c r="S58" t="n">
        <v>86.6564176555423</v>
      </c>
      <c r="T58" t="n">
        <v>38.17883186232086</v>
      </c>
    </row>
    <row r="59">
      <c r="O59" t="n">
        <v>31.19999999999942</v>
      </c>
      <c r="P59" t="n">
        <v>80.04373748540792</v>
      </c>
      <c r="Q59" t="n">
        <v>38.51325777268545</v>
      </c>
      <c r="R59" t="n">
        <v>20.79999999999965</v>
      </c>
      <c r="S59" t="n">
        <v>86.12880191697985</v>
      </c>
      <c r="T59" t="n">
        <v>38.15235398660496</v>
      </c>
    </row>
    <row r="60">
      <c r="O60" t="n">
        <v>31.79999999999941</v>
      </c>
      <c r="P60" t="n">
        <v>79.95113281879142</v>
      </c>
      <c r="Q60" t="n">
        <v>38.56605343778824</v>
      </c>
      <c r="R60" t="n">
        <v>21.19999999999964</v>
      </c>
      <c r="S60" t="n">
        <v>85.63400029640903</v>
      </c>
      <c r="T60" t="n">
        <v>38.13051091134247</v>
      </c>
    </row>
    <row r="61">
      <c r="O61" t="n">
        <v>32.39999999999947</v>
      </c>
      <c r="P61" t="n">
        <v>79.87258334095435</v>
      </c>
      <c r="Q61" t="n">
        <v>38.61997349639091</v>
      </c>
      <c r="R61" t="n">
        <v>21.59999999999963</v>
      </c>
      <c r="S61" t="n">
        <v>85.1702860411735</v>
      </c>
      <c r="T61" t="n">
        <v>38.11305560754522</v>
      </c>
    </row>
    <row r="62">
      <c r="O62" t="n">
        <v>32.99999999999956</v>
      </c>
      <c r="P62" t="n">
        <v>79.80671334074992</v>
      </c>
      <c r="Q62" t="n">
        <v>38.67477442830136</v>
      </c>
      <c r="R62" t="n">
        <v>21.99999999999962</v>
      </c>
      <c r="S62" t="n">
        <v>84.73601181422548</v>
      </c>
      <c r="T62" t="n">
        <v>38.09975061141319</v>
      </c>
    </row>
    <row r="63">
      <c r="O63" t="n">
        <v>33.59999999999965</v>
      </c>
      <c r="P63" t="n">
        <v>79.75225789008621</v>
      </c>
      <c r="Q63" t="n">
        <v>38.73023463917332</v>
      </c>
      <c r="R63" t="n">
        <v>22.39999999999961</v>
      </c>
      <c r="S63" t="n">
        <v>84.32960649859355</v>
      </c>
      <c r="T63" t="n">
        <v>38.09036772762801</v>
      </c>
    </row>
    <row r="64">
      <c r="O64" t="n">
        <v>34.19999999999975</v>
      </c>
      <c r="P64" t="n">
        <v>79.70805155620506</v>
      </c>
      <c r="Q64" t="n">
        <v>38.78615383394282</v>
      </c>
      <c r="R64" t="n">
        <v>22.7999999999996</v>
      </c>
      <c r="S64" t="n">
        <v>83.94957211234248</v>
      </c>
      <c r="T64" t="n">
        <v>38.08468773841992</v>
      </c>
    </row>
    <row r="65">
      <c r="O65" t="n">
        <v>34.79999999999984</v>
      </c>
      <c r="P65" t="n">
        <v>79.67301765217543</v>
      </c>
      <c r="Q65" t="n">
        <v>38.84235209496865</v>
      </c>
      <c r="R65" t="n">
        <v>23.19999999999959</v>
      </c>
      <c r="S65" t="n">
        <v>83.59448082782018</v>
      </c>
      <c r="T65" t="n">
        <v>38.08250011700062</v>
      </c>
    </row>
    <row r="66">
      <c r="O66" t="n">
        <v>35.39999999999993</v>
      </c>
      <c r="P66" t="n">
        <v>79.64615833504392</v>
      </c>
      <c r="Q66" t="n">
        <v>38.89866865356532</v>
      </c>
      <c r="R66" t="n">
        <v>23.59999999999959</v>
      </c>
      <c r="S66" t="n">
        <v>83.26297209105527</v>
      </c>
      <c r="T66" t="n">
        <v>38.08360274419158</v>
      </c>
    </row>
    <row r="67">
      <c r="O67" t="n">
        <v>36.00000000000003</v>
      </c>
      <c r="P67" t="n">
        <v>79.62654582251336</v>
      </c>
      <c r="Q67" t="n">
        <v>38.9549603941594</v>
      </c>
      <c r="R67" t="n">
        <v>23.99999999999958</v>
      </c>
      <c r="S67" t="n">
        <v>82.95374983900781</v>
      </c>
      <c r="T67" t="n">
        <v>38.08780162736235</v>
      </c>
    </row>
    <row r="68">
      <c r="O68" t="n">
        <v>36.60000000000012</v>
      </c>
      <c r="P68" t="n">
        <v>79.61331491519917</v>
      </c>
      <c r="Q68" t="n">
        <v>39.01110017003452</v>
      </c>
      <c r="R68" t="n">
        <v>24.39999999999957</v>
      </c>
      <c r="S68" t="n">
        <v>82.66557981378809</v>
      </c>
      <c r="T68" t="n">
        <v>38.0949106211217</v>
      </c>
    </row>
    <row r="69">
      <c r="O69" t="n">
        <v>37.20000000000022</v>
      </c>
      <c r="P69" t="n">
        <v>79.60565690245144</v>
      </c>
      <c r="Q69" t="n">
        <v>39.06697503176656</v>
      </c>
      <c r="R69" t="n">
        <v>24.79999999999956</v>
      </c>
      <c r="S69" t="n">
        <v>82.39728697402558</v>
      </c>
      <c r="T69" t="n">
        <v>38.10475114956364</v>
      </c>
    </row>
    <row r="70">
      <c r="O70" t="n">
        <v>37.80000000000031</v>
      </c>
      <c r="P70" t="n">
        <v>79.60281481845286</v>
      </c>
      <c r="Q70" t="n">
        <v>39.12248447280223</v>
      </c>
      <c r="R70" t="n">
        <v>25.19999999999955</v>
      </c>
      <c r="S70" t="n">
        <v>82.14775300418995</v>
      </c>
      <c r="T70" t="n">
        <v>38.11715193028084</v>
      </c>
    </row>
    <row r="71">
      <c r="O71" t="n">
        <v>38.4000000000004</v>
      </c>
      <c r="P71" t="n">
        <v>79.60407992047853</v>
      </c>
      <c r="Q71" t="n">
        <v>39.1775387845737</v>
      </c>
      <c r="R71" t="n">
        <v>25.59999999999954</v>
      </c>
      <c r="S71" t="n">
        <v>81.9159139228677</v>
      </c>
      <c r="T71" t="n">
        <v>38.13194870078485</v>
      </c>
    </row>
    <row r="72">
      <c r="O72" t="n">
        <v>39.0000000000005</v>
      </c>
      <c r="P72" t="n">
        <v>79.60878919393545</v>
      </c>
      <c r="Q72" t="n">
        <v>39.23205759194809</v>
      </c>
      <c r="R72" t="n">
        <v>25.99999999999953</v>
      </c>
      <c r="S72" t="n">
        <v>81.70075779080024</v>
      </c>
      <c r="T72" t="n">
        <v>38.14898394843567</v>
      </c>
    </row>
    <row r="73">
      <c r="O73" t="n">
        <v>39.60000000000059</v>
      </c>
      <c r="P73" t="n">
        <v>79.61632365174523</v>
      </c>
      <c r="Q73" t="n">
        <v>39.28596861457345</v>
      </c>
      <c r="R73" t="n">
        <v>26.39999999999953</v>
      </c>
      <c r="S73" t="n">
        <v>81.50132251881148</v>
      </c>
      <c r="T73" t="n">
        <v>38.16810664544062</v>
      </c>
    </row>
    <row r="74">
      <c r="O74" t="n">
        <v>40.20000000000068</v>
      </c>
      <c r="P74" t="n">
        <v>79.62610718599036</v>
      </c>
      <c r="Q74" t="n">
        <v>39.33920667546352</v>
      </c>
      <c r="R74" t="n">
        <v>26.79999999999952</v>
      </c>
      <c r="S74" t="n">
        <v>81.31669377477802</v>
      </c>
      <c r="T74" t="n">
        <v>38.18917199091754</v>
      </c>
    </row>
    <row r="75">
      <c r="O75" t="n">
        <v>40.80000000000078</v>
      </c>
      <c r="P75" t="n">
        <v>79.63760574134096</v>
      </c>
      <c r="Q75" t="n">
        <v>39.39171295760286</v>
      </c>
      <c r="R75" t="n">
        <v>27.19999999999951</v>
      </c>
      <c r="S75" t="n">
        <v>81.14600298743548</v>
      </c>
      <c r="T75" t="n">
        <v>38.21204116242757</v>
      </c>
    </row>
    <row r="76">
      <c r="O76" t="n">
        <v>41.40000000000087</v>
      </c>
      <c r="P76" t="n">
        <v>79.65032660636339</v>
      </c>
      <c r="Q76" t="n">
        <v>39.44343449355762</v>
      </c>
      <c r="R76" t="n">
        <v>27.5999999999995</v>
      </c>
      <c r="S76" t="n">
        <v>80.98842544317938</v>
      </c>
      <c r="T76" t="n">
        <v>38.23658107966799</v>
      </c>
    </row>
    <row r="77">
      <c r="O77" t="n">
        <v>42.00000000000097</v>
      </c>
      <c r="P77" t="n">
        <v>79.66381765471293</v>
      </c>
      <c r="Q77" t="n">
        <v>39.49432386193166</v>
      </c>
      <c r="R77" t="n">
        <v>27.99999999999949</v>
      </c>
      <c r="S77" t="n">
        <v>80.84317847024924</v>
      </c>
      <c r="T77" t="n">
        <v>38.26266418321751</v>
      </c>
    </row>
    <row r="78">
      <c r="O78" t="n">
        <v>42.60000000000106</v>
      </c>
      <c r="P78" t="n">
        <v>79.67766640978229</v>
      </c>
      <c r="Q78" t="n">
        <v>39.5443390574805</v>
      </c>
      <c r="R78" t="n">
        <v>28.39999999999948</v>
      </c>
      <c r="S78" t="n">
        <v>80.70951970273707</v>
      </c>
      <c r="T78" t="n">
        <v>38.29016823120423</v>
      </c>
    </row>
    <row r="79">
      <c r="O79" t="n">
        <v>43.20000000000115</v>
      </c>
      <c r="P79" t="n">
        <v>79.69149885140379</v>
      </c>
      <c r="Q79" t="n">
        <v>39.59344349804377</v>
      </c>
      <c r="R79" t="n">
        <v>28.79999999999947</v>
      </c>
      <c r="S79" t="n">
        <v>80.58674541509636</v>
      </c>
      <c r="T79" t="n">
        <v>38.31897611657263</v>
      </c>
    </row>
    <row r="80">
      <c r="O80" t="n">
        <v>43.80000000000125</v>
      </c>
      <c r="P80" t="n">
        <v>79.70497793186443</v>
      </c>
      <c r="Q80" t="n">
        <v>39.64160613060017</v>
      </c>
      <c r="R80" t="n">
        <v>29.19999999999947</v>
      </c>
      <c r="S80" t="n">
        <v>80.47418891612608</v>
      </c>
      <c r="T80" t="n">
        <v>38.34897570713372</v>
      </c>
    </row>
    <row r="81">
      <c r="O81" t="n">
        <v>44.40000000000134</v>
      </c>
      <c r="P81" t="n">
        <v>79.71780182437115</v>
      </c>
      <c r="Q81" t="n">
        <v>39.68880160027294</v>
      </c>
      <c r="R81" t="n">
        <v>29.59999999999946</v>
      </c>
      <c r="S81" t="n">
        <v>80.37121899019796</v>
      </c>
      <c r="T81" t="n">
        <v>38.38005970983227</v>
      </c>
    </row>
    <row r="82">
      <c r="O82" t="n">
        <v>45.00000000000144</v>
      </c>
      <c r="P82" t="n">
        <v>79.72970200221422</v>
      </c>
      <c r="Q82" t="n">
        <v>39.73501044998028</v>
      </c>
      <c r="R82" t="n">
        <v>29.99999999999945</v>
      </c>
      <c r="S82" t="n">
        <v>80.27723837278427</v>
      </c>
      <c r="T82" t="n">
        <v>38.41212555962858</v>
      </c>
    </row>
    <row r="83">
      <c r="O83" t="n">
        <v>45.60000000000153</v>
      </c>
      <c r="P83" t="n">
        <v>79.74044137898267</v>
      </c>
      <c r="Q83" t="n">
        <v>39.78021932511996</v>
      </c>
      <c r="R83" t="n">
        <v>30.39999999999944</v>
      </c>
      <c r="S83" t="n">
        <v>80.19168224741057</v>
      </c>
      <c r="T83" t="n">
        <v>38.44507533212385</v>
      </c>
    </row>
    <row r="84">
      <c r="O84" t="n">
        <v>46.20000000000162</v>
      </c>
      <c r="P84" t="n">
        <v>79.74981306704331</v>
      </c>
      <c r="Q84" t="n">
        <v>39.82442116958146</v>
      </c>
      <c r="R84" t="n">
        <v>30.79999999999943</v>
      </c>
      <c r="S84" t="n">
        <v>80.11401675211415</v>
      </c>
      <c r="T84" t="n">
        <v>38.47881567760351</v>
      </c>
    </row>
    <row r="85">
      <c r="O85" t="n">
        <v>46.80000000000172</v>
      </c>
      <c r="P85" t="n">
        <v>79.7576415328698</v>
      </c>
      <c r="Q85" t="n">
        <v>39.86761542645263</v>
      </c>
      <c r="R85" t="n">
        <v>31.19999999999942</v>
      </c>
      <c r="S85" t="n">
        <v>80.04373748540792</v>
      </c>
      <c r="T85" t="n">
        <v>38.51325777268545</v>
      </c>
    </row>
    <row r="86">
      <c r="O86" t="n">
        <v>47.40000000000181</v>
      </c>
      <c r="P86" t="n">
        <v>79.76380356566945</v>
      </c>
      <c r="Q86" t="n">
        <v>39.90980838379733</v>
      </c>
      <c r="R86" t="n">
        <v>31.59999999999942</v>
      </c>
      <c r="S86" t="n">
        <v>79.98036800469032</v>
      </c>
      <c r="T86" t="n">
        <v>38.54831728435136</v>
      </c>
    </row>
    <row r="87">
      <c r="O87" t="n">
        <v>48.0000000000019</v>
      </c>
      <c r="P87" t="n">
        <v>79.76839962696039</v>
      </c>
      <c r="Q87" t="n">
        <v>39.95101576147619</v>
      </c>
      <c r="R87" t="n">
        <v>31.99999999999941</v>
      </c>
      <c r="S87" t="n">
        <v>79.92345831381627</v>
      </c>
      <c r="T87" t="n">
        <v>38.58391433999554</v>
      </c>
    </row>
    <row r="88">
      <c r="O88" t="n">
        <v>48.600000000002</v>
      </c>
      <c r="P88" t="n">
        <v>79.77139913876093</v>
      </c>
      <c r="Q88" t="n">
        <v>39.99126437701818</v>
      </c>
      <c r="R88" t="n">
        <v>32.39999999999947</v>
      </c>
      <c r="S88" t="n">
        <v>79.87258334095435</v>
      </c>
      <c r="T88" t="n">
        <v>38.61997349639091</v>
      </c>
    </row>
    <row r="89">
      <c r="O89" t="n">
        <v>49.20000000000209</v>
      </c>
      <c r="P89" t="n">
        <v>79.77263687138722</v>
      </c>
      <c r="Q89" t="n">
        <v>40.03058690380016</v>
      </c>
      <c r="R89" t="n">
        <v>32.79999999999953</v>
      </c>
      <c r="S89" t="n">
        <v>79.82734141257109</v>
      </c>
      <c r="T89" t="n">
        <v>38.65642370030082</v>
      </c>
    </row>
    <row r="90">
      <c r="O90" t="n">
        <v>49.80000000000219</v>
      </c>
      <c r="P90" t="n">
        <v>79.77192562216533</v>
      </c>
      <c r="Q90" t="n">
        <v>40.06901993810197</v>
      </c>
      <c r="R90" t="n">
        <v>33.19999999999959</v>
      </c>
      <c r="S90" t="n">
        <v>79.78735273389051</v>
      </c>
      <c r="T90" t="n">
        <v>38.69319823389338</v>
      </c>
    </row>
    <row r="91">
      <c r="O91" t="n">
        <v>50.40000000000228</v>
      </c>
      <c r="P91" t="n">
        <v>79.76906563191869</v>
      </c>
      <c r="Q91" t="n">
        <v>40.10660306473341</v>
      </c>
      <c r="R91" t="n">
        <v>33.59999999999965</v>
      </c>
      <c r="S91" t="n">
        <v>79.75225789008621</v>
      </c>
      <c r="T91" t="n">
        <v>38.73023463917332</v>
      </c>
    </row>
    <row r="92">
      <c r="O92" t="n">
        <v>51.00000000000237</v>
      </c>
      <c r="P92" t="n">
        <v>79.76384790901429</v>
      </c>
      <c r="Q92" t="n">
        <v>40.14337810622732</v>
      </c>
      <c r="R92" t="n">
        <v>33.99999999999972</v>
      </c>
      <c r="S92" t="n">
        <v>79.72171638533456</v>
      </c>
      <c r="T92" t="n">
        <v>38.76747461724159</v>
      </c>
    </row>
    <row r="93">
      <c r="O93" t="n">
        <v>51.60000000000247</v>
      </c>
      <c r="P93" t="n">
        <v>79.75605613236503</v>
      </c>
      <c r="Q93" t="n">
        <v>40.17938849597147</v>
      </c>
      <c r="R93" t="n">
        <v>34.39999999999978</v>
      </c>
      <c r="S93" t="n">
        <v>79.69540523823446</v>
      </c>
      <c r="T93" t="n">
        <v>38.80486390010918</v>
      </c>
    </row>
    <row r="94">
      <c r="O94" t="n">
        <v>52.20000000000256</v>
      </c>
      <c r="P94" t="n">
        <v>79.74546815860495</v>
      </c>
      <c r="Q94" t="n">
        <v>40.21467876619897</v>
      </c>
      <c r="R94" t="n">
        <v>34.79999999999984</v>
      </c>
      <c r="S94" t="n">
        <v>79.67301765217543</v>
      </c>
      <c r="T94" t="n">
        <v>38.84235209496865</v>
      </c>
    </row>
    <row r="95">
      <c r="O95" t="n">
        <v>52.80000000000265</v>
      </c>
      <c r="P95" t="n">
        <v>79.73185744568133</v>
      </c>
      <c r="Q95" t="n">
        <v>40.24929415271737</v>
      </c>
      <c r="R95" t="n">
        <v>35.1999999999999</v>
      </c>
      <c r="S95" t="n">
        <v>79.65426177749717</v>
      </c>
      <c r="T95" t="n">
        <v>38.87989250282578</v>
      </c>
    </row>
    <row r="96">
      <c r="O96" t="n">
        <v>53.40000000000275</v>
      </c>
      <c r="P96" t="n">
        <v>79.71499447749284</v>
      </c>
      <c r="Q96" t="n">
        <v>40.28328031934115</v>
      </c>
      <c r="R96" t="n">
        <v>35.59999999999997</v>
      </c>
      <c r="S96" t="n">
        <v>79.6388595795126</v>
      </c>
      <c r="T96" t="n">
        <v>38.91744191522486</v>
      </c>
    </row>
    <row r="97">
      <c r="O97" t="n">
        <v>54.00000000000284</v>
      </c>
      <c r="P97" t="n">
        <v>79.69464818149578</v>
      </c>
      <c r="Q97" t="n">
        <v>40.31668320248178</v>
      </c>
      <c r="R97" t="n">
        <v>36.00000000000003</v>
      </c>
      <c r="S97" t="n">
        <v>79.62654582251336</v>
      </c>
      <c r="T97" t="n">
        <v>38.9549603941594</v>
      </c>
    </row>
    <row r="98">
      <c r="O98" t="n">
        <v>54.60000000000294</v>
      </c>
      <c r="P98" t="n">
        <v>79.67058728838887</v>
      </c>
      <c r="Q98" t="n">
        <v>40.34954897226021</v>
      </c>
      <c r="R98" t="n">
        <v>36.40000000000009</v>
      </c>
      <c r="S98" t="n">
        <v>79.6170671755097</v>
      </c>
      <c r="T98" t="n">
        <v>38.99241104114049</v>
      </c>
    </row>
    <row r="99">
      <c r="O99" t="n">
        <v>55.20000000000303</v>
      </c>
      <c r="P99" t="n">
        <v>79.64258156332012</v>
      </c>
      <c r="Q99" t="n">
        <v>40.38192410171337</v>
      </c>
      <c r="R99" t="n">
        <v>36.80000000000015</v>
      </c>
      <c r="S99" t="n">
        <v>79.6101814408278</v>
      </c>
      <c r="T99" t="n">
        <v>39.02975976173383</v>
      </c>
    </row>
    <row r="100">
      <c r="O100" t="n">
        <v>55.80000000000312</v>
      </c>
      <c r="P100" t="n">
        <v>79.61040283131958</v>
      </c>
      <c r="Q100" t="n">
        <v>40.41385553066954</v>
      </c>
      <c r="R100" t="n">
        <v>37.20000000000022</v>
      </c>
      <c r="S100" t="n">
        <v>79.60565690245144</v>
      </c>
      <c r="T100" t="n">
        <v>39.06697503176656</v>
      </c>
    </row>
    <row r="101">
      <c r="O101" t="n">
        <v>56.40000000000322</v>
      </c>
      <c r="P101" t="n">
        <v>79.57382572138619</v>
      </c>
      <c r="Q101" t="n">
        <v>40.44539090597402</v>
      </c>
      <c r="R101" t="n">
        <v>37.60000000000028</v>
      </c>
      <c r="S101" t="n">
        <v>79.60327178712483</v>
      </c>
      <c r="T101" t="n">
        <v>39.10402767086947</v>
      </c>
    </row>
    <row r="102">
      <c r="O102" t="n">
        <v>57.00000000000331</v>
      </c>
      <c r="P102" t="n">
        <v>79.53262806149149</v>
      </c>
      <c r="Q102" t="n">
        <v>40.47657887526168</v>
      </c>
      <c r="R102" t="n">
        <v>38.00000000000034</v>
      </c>
      <c r="S102" t="n">
        <v>79.60281382826859</v>
      </c>
      <c r="T102" t="n">
        <v>39.14089062824354</v>
      </c>
    </row>
    <row r="103">
      <c r="O103" t="n">
        <v>57.6000000000034</v>
      </c>
      <c r="P103" t="n">
        <v>79.48659086940043</v>
      </c>
      <c r="Q103" t="n">
        <v>40.5074694076398</v>
      </c>
      <c r="R103" t="n">
        <v>38.4000000000004</v>
      </c>
      <c r="S103" t="n">
        <v>79.60407992047853</v>
      </c>
      <c r="T103" t="n">
        <v>39.1775387845737</v>
      </c>
    </row>
    <row r="104">
      <c r="O104" t="n">
        <v>58.2000000000035</v>
      </c>
      <c r="P104" t="n">
        <v>79.4354979008104</v>
      </c>
      <c r="Q104" t="n">
        <v>40.53811411181221</v>
      </c>
      <c r="R104" t="n">
        <v>38.80000000000047</v>
      </c>
      <c r="S104" t="n">
        <v>79.60687585097239</v>
      </c>
      <c r="T104" t="n">
        <v>39.21394877300099</v>
      </c>
    </row>
    <row r="105">
      <c r="O105" t="n">
        <v>58.80000000000359</v>
      </c>
      <c r="P105" t="n">
        <v>79.37913473642089</v>
      </c>
      <c r="Q105" t="n">
        <v>40.56856652072815</v>
      </c>
      <c r="R105" t="n">
        <v>39.20000000000053</v>
      </c>
      <c r="S105" t="n">
        <v>79.61101609369445</v>
      </c>
      <c r="T105" t="n">
        <v>39.25009882105957</v>
      </c>
    </row>
    <row r="106">
      <c r="O106" t="n">
        <v>59.40000000000369</v>
      </c>
      <c r="P106" t="n">
        <v>79.31728741277776</v>
      </c>
      <c r="Q106" t="n">
        <v>40.59888231226319</v>
      </c>
      <c r="R106" t="n">
        <v>39.60000000000059</v>
      </c>
      <c r="S106" t="n">
        <v>79.61632365174523</v>
      </c>
      <c r="T106" t="n">
        <v>39.28596861457345</v>
      </c>
    </row>
    <row r="107">
      <c r="O107" t="n">
        <v>60.00000000000378</v>
      </c>
      <c r="P107" t="n">
        <v>79.24974062757973</v>
      </c>
      <c r="Q107" t="n">
        <v>40.62911943821166</v>
      </c>
      <c r="R107" t="n">
        <v>40.00000000000065</v>
      </c>
      <c r="S107" t="n">
        <v>79.62262993431742</v>
      </c>
      <c r="T107" t="n">
        <v>39.32153918369158</v>
      </c>
    </row>
    <row r="108">
      <c r="O108" t="n">
        <v>60.60000000000387</v>
      </c>
      <c r="P108" t="n">
        <v>79.17627557755158</v>
      </c>
      <c r="Q108" t="n">
        <v>40.65933813935203</v>
      </c>
      <c r="R108" t="n">
        <v>40.40000000000072</v>
      </c>
      <c r="S108" t="n">
        <v>79.62977465522462</v>
      </c>
      <c r="T108" t="n">
        <v>39.35679281056292</v>
      </c>
    </row>
    <row r="109">
      <c r="O109" t="n">
        <v>61.20000000000397</v>
      </c>
      <c r="P109" t="n">
        <v>79.09666751425996</v>
      </c>
      <c r="Q109" t="n">
        <v>40.68960083262135</v>
      </c>
      <c r="R109" t="n">
        <v>40.80000000000078</v>
      </c>
      <c r="S109" t="n">
        <v>79.63760574134096</v>
      </c>
      <c r="T109" t="n">
        <v>39.39171295760286</v>
      </c>
    </row>
    <row r="110">
      <c r="O110" t="n">
        <v>61.80000000000406</v>
      </c>
      <c r="P110" t="n">
        <v>79.01068312761488</v>
      </c>
      <c r="Q110" t="n">
        <v>40.71997186707137</v>
      </c>
      <c r="R110" t="n">
        <v>41.20000000000084</v>
      </c>
      <c r="S110" t="n">
        <v>79.64597924066979</v>
      </c>
      <c r="T110" t="n">
        <v>39.42628421487018</v>
      </c>
    </row>
    <row r="111">
      <c r="O111" t="n">
        <v>62.40000000000416</v>
      </c>
      <c r="P111" t="n">
        <v>78.91807788495456</v>
      </c>
      <c r="Q111" t="n">
        <v>40.75051715726977</v>
      </c>
      <c r="R111" t="n">
        <v>41.6000000000009</v>
      </c>
      <c r="S111" t="n">
        <v>79.65475922136427</v>
      </c>
      <c r="T111" t="n">
        <v>39.46049226474958</v>
      </c>
    </row>
    <row r="112">
      <c r="O112" t="n">
        <v>63.00000000000425</v>
      </c>
      <c r="P112" t="n">
        <v>78.81859346204386</v>
      </c>
      <c r="Q112" t="n">
        <v>40.78130371461236</v>
      </c>
      <c r="R112" t="n">
        <v>42.00000000000097</v>
      </c>
      <c r="S112" t="n">
        <v>79.66381765471293</v>
      </c>
      <c r="T112" t="n">
        <v>39.49432386193166</v>
      </c>
    </row>
    <row r="113">
      <c r="O113" t="n">
        <v>63.60000000000434</v>
      </c>
      <c r="P113" t="n">
        <v>78.71195539847839</v>
      </c>
      <c r="Q113" t="n">
        <v>40.81239910679994</v>
      </c>
      <c r="R113" t="n">
        <v>42.40000000000103</v>
      </c>
      <c r="S113" t="n">
        <v>79.67303427681213</v>
      </c>
      <c r="T113" t="n">
        <v>39.52776682651324</v>
      </c>
    </row>
    <row r="114">
      <c r="O114" t="n">
        <v>64.20000000000437</v>
      </c>
      <c r="P114" t="n">
        <v>78.59787109293438</v>
      </c>
      <c r="Q114" t="n">
        <v>40.84387088183132</v>
      </c>
      <c r="R114" t="n">
        <v>42.80000000000109</v>
      </c>
      <c r="S114" t="n">
        <v>79.68229642555048</v>
      </c>
      <c r="T114" t="n">
        <v>39.56081004800865</v>
      </c>
    </row>
    <row r="115">
      <c r="O115" t="n">
        <v>64.80000000000425</v>
      </c>
      <c r="P115" t="n">
        <v>78.47602822500765</v>
      </c>
      <c r="Q115" t="n">
        <v>40.87578599422841</v>
      </c>
      <c r="R115" t="n">
        <v>43.20000000000115</v>
      </c>
      <c r="S115" t="n">
        <v>79.69149885140379</v>
      </c>
      <c r="T115" t="n">
        <v>39.59344349804377</v>
      </c>
    </row>
    <row r="116">
      <c r="O116" t="n">
        <v>65.40000000000413</v>
      </c>
      <c r="P116" t="n">
        <v>78.34609365361665</v>
      </c>
      <c r="Q116" t="n">
        <v>40.908210267649</v>
      </c>
      <c r="R116" t="n">
        <v>43.60000000000122</v>
      </c>
      <c r="S116" t="n">
        <v>79.70054350268667</v>
      </c>
      <c r="T116" t="n">
        <v>39.62565824956914</v>
      </c>
    </row>
    <row r="117">
      <c r="O117" t="n">
        <v>66.00000000000401</v>
      </c>
      <c r="P117" t="n">
        <v>78.20771280240575</v>
      </c>
      <c r="Q117" t="n">
        <v>40.94120792043776</v>
      </c>
      <c r="R117" t="n">
        <v>44.00000000000128</v>
      </c>
      <c r="S117" t="n">
        <v>79.70933928832737</v>
      </c>
      <c r="T117" t="n">
        <v>39.65744650055035</v>
      </c>
    </row>
    <row r="118">
      <c r="O118" t="n">
        <v>66.60000000000389</v>
      </c>
      <c r="P118" t="n">
        <v>78.06050950566807</v>
      </c>
      <c r="Q118" t="n">
        <v>40.97484117053796</v>
      </c>
      <c r="R118" t="n">
        <v>44.40000000000134</v>
      </c>
      <c r="S118" t="n">
        <v>79.71780182437115</v>
      </c>
      <c r="T118" t="n">
        <v>39.68880160027294</v>
      </c>
    </row>
    <row r="119">
      <c r="O119" t="n">
        <v>67.20000000000377</v>
      </c>
      <c r="P119" t="n">
        <v>77.90408625862267</v>
      </c>
      <c r="Q119" t="n">
        <v>41.00916992543927</v>
      </c>
      <c r="R119" t="n">
        <v>44.8000000000014</v>
      </c>
      <c r="S119" t="n">
        <v>79.72585317485131</v>
      </c>
      <c r="T119" t="n">
        <v>39.71971807663817</v>
      </c>
    </row>
    <row r="120">
      <c r="O120" t="n">
        <v>67.80000000000365</v>
      </c>
      <c r="P120" t="n">
        <v>77.73802479617149</v>
      </c>
      <c r="Q120" t="n">
        <v>41.04425155316051</v>
      </c>
      <c r="R120" t="n">
        <v>45.20000000000147</v>
      </c>
      <c r="S120" t="n">
        <v>79.73342160504063</v>
      </c>
      <c r="T120" t="n">
        <v>39.75019166319163</v>
      </c>
    </row>
    <row r="121">
      <c r="O121" t="n">
        <v>68.40000000000353</v>
      </c>
      <c r="P121" t="n">
        <v>77.56188691533332</v>
      </c>
      <c r="Q121" t="n">
        <v>41.08014072292241</v>
      </c>
      <c r="R121" t="n">
        <v>45.60000000000153</v>
      </c>
      <c r="S121" t="n">
        <v>79.74044137898267</v>
      </c>
      <c r="T121" t="n">
        <v>39.78021932511996</v>
      </c>
    </row>
    <row r="122">
      <c r="O122" t="n">
        <v>69.00000000000341</v>
      </c>
      <c r="P122" t="n">
        <v>77.37521545732005</v>
      </c>
      <c r="Q122" t="n">
        <v>41.11688929969347</v>
      </c>
      <c r="R122" t="n">
        <v>46.00000000000159</v>
      </c>
      <c r="S122" t="n">
        <v>79.74685266379335</v>
      </c>
      <c r="T122" t="n">
        <v>39.80979928429804</v>
      </c>
    </row>
    <row r="123">
      <c r="O123" t="n">
        <v>69.60000000000329</v>
      </c>
      <c r="P123" t="n">
        <v>77.17753537350367</v>
      </c>
      <c r="Q123" t="n">
        <v>41.1545462751958</v>
      </c>
      <c r="R123" t="n">
        <v>46.40000000000165</v>
      </c>
      <c r="S123" t="n">
        <v>79.75260168324246</v>
      </c>
      <c r="T123" t="n">
        <v>39.83893104507769</v>
      </c>
    </row>
    <row r="124">
      <c r="O124" t="n">
        <v>70.20000000000317</v>
      </c>
      <c r="P124" t="n">
        <v>76.9683548126137</v>
      </c>
      <c r="Q124" t="n">
        <v>41.19315771875495</v>
      </c>
      <c r="R124" t="n">
        <v>46.80000000000172</v>
      </c>
      <c r="S124" t="n">
        <v>79.7576415328698</v>
      </c>
      <c r="T124" t="n">
        <v>39.86761542645263</v>
      </c>
    </row>
    <row r="125">
      <c r="O125" t="n">
        <v>70.80000000000305</v>
      </c>
      <c r="P125" t="n">
        <v>76.74716618179681</v>
      </c>
      <c r="Q125" t="n">
        <v>41.23276673389023</v>
      </c>
      <c r="R125" t="n">
        <v>47.20000000000178</v>
      </c>
      <c r="S125" t="n">
        <v>79.76193559140795</v>
      </c>
      <c r="T125" t="n">
        <v>39.89585462063792</v>
      </c>
    </row>
    <row r="126">
      <c r="O126" t="n">
        <v>71.40000000000293</v>
      </c>
      <c r="P126" t="n">
        <v>76.51344714951239</v>
      </c>
      <c r="Q126" t="n">
        <v>41.27341341002659</v>
      </c>
      <c r="R126" t="n">
        <v>47.60000000000184</v>
      </c>
      <c r="S126" t="n">
        <v>79.76550448468559</v>
      </c>
      <c r="T126" t="n">
        <v>39.92365252429312</v>
      </c>
    </row>
    <row r="127">
      <c r="O127" t="n">
        <v>72.00000000000281</v>
      </c>
      <c r="P127" t="n">
        <v>76.26666157215348</v>
      </c>
      <c r="Q127" t="n">
        <v>41.31513476254008</v>
      </c>
      <c r="R127" t="n">
        <v>48.0000000000019</v>
      </c>
      <c r="S127" t="n">
        <v>79.76839962696039</v>
      </c>
      <c r="T127" t="n">
        <v>39.95101576147619</v>
      </c>
    </row>
    <row r="128">
      <c r="O128" t="n">
        <v>72.60000000000269</v>
      </c>
      <c r="P128" t="n">
        <v>76.00626033783203</v>
      </c>
      <c r="Q128" t="n">
        <v>41.35796465801616</v>
      </c>
      <c r="R128" t="n">
        <v>48.40000000000197</v>
      </c>
      <c r="S128" t="n">
        <v>79.77058628234228</v>
      </c>
      <c r="T128" t="n">
        <v>39.97795277522908</v>
      </c>
    </row>
    <row r="129">
      <c r="O129" t="n">
        <v>73.20000000000258</v>
      </c>
      <c r="P129" t="n">
        <v>75.73168212966183</v>
      </c>
      <c r="Q129" t="n">
        <v>41.40193372482503</v>
      </c>
      <c r="R129" t="n">
        <v>48.80000000000203</v>
      </c>
      <c r="S129" t="n">
        <v>79.77201639994476</v>
      </c>
      <c r="T129" t="n">
        <v>40.00447304816208</v>
      </c>
    </row>
    <row r="130">
      <c r="O130" t="n">
        <v>73.80000000000246</v>
      </c>
      <c r="P130" t="n">
        <v>75.44235411706406</v>
      </c>
      <c r="Q130" t="n">
        <v>41.44706925170379</v>
      </c>
      <c r="R130" t="n">
        <v>49.20000000000209</v>
      </c>
      <c r="S130" t="n">
        <v>79.77263687138722</v>
      </c>
      <c r="T130" t="n">
        <v>40.03058690380016</v>
      </c>
    </row>
    <row r="131">
      <c r="O131" t="n">
        <v>74.40000000000234</v>
      </c>
      <c r="P131" t="n">
        <v>75.13769258741131</v>
      </c>
      <c r="Q131" t="n">
        <v>41.49339507895326</v>
      </c>
      <c r="R131" t="n">
        <v>49.60000000000215</v>
      </c>
      <c r="S131" t="n">
        <v>79.77239137727632</v>
      </c>
      <c r="T131" t="n">
        <v>40.0563053683411</v>
      </c>
    </row>
    <row r="132">
      <c r="O132" t="n">
        <v>75.00000000000222</v>
      </c>
      <c r="P132" t="n">
        <v>74.81710353207832</v>
      </c>
      <c r="Q132" t="n">
        <v>41.54093148813809</v>
      </c>
      <c r="R132" t="n">
        <v>50.00000000000222</v>
      </c>
      <c r="S132" t="n">
        <v>79.77122119285613</v>
      </c>
      <c r="T132" t="n">
        <v>40.08164005538652</v>
      </c>
    </row>
    <row r="133">
      <c r="O133" t="n">
        <v>75.6000000000021</v>
      </c>
      <c r="P133" t="n">
        <v>74.47998320112782</v>
      </c>
      <c r="Q133" t="n">
        <v>41.58969509688626</v>
      </c>
      <c r="R133" t="n">
        <v>50.40000000000228</v>
      </c>
      <c r="S133" t="n">
        <v>79.76906563191869</v>
      </c>
      <c r="T133" t="n">
        <v>40.10660306473341</v>
      </c>
    </row>
    <row r="134">
      <c r="O134" t="n">
        <v>76.20000000000198</v>
      </c>
      <c r="P134" t="n">
        <v>74.12571863979414</v>
      </c>
      <c r="Q134" t="n">
        <v>41.63969876562004</v>
      </c>
      <c r="R134" t="n">
        <v>50.80000000000234</v>
      </c>
      <c r="S134" t="n">
        <v>79.7658623398429</v>
      </c>
      <c r="T134" t="n">
        <v>40.13120689226241</v>
      </c>
    </row>
    <row r="135">
      <c r="O135" t="n">
        <v>76.80000000000186</v>
      </c>
      <c r="P135" t="n">
        <v>73.75368821806434</v>
      </c>
      <c r="Q135" t="n">
        <v>41.69095152288946</v>
      </c>
      <c r="R135" t="n">
        <v>51.2000000000024</v>
      </c>
      <c r="S135" t="n">
        <v>79.76154752007712</v>
      </c>
      <c r="T135" t="n">
        <v>40.15546434996747</v>
      </c>
    </row>
    <row r="136">
      <c r="O136" t="n">
        <v>77.40000000000174</v>
      </c>
      <c r="P136" t="n">
        <v>73.3632621622552</v>
      </c>
      <c r="Q136" t="n">
        <v>41.74345851553471</v>
      </c>
      <c r="R136" t="n">
        <v>51.60000000000247</v>
      </c>
      <c r="S136" t="n">
        <v>79.75605613236503</v>
      </c>
      <c r="T136" t="n">
        <v>40.17938849597147</v>
      </c>
    </row>
    <row r="137">
      <c r="O137" t="n">
        <v>78.00000000000162</v>
      </c>
      <c r="P137" t="n">
        <v>72.953803094835</v>
      </c>
      <c r="Q137" t="n">
        <v>41.79722098919598</v>
      </c>
      <c r="R137" t="n">
        <v>52.00000000000253</v>
      </c>
      <c r="S137" t="n">
        <v>79.74932208092282</v>
      </c>
      <c r="T137" t="n">
        <v>40.20299257467337</v>
      </c>
    </row>
    <row r="138">
      <c r="O138" t="n">
        <v>78.6000000000015</v>
      </c>
      <c r="P138" t="n">
        <v>72.52466658603194</v>
      </c>
      <c r="Q138" t="n">
        <v>41.85223630382814</v>
      </c>
      <c r="R138" t="n">
        <v>52.40000000000259</v>
      </c>
      <c r="S138" t="n">
        <v>79.74127840085747</v>
      </c>
      <c r="T138" t="n">
        <v>40.22628996725217</v>
      </c>
    </row>
    <row r="139">
      <c r="O139" t="n">
        <v>79.20000000000138</v>
      </c>
      <c r="P139" t="n">
        <v>72.07520171817407</v>
      </c>
      <c r="Q139" t="n">
        <v>41.90849798785371</v>
      </c>
      <c r="R139" t="n">
        <v>52.80000000000265</v>
      </c>
      <c r="S139" t="n">
        <v>79.73185744568133</v>
      </c>
      <c r="T139" t="n">
        <v>40.24929415271737</v>
      </c>
    </row>
    <row r="140">
      <c r="O140" t="n">
        <v>79.80000000000126</v>
      </c>
      <c r="P140" t="n">
        <v>71.60475166133261</v>
      </c>
      <c r="Q140" t="n">
        <v>41.9659958334791</v>
      </c>
      <c r="R140" t="n">
        <v>53.20000000000272</v>
      </c>
      <c r="S140" t="n">
        <v>79.72099107561209</v>
      </c>
      <c r="T140" t="n">
        <v>40.27201867957308</v>
      </c>
    </row>
    <row r="141">
      <c r="O141" t="n">
        <v>80.40000000000114</v>
      </c>
      <c r="P141" t="n">
        <v>71.11265425679287</v>
      </c>
      <c r="Q141" t="n">
        <v>42.02471603451028</v>
      </c>
      <c r="R141" t="n">
        <v>53.60000000000278</v>
      </c>
      <c r="S141" t="n">
        <v>79.70861084443379</v>
      </c>
      <c r="T141" t="n">
        <v>40.29447714802586</v>
      </c>
    </row>
    <row r="142">
      <c r="O142" t="n">
        <v>81.00000000000102</v>
      </c>
      <c r="P142" t="n">
        <v>70.59824260320623</v>
      </c>
      <c r="Q142" t="n">
        <v>42.0846413667719</v>
      </c>
      <c r="R142" t="n">
        <v>54.00000000000284</v>
      </c>
      <c r="S142" t="n">
        <v>79.69464818149578</v>
      </c>
      <c r="T142" t="n">
        <v>40.31668320248178</v>
      </c>
    </row>
    <row r="143">
      <c r="O143" t="n">
        <v>81.6000000000009</v>
      </c>
      <c r="P143" t="n">
        <v>70.06084563903107</v>
      </c>
      <c r="Q143" t="n">
        <v>42.14575140998863</v>
      </c>
      <c r="R143" t="n">
        <v>54.4000000000029</v>
      </c>
      <c r="S143" t="n">
        <v>79.67903456472148</v>
      </c>
      <c r="T143" t="n">
        <v>40.33865053388763</v>
      </c>
    </row>
    <row r="144">
      <c r="O144" t="n">
        <v>81.98000000000083</v>
      </c>
      <c r="P144" t="n">
        <v>70.66450247807042</v>
      </c>
      <c r="Q144" t="n">
        <v>43.17708600574025</v>
      </c>
      <c r="R144" t="n">
        <v>54.80000000000297</v>
      </c>
      <c r="S144" t="n">
        <v>79.66170168013862</v>
      </c>
      <c r="T144" t="n">
        <v>40.36039289128138</v>
      </c>
    </row>
    <row r="145">
      <c r="O145" t="n">
        <v>82.58000000000071</v>
      </c>
      <c r="P145" t="n">
        <v>71.81980700967885</v>
      </c>
      <c r="Q145" t="n">
        <v>44.92951345012278</v>
      </c>
      <c r="R145" t="n">
        <v>55.20000000000303</v>
      </c>
      <c r="S145" t="n">
        <v>79.64258156332012</v>
      </c>
      <c r="T145" t="n">
        <v>40.38192410171337</v>
      </c>
    </row>
    <row r="146">
      <c r="O146" t="n">
        <v>83.18000000000059</v>
      </c>
      <c r="P146" t="n">
        <v>72.75092899768741</v>
      </c>
      <c r="Q146" t="n">
        <v>46.34781487596217</v>
      </c>
      <c r="R146" t="n">
        <v>55.60000000000309</v>
      </c>
      <c r="S146" t="n">
        <v>79.62160671820345</v>
      </c>
      <c r="T146" t="n">
        <v>40.40325809750891</v>
      </c>
    </row>
    <row r="147">
      <c r="O147" t="n">
        <v>83.78000000000047</v>
      </c>
      <c r="P147" t="n">
        <v>73.49996404328003</v>
      </c>
      <c r="Q147" t="n">
        <v>47.49245394282764</v>
      </c>
      <c r="R147" t="n">
        <v>56.00000000000315</v>
      </c>
      <c r="S147" t="n">
        <v>79.59871020901386</v>
      </c>
      <c r="T147" t="n">
        <v>40.4244089496612</v>
      </c>
    </row>
    <row r="148">
      <c r="O148" t="n">
        <v>84.38000000000035</v>
      </c>
      <c r="P148" t="n">
        <v>74.10169554843756</v>
      </c>
      <c r="Q148" t="n">
        <v>48.41430985457339</v>
      </c>
      <c r="R148" t="n">
        <v>56.40000000000322</v>
      </c>
      <c r="S148" t="n">
        <v>79.57382572138619</v>
      </c>
      <c r="T148" t="n">
        <v>40.44539090597402</v>
      </c>
    </row>
    <row r="149">
      <c r="O149" t="n">
        <v>84.98000000000023</v>
      </c>
      <c r="P149" t="n">
        <v>74.5845988099254</v>
      </c>
      <c r="Q149" t="n">
        <v>49.15558176610261</v>
      </c>
      <c r="R149" t="n">
        <v>56.80000000000328</v>
      </c>
      <c r="S149" t="n">
        <v>79.54688758927705</v>
      </c>
      <c r="T149" t="n">
        <v>40.46621843241621</v>
      </c>
    </row>
    <row r="150">
      <c r="O150" t="n">
        <v>85.58000000000011</v>
      </c>
      <c r="P150" t="n">
        <v>74.97184054281423</v>
      </c>
      <c r="Q150" t="n">
        <v>49.75093425313162</v>
      </c>
      <c r="R150" t="n">
        <v>57.20000000000334</v>
      </c>
      <c r="S150" t="n">
        <v>79.51783078487547</v>
      </c>
      <c r="T150" t="n">
        <v>40.48690625603115</v>
      </c>
    </row>
    <row r="151">
      <c r="O151" t="n">
        <v>86.17999999999999</v>
      </c>
      <c r="P151" t="n">
        <v>75.28218739163557</v>
      </c>
      <c r="Q151" t="n">
        <v>50.22865283673616</v>
      </c>
      <c r="R151" t="n">
        <v>57.6000000000034</v>
      </c>
      <c r="S151" t="n">
        <v>79.48659086940043</v>
      </c>
      <c r="T151" t="n">
        <v>40.5074694076398</v>
      </c>
    </row>
    <row r="152">
      <c r="O152" t="n">
        <v>86.77999999999987</v>
      </c>
      <c r="P152" t="n">
        <v>75.53079476741668</v>
      </c>
      <c r="Q152" t="n">
        <v>50.61170743042589</v>
      </c>
      <c r="R152" t="n">
        <v>58.00000000000347</v>
      </c>
      <c r="S152" t="n">
        <v>79.45310390347414</v>
      </c>
      <c r="T152" t="n">
        <v>40.52792326251745</v>
      </c>
    </row>
    <row r="153">
      <c r="O153" t="n">
        <v>87.37999999999975</v>
      </c>
      <c r="P153" t="n">
        <v>75.72987407946225</v>
      </c>
      <c r="Q153" t="n">
        <v>50.91868562630543</v>
      </c>
      <c r="R153" t="n">
        <v>58.40000000000353</v>
      </c>
      <c r="S153" t="n">
        <v>79.41730631662524</v>
      </c>
      <c r="T153" t="n">
        <v>40.54828357721476</v>
      </c>
    </row>
    <row r="154">
      <c r="O154" t="n">
        <v>87.97999999999963</v>
      </c>
      <c r="P154" t="n">
        <v>75.88924800167375</v>
      </c>
      <c r="Q154" t="n">
        <v>51.1645891091942</v>
      </c>
      <c r="R154" t="n">
        <v>58.80000000000359</v>
      </c>
      <c r="S154" t="n">
        <v>79.37913473642089</v>
      </c>
      <c r="T154" t="n">
        <v>40.56856652072815</v>
      </c>
    </row>
    <row r="155">
      <c r="O155" t="n">
        <v>88.57999999999952</v>
      </c>
      <c r="P155" t="n">
        <v>76.01680763169161</v>
      </c>
      <c r="Q155" t="n">
        <v>51.36150118619531</v>
      </c>
      <c r="R155" t="n">
        <v>59.20000000000366</v>
      </c>
      <c r="S155" t="n">
        <v>79.33852577874598</v>
      </c>
      <c r="T155" t="n">
        <v>40.5887886983362</v>
      </c>
    </row>
    <row r="156">
      <c r="O156" t="n">
        <v>89.1799999999994</v>
      </c>
      <c r="P156" t="n">
        <v>76.11888610627885</v>
      </c>
      <c r="Q156" t="n">
        <v>51.51913953882513</v>
      </c>
      <c r="R156" t="n">
        <v>59.60000000000372</v>
      </c>
      <c r="S156" t="n">
        <v>79.29541580181318</v>
      </c>
      <c r="T156" t="n">
        <v>40.60896716659187</v>
      </c>
    </row>
    <row r="157">
      <c r="O157" t="n">
        <v>89.77999999999928</v>
      </c>
      <c r="P157" t="n">
        <v>76.20056233877069</v>
      </c>
      <c r="Q157" t="n">
        <v>51.64531004004579</v>
      </c>
      <c r="R157" t="n">
        <v>60.00000000000378</v>
      </c>
      <c r="S157" t="n">
        <v>79.24974062757973</v>
      </c>
      <c r="T157" t="n">
        <v>40.62911943821166</v>
      </c>
    </row>
    <row r="158">
      <c r="O158" t="n">
        <v>90.37999999999916</v>
      </c>
      <c r="P158" t="n">
        <v>76.26590700226686</v>
      </c>
      <c r="Q158" t="n">
        <v>51.74627704622333</v>
      </c>
      <c r="R158" t="n">
        <v>60.40000000000384</v>
      </c>
      <c r="S158" t="n">
        <v>79.20143523532266</v>
      </c>
      <c r="T158" t="n">
        <v>40.6492634759262</v>
      </c>
    </row>
    <row r="159">
      <c r="O159" t="n">
        <v>90.97999999999904</v>
      </c>
      <c r="P159" t="n">
        <v>76.31818117241137</v>
      </c>
      <c r="Q159" t="n">
        <v>51.82706415633231</v>
      </c>
      <c r="R159" t="n">
        <v>60.80000000000391</v>
      </c>
      <c r="S159" t="n">
        <v>79.15043343316827</v>
      </c>
      <c r="T159" t="n">
        <v>40.66941767475697</v>
      </c>
    </row>
    <row r="160">
      <c r="O160" t="n">
        <v>91.57999999999892</v>
      </c>
      <c r="P160" t="n">
        <v>76.35999639519045</v>
      </c>
      <c r="Q160" t="n">
        <v>51.89169765473144</v>
      </c>
      <c r="R160" t="n">
        <v>61.20000000000397</v>
      </c>
      <c r="S160" t="n">
        <v>79.09666751425996</v>
      </c>
      <c r="T160" t="n">
        <v>40.68960083262135</v>
      </c>
    </row>
    <row r="161">
      <c r="O161" t="n">
        <v>92.1799999999988</v>
      </c>
      <c r="P161" t="n">
        <v>76.39344345845259</v>
      </c>
      <c r="Q161" t="n">
        <v>51.94340304349396</v>
      </c>
      <c r="R161" t="n">
        <v>61.60000000000403</v>
      </c>
      <c r="S161" t="n">
        <v>79.04006790500347</v>
      </c>
      <c r="T161" t="n">
        <v>40.70983210965647</v>
      </c>
    </row>
    <row r="162">
      <c r="O162" t="n">
        <v>92.77999999999868</v>
      </c>
      <c r="P162" t="n">
        <v>76.42019585466258</v>
      </c>
      <c r="Q162" t="n">
        <v>51.98476338320847</v>
      </c>
      <c r="R162" t="n">
        <v>62.00000000000409</v>
      </c>
      <c r="S162" t="n">
        <v>78.98056281331111</v>
      </c>
      <c r="T162" t="n">
        <v>40.7301309771309</v>
      </c>
    </row>
    <row r="163">
      <c r="O163" t="n">
        <v>93.37999999999856</v>
      </c>
      <c r="P163" t="n">
        <v>76.44159282708384</v>
      </c>
      <c r="Q163" t="n">
        <v>52.0178466638676</v>
      </c>
      <c r="R163" t="n">
        <v>62.40000000000416</v>
      </c>
      <c r="S163" t="n">
        <v>78.91807788495456</v>
      </c>
      <c r="T163" t="n">
        <v>40.75051715726977</v>
      </c>
    </row>
    <row r="164">
      <c r="O164" t="n">
        <v>93.97999999999844</v>
      </c>
      <c r="P164" t="n">
        <v>76.45870597685878</v>
      </c>
      <c r="Q164" t="n">
        <v>52.04430813781494</v>
      </c>
      <c r="R164" t="n">
        <v>62.80000000000422</v>
      </c>
      <c r="S164" t="n">
        <v>78.85253587601319</v>
      </c>
      <c r="T164" t="n">
        <v>40.77101055571694</v>
      </c>
    </row>
    <row r="165">
      <c r="O165" t="n">
        <v>94.57999999999832</v>
      </c>
      <c r="P165" t="n">
        <v>76.47239265279653</v>
      </c>
      <c r="Q165" t="n">
        <v>52.0654724575985</v>
      </c>
      <c r="R165" t="n">
        <v>63.20000000000428</v>
      </c>
      <c r="S165" t="n">
        <v>78.78385634888359</v>
      </c>
      <c r="T165" t="n">
        <v>40.79163118865688</v>
      </c>
    </row>
    <row r="166">
      <c r="O166" t="n">
        <v>95.1799999999982</v>
      </c>
      <c r="P166" t="n">
        <v>76.48333872625447</v>
      </c>
      <c r="Q166" t="n">
        <v>52.08239955428712</v>
      </c>
      <c r="R166" t="n">
        <v>63.60000000000434</v>
      </c>
      <c r="S166" t="n">
        <v>78.71195539847839</v>
      </c>
      <c r="T166" t="n">
        <v>40.81239910679994</v>
      </c>
    </row>
    <row r="167">
      <c r="O167" t="n">
        <v>95.77999999999808</v>
      </c>
      <c r="P167" t="n">
        <v>76.49209284863873</v>
      </c>
      <c r="Q167" t="n">
        <v>52.09593744330186</v>
      </c>
      <c r="R167" t="n">
        <v>64.00000000000441</v>
      </c>
      <c r="S167" t="n">
        <v>78.63674541411437</v>
      </c>
      <c r="T167" t="n">
        <v>40.83333431851099</v>
      </c>
    </row>
    <row r="168">
      <c r="O168" t="n">
        <v>96.37999999999796</v>
      </c>
      <c r="P168" t="n">
        <v>76.49909387932043</v>
      </c>
      <c r="Q168" t="n">
        <v>52.10676453174381</v>
      </c>
      <c r="R168" t="n">
        <v>64.40000000000433</v>
      </c>
      <c r="S168" t="n">
        <v>78.558134881157</v>
      </c>
      <c r="T168" t="n">
        <v>40.85445671423554</v>
      </c>
    </row>
    <row r="169">
      <c r="O169" t="n">
        <v>96.97999999999784</v>
      </c>
      <c r="P169" t="n">
        <v>76.50469284030937</v>
      </c>
      <c r="Q169" t="n">
        <v>52.11542350172374</v>
      </c>
      <c r="R169" t="n">
        <v>64.80000000000425</v>
      </c>
      <c r="S169" t="n">
        <v>78.47602822500765</v>
      </c>
      <c r="T169" t="n">
        <v>40.87578599422841</v>
      </c>
    </row>
    <row r="170">
      <c r="O170" t="n">
        <v>97.57999999999772</v>
      </c>
      <c r="P170" t="n">
        <v>76.50917048656071</v>
      </c>
      <c r="Q170" t="n">
        <v>52.12234843892941</v>
      </c>
      <c r="R170" t="n">
        <v>65.20000000000417</v>
      </c>
      <c r="S170" t="n">
        <v>78.39032569839709</v>
      </c>
      <c r="T170" t="n">
        <v>40.89734160123851</v>
      </c>
    </row>
    <row r="171">
      <c r="O171" t="n">
        <v>98.17999999999761</v>
      </c>
      <c r="P171" t="n">
        <v>76.51275136536573</v>
      </c>
      <c r="Q171" t="n">
        <v>52.12788654785243</v>
      </c>
      <c r="R171" t="n">
        <v>65.60000000000409</v>
      </c>
      <c r="S171" t="n">
        <v>78.30092331142582</v>
      </c>
      <c r="T171" t="n">
        <v>40.9191426594349</v>
      </c>
    </row>
    <row r="172">
      <c r="O172" t="n">
        <v>98.77999999999749</v>
      </c>
      <c r="P172" t="n">
        <v>76.51561506504039</v>
      </c>
      <c r="Q172" t="n">
        <v>52.13231553058648</v>
      </c>
      <c r="R172" t="n">
        <v>66.00000000000401</v>
      </c>
      <c r="S172" t="n">
        <v>78.20771280240575</v>
      </c>
      <c r="T172" t="n">
        <v>40.94120792043776</v>
      </c>
    </row>
    <row r="173">
      <c r="O173" t="n">
        <v>99.37999999999737</v>
      </c>
      <c r="P173" t="n">
        <v>76.51790521395418</v>
      </c>
      <c r="Q173" t="n">
        <v>52.13585749305696</v>
      </c>
      <c r="R173" t="n">
        <v>66.40000000000393</v>
      </c>
      <c r="S173" t="n">
        <v>78.11058164636452</v>
      </c>
      <c r="T173" t="n">
        <v>40.96355571687502</v>
      </c>
    </row>
    <row r="174">
      <c r="O174" t="n">
        <v>99.97999999999725</v>
      </c>
      <c r="P174" t="n">
        <v>76.51973667927666</v>
      </c>
      <c r="Q174" t="n">
        <v>52.13869007122582</v>
      </c>
      <c r="R174" t="n">
        <v>66.80000000000385</v>
      </c>
      <c r="S174" t="n">
        <v>78.00941309717506</v>
      </c>
      <c r="T174" t="n">
        <v>40.98620392348812</v>
      </c>
    </row>
    <row r="175">
      <c r="O175" t="n">
        <v>100.5799999999971</v>
      </c>
      <c r="P175" t="n">
        <v>76.52120132523552</v>
      </c>
      <c r="Q175" t="n">
        <v>52.14095533216948</v>
      </c>
      <c r="R175" t="n">
        <v>67.20000000000377</v>
      </c>
      <c r="S175" t="n">
        <v>77.90408625862267</v>
      </c>
      <c r="T175" t="n">
        <v>41.00916992543927</v>
      </c>
    </row>
    <row r="176">
      <c r="O176" t="n">
        <v>101.179999999997</v>
      </c>
      <c r="P176" t="n">
        <v>76.52237261891581</v>
      </c>
      <c r="Q176" t="n">
        <v>52.14276689449184</v>
      </c>
      <c r="R176" t="n">
        <v>67.60000000000369</v>
      </c>
      <c r="S176" t="n">
        <v>77.79447617940967</v>
      </c>
      <c r="T176" t="n">
        <v>41.03247059319546</v>
      </c>
    </row>
    <row r="177">
      <c r="O177" t="n">
        <v>101.7799999999969</v>
      </c>
      <c r="P177" t="n">
        <v>76.52330931410685</v>
      </c>
      <c r="Q177" t="n">
        <v>52.14421562394404</v>
      </c>
      <c r="R177" t="n">
        <v>68.00000000000361</v>
      </c>
      <c r="S177" t="n">
        <v>77.68045396699254</v>
      </c>
      <c r="T177" t="n">
        <v>41.05612226313809</v>
      </c>
    </row>
    <row r="178">
      <c r="O178" t="n">
        <v>102.3799999999968</v>
      </c>
      <c r="P178" t="n">
        <v>76.52405839765633</v>
      </c>
      <c r="Q178" t="n">
        <v>52.14537418912806</v>
      </c>
      <c r="R178" t="n">
        <v>68.40000000000353</v>
      </c>
      <c r="S178" t="n">
        <v>77.56188691533332</v>
      </c>
      <c r="T178" t="n">
        <v>41.08014072292241</v>
      </c>
    </row>
    <row r="179">
      <c r="O179" t="n">
        <v>102.9799999999967</v>
      </c>
      <c r="P179" t="n">
        <v>76.52465744591797</v>
      </c>
      <c r="Q179" t="n">
        <v>52.14630070528574</v>
      </c>
      <c r="R179" t="n">
        <v>68.80000000000345</v>
      </c>
      <c r="S179" t="n">
        <v>77.43863864196814</v>
      </c>
      <c r="T179" t="n">
        <v>41.1045412005451</v>
      </c>
    </row>
    <row r="180">
      <c r="O180" t="n">
        <v>103.5599999999965</v>
      </c>
      <c r="P180" t="n">
        <v>76.47584109544668</v>
      </c>
      <c r="Q180" t="n">
        <v>51.6825329552737</v>
      </c>
      <c r="R180" t="n">
        <v>69.20000000000337</v>
      </c>
      <c r="S180" t="n">
        <v>77.31056923028996</v>
      </c>
      <c r="T180" t="n">
        <v>41.12933835609226</v>
      </c>
    </row>
    <row r="181">
      <c r="O181" t="n">
        <v>104.1599999999964</v>
      </c>
      <c r="P181" t="n">
        <v>76.45387923360045</v>
      </c>
      <c r="Q181" t="n">
        <v>50.54718547147473</v>
      </c>
      <c r="R181" t="n">
        <v>69.60000000000329</v>
      </c>
      <c r="S181" t="n">
        <v>77.17753537350367</v>
      </c>
      <c r="T181" t="n">
        <v>41.1545462751958</v>
      </c>
    </row>
    <row r="182">
      <c r="O182" t="n">
        <v>104.7599999999963</v>
      </c>
      <c r="P182" t="n">
        <v>76.58244200875352</v>
      </c>
      <c r="Q182" t="n">
        <v>49.71904096671403</v>
      </c>
      <c r="R182" t="n">
        <v>70.00000000000321</v>
      </c>
      <c r="S182" t="n">
        <v>77.03939051732722</v>
      </c>
      <c r="T182" t="n">
        <v>41.18017846333595</v>
      </c>
    </row>
    <row r="183">
      <c r="O183" t="n">
        <v>105.3599999999962</v>
      </c>
      <c r="P183" t="n">
        <v>76.82359113174361</v>
      </c>
      <c r="Q183" t="n">
        <v>49.12020828989591</v>
      </c>
      <c r="R183" t="n">
        <v>70.40000000000313</v>
      </c>
      <c r="S183" t="n">
        <v>76.89598499913097</v>
      </c>
      <c r="T183" t="n">
        <v>41.20624784025449</v>
      </c>
    </row>
    <row r="184">
      <c r="O184" t="n">
        <v>105.9599999999961</v>
      </c>
      <c r="P184" t="n">
        <v>77.14895647734043</v>
      </c>
      <c r="Q184" t="n">
        <v>48.69383659731272</v>
      </c>
      <c r="R184" t="n">
        <v>70.80000000000305</v>
      </c>
      <c r="S184" t="n">
        <v>76.74716618179681</v>
      </c>
      <c r="T184" t="n">
        <v>41.23276673389023</v>
      </c>
    </row>
    <row r="185">
      <c r="O185" t="n">
        <v>106.5599999999959</v>
      </c>
      <c r="P185" t="n">
        <v>77.53719386868536</v>
      </c>
      <c r="Q185" t="n">
        <v>48.39806294039238</v>
      </c>
      <c r="R185" t="n">
        <v>71.20000000000297</v>
      </c>
      <c r="S185" t="n">
        <v>76.59277858113735</v>
      </c>
      <c r="T185" t="n">
        <v>41.25974687340789</v>
      </c>
    </row>
    <row r="186">
      <c r="O186" t="n">
        <v>107.1599999999958</v>
      </c>
      <c r="P186" t="n">
        <v>77.97215776917844</v>
      </c>
      <c r="Q186" t="n">
        <v>48.20180403593349</v>
      </c>
      <c r="R186" t="n">
        <v>71.60000000000289</v>
      </c>
      <c r="S186" t="n">
        <v>76.43266398619376</v>
      </c>
      <c r="T186" t="n">
        <v>41.28719938103137</v>
      </c>
    </row>
    <row r="187">
      <c r="O187" t="n">
        <v>107.7599999999957</v>
      </c>
      <c r="P187" t="n">
        <v>78.44157793239449</v>
      </c>
      <c r="Q187" t="n">
        <v>48.08180084865648</v>
      </c>
      <c r="R187" t="n">
        <v>72.00000000000281</v>
      </c>
      <c r="S187" t="n">
        <v>76.26666157215348</v>
      </c>
      <c r="T187" t="n">
        <v>41.31513476254008</v>
      </c>
    </row>
    <row r="188">
      <c r="O188" t="n">
        <v>108.3599999999956</v>
      </c>
      <c r="P188" t="n">
        <v>78.93609361925552</v>
      </c>
      <c r="Q188" t="n">
        <v>48.02052260925171</v>
      </c>
      <c r="R188" t="n">
        <v>72.40000000000273</v>
      </c>
      <c r="S188" t="n">
        <v>76.09460800597326</v>
      </c>
      <c r="T188" t="n">
        <v>41.34356289640971</v>
      </c>
    </row>
    <row r="189">
      <c r="O189" t="n">
        <v>108.9599999999955</v>
      </c>
      <c r="P189" t="n">
        <v>79.44854338745658</v>
      </c>
      <c r="Q189" t="n">
        <v>48.00466636684598</v>
      </c>
      <c r="R189" t="n">
        <v>72.80000000000265</v>
      </c>
      <c r="S189" t="n">
        <v>75.91633754507299</v>
      </c>
      <c r="T189" t="n">
        <v>41.37249302169357</v>
      </c>
    </row>
    <row r="190">
      <c r="O190" t="n">
        <v>109.5599999999953</v>
      </c>
      <c r="P190" t="n">
        <v>79.97343895320407</v>
      </c>
      <c r="Q190" t="n">
        <v>48.02407331357608</v>
      </c>
      <c r="R190" t="n">
        <v>73.20000000000258</v>
      </c>
      <c r="S190" t="n">
        <v>75.73168212966183</v>
      </c>
      <c r="T190" t="n">
        <v>41.40193372482503</v>
      </c>
    </row>
    <row r="191">
      <c r="O191" t="n">
        <v>110.1599999999952</v>
      </c>
      <c r="P191" t="n">
        <v>80.50657264317337</v>
      </c>
      <c r="Q191" t="n">
        <v>48.07093956936683</v>
      </c>
      <c r="R191" t="n">
        <v>73.6000000000025</v>
      </c>
      <c r="S191" t="n">
        <v>75.54047146941545</v>
      </c>
      <c r="T191" t="n">
        <v>41.43189292560584</v>
      </c>
    </row>
    <row r="192">
      <c r="O192" t="n">
        <v>110.7599999999951</v>
      </c>
      <c r="P192" t="n">
        <v>81.04472252335648</v>
      </c>
      <c r="Q192" t="n">
        <v>48.13923690236726</v>
      </c>
      <c r="R192" t="n">
        <v>74.00000000000242</v>
      </c>
      <c r="S192" t="n">
        <v>75.34253312530311</v>
      </c>
      <c r="T192" t="n">
        <v>41.46237786269404</v>
      </c>
    </row>
    <row r="193">
      <c r="O193" t="n">
        <v>111.359999999995</v>
      </c>
      <c r="P193" t="n">
        <v>81.58542945989301</v>
      </c>
      <c r="Q193" t="n">
        <v>48.22428440851127</v>
      </c>
      <c r="R193" t="n">
        <v>74.40000000000234</v>
      </c>
      <c r="S193" t="n">
        <v>75.13769258741131</v>
      </c>
      <c r="T193" t="n">
        <v>41.49339507895326</v>
      </c>
    </row>
    <row r="194">
      <c r="O194" t="n">
        <v>111.9599999999949</v>
      </c>
      <c r="P194" t="n">
        <v>82.12682751738356</v>
      </c>
      <c r="Q194" t="n">
        <v>48.32242961961964</v>
      </c>
      <c r="R194" t="n">
        <v>74.80000000000226</v>
      </c>
      <c r="S194" t="n">
        <v>74.92577334961197</v>
      </c>
      <c r="T194" t="n">
        <v>41.52495040704702</v>
      </c>
    </row>
    <row r="195">
      <c r="O195" t="n">
        <v>112.5599999999947</v>
      </c>
      <c r="P195" t="n">
        <v>82.66751416726652</v>
      </c>
      <c r="Q195" t="n">
        <v>48.43080953905394</v>
      </c>
      <c r="R195" t="n">
        <v>75.20000000000218</v>
      </c>
      <c r="S195" t="n">
        <v>74.70659698189552</v>
      </c>
      <c r="T195" t="n">
        <v>41.55704895567942</v>
      </c>
    </row>
    <row r="196">
      <c r="O196" t="n">
        <v>113.1599999999946</v>
      </c>
      <c r="P196" t="n">
        <v>83.20645039737096</v>
      </c>
      <c r="Q196" t="n">
        <v>48.54717047632118</v>
      </c>
      <c r="R196" t="n">
        <v>75.6000000000021</v>
      </c>
      <c r="S196" t="n">
        <v>74.47998320112782</v>
      </c>
      <c r="T196" t="n">
        <v>41.58969509688626</v>
      </c>
    </row>
    <row r="197">
      <c r="O197" t="n">
        <v>113.7599999999945</v>
      </c>
      <c r="P197" t="n">
        <v>83.74288341753849</v>
      </c>
      <c r="Q197" t="n">
        <v>48.66973143082851</v>
      </c>
      <c r="R197" t="n">
        <v>76.00000000000202</v>
      </c>
      <c r="S197" t="n">
        <v>74.24574994092076</v>
      </c>
      <c r="T197" t="n">
        <v>41.62289245477024</v>
      </c>
    </row>
    <row r="198">
      <c r="O198" t="n">
        <v>114.3599999999944</v>
      </c>
      <c r="P198" t="n">
        <v>84.27628654357838</v>
      </c>
      <c r="Q198" t="n">
        <v>48.79707993739754</v>
      </c>
      <c r="R198" t="n">
        <v>76.40000000000194</v>
      </c>
      <c r="S198" t="n">
        <v>74.0037134212143</v>
      </c>
      <c r="T198" t="n">
        <v>41.65664389606548</v>
      </c>
    </row>
    <row r="199">
      <c r="O199" t="n">
        <v>114.9599999999943</v>
      </c>
      <c r="P199" t="n">
        <v>84.8063122194288</v>
      </c>
      <c r="Q199" t="n">
        <v>48.9280922563882</v>
      </c>
      <c r="R199" t="n">
        <v>76.80000000000186</v>
      </c>
      <c r="S199" t="n">
        <v>73.75368821806434</v>
      </c>
      <c r="T199" t="n">
        <v>41.69095152288946</v>
      </c>
    </row>
    <row r="200">
      <c r="O200" t="n">
        <v>115.5599999999941</v>
      </c>
      <c r="P200" t="n">
        <v>85.33275514938482</v>
      </c>
      <c r="Q200" t="n">
        <v>49.06187192632768</v>
      </c>
      <c r="R200" t="n">
        <v>77.20000000000178</v>
      </c>
      <c r="S200" t="n">
        <v>73.49548733403323</v>
      </c>
      <c r="T200" t="n">
        <v>41.72581666801545</v>
      </c>
    </row>
    <row r="201">
      <c r="O201" t="n">
        <v>116.159999999994</v>
      </c>
      <c r="P201" t="n">
        <v>85.85552325968703</v>
      </c>
      <c r="Q201" t="n">
        <v>49.19770224199652</v>
      </c>
      <c r="R201" t="n">
        <v>77.6000000000017</v>
      </c>
      <c r="S201" t="n">
        <v>73.22892226946638</v>
      </c>
      <c r="T201" t="n">
        <v>41.76123989296684</v>
      </c>
    </row>
    <row r="202">
      <c r="O202" t="n">
        <v>116.7599999999939</v>
      </c>
      <c r="P202" t="n">
        <v>86.37461476382722</v>
      </c>
      <c r="Q202" t="n">
        <v>49.33500934667961</v>
      </c>
      <c r="R202" t="n">
        <v>78.00000000000162</v>
      </c>
      <c r="S202" t="n">
        <v>72.953803094835</v>
      </c>
      <c r="T202" t="n">
        <v>41.79722098919598</v>
      </c>
    </row>
    <row r="203">
      <c r="O203" t="n">
        <v>117.3599999999938</v>
      </c>
      <c r="P203" t="n">
        <v>86.8901000181832</v>
      </c>
      <c r="Q203" t="n">
        <v>49.47333345131096</v>
      </c>
      <c r="R203" t="n">
        <v>78.40000000000154</v>
      </c>
      <c r="S203" t="n">
        <v>72.66993852422438</v>
      </c>
      <c r="T203" t="n">
        <v>41.83375898257322</v>
      </c>
    </row>
    <row r="204">
      <c r="O204" t="n">
        <v>117.9599999999937</v>
      </c>
      <c r="P204" t="n">
        <v>87.40210716344161</v>
      </c>
      <c r="Q204" t="n">
        <v>49.6123063020442</v>
      </c>
      <c r="R204" t="n">
        <v>78.80000000000146</v>
      </c>
      <c r="S204" t="n">
        <v>72.37713598994708</v>
      </c>
      <c r="T204" t="n">
        <v>41.87085214136744</v>
      </c>
    </row>
    <row r="205">
      <c r="O205" t="n">
        <v>118.5599999999936</v>
      </c>
      <c r="P205" t="n">
        <v>87.91081077645092</v>
      </c>
      <c r="Q205" t="n">
        <v>49.75163346804891</v>
      </c>
      <c r="R205" t="n">
        <v>79.20000000000138</v>
      </c>
      <c r="S205" t="n">
        <v>72.07520171817407</v>
      </c>
      <c r="T205" t="n">
        <v>41.90849798785371</v>
      </c>
    </row>
    <row r="206">
      <c r="O206" t="n">
        <v>119.1599999999934</v>
      </c>
      <c r="P206" t="n">
        <v>88.41642292915138</v>
      </c>
      <c r="Q206" t="n">
        <v>49.8910803583658</v>
      </c>
      <c r="R206" t="n">
        <v>79.6000000000013</v>
      </c>
      <c r="S206" t="n">
        <v>71.7639408053946</v>
      </c>
      <c r="T206" t="n">
        <v>41.94669331364099</v>
      </c>
    </row>
    <row r="207">
      <c r="O207" t="n">
        <v>119.7599999999933</v>
      </c>
      <c r="P207" t="n">
        <v>88.91918617948795</v>
      </c>
      <c r="Q207" t="n">
        <v>50.03046112978768</v>
      </c>
      <c r="R207" t="n">
        <v>80.00000000000122</v>
      </c>
      <c r="S207" t="n">
        <v>71.44315729544556</v>
      </c>
      <c r="T207" t="n">
        <v>41.98543419876057</v>
      </c>
    </row>
    <row r="208">
      <c r="O208" t="n">
        <v>120.3599999999932</v>
      </c>
      <c r="P208" t="n">
        <v>89.41936811569919</v>
      </c>
      <c r="Q208" t="n">
        <v>50.1696298397444</v>
      </c>
      <c r="R208" t="n">
        <v>80.40000000000114</v>
      </c>
      <c r="S208" t="n">
        <v>71.11265425679287</v>
      </c>
      <c r="T208" t="n">
        <v>42.02471603451028</v>
      </c>
    </row>
    <row r="209">
      <c r="O209" t="n">
        <v>120.9599999999931</v>
      </c>
      <c r="P209" t="n">
        <v>89.91725714856129</v>
      </c>
      <c r="Q209" t="n">
        <v>50.30847334497241</v>
      </c>
      <c r="R209" t="n">
        <v>80.80000000000106</v>
      </c>
      <c r="S209" t="n">
        <v>70.77223385969342</v>
      </c>
      <c r="T209" t="n">
        <v>42.06453354999928</v>
      </c>
    </row>
    <row r="210">
      <c r="O210" t="n">
        <v>121.559999999993</v>
      </c>
      <c r="P210" t="n">
        <v>90.413159302667</v>
      </c>
      <c r="Q210" t="n">
        <v>50.44690555995328</v>
      </c>
      <c r="R210" t="n">
        <v>81.20000000000098</v>
      </c>
      <c r="S210" t="n">
        <v>70.42169745283672</v>
      </c>
      <c r="T210" t="n">
        <v>42.10488084229041</v>
      </c>
    </row>
    <row r="211">
      <c r="O211" t="n">
        <v>122.1599999999928</v>
      </c>
      <c r="P211" t="n">
        <v>90.9073958023577</v>
      </c>
      <c r="Q211" t="n">
        <v>50.58486277696352</v>
      </c>
      <c r="R211" t="n">
        <v>81.6000000000009</v>
      </c>
      <c r="S211" t="n">
        <v>70.06084563903107</v>
      </c>
      <c r="T211" t="n">
        <v>42.14575140998863</v>
      </c>
    </row>
    <row r="212">
      <c r="O212" t="n">
        <v>122.7599999999927</v>
      </c>
      <c r="P212" t="n">
        <v>91.4003012840769</v>
      </c>
      <c r="Q212" t="n">
        <v>50.72229981817782</v>
      </c>
      <c r="R212" t="n">
        <v>81.68000000000089</v>
      </c>
      <c r="S212" t="n">
        <v>69.98741983238004</v>
      </c>
      <c r="T212" t="n">
        <v>42.15398770447729</v>
      </c>
    </row>
    <row r="213">
      <c r="O213" t="n">
        <v>123.3599999999926</v>
      </c>
      <c r="P213" t="n">
        <v>91.89222249698267</v>
      </c>
      <c r="Q213" t="n">
        <v>50.85918684392891</v>
      </c>
      <c r="R213" t="n">
        <v>81.96000000000083</v>
      </c>
      <c r="S213" t="n">
        <v>70.55691521030565</v>
      </c>
      <c r="T213" t="n">
        <v>42.59404155677015</v>
      </c>
    </row>
    <row r="214">
      <c r="O214" t="n">
        <v>123.9599999999925</v>
      </c>
      <c r="P214" t="n">
        <v>92.38351737876066</v>
      </c>
      <c r="Q214" t="n">
        <v>50.99550668280801</v>
      </c>
      <c r="R214" t="n">
        <v>82.36000000000075</v>
      </c>
      <c r="S214" t="n">
        <v>71.32674928388413</v>
      </c>
      <c r="T214" t="n">
        <v>43.15325232453603</v>
      </c>
    </row>
    <row r="215">
      <c r="O215" t="n">
        <v>124.5599999999924</v>
      </c>
      <c r="P215" t="n">
        <v>92.87455441606259</v>
      </c>
      <c r="Q215" t="n">
        <v>51.13125258230588</v>
      </c>
      <c r="R215" t="n">
        <v>82.76000000000067</v>
      </c>
      <c r="S215" t="n">
        <v>72.05154049467752</v>
      </c>
      <c r="T215" t="n">
        <v>43.64312833688962</v>
      </c>
    </row>
    <row r="216">
      <c r="O216" t="n">
        <v>125.1599999999922</v>
      </c>
      <c r="P216" t="n">
        <v>93.3657122170037</v>
      </c>
      <c r="Q216" t="n">
        <v>51.26642630305741</v>
      </c>
      <c r="R216" t="n">
        <v>83.16000000000059</v>
      </c>
      <c r="S216" t="n">
        <v>72.73733361452855</v>
      </c>
      <c r="T216" t="n">
        <v>44.07514814290676</v>
      </c>
    </row>
    <row r="217">
      <c r="O217" t="n">
        <v>125.7599999999921</v>
      </c>
      <c r="P217" t="n">
        <v>93.85737924004678</v>
      </c>
      <c r="Q217" t="n">
        <v>51.40103649931712</v>
      </c>
      <c r="R217" t="n">
        <v>83.56000000000051</v>
      </c>
      <c r="S217" t="n">
        <v>73.38920310624492</v>
      </c>
      <c r="T217" t="n">
        <v>44.45877337257554</v>
      </c>
    </row>
    <row r="218">
      <c r="O218" t="n">
        <v>126.359999999992</v>
      </c>
      <c r="P218" t="n">
        <v>94.3499536372212</v>
      </c>
      <c r="Q218" t="n">
        <v>51.53509734232341</v>
      </c>
      <c r="R218" t="n">
        <v>83.96000000000043</v>
      </c>
      <c r="S218" t="n">
        <v>74.01142021252009</v>
      </c>
      <c r="T218" t="n">
        <v>44.80181533712857</v>
      </c>
    </row>
    <row r="219">
      <c r="O219" t="n">
        <v>126.9599999999919</v>
      </c>
      <c r="P219" t="n">
        <v>94.84384318162409</v>
      </c>
      <c r="Q219" t="n">
        <v>51.6686273538229</v>
      </c>
      <c r="R219" t="n">
        <v>84.36000000000035</v>
      </c>
      <c r="S219" t="n">
        <v>74.60759050785882</v>
      </c>
      <c r="T219" t="n">
        <v>45.11073428266525</v>
      </c>
    </row>
    <row r="220">
      <c r="O220" t="n">
        <v>127.5599999999918</v>
      </c>
      <c r="P220" t="n">
        <v>95.33946525915182</v>
      </c>
      <c r="Q220" t="n">
        <v>51.80164842459152</v>
      </c>
      <c r="R220" t="n">
        <v>84.76000000000028</v>
      </c>
      <c r="S220" t="n">
        <v>75.18076709137775</v>
      </c>
      <c r="T220" t="n">
        <v>45.39088329611866</v>
      </c>
    </row>
    <row r="221">
      <c r="O221" t="n">
        <v>128.1599999999918</v>
      </c>
      <c r="P221" t="n">
        <v>95.83724691271115</v>
      </c>
      <c r="Q221" t="n">
        <v>51.93418499809081</v>
      </c>
      <c r="R221" t="n">
        <v>85.1600000000002</v>
      </c>
      <c r="S221" t="n">
        <v>75.7335437637696</v>
      </c>
      <c r="T221" t="n">
        <v>45.6467069947401</v>
      </c>
    </row>
    <row r="222">
      <c r="O222" t="n">
        <v>128.7599999999921</v>
      </c>
      <c r="P222" t="n">
        <v>96.33762493385443</v>
      </c>
      <c r="Q222" t="n">
        <v>52.06626340293349</v>
      </c>
      <c r="R222" t="n">
        <v>85.56000000000012</v>
      </c>
      <c r="S222" t="n">
        <v>76.26813179017427</v>
      </c>
      <c r="T222" t="n">
        <v>45.88190341042412</v>
      </c>
    </row>
    <row r="223">
      <c r="O223" t="n">
        <v>129.3599999999924</v>
      </c>
      <c r="P223" t="n">
        <v>96.84104600191266</v>
      </c>
      <c r="Q223" t="n">
        <v>52.1979113200498</v>
      </c>
      <c r="R223" t="n">
        <v>85.96000000000004</v>
      </c>
      <c r="S223" t="n">
        <v>76.78642321422676</v>
      </c>
      <c r="T223" t="n">
        <v>46.09955597767373</v>
      </c>
    </row>
    <row r="224">
      <c r="O224" t="n">
        <v>129.9599999999927</v>
      </c>
      <c r="P224" t="n">
        <v>97.34796687436136</v>
      </c>
      <c r="Q224" t="n">
        <v>52.32915737168651</v>
      </c>
      <c r="R224" t="n">
        <v>86.35999999999996</v>
      </c>
      <c r="S224" t="n">
        <v>77.29004315361833</v>
      </c>
      <c r="T224" t="n">
        <v>46.30224126080799</v>
      </c>
    </row>
    <row r="225">
      <c r="O225" t="n">
        <v>130.559999999993</v>
      </c>
      <c r="P225" t="n">
        <v>97.85885463434191</v>
      </c>
      <c r="Q225" t="n">
        <v>52.4600308199357</v>
      </c>
      <c r="R225" t="n">
        <v>86.75999999999988</v>
      </c>
      <c r="S225" t="n">
        <v>77.7803930637611</v>
      </c>
      <c r="T225" t="n">
        <v>46.49211699732496</v>
      </c>
    </row>
    <row r="226">
      <c r="O226" t="n">
        <v>131.1599999999933</v>
      </c>
      <c r="P226" t="n">
        <v>98.37418700207721</v>
      </c>
      <c r="Q226" t="n">
        <v>52.59056136262109</v>
      </c>
      <c r="R226" t="n">
        <v>87.1599999999998</v>
      </c>
      <c r="S226" t="n">
        <v>78.25868659117025</v>
      </c>
      <c r="T226" t="n">
        <v>46.67099416468034</v>
      </c>
    </row>
    <row r="227">
      <c r="O227" t="n">
        <v>131.7599999999936</v>
      </c>
      <c r="P227" t="n">
        <v>98.89445271638004</v>
      </c>
      <c r="Q227" t="n">
        <v>52.72077901426712</v>
      </c>
      <c r="R227" t="n">
        <v>87.55999999999972</v>
      </c>
      <c r="S227" t="n">
        <v>78.72597933959554</v>
      </c>
      <c r="T227" t="n">
        <v>46.84039606902587</v>
      </c>
    </row>
    <row r="228">
      <c r="O228" t="n">
        <v>132.3599999999939</v>
      </c>
      <c r="P228" t="n">
        <v>99.42015199070839</v>
      </c>
      <c r="Q228" t="n">
        <v>52.8507140597269</v>
      </c>
      <c r="R228" t="n">
        <v>87.95999999999964</v>
      </c>
      <c r="S228" t="n">
        <v>79.18319362847815</v>
      </c>
      <c r="T228" t="n">
        <v>47.00160687983771</v>
      </c>
    </row>
    <row r="229">
      <c r="O229" t="n">
        <v>132.9599999999942</v>
      </c>
      <c r="P229" t="n">
        <v>99.95179704536746</v>
      </c>
      <c r="Q229" t="n">
        <v>52.98039706801899</v>
      </c>
      <c r="R229" t="n">
        <v>88.35999999999956</v>
      </c>
      <c r="S229" t="n">
        <v>79.63113912520697</v>
      </c>
      <c r="T229" t="n">
        <v>47.15571157004035</v>
      </c>
    </row>
    <row r="230">
      <c r="O230" t="n">
        <v>133.5599999999945</v>
      </c>
      <c r="P230" t="n">
        <v>100.4899127135599</v>
      </c>
      <c r="Q230" t="n">
        <v>53.10985895412034</v>
      </c>
      <c r="R230" t="n">
        <v>88.75999999999948</v>
      </c>
      <c r="S230" t="n">
        <v>80.07053007159581</v>
      </c>
      <c r="T230" t="n">
        <v>47.30362884671911</v>
      </c>
    </row>
    <row r="231">
      <c r="O231" t="n">
        <v>134.1599999999948</v>
      </c>
      <c r="P231" t="n">
        <v>101.0350371140628</v>
      </c>
      <c r="Q231" t="n">
        <v>53.23913107708279</v>
      </c>
      <c r="R231" t="n">
        <v>89.1599999999994</v>
      </c>
      <c r="S231" t="n">
        <v>80.5019996941103</v>
      </c>
      <c r="T231" t="n">
        <v>47.44613835575103</v>
      </c>
    </row>
    <row r="232">
      <c r="O232" t="n">
        <v>134.7599999999951</v>
      </c>
      <c r="P232" t="n">
        <v>101.587722376862</v>
      </c>
      <c r="Q232" t="n">
        <v>53.36824536401116</v>
      </c>
      <c r="R232" t="n">
        <v>89.55999999999932</v>
      </c>
      <c r="S232" t="n">
        <v>80.92611228096979</v>
      </c>
      <c r="T232" t="n">
        <v>47.58390320059732</v>
      </c>
    </row>
    <row r="233">
      <c r="O233" t="n">
        <v>135.3599999999954</v>
      </c>
      <c r="P233" t="n">
        <v>102.1485353986916</v>
      </c>
      <c r="Q233" t="n">
        <v>53.49723445151193</v>
      </c>
      <c r="R233" t="n">
        <v>89.95999999999924</v>
      </c>
      <c r="S233" t="n">
        <v>81.34337332269723</v>
      </c>
      <c r="T233" t="n">
        <v>47.71748861962345</v>
      </c>
    </row>
    <row r="234">
      <c r="O234" t="n">
        <v>135.9599999999957</v>
      </c>
      <c r="P234" t="n">
        <v>102.7180585880965</v>
      </c>
      <c r="Q234" t="n">
        <v>53.62613183986582</v>
      </c>
      <c r="R234" t="n">
        <v>90.35999999999916</v>
      </c>
      <c r="S234" t="n">
        <v>81.75423804223279</v>
      </c>
      <c r="T234" t="n">
        <v>47.84737750838588</v>
      </c>
    </row>
    <row r="235">
      <c r="O235" t="n">
        <v>136.5599999999961</v>
      </c>
      <c r="P235" t="n">
        <v>103.2968905166999</v>
      </c>
      <c r="Q235" t="n">
        <v>53.75497206239396</v>
      </c>
      <c r="R235" t="n">
        <v>90.75999999999908</v>
      </c>
      <c r="S235" t="n">
        <v>82.1591185832888</v>
      </c>
      <c r="T235" t="n">
        <v>47.97398334583488</v>
      </c>
    </row>
    <row r="236">
      <c r="O236" t="n">
        <v>137.1599999999964</v>
      </c>
      <c r="P236" t="n">
        <v>103.8856462418678</v>
      </c>
      <c r="Q236" t="n">
        <v>53.88379089047601</v>
      </c>
      <c r="R236" t="n">
        <v>91.159999999999</v>
      </c>
      <c r="S236" t="n">
        <v>82.55839007878645</v>
      </c>
      <c r="T236" t="n">
        <v>48.09766098038949</v>
      </c>
    </row>
    <row r="237">
      <c r="O237" t="n">
        <v>137.7599999999967</v>
      </c>
      <c r="P237" t="n">
        <v>104.4849560366697</v>
      </c>
      <c r="Q237" t="n">
        <v>54.01262566531307</v>
      </c>
      <c r="R237" t="n">
        <v>91.55999999999892</v>
      </c>
      <c r="S237" t="n">
        <v>82.95239578291327</v>
      </c>
      <c r="T237" t="n">
        <v>48.21871564846339</v>
      </c>
    </row>
    <row r="238">
      <c r="O238" t="n">
        <v>138.359999999997</v>
      </c>
      <c r="P238" t="n">
        <v>105.0954376426288</v>
      </c>
      <c r="Q238" t="n">
        <v>54.14151709403643</v>
      </c>
      <c r="R238" t="n">
        <v>91.95999999999884</v>
      </c>
      <c r="S238" t="n">
        <v>83.34145141901804</v>
      </c>
      <c r="T238" t="n">
        <v>48.33741053045145</v>
      </c>
    </row>
    <row r="239">
      <c r="O239" t="n">
        <v>138.9599999999973</v>
      </c>
      <c r="P239" t="n">
        <v>105.7177367229772</v>
      </c>
      <c r="Q239" t="n">
        <v>54.27051280275805</v>
      </c>
      <c r="R239" t="n">
        <v>92.35999999999876</v>
      </c>
      <c r="S239" t="n">
        <v>83.72584886988761</v>
      </c>
      <c r="T239" t="n">
        <v>48.45397309432394</v>
      </c>
    </row>
    <row r="240">
      <c r="O240" t="n">
        <v>139.5599999999976</v>
      </c>
      <c r="P240" t="n">
        <v>106.3525633316649</v>
      </c>
      <c r="Q240" t="n">
        <v>54.39966274428832</v>
      </c>
      <c r="R240" t="n">
        <v>92.75999999999868</v>
      </c>
      <c r="S240" t="n">
        <v>84.10585931586722</v>
      </c>
      <c r="T240" t="n">
        <v>48.56860043234786</v>
      </c>
    </row>
    <row r="241">
      <c r="O241" t="n">
        <v>140.1599999999979</v>
      </c>
      <c r="P241" t="n">
        <v>107.0006552388836</v>
      </c>
      <c r="Q241" t="n">
        <v>54.52901677256921</v>
      </c>
      <c r="R241" t="n">
        <v>93.1599999999986</v>
      </c>
      <c r="S241" t="n">
        <v>84.48173590892593</v>
      </c>
      <c r="T241" t="n">
        <v>48.68146376006678</v>
      </c>
    </row>
    <row r="242">
      <c r="O242" t="n">
        <v>140.7599999999982</v>
      </c>
      <c r="P242" t="n">
        <v>107.6627748323013</v>
      </c>
      <c r="Q242" t="n">
        <v>54.65862408045916</v>
      </c>
      <c r="R242" t="n">
        <v>93.55999999999852</v>
      </c>
      <c r="S242" t="n">
        <v>84.85371605647462</v>
      </c>
      <c r="T242" t="n">
        <v>48.79271221698161</v>
      </c>
    </row>
    <row r="243">
      <c r="O243" t="n">
        <v>141.3599999999985</v>
      </c>
      <c r="P243" t="n">
        <v>108.3397083995558</v>
      </c>
      <c r="Q243" t="n">
        <v>54.78853285073421</v>
      </c>
      <c r="R243" t="n">
        <v>93.95999999999844</v>
      </c>
      <c r="S243" t="n">
        <v>85.22202337688857</v>
      </c>
      <c r="T243" t="n">
        <v>48.90247608404974</v>
      </c>
    </row>
    <row r="244">
      <c r="O244" t="n">
        <v>141.9599999999988</v>
      </c>
      <c r="P244" t="n">
        <v>109.0322660060369</v>
      </c>
      <c r="Q244" t="n">
        <v>54.91878999575943</v>
      </c>
      <c r="R244" t="n">
        <v>94.35999999999837</v>
      </c>
      <c r="S244" t="n">
        <v>85.58686937885585</v>
      </c>
      <c r="T244" t="n">
        <v>49.01086951319064</v>
      </c>
    </row>
    <row r="245">
      <c r="O245" t="n">
        <v>142.5599999999991</v>
      </c>
      <c r="P245" t="n">
        <v>109.7412816486945</v>
      </c>
      <c r="Q245" t="n">
        <v>55.04944095154815</v>
      </c>
      <c r="R245" t="n">
        <v>94.75999999999829</v>
      </c>
      <c r="S245" t="n">
        <v>85.94845490847811</v>
      </c>
      <c r="T245" t="n">
        <v>49.11799284760457</v>
      </c>
    </row>
    <row r="246">
      <c r="O246" t="n">
        <v>143.1599999999994</v>
      </c>
      <c r="P246" t="n">
        <v>110.4676135906425</v>
      </c>
      <c r="Q246" t="n">
        <v>55.18052951399045</v>
      </c>
      <c r="R246" t="n">
        <v>95.15999999999821</v>
      </c>
      <c r="S246" t="n">
        <v>86.30697140116983</v>
      </c>
      <c r="T246" t="n">
        <v>49.22393459822541</v>
      </c>
    </row>
    <row r="247">
      <c r="O247" t="n">
        <v>143.7599999999997</v>
      </c>
      <c r="P247" t="n">
        <v>111.2121448459886</v>
      </c>
      <c r="Q247" t="n">
        <v>55.31209771279987</v>
      </c>
      <c r="R247" t="n">
        <v>95.55999999999813</v>
      </c>
      <c r="S247" t="n">
        <v>86.6626019696199</v>
      </c>
      <c r="T247" t="n">
        <v>49.32877313050625</v>
      </c>
    </row>
    <row r="248">
      <c r="O248" t="n">
        <v>144.36</v>
      </c>
      <c r="P248" t="n">
        <v>111.9757838071907</v>
      </c>
      <c r="Q248" t="n">
        <v>55.44418572169002</v>
      </c>
      <c r="R248" t="n">
        <v>95.95999999999805</v>
      </c>
      <c r="S248" t="n">
        <v>87.01552235417361</v>
      </c>
      <c r="T248" t="n">
        <v>49.43257810656053</v>
      </c>
    </row>
    <row r="249">
      <c r="O249" t="n">
        <v>144.9600000000003</v>
      </c>
      <c r="P249" t="n">
        <v>112.759465015127</v>
      </c>
      <c r="Q249" t="n">
        <v>55.57683180425687</v>
      </c>
      <c r="R249" t="n">
        <v>96.35999999999797</v>
      </c>
      <c r="S249" t="n">
        <v>87.36590175782047</v>
      </c>
      <c r="T249" t="n">
        <v>49.53541172008732</v>
      </c>
    </row>
    <row r="250">
      <c r="O250" t="n">
        <v>145.5600000000007</v>
      </c>
      <c r="P250" t="n">
        <v>113.5641500728109</v>
      </c>
      <c r="Q250" t="n">
        <v>55.71007229488674</v>
      </c>
      <c r="R250" t="n">
        <v>96.75999999999789</v>
      </c>
      <c r="S250" t="n">
        <v>87.71390358439932</v>
      </c>
      <c r="T250" t="n">
        <v>49.63732975524556</v>
      </c>
    </row>
    <row r="251">
      <c r="O251" t="n">
        <v>146.160000000001</v>
      </c>
      <c r="P251" t="n">
        <v>114.3908287010073</v>
      </c>
      <c r="Q251" t="n">
        <v>55.84394161348735</v>
      </c>
      <c r="R251" t="n">
        <v>97.15999999999781</v>
      </c>
      <c r="S251" t="n">
        <v>88.05968609557664</v>
      </c>
      <c r="T251" t="n">
        <v>49.73838249544929</v>
      </c>
    </row>
    <row r="252">
      <c r="O252" t="n">
        <v>146.7600000000013</v>
      </c>
      <c r="P252" t="n">
        <v>115.2405199288074</v>
      </c>
      <c r="Q252" t="n">
        <v>55.97847231189303</v>
      </c>
      <c r="R252" t="n">
        <v>97.55999999999773</v>
      </c>
      <c r="S252" t="n">
        <v>88.40340299951457</v>
      </c>
      <c r="T252" t="n">
        <v>49.83861550378714</v>
      </c>
    </row>
    <row r="253">
      <c r="O253" t="n">
        <v>147.3600000000016</v>
      </c>
      <c r="P253" t="n">
        <v>116.1142734059573</v>
      </c>
      <c r="Q253" t="n">
        <v>56.1136951488545</v>
      </c>
      <c r="R253" t="n">
        <v>97.95999999999765</v>
      </c>
      <c r="S253" t="n">
        <v>88.74520398188636</v>
      </c>
      <c r="T253" t="n">
        <v>49.93807029322659</v>
      </c>
    </row>
    <row r="254">
      <c r="O254" t="n">
        <v>147.9600000000019</v>
      </c>
      <c r="P254" t="n">
        <v>117.0131708168679</v>
      </c>
      <c r="Q254" t="n">
        <v>56.24963918955984</v>
      </c>
      <c r="R254" t="n">
        <v>98.35999999999757</v>
      </c>
      <c r="S254" t="n">
        <v>89.08523518797503</v>
      </c>
      <c r="T254" t="n">
        <v>50.03678490187446</v>
      </c>
    </row>
    <row r="255">
      <c r="O255" t="n">
        <v>148.5600000000022</v>
      </c>
      <c r="P255" t="n">
        <v>117.9383273694541</v>
      </c>
      <c r="Q255" t="n">
        <v>56.38633192470616</v>
      </c>
      <c r="R255" t="n">
        <v>98.75999999999749</v>
      </c>
      <c r="S255" t="n">
        <v>89.4236396629388</v>
      </c>
      <c r="T255" t="n">
        <v>50.13479438617338</v>
      </c>
    </row>
    <row r="256">
      <c r="O256" t="n">
        <v>149.1600000000025</v>
      </c>
      <c r="P256" t="n">
        <v>118.8908933267455</v>
      </c>
      <c r="Q256" t="n">
        <v>56.52379940374567</v>
      </c>
      <c r="R256" t="n">
        <v>99.15999999999741</v>
      </c>
      <c r="S256" t="n">
        <v>89.76055775595064</v>
      </c>
      <c r="T256" t="n">
        <v>50.2321312429595</v>
      </c>
    </row>
    <row r="257">
      <c r="O257" t="n">
        <v>149.7600000000028</v>
      </c>
      <c r="P257" t="n">
        <v>119.8720555436657</v>
      </c>
      <c r="Q257" t="n">
        <v>56.66206637590187</v>
      </c>
      <c r="R257" t="n">
        <v>99.55999999999733</v>
      </c>
      <c r="S257" t="n">
        <v>90.09612749277204</v>
      </c>
      <c r="T257" t="n">
        <v>50.32882576971514</v>
      </c>
    </row>
    <row r="258">
      <c r="O258" t="n">
        <v>150.3600000000031</v>
      </c>
      <c r="P258" t="n">
        <v>120.8830389706143</v>
      </c>
      <c r="Q258" t="n">
        <v>56.80115643305157</v>
      </c>
      <c r="R258" t="n">
        <v>99.95999999999725</v>
      </c>
      <c r="S258" t="n">
        <v>90.43048492037099</v>
      </c>
      <c r="T258" t="n">
        <v>50.42490637103242</v>
      </c>
    </row>
    <row r="259">
      <c r="O259" t="n">
        <v>150.9600000000034</v>
      </c>
      <c r="P259" t="n">
        <v>121.9251080843191</v>
      </c>
      <c r="Q259" t="n">
        <v>56.94109214805724</v>
      </c>
      <c r="R259" t="n">
        <v>100.3599999999972</v>
      </c>
      <c r="S259" t="n">
        <v>90.76376442645301</v>
      </c>
      <c r="T259" t="n">
        <v>50.52039981824504</v>
      </c>
    </row>
    <row r="260">
      <c r="O260" t="n">
        <v>151.5600000000037</v>
      </c>
      <c r="P260" t="n">
        <v>122.999568209785</v>
      </c>
      <c r="Q260" t="n">
        <v>57.08189520272811</v>
      </c>
      <c r="R260" t="n">
        <v>100.7599999999971</v>
      </c>
      <c r="S260" t="n">
        <v>91.09609903615683</v>
      </c>
      <c r="T260" t="n">
        <v>50.6153314682914</v>
      </c>
    </row>
    <row r="261">
      <c r="O261" t="n">
        <v>152.160000000004</v>
      </c>
      <c r="P261" t="n">
        <v>124.1077667023314</v>
      </c>
      <c r="Q261" t="n">
        <v>57.22358650006845</v>
      </c>
      <c r="R261" t="n">
        <v>101.159999999997</v>
      </c>
      <c r="S261" t="n">
        <v>91.42762068771961</v>
      </c>
      <c r="T261" t="n">
        <v>50.70972544714317</v>
      </c>
    </row>
    <row r="262">
      <c r="O262" t="n">
        <v>152.7600000000043</v>
      </c>
      <c r="P262" t="n">
        <v>125.251093966633</v>
      </c>
      <c r="Q262" t="n">
        <v>57.36618625626647</v>
      </c>
      <c r="R262" t="n">
        <v>101.5599999999969</v>
      </c>
      <c r="S262" t="n">
        <v>91.75846048867342</v>
      </c>
      <c r="T262" t="n">
        <v>50.80360480261118</v>
      </c>
    </row>
    <row r="263">
      <c r="O263" t="n">
        <v>153.3600000000046</v>
      </c>
      <c r="P263" t="n">
        <v>126.4309842995293</v>
      </c>
      <c r="Q263" t="n">
        <v>57.50971406883997</v>
      </c>
      <c r="R263" t="n">
        <v>101.9599999999969</v>
      </c>
      <c r="S263" t="n">
        <v>92.08874895350785</v>
      </c>
      <c r="T263" t="n">
        <v>50.89699163050386</v>
      </c>
    </row>
    <row r="264">
      <c r="O264" t="n">
        <v>153.960000000005</v>
      </c>
      <c r="P264" t="n">
        <v>127.6489165547411</v>
      </c>
      <c r="Q264" t="n">
        <v>57.6541889584654</v>
      </c>
      <c r="R264" t="n">
        <v>102.3599999999968</v>
      </c>
      <c r="S264" t="n">
        <v>92.41861622434929</v>
      </c>
      <c r="T264" t="n">
        <v>50.98990717830554</v>
      </c>
    </row>
    <row r="265">
      <c r="O265" t="n">
        <v>154.5600000000053</v>
      </c>
      <c r="P265" t="n">
        <v>128.9064146396462</v>
      </c>
      <c r="Q265" t="n">
        <v>57.79962938322308</v>
      </c>
      <c r="R265" t="n">
        <v>102.7599999999967</v>
      </c>
      <c r="S265" t="n">
        <v>92.74819227514841</v>
      </c>
      <c r="T265" t="n">
        <v>51.08237192937702</v>
      </c>
    </row>
    <row r="266">
      <c r="O266" t="n">
        <v>155.1600000000056</v>
      </c>
      <c r="P266" t="n">
        <v>130.2050478660304</v>
      </c>
      <c r="Q266" t="n">
        <v>57.94605322522227</v>
      </c>
      <c r="R266" t="n">
        <v>103.1599999999966</v>
      </c>
      <c r="S266" t="n">
        <v>93.07760710058886</v>
      </c>
      <c r="T266" t="n">
        <v>51.17440567095491</v>
      </c>
    </row>
    <row r="267">
      <c r="O267" t="n">
        <v>155.7600000000059</v>
      </c>
      <c r="P267" t="n">
        <v>131.5464311874189</v>
      </c>
      <c r="Q267" t="n">
        <v>58.0934777507934</v>
      </c>
      <c r="R267" t="n">
        <v>103.5599999999965</v>
      </c>
      <c r="S267" t="n">
        <v>93.4069908905216</v>
      </c>
      <c r="T267" t="n">
        <v>51.26602754861062</v>
      </c>
    </row>
    <row r="268">
      <c r="O268" t="n">
        <v>156.3600000000062</v>
      </c>
      <c r="P268" t="n">
        <v>132.9322253642599</v>
      </c>
      <c r="Q268" t="n">
        <v>58.24191954656476</v>
      </c>
      <c r="R268" t="n">
        <v>103.9599999999965</v>
      </c>
      <c r="S268" t="n">
        <v>93.73647419087169</v>
      </c>
      <c r="T268" t="n">
        <v>51.35725610963692</v>
      </c>
    </row>
    <row r="269">
      <c r="O269" t="n">
        <v>156.9600000000065</v>
      </c>
      <c r="P269" t="n">
        <v>134.3641371041418</v>
      </c>
      <c r="Q269" t="n">
        <v>58.39139443474483</v>
      </c>
      <c r="R269" t="n">
        <v>104.3599999999964</v>
      </c>
      <c r="S269" t="n">
        <v>94.06618805197898</v>
      </c>
      <c r="T269" t="n">
        <v>51.44810933756423</v>
      </c>
    </row>
    <row r="270">
      <c r="O270" t="n">
        <v>157.5600000000068</v>
      </c>
      <c r="P270" t="n">
        <v>135.8439192268453</v>
      </c>
      <c r="Q270" t="n">
        <v>58.54191737172789</v>
      </c>
      <c r="R270" t="n">
        <v>104.7599999999963</v>
      </c>
      <c r="S270" t="n">
        <v>94.39626416537477</v>
      </c>
      <c r="T270" t="n">
        <v>51.53860467976074</v>
      </c>
    </row>
    <row r="271">
      <c r="O271" t="n">
        <v>158.1600000000071</v>
      </c>
      <c r="P271" t="n">
        <v>137.3733709030169</v>
      </c>
      <c r="Q271" t="n">
        <v>58.69350233472937</v>
      </c>
      <c r="R271" t="n">
        <v>105.1599999999962</v>
      </c>
      <c r="S271" t="n">
        <v>94.72683499004877</v>
      </c>
      <c r="T271" t="n">
        <v>51.62875906984641</v>
      </c>
    </row>
    <row r="272">
      <c r="O272" t="n">
        <v>158.7600000000074</v>
      </c>
      <c r="P272" t="n">
        <v>138.9543380105439</v>
      </c>
      <c r="Q272" t="n">
        <v>58.84616220146597</v>
      </c>
      <c r="R272" t="n">
        <v>105.5599999999961</v>
      </c>
      <c r="S272" t="n">
        <v>95.0580338693225</v>
      </c>
      <c r="T272" t="n">
        <v>51.71858894644288</v>
      </c>
    </row>
    <row r="273">
      <c r="O273" t="n">
        <v>159.3600000000077</v>
      </c>
      <c r="P273" t="n">
        <v>140.5887136446974</v>
      </c>
      <c r="Q273" t="n">
        <v>58.99990862797051</v>
      </c>
      <c r="R273" t="n">
        <v>105.9599999999961</v>
      </c>
      <c r="S273" t="n">
        <v>95.38999513946911</v>
      </c>
      <c r="T273" t="n">
        <v>51.80811026956769</v>
      </c>
    </row>
    <row r="274">
      <c r="O274" t="n">
        <v>159.960000000008</v>
      </c>
      <c r="P274" t="n">
        <v>142.2784388071739</v>
      </c>
      <c r="Q274" t="n">
        <v>59.15475192943268</v>
      </c>
      <c r="R274" t="n">
        <v>106.359999999996</v>
      </c>
      <c r="S274" t="n">
        <v>95.72285423128595</v>
      </c>
      <c r="T274" t="n">
        <v>51.89733853580674</v>
      </c>
    </row>
    <row r="275">
      <c r="O275" t="n">
        <v>160.5600000000083</v>
      </c>
      <c r="P275" t="n">
        <v>144.0255032863002</v>
      </c>
      <c r="Q275" t="n">
        <v>59.3107009685574</v>
      </c>
      <c r="R275" t="n">
        <v>106.7599999999959</v>
      </c>
      <c r="S275" t="n">
        <v>96.05674776583126</v>
      </c>
      <c r="T275" t="n">
        <v>51.98628879320199</v>
      </c>
    </row>
    <row r="276">
      <c r="O276" t="n">
        <v>161.1600000000086</v>
      </c>
      <c r="P276" t="n">
        <v>145.8319467267966</v>
      </c>
      <c r="Q276" t="n">
        <v>59.46776305535303</v>
      </c>
      <c r="R276" t="n">
        <v>107.1599999999958</v>
      </c>
      <c r="S276" t="n">
        <v>96.39181364555483</v>
      </c>
      <c r="T276" t="n">
        <v>52.07497565663164</v>
      </c>
    </row>
    <row r="277">
      <c r="O277" t="n">
        <v>161.7600000000089</v>
      </c>
      <c r="P277" t="n">
        <v>147.6998598737426</v>
      </c>
      <c r="Q277" t="n">
        <v>59.6259438615632</v>
      </c>
      <c r="R277" t="n">
        <v>107.5599999999957</v>
      </c>
      <c r="S277" t="n">
        <v>96.72819114205937</v>
      </c>
      <c r="T277" t="n">
        <v>52.16341332429647</v>
      </c>
    </row>
    <row r="278">
      <c r="O278" t="n">
        <v>162.3600000000093</v>
      </c>
      <c r="P278" t="n">
        <v>149.6313859629343</v>
      </c>
      <c r="Q278" t="n">
        <v>59.78524735219321</v>
      </c>
      <c r="R278" t="n">
        <v>107.9599999999957</v>
      </c>
      <c r="S278" t="n">
        <v>97.06602098168095</v>
      </c>
      <c r="T278" t="n">
        <v>52.25161559577236</v>
      </c>
    </row>
    <row r="279">
      <c r="O279" t="n">
        <v>162.9600000000096</v>
      </c>
      <c r="P279" t="n">
        <v>151.6287222195955</v>
      </c>
      <c r="Q279" t="n">
        <v>59.9456757358015</v>
      </c>
      <c r="R279" t="n">
        <v>108.3599999999956</v>
      </c>
      <c r="S279" t="n">
        <v>97.40544543005284</v>
      </c>
      <c r="T279" t="n">
        <v>52.33959589195342</v>
      </c>
    </row>
    <row r="280">
      <c r="O280" t="n">
        <v>163.5600000000099</v>
      </c>
      <c r="P280" t="n">
        <v>153.6941214203316</v>
      </c>
      <c r="Q280" t="n">
        <v>60.10722943447627</v>
      </c>
      <c r="R280" t="n">
        <v>108.7599999999955</v>
      </c>
      <c r="S280" t="n">
        <v>97.74660837673899</v>
      </c>
      <c r="T280" t="n">
        <v>52.42736727707813</v>
      </c>
    </row>
    <row r="281">
      <c r="O281" t="n">
        <v>164.1600000000102</v>
      </c>
      <c r="P281" t="n">
        <v>155.8298934696488</v>
      </c>
      <c r="Q281" t="n">
        <v>60.26990707371954</v>
      </c>
      <c r="R281" t="n">
        <v>109.1599999999954</v>
      </c>
      <c r="S281" t="n">
        <v>98.08965542092544</v>
      </c>
      <c r="T281" t="n">
        <v>52.51494248291345</v>
      </c>
    </row>
    <row r="282">
      <c r="O282" t="n">
        <v>164.7600000000105</v>
      </c>
      <c r="P282" t="n">
        <v>158.0384069425623</v>
      </c>
      <c r="Q282" t="n">
        <v>60.4337054918243</v>
      </c>
      <c r="R282" t="n">
        <v>109.5599999999953</v>
      </c>
      <c r="S282" t="n">
        <v>98.43473395905853</v>
      </c>
      <c r="T282" t="n">
        <v>52.60233393506775</v>
      </c>
    </row>
    <row r="283">
      <c r="O283" t="n">
        <v>165.3600000000108</v>
      </c>
      <c r="P283" t="n">
        <v>160.3220905485873</v>
      </c>
      <c r="Q283" t="n">
        <v>60.59861976779587</v>
      </c>
      <c r="R283" t="n">
        <v>109.9599999999953</v>
      </c>
      <c r="S283" t="n">
        <v>98.78199327516404</v>
      </c>
      <c r="T283" t="n">
        <v>52.68955378130886</v>
      </c>
    </row>
    <row r="284">
      <c r="O284" t="n">
        <v>165.9600000000111</v>
      </c>
      <c r="P284" t="n">
        <v>162.6834344790619</v>
      </c>
      <c r="Q284" t="n">
        <v>60.76464326638813</v>
      </c>
      <c r="R284" t="n">
        <v>110.3599999999952</v>
      </c>
      <c r="S284" t="n">
        <v>99.1315846344405</v>
      </c>
      <c r="T284" t="n">
        <v>52.77661392168966</v>
      </c>
    </row>
    <row r="285">
      <c r="O285" t="n">
        <v>166.5600000000114</v>
      </c>
      <c r="P285" t="n">
        <v>165.1249916086687</v>
      </c>
      <c r="Q285" t="n">
        <v>60.93176769843467</v>
      </c>
      <c r="R285" t="n">
        <v>110.7599999999951</v>
      </c>
      <c r="S285" t="n">
        <v>99.48366138052897</v>
      </c>
      <c r="T285" t="n">
        <v>52.86352604021408</v>
      </c>
    </row>
    <row r="286">
      <c r="O286" t="n">
        <v>167.1600000000117</v>
      </c>
      <c r="P286" t="n">
        <v>167.6493785320922</v>
      </c>
      <c r="Q286" t="n">
        <v>61.09998319434135</v>
      </c>
      <c r="R286" t="n">
        <v>111.159999999995</v>
      </c>
      <c r="S286" t="n">
        <v>99.83837903666816</v>
      </c>
      <c r="T286" t="n">
        <v>52.95030163773583</v>
      </c>
    </row>
    <row r="287">
      <c r="O287" t="n">
        <v>167.760000000012</v>
      </c>
      <c r="P287" t="n">
        <v>170.2592764270304</v>
      </c>
      <c r="Q287" t="n">
        <v>61.26927838835513</v>
      </c>
      <c r="R287" t="n">
        <v>111.5599999999949</v>
      </c>
      <c r="S287" t="n">
        <v>100.1958954107264</v>
      </c>
      <c r="T287" t="n">
        <v>53.03695206574503</v>
      </c>
    </row>
    <row r="288">
      <c r="O288" t="n">
        <v>168.3600000000123</v>
      </c>
      <c r="P288" t="n">
        <v>172.9574317443338</v>
      </c>
      <c r="Q288" t="n">
        <v>61.43964051106565</v>
      </c>
      <c r="R288" t="n">
        <v>111.9599999999949</v>
      </c>
      <c r="S288" t="n">
        <v>100.5563707038469</v>
      </c>
      <c r="T288" t="n">
        <v>53.12348856068968</v>
      </c>
    </row>
    <row r="289">
      <c r="O289" t="n">
        <v>168.9600000000126</v>
      </c>
      <c r="P289" t="n">
        <v>175.746656734094</v>
      </c>
      <c r="Q289" t="n">
        <v>61.61105548751186</v>
      </c>
      <c r="R289" t="n">
        <v>112.3599999999948</v>
      </c>
      <c r="S289" t="n">
        <v>100.9199676221892</v>
      </c>
      <c r="T289" t="n">
        <v>53.20992227849422</v>
      </c>
    </row>
    <row r="290">
      <c r="O290" t="n">
        <v>169.5600000000129</v>
      </c>
      <c r="P290" t="n">
        <v>178.6298298225521</v>
      </c>
      <c r="Q290" t="n">
        <v>61.78350803827482</v>
      </c>
      <c r="R290" t="n">
        <v>112.7599999999947</v>
      </c>
      <c r="S290" t="n">
        <v>101.2868514908772</v>
      </c>
      <c r="T290" t="n">
        <v>53.29626432896021</v>
      </c>
    </row>
    <row r="291">
      <c r="O291" t="n">
        <v>170.1600000000132</v>
      </c>
      <c r="P291" t="n">
        <v>181.6098958585254</v>
      </c>
      <c r="Q291" t="n">
        <v>61.95698178103976</v>
      </c>
      <c r="R291" t="n">
        <v>113.1599999999946</v>
      </c>
      <c r="S291" t="n">
        <v>101.6571903688425</v>
      </c>
      <c r="T291" t="n">
        <v>53.38252580981566</v>
      </c>
    </row>
    <row r="292">
      <c r="O292" t="n">
        <v>170.7600000000135</v>
      </c>
      <c r="P292" t="n">
        <v>184.6898662497478</v>
      </c>
      <c r="Q292" t="n">
        <v>62.13145933031535</v>
      </c>
      <c r="R292" t="n">
        <v>113.5599999999945</v>
      </c>
      <c r="S292" t="n">
        <v>102.031155162583</v>
      </c>
      <c r="T292" t="n">
        <v>53.46871784029048</v>
      </c>
    </row>
    <row r="293">
      <c r="O293" t="n">
        <v>171.3600000000139</v>
      </c>
      <c r="P293" t="n">
        <v>187.8728190092448</v>
      </c>
      <c r="Q293" t="n">
        <v>62.30692239327323</v>
      </c>
      <c r="R293" t="n">
        <v>113.9599999999945</v>
      </c>
      <c r="S293" t="n">
        <v>102.4089197357358</v>
      </c>
      <c r="T293" t="n">
        <v>53.55485159428736</v>
      </c>
    </row>
    <row r="294">
      <c r="O294" t="n">
        <v>171.9600000000142</v>
      </c>
      <c r="P294" t="n">
        <v>191.1618987303578</v>
      </c>
      <c r="Q294" t="n">
        <v>62.48335186004942</v>
      </c>
      <c r="R294" t="n">
        <v>114.3599999999944</v>
      </c>
      <c r="S294" t="n">
        <v>102.7906610092384</v>
      </c>
      <c r="T294" t="n">
        <v>53.64093833354798</v>
      </c>
    </row>
    <row r="295">
      <c r="O295" t="n">
        <v>172.5600000000145</v>
      </c>
      <c r="P295" t="n">
        <v>194.5603165064977</v>
      </c>
      <c r="Q295" t="n">
        <v>62.66072788725728</v>
      </c>
      <c r="R295" t="n">
        <v>114.7599999999943</v>
      </c>
      <c r="S295" t="n">
        <v>103.1765590421153</v>
      </c>
      <c r="T295" t="n">
        <v>53.72698944182395</v>
      </c>
    </row>
    <row r="296">
      <c r="O296" t="n">
        <v>173.1600000000148</v>
      </c>
      <c r="P296" t="n">
        <v>198.0713498090715</v>
      </c>
      <c r="Q296" t="n">
        <v>62.83902997393221</v>
      </c>
      <c r="R296" t="n">
        <v>115.1599999999942</v>
      </c>
      <c r="S296" t="n">
        <v>103.5667970706979</v>
      </c>
      <c r="T296" t="n">
        <v>53.81301646234169</v>
      </c>
    </row>
    <row r="297">
      <c r="O297" t="n">
        <v>173.7600000000151</v>
      </c>
      <c r="P297" t="n">
        <v>201.6983423345037</v>
      </c>
      <c r="Q297" t="n">
        <v>63.01823702957824</v>
      </c>
      <c r="R297" t="n">
        <v>115.5599999999941</v>
      </c>
      <c r="S297" t="n">
        <v>103.9615614441406</v>
      </c>
      <c r="T297" t="n">
        <v>53.89903114404956</v>
      </c>
    </row>
    <row r="298">
      <c r="O298" t="n">
        <v>174.3600000000154</v>
      </c>
      <c r="P298" t="n">
        <v>205.4447038294305</v>
      </c>
      <c r="Q298" t="n">
        <v>63.19832743443681</v>
      </c>
      <c r="R298" t="n">
        <v>115.9599999999941</v>
      </c>
      <c r="S298" t="n">
        <v>104.3610411931683</v>
      </c>
      <c r="T298" t="n">
        <v>53.98504551318763</v>
      </c>
    </row>
    <row r="299">
      <c r="O299" t="n">
        <v>174.9600000000157</v>
      </c>
      <c r="P299" t="n">
        <v>209.31390990211</v>
      </c>
      <c r="Q299" t="n">
        <v>63.37927909248856</v>
      </c>
      <c r="R299" t="n">
        <v>116.359999999994</v>
      </c>
      <c r="S299" t="n">
        <v>104.7654216337321</v>
      </c>
      <c r="T299" t="n">
        <v>54.07107212586595</v>
      </c>
    </row>
    <row r="300">
      <c r="O300" t="n">
        <v>175.3400000000159</v>
      </c>
      <c r="P300" t="n">
        <v>208.8119428974903</v>
      </c>
      <c r="Q300" t="n">
        <v>63.10563548728987</v>
      </c>
      <c r="R300" t="n">
        <v>116.7599999999939</v>
      </c>
      <c r="S300" t="n">
        <v>105.1748817455286</v>
      </c>
      <c r="T300" t="n">
        <v>54.1571251616615</v>
      </c>
    </row>
    <row r="301">
      <c r="O301" t="n">
        <v>175.9400000000162</v>
      </c>
      <c r="P301" t="n">
        <v>205.969331407847</v>
      </c>
      <c r="Q301" t="n">
        <v>62.42288252619562</v>
      </c>
      <c r="R301" t="n">
        <v>117.1599999999938</v>
      </c>
      <c r="S301" t="n">
        <v>105.5896240724574</v>
      </c>
      <c r="T301" t="n">
        <v>54.24321989094358</v>
      </c>
    </row>
    <row r="302">
      <c r="O302" t="n">
        <v>176.5400000000165</v>
      </c>
      <c r="P302" t="n">
        <v>203.3069080005933</v>
      </c>
      <c r="Q302" t="n">
        <v>61.78309600357431</v>
      </c>
      <c r="R302" t="n">
        <v>117.5599999999937</v>
      </c>
      <c r="S302" t="n">
        <v>106.0098596941171</v>
      </c>
      <c r="T302" t="n">
        <v>54.32937170821725</v>
      </c>
    </row>
    <row r="303">
      <c r="O303" t="n">
        <v>177.1400000000168</v>
      </c>
      <c r="P303" t="n">
        <v>200.8130473194028</v>
      </c>
      <c r="Q303" t="n">
        <v>61.18353152025998</v>
      </c>
      <c r="R303" t="n">
        <v>117.9599999999937</v>
      </c>
      <c r="S303" t="n">
        <v>106.4358051303661</v>
      </c>
      <c r="T303" t="n">
        <v>54.41559596047244</v>
      </c>
    </row>
    <row r="304">
      <c r="O304" t="n">
        <v>177.7400000000171</v>
      </c>
      <c r="P304" t="n">
        <v>198.4768868235719</v>
      </c>
      <c r="Q304" t="n">
        <v>60.62162305136633</v>
      </c>
      <c r="R304" t="n">
        <v>118.3599999999936</v>
      </c>
      <c r="S304" t="n">
        <v>106.8676818536559</v>
      </c>
      <c r="T304" t="n">
        <v>54.50190786640246</v>
      </c>
    </row>
    <row r="305">
      <c r="O305" t="n">
        <v>178.3400000000174</v>
      </c>
      <c r="P305" t="n">
        <v>196.2882771624523</v>
      </c>
      <c r="Q305" t="n">
        <v>60.09497129775235</v>
      </c>
      <c r="R305" t="n">
        <v>118.7599999999935</v>
      </c>
      <c r="S305" t="n">
        <v>107.3057161002585</v>
      </c>
      <c r="T305" t="n">
        <v>54.58832246177678</v>
      </c>
    </row>
    <row r="306">
      <c r="O306" t="n">
        <v>178.9400000000177</v>
      </c>
      <c r="P306" t="n">
        <v>194.2377354319506</v>
      </c>
      <c r="Q306" t="n">
        <v>59.60133275397072</v>
      </c>
      <c r="R306" t="n">
        <v>119.1599999999934</v>
      </c>
      <c r="S306" t="n">
        <v>107.7501387901117</v>
      </c>
      <c r="T306" t="n">
        <v>54.67485455766291</v>
      </c>
    </row>
    <row r="307">
      <c r="O307" t="n">
        <v>179.540000000018</v>
      </c>
      <c r="P307" t="n">
        <v>192.3164012235457</v>
      </c>
      <c r="Q307" t="n">
        <v>59.13860946074567</v>
      </c>
      <c r="R307" t="n">
        <v>119.5599999999934</v>
      </c>
      <c r="S307" t="n">
        <v>108.2011854990817</v>
      </c>
      <c r="T307" t="n">
        <v>54.76151870634192</v>
      </c>
    </row>
    <row r="308">
      <c r="O308" t="n">
        <v>180.1400000000183</v>
      </c>
      <c r="P308" t="n">
        <v>190.5159953668903</v>
      </c>
      <c r="Q308" t="n">
        <v>58.70483940943177</v>
      </c>
      <c r="R308" t="n">
        <v>119.9599999999933</v>
      </c>
      <c r="S308" t="n">
        <v>108.659096461691</v>
      </c>
      <c r="T308" t="n">
        <v>54.84832917254153</v>
      </c>
    </row>
    <row r="309">
      <c r="O309" t="n">
        <v>180.7400000000187</v>
      </c>
      <c r="P309" t="n">
        <v>188.8287812585565</v>
      </c>
      <c r="Q309" t="n">
        <v>58.29818756548036</v>
      </c>
      <c r="R309" t="n">
        <v>120.3599999999932</v>
      </c>
      <c r="S309" t="n">
        <v>109.1241165944349</v>
      </c>
      <c r="T309" t="n">
        <v>54.93529990879699</v>
      </c>
    </row>
    <row r="310">
      <c r="O310" t="n">
        <v>181.340000000019</v>
      </c>
      <c r="P310" t="n">
        <v>187.2475286624799</v>
      </c>
      <c r="Q310" t="n">
        <v>57.9169374778163</v>
      </c>
      <c r="R310" t="n">
        <v>120.7599999999931</v>
      </c>
      <c r="S310" t="n">
        <v>109.5964955349732</v>
      </c>
      <c r="T310" t="n">
        <v>55.02244453432422</v>
      </c>
    </row>
    <row r="311">
      <c r="O311" t="n">
        <v>181.9400000000193</v>
      </c>
      <c r="P311" t="n">
        <v>185.7654798627677</v>
      </c>
      <c r="Q311" t="n">
        <v>57.55948344121941</v>
      </c>
      <c r="R311" t="n">
        <v>121.159999999993</v>
      </c>
      <c r="S311" t="n">
        <v>110.0764876949365</v>
      </c>
      <c r="T311" t="n">
        <v>55.10977631710909</v>
      </c>
    </row>
    <row r="312">
      <c r="O312" t="n">
        <v>182.5400000000196</v>
      </c>
      <c r="P312" t="n">
        <v>184.3763180464507</v>
      </c>
      <c r="Q312" t="n">
        <v>57.22432317930156</v>
      </c>
      <c r="R312" t="n">
        <v>121.559999999993</v>
      </c>
      <c r="S312" t="n">
        <v>110.5643523253597</v>
      </c>
      <c r="T312" t="n">
        <v>55.19730815906291</v>
      </c>
    </row>
    <row r="313">
      <c r="O313" t="n">
        <v>183.1400000000199</v>
      </c>
      <c r="P313" t="n">
        <v>183.0741377929149</v>
      </c>
      <c r="Q313" t="n">
        <v>56.9100510164526</v>
      </c>
      <c r="R313" t="n">
        <v>121.9599999999929</v>
      </c>
      <c r="S313" t="n">
        <v>111.0603535944041</v>
      </c>
      <c r="T313" t="n">
        <v>55.2850525841983</v>
      </c>
    </row>
    <row r="314">
      <c r="O314" t="n">
        <v>183.7400000000202</v>
      </c>
      <c r="P314" t="n">
        <v>181.8534175473206</v>
      </c>
      <c r="Q314" t="n">
        <v>56.61535150814211</v>
      </c>
      <c r="R314" t="n">
        <v>122.3599999999928</v>
      </c>
      <c r="S314" t="n">
        <v>111.5647606773446</v>
      </c>
      <c r="T314" t="n">
        <v>55.37302172979241</v>
      </c>
    </row>
    <row r="315">
      <c r="O315" t="n">
        <v>184.3400000000205</v>
      </c>
      <c r="P315" t="n">
        <v>180.7089939576148</v>
      </c>
      <c r="Q315" t="n">
        <v>56.33899350015315</v>
      </c>
      <c r="R315" t="n">
        <v>122.7599999999927</v>
      </c>
      <c r="S315" t="n">
        <v>112.0778478590072</v>
      </c>
      <c r="T315" t="n">
        <v>55.46122734057167</v>
      </c>
    </row>
    <row r="316">
      <c r="O316" t="n">
        <v>184.9400000000208</v>
      </c>
      <c r="P316" t="n">
        <v>179.6360379579951</v>
      </c>
      <c r="Q316" t="n">
        <v>56.07982458864956</v>
      </c>
      <c r="R316" t="n">
        <v>123.1599999999926</v>
      </c>
      <c r="S316" t="n">
        <v>112.5998946486454</v>
      </c>
      <c r="T316" t="n">
        <v>55.54968076583077</v>
      </c>
    </row>
    <row r="317">
      <c r="O317" t="n">
        <v>185.5400000000211</v>
      </c>
      <c r="P317" t="n">
        <v>178.6300324859814</v>
      </c>
      <c r="Q317" t="n">
        <v>55.83676595439329</v>
      </c>
      <c r="R317" t="n">
        <v>123.5599999999926</v>
      </c>
      <c r="S317" t="n">
        <v>113.1311859073757</v>
      </c>
      <c r="T317" t="n">
        <v>55.63839295950794</v>
      </c>
    </row>
    <row r="318">
      <c r="O318" t="n">
        <v>186.1400000000214</v>
      </c>
      <c r="P318" t="n">
        <v>177.6867517250704</v>
      </c>
      <c r="Q318" t="n">
        <v>55.60880754587367</v>
      </c>
      <c r="R318" t="n">
        <v>123.9599999999925</v>
      </c>
      <c r="S318" t="n">
        <v>113.672011987963</v>
      </c>
      <c r="T318" t="n">
        <v>55.72737448311</v>
      </c>
    </row>
    <row r="319">
      <c r="O319" t="n">
        <v>186.7400000000217</v>
      </c>
      <c r="P319" t="n">
        <v>176.8022417702927</v>
      </c>
      <c r="Q319" t="n">
        <v>55.39500358758858</v>
      </c>
      <c r="R319" t="n">
        <v>124.3599999999924</v>
      </c>
      <c r="S319" t="n">
        <v>114.2226688865896</v>
      </c>
      <c r="T319" t="n">
        <v>55.81663551137694</v>
      </c>
    </row>
    <row r="320">
      <c r="O320" t="n">
        <v>187.340000000022</v>
      </c>
      <c r="P320" t="n">
        <v>175.9728026195024</v>
      </c>
      <c r="Q320" t="n">
        <v>55.19446839116722</v>
      </c>
      <c r="R320" t="n">
        <v>124.7599999999923</v>
      </c>
      <c r="S320" t="n">
        <v>114.7834584059965</v>
      </c>
      <c r="T320" t="n">
        <v>55.90618584054209</v>
      </c>
    </row>
    <row r="321">
      <c r="O321" t="n">
        <v>187.9400000000223</v>
      </c>
      <c r="P321" t="n">
        <v>175.1949713988152</v>
      </c>
      <c r="Q321" t="n">
        <v>55.00637244844131</v>
      </c>
      <c r="R321" t="n">
        <v>125.1599999999922</v>
      </c>
      <c r="S321" t="n">
        <v>115.3546883291096</v>
      </c>
      <c r="T321" t="n">
        <v>55.9960348989913</v>
      </c>
    </row>
    <row r="322">
      <c r="O322" t="n">
        <v>188.5400000000226</v>
      </c>
      <c r="P322" t="n">
        <v>174.4655067363429</v>
      </c>
      <c r="Q322" t="n">
        <v>54.82993878695879</v>
      </c>
      <c r="R322" t="n">
        <v>125.5599999999922</v>
      </c>
      <c r="S322" t="n">
        <v>115.9366726020054</v>
      </c>
      <c r="T322" t="n">
        <v>56.08619176009313</v>
      </c>
    </row>
    <row r="323">
      <c r="O323" t="n">
        <v>189.140000000023</v>
      </c>
      <c r="P323" t="n">
        <v>173.7813742036862</v>
      </c>
      <c r="Q323" t="n">
        <v>54.66443956972773</v>
      </c>
      <c r="R323" t="n">
        <v>125.9599999999921</v>
      </c>
      <c r="S323" t="n">
        <v>116.5297315247942</v>
      </c>
      <c r="T323" t="n">
        <v>56.17666515694208</v>
      </c>
    </row>
    <row r="324">
      <c r="O324" t="n">
        <v>189.7400000000233</v>
      </c>
      <c r="P324" t="n">
        <v>173.1397327501817</v>
      </c>
      <c r="Q324" t="n">
        <v>54.5091929222508</v>
      </c>
      <c r="R324" t="n">
        <v>126.359999999992</v>
      </c>
      <c r="S324" t="n">
        <v>117.1341919486374</v>
      </c>
      <c r="T324" t="n">
        <v>56.26746349866505</v>
      </c>
    </row>
    <row r="325">
      <c r="O325" t="n">
        <v>190.3400000000236</v>
      </c>
      <c r="P325" t="n">
        <v>172.537922059814</v>
      </c>
      <c r="Q325" t="n">
        <v>54.36355997107057</v>
      </c>
      <c r="R325" t="n">
        <v>126.7599999999919</v>
      </c>
      <c r="S325" t="n">
        <v>117.7503874772781</v>
      </c>
      <c r="T325" t="n">
        <v>56.35859488809854</v>
      </c>
    </row>
    <row r="326">
      <c r="O326" t="n">
        <v>190.9400000000239</v>
      </c>
      <c r="P326" t="n">
        <v>171.9734507657004</v>
      </c>
      <c r="Q326" t="n">
        <v>54.22694207917095</v>
      </c>
      <c r="R326" t="n">
        <v>127.1599999999918</v>
      </c>
      <c r="S326" t="n">
        <v>118.3786586707118</v>
      </c>
      <c r="T326" t="n">
        <v>56.45006714035992</v>
      </c>
    </row>
    <row r="327">
      <c r="O327" t="n">
        <v>191.5400000000242</v>
      </c>
      <c r="P327" t="n">
        <v>171.4439854615815</v>
      </c>
      <c r="Q327" t="n">
        <v>54.09877826461104</v>
      </c>
      <c r="R327" t="n">
        <v>127.5599999999918</v>
      </c>
      <c r="S327" t="n">
        <v>119.0193532487676</v>
      </c>
      <c r="T327" t="n">
        <v>56.54188780195585</v>
      </c>
    </row>
    <row r="328">
      <c r="O328" t="n">
        <v>192.1400000000245</v>
      </c>
      <c r="P328" t="n">
        <v>170.9473404540997</v>
      </c>
      <c r="Q328" t="n">
        <v>53.97854278974637</v>
      </c>
      <c r="R328" t="n">
        <v>127.9599999999917</v>
      </c>
      <c r="S328" t="n">
        <v>119.672826292582</v>
      </c>
      <c r="T328" t="n">
        <v>56.63406417019667</v>
      </c>
    </row>
    <row r="329">
      <c r="O329" t="n">
        <v>192.7400000000248</v>
      </c>
      <c r="P329" t="n">
        <v>170.481468203681</v>
      </c>
      <c r="Q329" t="n">
        <v>53.86574290928729</v>
      </c>
      <c r="R329" t="n">
        <v>128.3599999999919</v>
      </c>
      <c r="S329" t="n">
        <v>120.3394404413576</v>
      </c>
      <c r="T329" t="n">
        <v>56.72660331241855</v>
      </c>
    </row>
    <row r="330">
      <c r="O330" t="n">
        <v>193.3400000000251</v>
      </c>
      <c r="P330" t="n">
        <v>170.0444504056509</v>
      </c>
      <c r="Q330" t="n">
        <v>53.75991676630213</v>
      </c>
      <c r="R330" t="n">
        <v>128.7599999999921</v>
      </c>
      <c r="S330" t="n">
        <v>121.0195660822454</v>
      </c>
      <c r="T330" t="n">
        <v>56.8195120847123</v>
      </c>
    </row>
    <row r="331">
      <c r="O331" t="n">
        <v>193.9400000000254</v>
      </c>
      <c r="P331" t="n">
        <v>169.6344896667153</v>
      </c>
      <c r="Q331" t="n">
        <v>53.66063142603804</v>
      </c>
      <c r="R331" t="n">
        <v>129.1599999999923</v>
      </c>
      <c r="S331" t="n">
        <v>121.7135815311694</v>
      </c>
      <c r="T331" t="n">
        <v>56.91279714980118</v>
      </c>
    </row>
    <row r="332">
      <c r="O332" t="n">
        <v>194.5400000000257</v>
      </c>
      <c r="P332" t="n">
        <v>169.2499017351863</v>
      </c>
      <c r="Q332" t="n">
        <v>53.56748103816506</v>
      </c>
      <c r="R332" t="n">
        <v>129.5599999999925</v>
      </c>
      <c r="S332" t="n">
        <v>122.4218732026393</v>
      </c>
      <c r="T332" t="n">
        <v>57.00646499374784</v>
      </c>
    </row>
    <row r="333">
      <c r="O333" t="n">
        <v>195.140000000026</v>
      </c>
      <c r="P333" t="n">
        <v>168.8891082464468</v>
      </c>
      <c r="Q333" t="n">
        <v>53.48008511872308</v>
      </c>
      <c r="R333" t="n">
        <v>129.9599999999927</v>
      </c>
      <c r="S333" t="n">
        <v>123.1448357668316</v>
      </c>
      <c r="T333" t="n">
        <v>57.10052194118612</v>
      </c>
    </row>
    <row r="334">
      <c r="O334" t="n">
        <v>195.7400000000263</v>
      </c>
      <c r="P334" t="n">
        <v>168.5506299478884</v>
      </c>
      <c r="Q334" t="n">
        <v>53.39808694367093</v>
      </c>
      <c r="R334" t="n">
        <v>130.3599999999929</v>
      </c>
      <c r="S334" t="n">
        <v>123.8828722925552</v>
      </c>
      <c r="T334" t="n">
        <v>57.19497416881438</v>
      </c>
    </row>
    <row r="335">
      <c r="O335" t="n">
        <v>196.3400000000266</v>
      </c>
      <c r="P335" t="n">
        <v>168.2330803701923</v>
      </c>
      <c r="Q335" t="n">
        <v>53.32115204650722</v>
      </c>
      <c r="R335" t="n">
        <v>130.7599999999931</v>
      </c>
      <c r="S335" t="n">
        <v>124.6363943750875</v>
      </c>
      <c r="T335" t="n">
        <v>57.2898277169154</v>
      </c>
    </row>
    <row r="336">
      <c r="O336" t="n">
        <v>196.7600000000268</v>
      </c>
      <c r="P336" t="n">
        <v>168.0225489970906</v>
      </c>
      <c r="Q336" t="n">
        <v>53.27014153055643</v>
      </c>
      <c r="R336" t="n">
        <v>131.1599999999933</v>
      </c>
      <c r="S336" t="n">
        <v>125.4058222482964</v>
      </c>
      <c r="T336" t="n">
        <v>57.38508849871619</v>
      </c>
    </row>
    <row r="337">
      <c r="O337" t="n">
        <v>196.7600000000268</v>
      </c>
      <c r="P337" t="n">
        <v>168.0225489970906</v>
      </c>
      <c r="Q337" t="n">
        <v>53.27014153055643</v>
      </c>
      <c r="R337" t="n">
        <v>131.5599999999935</v>
      </c>
      <c r="S337" t="n">
        <v>126.1915848809032</v>
      </c>
      <c r="T337" t="n">
        <v>57.48076230743959</v>
      </c>
    </row>
    <row r="338">
      <c r="R338" t="n">
        <v>131.9599999999937</v>
      </c>
      <c r="S338" t="n">
        <v>126.9941200572247</v>
      </c>
      <c r="T338" t="n">
        <v>57.57685482094678</v>
      </c>
    </row>
    <row r="339">
      <c r="R339" t="n">
        <v>132.3599999999939</v>
      </c>
      <c r="S339" t="n">
        <v>127.8138744432077</v>
      </c>
      <c r="T339" t="n">
        <v>57.6733716039231</v>
      </c>
    </row>
    <row r="340">
      <c r="R340" t="n">
        <v>132.7599999999941</v>
      </c>
      <c r="S340" t="n">
        <v>128.6513036390274</v>
      </c>
      <c r="T340" t="n">
        <v>57.77031810759973</v>
      </c>
    </row>
    <row r="341">
      <c r="R341" t="n">
        <v>133.1599999999943</v>
      </c>
      <c r="S341" t="n">
        <v>129.5068722199503</v>
      </c>
      <c r="T341" t="n">
        <v>57.86769966706021</v>
      </c>
    </row>
    <row r="342">
      <c r="R342" t="n">
        <v>133.5599999999945</v>
      </c>
      <c r="S342" t="n">
        <v>130.3810537675722</v>
      </c>
      <c r="T342" t="n">
        <v>57.96552149622107</v>
      </c>
    </row>
    <row r="343">
      <c r="R343" t="n">
        <v>133.9599999999947</v>
      </c>
      <c r="S343" t="n">
        <v>131.2743308938512</v>
      </c>
      <c r="T343" t="n">
        <v>58.06378868062541</v>
      </c>
    </row>
    <row r="344">
      <c r="R344" t="n">
        <v>134.3599999999949</v>
      </c>
      <c r="S344" t="n">
        <v>132.1871952606189</v>
      </c>
      <c r="T344" t="n">
        <v>58.16250616822111</v>
      </c>
    </row>
    <row r="345">
      <c r="R345" t="n">
        <v>134.7599999999951</v>
      </c>
      <c r="S345" t="n">
        <v>133.1201475974472</v>
      </c>
      <c r="T345" t="n">
        <v>58.26167875834346</v>
      </c>
    </row>
    <row r="346">
      <c r="R346" t="n">
        <v>135.1599999999953</v>
      </c>
      <c r="S346" t="n">
        <v>134.0736977207974</v>
      </c>
      <c r="T346" t="n">
        <v>58.36131108913537</v>
      </c>
    </row>
    <row r="347">
      <c r="R347" t="n">
        <v>135.5599999999955</v>
      </c>
      <c r="S347" t="n">
        <v>135.0483645574179</v>
      </c>
      <c r="T347" t="n">
        <v>58.46140762368304</v>
      </c>
    </row>
    <row r="348">
      <c r="R348" t="n">
        <v>135.9599999999957</v>
      </c>
      <c r="S348" t="n">
        <v>136.0446761747868</v>
      </c>
      <c r="T348" t="n">
        <v>58.5619726351423</v>
      </c>
    </row>
    <row r="349">
      <c r="R349" t="n">
        <v>136.3599999999959</v>
      </c>
      <c r="S349" t="n">
        <v>137.063169821267</v>
      </c>
      <c r="T349" t="n">
        <v>58.66301019116258</v>
      </c>
    </row>
    <row r="350">
      <c r="R350" t="n">
        <v>136.7599999999962</v>
      </c>
      <c r="S350" t="n">
        <v>138.1043919782657</v>
      </c>
      <c r="T350" t="n">
        <v>58.76452413789991</v>
      </c>
    </row>
    <row r="351">
      <c r="R351" t="n">
        <v>137.1599999999964</v>
      </c>
      <c r="S351" t="n">
        <v>139.1688984263885</v>
      </c>
      <c r="T351" t="n">
        <v>58.86651808392281</v>
      </c>
    </row>
    <row r="352">
      <c r="R352" t="n">
        <v>137.5599999999966</v>
      </c>
      <c r="S352" t="n">
        <v>140.2572543270911</v>
      </c>
      <c r="T352" t="n">
        <v>58.96899538430097</v>
      </c>
    </row>
    <row r="353">
      <c r="R353" t="n">
        <v>137.9599999999968</v>
      </c>
      <c r="S353" t="n">
        <v>141.3700343208473</v>
      </c>
      <c r="T353" t="n">
        <v>59.07195912514931</v>
      </c>
    </row>
    <row r="354">
      <c r="R354" t="n">
        <v>138.359999999997</v>
      </c>
      <c r="S354" t="n">
        <v>142.5078226423149</v>
      </c>
      <c r="T354" t="n">
        <v>59.17541210888317</v>
      </c>
    </row>
    <row r="355">
      <c r="R355" t="n">
        <v>138.7599999999972</v>
      </c>
      <c r="S355" t="n">
        <v>143.6712132524403</v>
      </c>
      <c r="T355" t="n">
        <v>59.27935684041779</v>
      </c>
    </row>
    <row r="356">
      <c r="R356" t="n">
        <v>139.1599999999974</v>
      </c>
      <c r="S356" t="n">
        <v>144.8608099868788</v>
      </c>
      <c r="T356" t="n">
        <v>59.38379551451737</v>
      </c>
    </row>
    <row r="357">
      <c r="R357" t="n">
        <v>139.5599999999976</v>
      </c>
      <c r="S357" t="n">
        <v>146.0772267195892</v>
      </c>
      <c r="T357" t="n">
        <v>59.48873000446599</v>
      </c>
    </row>
    <row r="358">
      <c r="R358" t="n">
        <v>139.9599999999978</v>
      </c>
      <c r="S358" t="n">
        <v>147.3210875399687</v>
      </c>
      <c r="T358" t="n">
        <v>59.59416185220914</v>
      </c>
    </row>
    <row r="359">
      <c r="R359" t="n">
        <v>140.359999999998</v>
      </c>
      <c r="S359" t="n">
        <v>148.593026941498</v>
      </c>
      <c r="T359" t="n">
        <v>59.70009226007971</v>
      </c>
    </row>
    <row r="360">
      <c r="R360" t="n">
        <v>140.7599999999982</v>
      </c>
      <c r="S360" t="n">
        <v>149.8936900194652</v>
      </c>
      <c r="T360" t="n">
        <v>59.80652208419167</v>
      </c>
    </row>
    <row r="361">
      <c r="R361" t="n">
        <v>141.1599999999984</v>
      </c>
      <c r="S361" t="n">
        <v>151.2237326751252</v>
      </c>
      <c r="T361" t="n">
        <v>59.91345182955752</v>
      </c>
    </row>
    <row r="362">
      <c r="R362" t="n">
        <v>141.5599999999986</v>
      </c>
      <c r="S362" t="n">
        <v>152.5838218234465</v>
      </c>
      <c r="T362" t="n">
        <v>60.02088164695442</v>
      </c>
    </row>
    <row r="363">
      <c r="R363" t="n">
        <v>141.9599999999988</v>
      </c>
      <c r="S363" t="n">
        <v>153.9746356015662</v>
      </c>
      <c r="T363" t="n">
        <v>60.12881133154366</v>
      </c>
    </row>
    <row r="364">
      <c r="R364" t="n">
        <v>142.359999999999</v>
      </c>
      <c r="S364" t="n">
        <v>155.3968635750326</v>
      </c>
      <c r="T364" t="n">
        <v>60.23724032321502</v>
      </c>
    </row>
    <row r="365">
      <c r="R365" t="n">
        <v>142.7599999999992</v>
      </c>
      <c r="S365" t="n">
        <v>156.8512069391447</v>
      </c>
      <c r="T365" t="n">
        <v>60.34616770861669</v>
      </c>
    </row>
    <row r="366">
      <c r="R366" t="n">
        <v>143.1599999999994</v>
      </c>
      <c r="S366" t="n">
        <v>158.3383787127952</v>
      </c>
      <c r="T366" t="n">
        <v>60.45559222479926</v>
      </c>
    </row>
    <row r="367">
      <c r="R367" t="n">
        <v>143.5599999999996</v>
      </c>
      <c r="S367" t="n">
        <v>159.8591039225768</v>
      </c>
      <c r="T367" t="n">
        <v>60.56551226439535</v>
      </c>
    </row>
    <row r="368">
      <c r="R368" t="n">
        <v>143.9599999999998</v>
      </c>
      <c r="S368" t="n">
        <v>161.4141197752283</v>
      </c>
      <c r="T368" t="n">
        <v>60.67592588223317</v>
      </c>
    </row>
    <row r="369">
      <c r="R369" t="n">
        <v>144.36</v>
      </c>
      <c r="S369" t="n">
        <v>163.0041758168837</v>
      </c>
      <c r="T369" t="n">
        <v>60.78683080327323</v>
      </c>
    </row>
    <row r="370">
      <c r="R370" t="n">
        <v>144.7600000000002</v>
      </c>
      <c r="S370" t="n">
        <v>164.6300340779626</v>
      </c>
      <c r="T370" t="n">
        <v>60.89822443173841</v>
      </c>
    </row>
    <row r="371">
      <c r="R371" t="n">
        <v>145.1600000000005</v>
      </c>
      <c r="S371" t="n">
        <v>166.2924692030064</v>
      </c>
      <c r="T371" t="n">
        <v>61.01010386130872</v>
      </c>
    </row>
    <row r="372">
      <c r="R372" t="n">
        <v>145.5600000000007</v>
      </c>
      <c r="S372" t="n">
        <v>167.9922685651046</v>
      </c>
      <c r="T372" t="n">
        <v>61.12246588623162</v>
      </c>
    </row>
    <row r="373">
      <c r="R373" t="n">
        <v>145.9600000000009</v>
      </c>
      <c r="S373" t="n">
        <v>169.7302323649803</v>
      </c>
      <c r="T373" t="n">
        <v>61.23530701320192</v>
      </c>
    </row>
    <row r="374">
      <c r="R374" t="n">
        <v>146.3600000000011</v>
      </c>
      <c r="S374" t="n">
        <v>171.5071737150655</v>
      </c>
      <c r="T374" t="n">
        <v>61.34862347385558</v>
      </c>
    </row>
    <row r="375">
      <c r="R375" t="n">
        <v>146.7600000000013</v>
      </c>
      <c r="S375" t="n">
        <v>173.3239187092792</v>
      </c>
      <c r="T375" t="n">
        <v>61.46241123772495</v>
      </c>
    </row>
    <row r="376">
      <c r="R376" t="n">
        <v>147.1600000000015</v>
      </c>
      <c r="S376" t="n">
        <v>175.181306479337</v>
      </c>
      <c r="T376" t="n">
        <v>61.57666602549705</v>
      </c>
    </row>
    <row r="377">
      <c r="R377" t="n">
        <v>147.5600000000017</v>
      </c>
      <c r="S377" t="n">
        <v>177.0801892386826</v>
      </c>
      <c r="T377" t="n">
        <v>61.69138332243074</v>
      </c>
    </row>
    <row r="378">
      <c r="R378" t="n">
        <v>147.9600000000019</v>
      </c>
      <c r="S378" t="n">
        <v>179.0214323151668</v>
      </c>
      <c r="T378" t="n">
        <v>61.80655839177916</v>
      </c>
    </row>
    <row r="379">
      <c r="R379" t="n">
        <v>148.3600000000021</v>
      </c>
      <c r="S379" t="n">
        <v>181.0059141737161</v>
      </c>
      <c r="T379" t="n">
        <v>61.9221862880899</v>
      </c>
    </row>
    <row r="380">
      <c r="R380" t="n">
        <v>148.7600000000023</v>
      </c>
      <c r="S380" t="n">
        <v>183.0345264301574</v>
      </c>
      <c r="T380" t="n">
        <v>62.03826187024492</v>
      </c>
    </row>
    <row r="381">
      <c r="R381" t="n">
        <v>149.1600000000025</v>
      </c>
      <c r="S381" t="n">
        <v>185.1081738574226</v>
      </c>
      <c r="T381" t="n">
        <v>62.15477981414199</v>
      </c>
    </row>
    <row r="382">
      <c r="R382" t="n">
        <v>149.5600000000027</v>
      </c>
      <c r="S382" t="n">
        <v>187.2277743851861</v>
      </c>
      <c r="T382" t="n">
        <v>62.27173462490225</v>
      </c>
    </row>
    <row r="383">
      <c r="R383" t="n">
        <v>149.9600000000029</v>
      </c>
      <c r="S383" t="n">
        <v>189.3942590939642</v>
      </c>
      <c r="T383" t="n">
        <v>62.38912064853525</v>
      </c>
    </row>
    <row r="384">
      <c r="R384" t="n">
        <v>150.3600000000031</v>
      </c>
      <c r="S384" t="n">
        <v>191.6085722045732</v>
      </c>
      <c r="T384" t="n">
        <v>62.50693208298662</v>
      </c>
    </row>
    <row r="385">
      <c r="R385" t="n">
        <v>150.7600000000033</v>
      </c>
      <c r="S385" t="n">
        <v>193.8716710637232</v>
      </c>
      <c r="T385" t="n">
        <v>62.62516298852989</v>
      </c>
    </row>
    <row r="386">
      <c r="R386" t="n">
        <v>151.1600000000035</v>
      </c>
      <c r="S386" t="n">
        <v>196.1845261264359</v>
      </c>
      <c r="T386" t="n">
        <v>62.7438072974644</v>
      </c>
    </row>
    <row r="387">
      <c r="R387" t="n">
        <v>151.5600000000037</v>
      </c>
      <c r="S387" t="n">
        <v>198.548120935892</v>
      </c>
      <c r="T387" t="n">
        <v>62.86285882311631</v>
      </c>
    </row>
    <row r="388">
      <c r="R388" t="n">
        <v>151.9600000000039</v>
      </c>
      <c r="S388" t="n">
        <v>200.9634521012214</v>
      </c>
      <c r="T388" t="n">
        <v>62.98231126814585</v>
      </c>
    </row>
    <row r="389">
      <c r="R389" t="n">
        <v>152.3600000000041</v>
      </c>
      <c r="S389" t="n">
        <v>203.4315292737233</v>
      </c>
      <c r="T389" t="n">
        <v>63.1021582321834</v>
      </c>
    </row>
    <row r="390">
      <c r="R390" t="n">
        <v>152.7600000000043</v>
      </c>
      <c r="S390" t="n">
        <v>205.9533751219661</v>
      </c>
      <c r="T390" t="n">
        <v>63.222393218832</v>
      </c>
    </row>
    <row r="391">
      <c r="R391" t="n">
        <v>153.1600000000045</v>
      </c>
      <c r="S391" t="n">
        <v>208.5300253062206</v>
      </c>
      <c r="T391" t="n">
        <v>63.34300964208444</v>
      </c>
    </row>
    <row r="392">
      <c r="R392" t="n">
        <v>153.4000000000047</v>
      </c>
      <c r="S392" t="n">
        <v>210.1027571879472</v>
      </c>
      <c r="T392" t="n">
        <v>63.41555981431691</v>
      </c>
    </row>
    <row r="393">
      <c r="R393" t="n">
        <v>153.4000000000047</v>
      </c>
      <c r="S393" t="n">
        <v>210.1027571879472</v>
      </c>
      <c r="T393" t="n">
        <v>63.41555981431691</v>
      </c>
    </row>
  </sheetData>
  <hyperlinks>
    <hyperlink ref="B3" location="'Übersicht'!A1" display="← zur Übersicht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2026-10-15T13:38:49Z</dcterms:created>
  <dcterms:modified xmlns:dcterms="http://purl.org/dc/terms/" xmlns:xsi="http://www.w3.org/2001/XMLSchema-instance" xsi:type="dcterms:W3CDTF">2026-10-15T13:38:49Z</dcterms:modified>
</cp:coreProperties>
</file>