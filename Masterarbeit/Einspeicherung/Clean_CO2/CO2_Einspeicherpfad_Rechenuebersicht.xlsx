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  <Override PartName="/xl/drawings/drawing_orig1.xml" ContentType="application/vnd.openxmlformats-officedocument.drawing+xml"/>
  <Override PartName="/xl/drawings/drawing_orig2.xml" ContentType="application/vnd.openxmlformats-officedocument.drawing+xml"/>
  <Override PartName="/xl/charts/chart_orig2_chart3.xml" ContentType="application/vnd.openxmlformats-officedocument.drawingml.chart+xml"/>
  <Override PartName="/xl/charts/chart_orig2_chart2.xml" ContentType="application/vnd.openxmlformats-officedocument.drawingml.chart+xml"/>
  <Override PartName="/xl/charts/chart_orig2_chart1.xml" ContentType="application/vnd.openxmlformats-officedocument.drawingml.chart+xml"/>
  <Override PartName="/xl/drawings/drawing_orig3.xml" ContentType="application/vnd.openxmlformats-officedocument.drawing+xml"/>
  <Override PartName="/xl/charts/chart_orig3_chart6.xml" ContentType="application/vnd.openxmlformats-officedocument.drawingml.chart+xml"/>
  <Override PartName="/xl/charts/chart_orig3_chart5.xml" ContentType="application/vnd.openxmlformats-officedocument.drawingml.chart+xml"/>
  <Override PartName="/xl/charts/chart_orig3_chart4.xml" ContentType="application/vnd.openxmlformats-officedocument.drawingml.chart+xml"/>
  <Override PartName="/xl/drawings/drawing_orig4.xml" ContentType="application/vnd.openxmlformats-officedocument.drawing+xml"/>
  <Override PartName="/xl/charts/chart_orig4_chart7.xml" ContentType="application/vnd.openxmlformats-officedocument.drawingml.chart+xml"/>
  <Override PartName="/xl/drawings/drawing_orig5.xml" ContentType="application/vnd.openxmlformats-officedocument.drawing+xml"/>
  <Override PartName="/xl/charts/chart_orig5_chart9.xml" ContentType="application/vnd.openxmlformats-officedocument.drawingml.chart+xml"/>
  <Override PartName="/xl/charts/chart_orig5_chart8.xml" ContentType="application/vnd.openxmlformats-officedocument.drawingml.char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Kaverne &amp; Gassäule" sheetId="2" state="visible" r:id="rId2"/>
    <sheet xmlns:r="http://schemas.openxmlformats.org/officeDocument/2006/relationships" name="Medienvergleich" sheetId="3" state="visible" r:id="rId3"/>
    <sheet xmlns:r="http://schemas.openxmlformats.org/officeDocument/2006/relationships" name="Einspeicherung S1" sheetId="4" state="visible" r:id="rId4"/>
    <sheet xmlns:r="http://schemas.openxmlformats.org/officeDocument/2006/relationships" name="Einspeicherung S2" sheetId="5" state="visible" r:id="rId5"/>
    <sheet xmlns:r="http://schemas.openxmlformats.org/officeDocument/2006/relationships" name="Kühlung" sheetId="6" state="visible" r:id="rId6"/>
    <sheet xmlns:r="http://schemas.openxmlformats.org/officeDocument/2006/relationships" name="Massenströme" sheetId="7" state="visible" r:id="rId7"/>
    <sheet xmlns:r="http://schemas.openxmlformats.org/officeDocument/2006/relationships" name="Phasendiagramm" sheetId="8" state="visible" r:id="rId8"/>
    <sheet xmlns:r="http://schemas.openxmlformats.org/officeDocument/2006/relationships" name="Annahmen &amp; Begründung" sheetId="9" state="visible" r:id="rId9"/>
    <sheet xmlns:r="http://schemas.openxmlformats.org/officeDocument/2006/relationships" name="Quellen" sheetId="10" state="visible" r:id="rId10"/>
    <sheet xmlns:r="http://schemas.openxmlformats.org/officeDocument/2006/relationships" name="Diagrammdaten" sheetId="11" state="visible" r:id="rId11"/>
  </sheets>
  <definedNames>
    <definedName name="Diagramm_dT">Diagrammdaten!$C$5</definedName>
    <definedName name="Diagramm_Tmin">Diagrammdaten!$C$4</definedName>
    <definedName name="eta">Übersicht!$F$67</definedName>
    <definedName name="eta_V1">Übersicht!$F$65</definedName>
    <definedName name="eta_V2">Übersicht!$F$66</definedName>
    <definedName name="grad_V1">Übersicht!$F$55</definedName>
    <definedName name="Kopf_grenz">'Kaverne &amp; Gassäule'!$D$19</definedName>
    <definedName name="Kopf_leer">'Kaverne &amp; Gassäule'!$D$20</definedName>
    <definedName name="Kopf_voll">'Kaverne &amp; Gassäule'!$D$18</definedName>
    <definedName name="MV_Kopf_CH4">Medienvergleich!$D$11</definedName>
    <definedName name="MV_Kopf_CO2">Medienvergleich!$C$11</definedName>
    <definedName name="MV_Kopf_H2">Medienvergleich!$E$11</definedName>
    <definedName name="p_grenz">'Kaverne &amp; Gassäule'!$C$19</definedName>
    <definedName name="p_S1">Übersicht!$F$43</definedName>
    <definedName name="p_S2">Übersicht!$F$46</definedName>
    <definedName name="p_zw">Übersicht!$F$51</definedName>
    <definedName name="pmax_V1">Übersicht!$F$56</definedName>
    <definedName name="pmin_V1">Übersicht!$F$57</definedName>
    <definedName name="rho_n">'Einspeicherung S1'!$E$19</definedName>
    <definedName name="rhoSalz_V1">Übersicht!$F$58</definedName>
    <definedName name="Stand_ok">Übersicht!$Q$39</definedName>
    <definedName name="Szen1_eta">'Einspeicherung S1'!$E$14</definedName>
    <definedName name="Szen1_h1">'Einspeicherung S1'!$E$10</definedName>
    <definedName name="Szen1_h2">'Einspeicherung S1'!$E$15</definedName>
    <definedName name="Szen1_h2s">'Einspeicherung S1'!$E$13</definedName>
    <definedName name="Szen1_mmax">'Einspeicherung S1'!$E$21</definedName>
    <definedName name="Szen1_mmin">'Einspeicherung S1'!$E$20</definedName>
    <definedName name="Szen1_p1">'Einspeicherung S1'!$E$8</definedName>
    <definedName name="Szen1_p2">'Einspeicherung S1'!$E$12</definedName>
    <definedName name="Szen1_Pmax">'Einspeicherung S1'!$E$23</definedName>
    <definedName name="Szen1_Pmin">'Einspeicherung S1'!$E$22</definedName>
    <definedName name="Szen1_s1">'Einspeicherung S1'!$E$11</definedName>
    <definedName name="Szen1_T1">'Einspeicherung S1'!$E$9</definedName>
    <definedName name="Szen1_T2">'Einspeicherung S1'!$E$16</definedName>
    <definedName name="Szen1_w">'Einspeicherung S1'!$E$18</definedName>
    <definedName name="T_maxV">Übersicht!$F$49</definedName>
    <definedName name="T_S1">Übersicht!$F$44</definedName>
    <definedName name="T_S2">Übersicht!$F$47</definedName>
    <definedName name="Tober_V1">Übersicht!$F$54</definedName>
    <definedName name="V_max">Übersicht!$F$64</definedName>
    <definedName name="V_min">Übersicht!$F$63</definedName>
    <definedName name="z_V1">Übersicht!$F$53</definedName>
    <definedName name="p_lith_V1">Übersicht!$F$73</definedName>
    <definedName name="T_Kav_V1">Übersicht!$F$72</definedName>
    <definedName name="Z_min">Übersicht!$F$68</definedName>
    <definedName name="rho_min">Übersicht!$F$69</definedName>
    <definedName name="T_ZK">Übersicht!$F$48</definedName>
    <definedName name="p_uek">Übersicht!$F$50</definedName>
    <definedName name="T_KW">Übersicht!$F$60</definedName>
    <definedName name="T_K">Übersicht!$F$61</definedName>
    <definedName name="Kopf_betr_S1">'Kaverne &amp; Gassäule'!$D$85</definedName>
    <definedName name="Kopf_betr_S2">'Kaverne &amp; Gassäule'!$D$87</definedName>
    <definedName name="Szen2_h1">'Einspeicherung S2'!$E$11</definedName>
    <definedName name="Szen2_h1s">'Einspeicherung S2'!$E$14</definedName>
    <definedName name="Szen2_h1a">'Einspeicherung S2'!$E$15</definedName>
    <definedName name="Szen2_T1a">'Einspeicherung S2'!$E$16</definedName>
    <definedName name="Szen2_w1">'Einspeicherung S2'!$E$18</definedName>
    <definedName name="Szen2_hZK">'Einspeicherung S2'!$E$21</definedName>
    <definedName name="Szen2_qZK">'Einspeicherung S2'!$E$22</definedName>
    <definedName name="Szen2_Z2">'Einspeicherung S2'!$E$23</definedName>
    <definedName name="Szen2_h2s">'Einspeicherung S2'!$E$28</definedName>
    <definedName name="Szen2_h2a">'Einspeicherung S2'!$E$29</definedName>
    <definedName name="Szen2_T2a">'Einspeicherung S2'!$E$30</definedName>
    <definedName name="Szen2_w2">'Einspeicherung S2'!$E$32</definedName>
    <definedName name="Szen2_hK">'Einspeicherung S2'!$E$35</definedName>
    <definedName name="Szen2_rhoP">'Einspeicherung S2'!$E$36</definedName>
    <definedName name="Szen2_qK">'Einspeicherung S2'!$E$38</definedName>
    <definedName name="Szen2_hPs">'Einspeicherung S2'!$E$42</definedName>
    <definedName name="Szen2_hPa">'Einspeicherung S2'!$E$43</definedName>
    <definedName name="Szen2_TPa">'Einspeicherung S2'!$E$44</definedName>
    <definedName name="Szen2_wP">'Einspeicherung S2'!$E$45</definedName>
    <definedName name="Szen2_w_ges">'Einspeicherung S2'!$E$47</definedName>
    <definedName name="Szen2_q_ges">'Einspeicherung S2'!$E$48</definedName>
    <definedName name="Szen2_Pmin">'Einspeicherung S2'!$E$49</definedName>
    <definedName name="Szen2_Pmax">'Einspeicherung S2'!$E$50</definedName>
    <definedName name="Szen2_Qmax">'Einspeicherung S2'!$E$51</definedName>
    <definedName name="Vgl_A_w">'Einspeicherung S2'!$F$67</definedName>
    <definedName name="Vgl_C_w">'Einspeicherung S2'!$F$68</definedName>
    <definedName name="Z_lit">'Kühlung'!$E$62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;;;"/>
    <numFmt numFmtId="166" formatCode="0.0000"/>
    <numFmt numFmtId="167" formatCode="0.000"/>
    <numFmt numFmtId="168" formatCode="0.0#"/>
    <numFmt numFmtId="169" formatCode="0.0##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rgb="FF00304F"/>
      <sz val="20"/>
      <scheme val="minor"/>
    </font>
    <font>
      <name val="Calibri"/>
      <family val="2"/>
      <i val="1"/>
      <color rgb="FF595959"/>
      <sz val="10"/>
      <scheme val="minor"/>
    </font>
    <font>
      <name val="Calibri"/>
      <family val="2"/>
      <b val="1"/>
      <color rgb="FF00304F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color rgb="FF40404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0476D9"/>
      <sz val="10"/>
      <u val="single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i val="1"/>
      <color rgb="FF595959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FFFF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00304F"/>
      <sz val="10"/>
      <scheme val="minor"/>
    </font>
    <font>
      <name val="Calibri"/>
      <family val="2"/>
      <b val="1"/>
      <color rgb="FF9C0006"/>
      <sz val="10"/>
      <scheme val="minor"/>
    </font>
    <font>
      <name val="Calibri"/>
      <family val="2"/>
      <b val="1"/>
      <color rgb="FF007335"/>
      <sz val="10"/>
      <scheme val="minor"/>
    </font>
    <font>
      <name val="Calibri"/>
      <sz val="10"/>
    </font>
    <font>
      <name val="Calibri"/>
      <b val="1"/>
      <color rgb="00404040"/>
      <sz val="10"/>
    </font>
    <font>
      <name val="Calibri"/>
      <b val="1"/>
      <color rgb="00007335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13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304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7F0"/>
        <bgColor indexed="64"/>
      </patternFill>
    </fill>
    <fill>
      <patternFill patternType="lightUp">
        <fgColor rgb="FFBFBFBF"/>
        <bgColor rgb="FFFFFFFF"/>
      </patternFill>
    </fill>
    <fill>
      <patternFill patternType="solid">
        <fgColor rgb="FFFFF7EE"/>
        <bgColor indexed="64"/>
      </patternFill>
    </fill>
    <fill>
      <patternFill patternType="solid">
        <fgColor rgb="FFFFE5E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00304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E7203"/>
      </left>
      <right style="thin">
        <color rgb="FFEE7203"/>
      </right>
      <top style="thin">
        <color rgb="FFEE7203"/>
      </top>
      <bottom style="thin">
        <color rgb="FFEE7203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EE7203"/>
      </top>
      <bottom/>
      <diagonal/>
    </border>
    <border>
      <left/>
      <right style="thin">
        <color rgb="FFEE7203"/>
      </right>
      <top style="thin">
        <color rgb="FFEE7203"/>
      </top>
      <bottom/>
      <diagonal/>
    </border>
    <border>
      <left/>
      <right/>
      <top style="thin">
        <color rgb="FFEE7203"/>
      </top>
      <bottom style="thin">
        <color rgb="FFEE7203"/>
      </bottom>
      <diagonal/>
    </border>
    <border>
      <left/>
      <right style="thin">
        <color rgb="FFEE7203"/>
      </right>
      <top style="thin">
        <color rgb="FFEE7203"/>
      </top>
      <bottom style="thin">
        <color rgb="FFEE720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5" fillId="2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9" fillId="6" borderId="0" pivotButton="0" quotePrefix="0" xfId="0"/>
    <xf numFmtId="0" fontId="10" fillId="0" borderId="0" applyAlignment="1" pivotButton="0" quotePrefix="0" xfId="0">
      <alignment vertical="center"/>
    </xf>
    <xf numFmtId="0" fontId="13" fillId="0" borderId="2" applyAlignment="1" pivotButton="0" quotePrefix="0" xfId="0">
      <alignment vertical="center" wrapText="1"/>
    </xf>
    <xf numFmtId="165" fontId="14" fillId="0" borderId="0" applyAlignment="1" pivotButton="0" quotePrefix="0" xfId="0">
      <alignment vertical="center"/>
    </xf>
    <xf numFmtId="0" fontId="15" fillId="8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3" fontId="5" fillId="2" borderId="2" applyAlignment="1" pivotButton="0" quotePrefix="0" xfId="0">
      <alignment horizontal="center" vertical="center"/>
    </xf>
    <xf numFmtId="1" fontId="6" fillId="3" borderId="2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6" fillId="3" borderId="2" applyAlignment="1" pivotButton="0" quotePrefix="0" xfId="0">
      <alignment horizontal="center" vertical="center"/>
    </xf>
    <xf numFmtId="0" fontId="4" fillId="10" borderId="2" applyAlignment="1" pivotButton="0" quotePrefix="0" xfId="0">
      <alignment vertical="center"/>
    </xf>
    <xf numFmtId="49" fontId="7" fillId="4" borderId="2" applyAlignment="1" pivotButton="0" quotePrefix="0" xfId="0">
      <alignment horizontal="center" vertical="center"/>
    </xf>
    <xf numFmtId="9" fontId="7" fillId="4" borderId="2" applyAlignment="1" pivotButton="0" quotePrefix="0" xfId="0">
      <alignment horizontal="center" vertical="center"/>
    </xf>
    <xf numFmtId="2" fontId="8" fillId="5" borderId="2" applyAlignment="1" pivotButton="0" quotePrefix="0" xfId="0">
      <alignment horizontal="center" vertical="center"/>
    </xf>
    <xf numFmtId="3" fontId="8" fillId="5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2" fontId="7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66" fontId="6" fillId="3" borderId="2" applyAlignment="1" pivotButton="0" quotePrefix="0" xfId="0">
      <alignment horizontal="center" vertical="center"/>
    </xf>
    <xf numFmtId="49" fontId="6" fillId="3" borderId="2" applyAlignment="1" pivotButton="0" quotePrefix="0" xfId="0">
      <alignment horizontal="center" vertical="center"/>
    </xf>
    <xf numFmtId="9" fontId="8" fillId="5" borderId="2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6" fillId="9" borderId="2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4" fillId="11" borderId="3" applyAlignment="1" pivotButton="0" quotePrefix="0" xfId="0">
      <alignment vertical="top" wrapText="1"/>
    </xf>
    <xf numFmtId="0" fontId="4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5" fillId="8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17" fillId="12" borderId="4" applyAlignment="1" pivotButton="0" quotePrefix="0" xfId="0">
      <alignment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1" fontId="5" fillId="2" borderId="2" applyAlignment="1" pivotButton="0" quotePrefix="0" xfId="0">
      <alignment horizontal="center" vertical="center"/>
    </xf>
    <xf numFmtId="0" fontId="19" fillId="11" borderId="3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1" pivotButton="0" quotePrefix="0" xfId="0"/>
    <xf numFmtId="0" fontId="0" fillId="0" borderId="12" pivotButton="0" quotePrefix="0" xfId="0"/>
    <xf numFmtId="49" fontId="7" fillId="4" borderId="2" applyAlignment="1" pivotButton="0" quotePrefix="0" xfId="0">
      <alignment horizontal="left" vertical="center" wrapText="1"/>
    </xf>
    <xf numFmtId="167" fontId="6" fillId="3" borderId="2" applyAlignment="1" pivotButton="0" quotePrefix="0" xfId="0">
      <alignment horizontal="center" vertical="center"/>
    </xf>
    <xf numFmtId="1" fontId="20" fillId="3" borderId="2" applyAlignment="1" pivotButton="0" quotePrefix="0" xfId="0">
      <alignment horizontal="center" vertical="center"/>
    </xf>
    <xf numFmtId="2" fontId="20" fillId="3" borderId="2" applyAlignment="1" pivotButton="0" quotePrefix="0" xfId="0">
      <alignment horizontal="center" vertical="center"/>
    </xf>
    <xf numFmtId="164" fontId="20" fillId="3" borderId="2" applyAlignment="1" pivotButton="0" quotePrefix="0" xfId="0">
      <alignment horizontal="center" vertical="center"/>
    </xf>
    <xf numFmtId="167" fontId="20" fillId="3" borderId="2" applyAlignment="1" pivotButton="0" quotePrefix="0" xfId="0">
      <alignment horizontal="center" vertical="center"/>
    </xf>
    <xf numFmtId="166" fontId="7" fillId="4" borderId="2" applyAlignment="1" pivotButton="0" quotePrefix="0" xfId="0">
      <alignment horizontal="center" vertical="center"/>
    </xf>
    <xf numFmtId="1" fontId="7" fillId="4" borderId="2" applyAlignment="1" pivotButton="0" quotePrefix="0" xfId="0">
      <alignment horizontal="center" vertical="center"/>
    </xf>
    <xf numFmtId="0" fontId="21" fillId="0" borderId="2" applyAlignment="1" pivotButton="0" quotePrefix="0" xfId="0">
      <alignment vertical="center" wrapText="1"/>
    </xf>
    <xf numFmtId="168" fontId="7" fillId="4" borderId="2" applyAlignment="1" pivotButton="0" quotePrefix="0" xfId="0">
      <alignment horizontal="center" vertical="center"/>
    </xf>
    <xf numFmtId="0" fontId="22" fillId="0" borderId="2" applyAlignment="1" pivotButton="0" quotePrefix="0" xfId="0">
      <alignment vertical="center" wrapText="1"/>
    </xf>
    <xf numFmtId="0" fontId="23" fillId="0" borderId="2" applyAlignment="1" pivotButton="0" quotePrefix="0" xfId="0">
      <alignment vertical="center" wrapText="1"/>
    </xf>
    <xf numFmtId="169" fontId="6" fillId="3" borderId="2" applyAlignment="1" pivotButton="0" quotePrefix="0" xfId="0">
      <alignment horizontal="center" vertical="center"/>
    </xf>
    <xf numFmtId="2" fontId="6" fillId="3" borderId="2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Standard" xfId="0" builtinId="0"/>
  </cellStyles>
  <dxfs count="33"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9C0006"/>
      </font>
      <fill>
        <patternFill>
          <bgColor rgb="FFF8CBAD"/>
        </patternFill>
      </fill>
    </dxf>
    <dxf>
      <font>
        <b val="1"/>
        <color rgb="FF007335"/>
      </font>
    </dxf>
    <dxf>
      <font>
        <b val="1"/>
        <color rgb="FF9C0006"/>
      </font>
      <fill>
        <patternFill>
          <bgColor rgb="FFFFE5E5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007335"/>
      </font>
    </dxf>
    <dxf>
      <font>
        <b val="1"/>
        <color rgb="FF9C0006"/>
      </font>
      <fill>
        <patternFill>
          <bgColor rgb="FFFFE5E5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Dichte bei 91 bar: der Kühler vor der Pumpe liegt links der pseudokritischen Linie</a:t>
            </a:r>
          </a:p>
        </rich>
      </tx>
      <overlay val="0"/>
    </title>
    <plotArea>
      <scatterChart>
        <ser>
          <idx val="0"/>
          <order val="0"/>
          <tx>
            <v>reines CO₂</v>
          </tx>
          <spPr>
            <a:ln xmlns:a="http://schemas.openxmlformats.org/drawingml/2006/main" w="28575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'Kühlung'!$B$8:$B$48</f>
            </numRef>
          </xVal>
          <yVal>
            <numRef>
              <f>'Kühlung'!$C$8:$C$48</f>
            </numRef>
          </yVal>
          <smooth val="0"/>
        </ser>
        <ser>
          <idx val="1"/>
          <order val="1"/>
          <tx>
            <v>Worst-Case-Gemisch</v>
          </tx>
          <spPr>
            <a:ln xmlns:a="http://schemas.openxmlformats.org/drawingml/2006/main" w="28575">
              <a:solidFill>
                <a:srgbClr val="CA220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'Kühlung'!$B$8:$B$48</f>
            </numRef>
          </xVal>
          <yVal>
            <numRef>
              <f>'Kühlung'!$E$8:$E$48</f>
            </numRef>
          </yVal>
          <smooth val="0"/>
        </ser>
        <axId val="10"/>
        <axId val="20"/>
      </scatterChart>
      <valAx>
        <axId val="10"/>
        <scaling>
          <orientation val="minMax"/>
          <max val="50"/>
          <min val="1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 [°C]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Dichte [kg/m³]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Realgasfaktor am Eintritt Stufe 2 (55 bar) über der Zwischenkühler-Temperatur</a:t>
            </a:r>
          </a:p>
        </rich>
      </tx>
      <overlay val="0"/>
    </title>
    <plotArea>
      <scatterChart>
        <ser>
          <idx val="0"/>
          <order val="0"/>
          <tx>
            <v>reines CO₂</v>
          </tx>
          <spPr>
            <a:ln xmlns:a="http://schemas.openxmlformats.org/drawingml/2006/main" w="28575">
              <a:solidFill>
                <a:srgbClr val="00304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304F"/>
              </a:solidFill>
              <a:ln xmlns:a="http://schemas.openxmlformats.org/drawingml/2006/main">
                <a:solidFill>
                  <a:srgbClr val="00304F"/>
                </a:solidFill>
                <a:prstDash val="solid"/>
              </a:ln>
            </spPr>
          </marker>
          <xVal>
            <numRef>
              <f>'Kühlung'!$B$68:$B$73</f>
            </numRef>
          </xVal>
          <yVal>
            <numRef>
              <f>'Kühlung'!$C$68:$C$73</f>
            </numRef>
          </yVal>
          <smooth val="0"/>
        </ser>
        <ser>
          <idx val="1"/>
          <order val="1"/>
          <tx>
            <v>Worst-Case-Gemisch</v>
          </tx>
          <spPr>
            <a:ln xmlns:a="http://schemas.openxmlformats.org/drawingml/2006/main" w="28575">
              <a:solidFill>
                <a:srgbClr val="CA220E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A220E"/>
              </a:solidFill>
              <a:ln xmlns:a="http://schemas.openxmlformats.org/drawingml/2006/main">
                <a:solidFill>
                  <a:srgbClr val="CA220E"/>
                </a:solidFill>
                <a:prstDash val="solid"/>
              </a:ln>
            </spPr>
          </marker>
          <xVal>
            <numRef>
              <f>'Kühlung'!$B$68:$B$73</f>
            </numRef>
          </xVal>
          <yVal>
            <numRef>
              <f>'Kühlung'!$H$68:$H$73</f>
            </numRef>
          </yVal>
          <smooth val="0"/>
        </ser>
        <ser>
          <idx val="2"/>
          <order val="2"/>
          <tx>
            <v>Z_min 0,65 (Siemens Energy)</v>
          </tx>
          <spPr>
            <a:ln xmlns:a="http://schemas.openxmlformats.org/drawingml/2006/main" w="1905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'Kühlung'!$P$77:$P$78</f>
            </numRef>
          </xVal>
          <yVal>
            <numRef>
              <f>'Kühlung'!$Q$77:$Q$78</f>
            </numRef>
          </yVal>
          <smooth val="0"/>
        </ser>
        <ser>
          <idx val="3"/>
          <order val="3"/>
          <tx>
            <v>Z 0,7 (Q-017 S. 44)</v>
          </tx>
          <spPr>
            <a:ln xmlns:a="http://schemas.openxmlformats.org/drawingml/2006/main" w="19050">
              <a:solidFill>
                <a:srgbClr val="EE720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'Kühlung'!$P$79:$P$80</f>
            </numRef>
          </xVal>
          <yVal>
            <numRef>
              <f>'Kühlung'!$Q$79:$Q$80</f>
            </numRef>
          </yVal>
          <smooth val="0"/>
        </ser>
        <axId val="10"/>
        <axId val="20"/>
      </scatterChart>
      <valAx>
        <axId val="10"/>
        <scaling>
          <orientation val="minMax"/>
          <max val="45"/>
          <min val="2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nach Zwischenkühler [°C]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8"/>
          <min val="0.5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[–]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Gleicher Massenstrom, sehr unterschiedliche Volumenströme (100.000 Nm³/h)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'Massenströme'!C48</f>
            </strRef>
          </tx>
          <spPr>
            <a:solidFill xmlns:a="http://schemas.openxmlformats.org/drawingml/2006/main">
              <a:srgbClr val="00304F"/>
            </a:solidFill>
            <a:ln xmlns:a="http://schemas.openxmlformats.org/drawingml/2006/main">
              <a:solidFill>
                <a:srgbClr val="00304F"/>
              </a:solidFill>
              <a:prstDash val="solid"/>
            </a:ln>
          </spPr>
          <cat>
            <numRef>
              <f>'Massenströme'!$B$49:$B$58</f>
            </numRef>
          </cat>
          <val>
            <numRef>
              <f>'Massenströme'!$C$49:$C$58</f>
            </numRef>
          </val>
        </ser>
        <ser>
          <idx val="1"/>
          <order val="1"/>
          <tx>
            <strRef>
              <f>'Massenströme'!D48</f>
            </strRef>
          </tx>
          <spPr>
            <a:solidFill xmlns:a="http://schemas.openxmlformats.org/drawingml/2006/main">
              <a:srgbClr val="CA220E"/>
            </a:solidFill>
            <a:ln xmlns:a="http://schemas.openxmlformats.org/drawingml/2006/main">
              <a:solidFill>
                <a:srgbClr val="CA220E"/>
              </a:solidFill>
              <a:prstDash val="solid"/>
            </a:ln>
          </spPr>
          <cat>
            <numRef>
              <f>'Massenströme'!$B$49:$B$58</f>
            </numRef>
          </cat>
          <val>
            <numRef>
              <f>'Massenströme'!$D$49:$D$58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  <min val="1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tatsächlicher Volumenstrom [m³/h] (logarithmisch)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_orig2_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00304F"/>
                </a:solidFill>
              </a:defRPr>
            </a:pPr>
            <a:r>
              <a:rPr lang="en-US" sz="1100" b="1" baseline="0">
                <a:solidFill>
                  <a:srgbClr val="00304F"/>
                </a:solidFill>
              </a:rPr>
              <a:t>Temperatur (Gebirge)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</c:v>
          </c:tx>
          <c:spPr>
            <a:ln w="28575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'Kaverne &amp; Gassäule'!$C$49:$C$73</c:f>
              <c:numCache>
                <c:formatCode>0.0</c:formatCode>
                <c:ptCount val="25"/>
                <c:pt idx="0">
                  <c:v>10</c:v>
                </c:pt>
                <c:pt idx="1">
                  <c:v>11.5</c:v>
                </c:pt>
                <c:pt idx="2">
                  <c:v>13</c:v>
                </c:pt>
                <c:pt idx="3">
                  <c:v>14.5</c:v>
                </c:pt>
                <c:pt idx="4">
                  <c:v>16</c:v>
                </c:pt>
                <c:pt idx="5">
                  <c:v>17.5</c:v>
                </c:pt>
                <c:pt idx="6">
                  <c:v>19</c:v>
                </c:pt>
                <c:pt idx="7">
                  <c:v>20.5</c:v>
                </c:pt>
                <c:pt idx="8">
                  <c:v>22</c:v>
                </c:pt>
                <c:pt idx="9">
                  <c:v>23.5</c:v>
                </c:pt>
                <c:pt idx="10">
                  <c:v>25</c:v>
                </c:pt>
                <c:pt idx="11">
                  <c:v>26.5</c:v>
                </c:pt>
                <c:pt idx="12">
                  <c:v>28</c:v>
                </c:pt>
                <c:pt idx="13">
                  <c:v>29.5</c:v>
                </c:pt>
                <c:pt idx="14">
                  <c:v>31</c:v>
                </c:pt>
                <c:pt idx="15">
                  <c:v>32.5</c:v>
                </c:pt>
                <c:pt idx="16">
                  <c:v>34</c:v>
                </c:pt>
                <c:pt idx="17">
                  <c:v>35.5</c:v>
                </c:pt>
                <c:pt idx="18">
                  <c:v>37</c:v>
                </c:pt>
                <c:pt idx="19">
                  <c:v>38.5</c:v>
                </c:pt>
                <c:pt idx="20">
                  <c:v>40</c:v>
                </c:pt>
                <c:pt idx="21">
                  <c:v>41.5</c:v>
                </c:pt>
                <c:pt idx="22">
                  <c:v>43</c:v>
                </c:pt>
                <c:pt idx="23">
                  <c:v>44.5</c:v>
                </c:pt>
                <c:pt idx="24">
                  <c:v>46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A-45F4-BA50-2D25CE981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60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/>
                </a:pPr>
                <a:r>
                  <a:rPr lang="en-US" sz="900" b="0" baseline="0"/>
                  <a:t>T [°C]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Teufe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midCat"/>
        <c:majorUnit val="200"/>
      </c:valAx>
    </c:plotArea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_orig2_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00304F"/>
                </a:solidFill>
              </a:defRPr>
            </a:pPr>
            <a:r>
              <a:rPr lang="en-US" sz="1100" b="1" baseline="0">
                <a:solidFill>
                  <a:srgbClr val="00304F"/>
                </a:solidFill>
              </a:rPr>
              <a:t>Druck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voll</c:v>
          </c:tx>
          <c:spPr>
            <a:ln w="28575">
              <a:solidFill>
                <a:srgbClr val="007335"/>
              </a:solidFill>
            </a:ln>
          </c:spPr>
          <c:marker>
            <c:symbol val="none"/>
          </c:marker>
          <c:xVal>
            <c:numRef>
              <c:f>'Kaverne &amp; Gassäule'!$D$49:$D$73</c:f>
              <c:numCache>
                <c:formatCode>0.0</c:formatCode>
                <c:ptCount val="25"/>
                <c:pt idx="0">
                  <c:v>107.603219569636</c:v>
                </c:pt>
                <c:pt idx="1">
                  <c:v>112.1341797962734</c:v>
                </c:pt>
                <c:pt idx="2">
                  <c:v>116.6408956363133</c:v>
                </c:pt>
                <c:pt idx="3">
                  <c:v>121.12349405283589</c:v>
                </c:pt>
                <c:pt idx="4">
                  <c:v>125.58211155495179</c:v>
                </c:pt>
                <c:pt idx="5">
                  <c:v>130.0168939094205</c:v>
                </c:pt>
                <c:pt idx="6">
                  <c:v>134.42799578384981</c:v>
                </c:pt>
                <c:pt idx="7">
                  <c:v>138.81558035303229</c:v>
                </c:pt>
                <c:pt idx="8">
                  <c:v>143.1798189021624</c:v>
                </c:pt>
                <c:pt idx="9">
                  <c:v>147.52089045854169</c:v>
                </c:pt>
                <c:pt idx="10">
                  <c:v>151.8389814770035</c:v>
                </c:pt>
                <c:pt idx="11">
                  <c:v>156.13428559421959</c:v>
                </c:pt>
                <c:pt idx="12">
                  <c:v>160.4070034547488</c:v>
                </c:pt>
                <c:pt idx="13">
                  <c:v>164.65734259893159</c:v>
                </c:pt>
                <c:pt idx="14">
                  <c:v>168.88551739156031</c:v>
                </c:pt>
                <c:pt idx="15">
                  <c:v>173.09174896231849</c:v>
                </c:pt>
                <c:pt idx="16">
                  <c:v>177.27626512552101</c:v>
                </c:pt>
                <c:pt idx="17">
                  <c:v>181.43930024805519</c:v>
                </c:pt>
                <c:pt idx="18">
                  <c:v>185.58109504021709</c:v>
                </c:pt>
                <c:pt idx="19">
                  <c:v>189.7018962532259</c:v>
                </c:pt>
                <c:pt idx="20">
                  <c:v>193.8019562780313</c:v>
                </c:pt>
                <c:pt idx="21">
                  <c:v>197.8815326508965</c:v>
                </c:pt>
                <c:pt idx="22">
                  <c:v>201.94088748061549</c:v>
                </c:pt>
                <c:pt idx="23">
                  <c:v>205.98028681901269</c:v>
                </c:pt>
                <c:pt idx="24">
                  <c:v>210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0-437E-A63B-29A9BE0280F1}"/>
            </c:ext>
          </c:extLst>
        </c:ser>
        <c:ser>
          <c:idx val="1"/>
          <c:order val="1"/>
          <c:tx>
            <c:v>Grenzfall</c:v>
          </c:tx>
          <c:spPr>
            <a:ln w="28575">
              <a:solidFill>
                <a:srgbClr val="0476D9"/>
              </a:solidFill>
              <a:prstDash val="dash"/>
            </a:ln>
          </c:spPr>
          <c:marker>
            <c:symbol val="none"/>
          </c:marker>
          <c:xVal>
            <c:numRef>
              <c:f>'Kaverne &amp; Gassäule'!$F$49:$F$73</c:f>
              <c:numCache>
                <c:formatCode>0.0</c:formatCode>
                <c:ptCount val="25"/>
                <c:pt idx="0">
                  <c:v>73.772983779137576</c:v>
                </c:pt>
                <c:pt idx="1">
                  <c:v>78.158267366217629</c:v>
                </c:pt>
                <c:pt idx="2">
                  <c:v>82.51551505203399</c:v>
                </c:pt>
                <c:pt idx="3">
                  <c:v>86.844824172214189</c:v>
                </c:pt>
                <c:pt idx="4">
                  <c:v>91.146308998600489</c:v>
                </c:pt>
                <c:pt idx="5">
                  <c:v>95.420100641130801</c:v>
                </c:pt>
                <c:pt idx="6">
                  <c:v>99.666346825411907</c:v>
                </c:pt>
                <c:pt idx="7">
                  <c:v>103.8852116340835</c:v>
                </c:pt>
                <c:pt idx="8">
                  <c:v>108.0768752886668</c:v>
                </c:pt>
                <c:pt idx="9">
                  <c:v>112.2415340230345</c:v>
                </c:pt>
                <c:pt idx="10">
                  <c:v>116.3794000648183</c:v>
                </c:pt>
                <c:pt idx="11">
                  <c:v>120.4907017034746</c:v>
                </c:pt>
                <c:pt idx="12">
                  <c:v>124.5756833908703</c:v>
                </c:pt>
                <c:pt idx="13">
                  <c:v>128.6346057983711</c:v>
                </c:pt>
                <c:pt idx="14">
                  <c:v>132.6677457476095</c:v>
                </c:pt>
                <c:pt idx="15">
                  <c:v>136.6753959411524</c:v>
                </c:pt>
                <c:pt idx="16">
                  <c:v>140.65786444165681</c:v>
                </c:pt>
                <c:pt idx="17">
                  <c:v>144.61547387863601</c:v>
                </c:pt>
                <c:pt idx="18">
                  <c:v>148.5485603943242</c:v>
                </c:pt>
                <c:pt idx="19">
                  <c:v>152.4574723682469</c:v>
                </c:pt>
                <c:pt idx="20">
                  <c:v>156.34256897962541</c:v>
                </c:pt>
                <c:pt idx="21">
                  <c:v>160.2042186756909</c:v>
                </c:pt>
                <c:pt idx="22">
                  <c:v>164.0427976128814</c:v>
                </c:pt>
                <c:pt idx="23">
                  <c:v>167.8586881290575</c:v>
                </c:pt>
                <c:pt idx="24">
                  <c:v>171.65227729158011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0-437E-A63B-29A9BE0280F1}"/>
            </c:ext>
          </c:extLst>
        </c:ser>
        <c:ser>
          <c:idx val="2"/>
          <c:order val="2"/>
          <c:tx>
            <c:v>leer</c:v>
          </c:tx>
          <c:spPr>
            <a:ln w="28575">
              <a:solidFill>
                <a:srgbClr val="EE7203"/>
              </a:solidFill>
              <a:prstDash val="sysDot"/>
            </a:ln>
          </c:spPr>
          <c:marker>
            <c:symbol val="none"/>
          </c:marker>
          <c:xVal>
            <c:numRef>
              <c:f>'Kaverne &amp; Gassäule'!$H$49:$H$73</c:f>
              <c:numCache>
                <c:formatCode>0.0</c:formatCode>
                <c:ptCount val="25"/>
                <c:pt idx="0">
                  <c:v>44.992994186969852</c:v>
                </c:pt>
                <c:pt idx="1">
                  <c:v>46.658027336303412</c:v>
                </c:pt>
                <c:pt idx="2">
                  <c:v>48.469673788771722</c:v>
                </c:pt>
                <c:pt idx="3">
                  <c:v>50.287386984021232</c:v>
                </c:pt>
                <c:pt idx="4">
                  <c:v>52.113012402204589</c:v>
                </c:pt>
                <c:pt idx="5">
                  <c:v>53.576395779275323</c:v>
                </c:pt>
                <c:pt idx="6">
                  <c:v>54.422451099446228</c:v>
                </c:pt>
                <c:pt idx="7">
                  <c:v>55.269945504788083</c:v>
                </c:pt>
                <c:pt idx="8">
                  <c:v>56.119079339465053</c:v>
                </c:pt>
                <c:pt idx="9">
                  <c:v>56.970011793445003</c:v>
                </c:pt>
                <c:pt idx="10">
                  <c:v>57.822871235687643</c:v>
                </c:pt>
                <c:pt idx="11">
                  <c:v>58.677762156197382</c:v>
                </c:pt>
                <c:pt idx="12">
                  <c:v>59.534770035388831</c:v>
                </c:pt>
                <c:pt idx="13">
                  <c:v>60.393964903905619</c:v>
                </c:pt>
                <c:pt idx="14">
                  <c:v>61.255404045156617</c:v>
                </c:pt>
                <c:pt idx="15">
                  <c:v>62.119134114436157</c:v>
                </c:pt>
                <c:pt idx="16">
                  <c:v>62.985192844205663</c:v>
                </c:pt>
                <c:pt idx="17">
                  <c:v>63.853610443206122</c:v>
                </c:pt>
                <c:pt idx="18">
                  <c:v>64.724410759818767</c:v>
                </c:pt>
                <c:pt idx="19">
                  <c:v>65.597612257397259</c:v>
                </c:pt>
                <c:pt idx="20">
                  <c:v>66.473228835324207</c:v>
                </c:pt>
                <c:pt idx="21">
                  <c:v>67.351270520858037</c:v>
                </c:pt>
                <c:pt idx="22">
                  <c:v>68.231744051372317</c:v>
                </c:pt>
                <c:pt idx="23">
                  <c:v>69.114653363081544</c:v>
                </c:pt>
                <c:pt idx="24">
                  <c:v>70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E0-437E-A63B-29A9BE02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250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/>
                </a:pPr>
                <a:r>
                  <a:rPr lang="en-US" sz="900" b="0" baseline="0"/>
                  <a:t>p [bar]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Teufe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midCat"/>
        <c:majorUnit val="200"/>
      </c:valAx>
    </c:plotArea>
    <c:legend>
      <c:legendPos val="b"/>
      <c:overlay val="0"/>
      <c:txPr>
        <a:bodyPr/>
        <a:lstStyle/>
        <a:p>
          <a:pPr>
            <a:defRPr sz="800" baseline="0"/>
          </a:pPr>
          <a:endParaRPr lang="en-US"/>
        </a:p>
      </c:txPr>
    </c:legend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_orig2_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00304F"/>
                </a:solidFill>
              </a:defRPr>
            </a:pPr>
            <a:r>
              <a:rPr lang="en-US" sz="1100" b="1" baseline="0">
                <a:solidFill>
                  <a:srgbClr val="00304F"/>
                </a:solidFill>
              </a:rPr>
              <a:t>Dichte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voll</c:v>
          </c:tx>
          <c:spPr>
            <a:ln w="28575">
              <a:solidFill>
                <a:srgbClr val="007335"/>
              </a:solidFill>
            </a:ln>
          </c:spPr>
          <c:marker>
            <c:symbol val="none"/>
          </c:marker>
          <c:xVal>
            <c:numRef>
              <c:f>'Kaverne &amp; Gassäule'!$E$49:$E$73</c:f>
              <c:numCache>
                <c:formatCode>0.0</c:formatCode>
                <c:ptCount val="25"/>
                <c:pt idx="0">
                  <c:v>926.32203680404973</c:v>
                </c:pt>
                <c:pt idx="1">
                  <c:v>921.36648651154201</c:v>
                </c:pt>
                <c:pt idx="2">
                  <c:v>916.43579278043831</c:v>
                </c:pt>
                <c:pt idx="3">
                  <c:v>911.53192593962672</c:v>
                </c:pt>
                <c:pt idx="4">
                  <c:v>906.65680676935699</c:v>
                </c:pt>
                <c:pt idx="5">
                  <c:v>901.81228956803068</c:v>
                </c:pt>
                <c:pt idx="6">
                  <c:v>897.00015115065344</c:v>
                </c:pt>
                <c:pt idx="7">
                  <c:v>892.222086630273</c:v>
                </c:pt>
                <c:pt idx="8">
                  <c:v>887.47971201926009</c:v>
                </c:pt>
                <c:pt idx="9">
                  <c:v>882.77457279218368</c:v>
                </c:pt>
                <c:pt idx="10">
                  <c:v>878.10815671138118</c:v>
                </c:pt>
                <c:pt idx="11">
                  <c:v>873.48190858756857</c:v>
                </c:pt>
                <c:pt idx="12">
                  <c:v>868.89724435846222</c:v>
                </c:pt>
                <c:pt idx="13">
                  <c:v>864.35556197154074</c:v>
                </c:pt>
                <c:pt idx="14">
                  <c:v>859.85824705420976</c:v>
                </c:pt>
                <c:pt idx="15">
                  <c:v>855.40667218201588</c:v>
                </c:pt>
                <c:pt idx="16">
                  <c:v>851.00218948102599</c:v>
                </c:pt>
                <c:pt idx="17">
                  <c:v>846.64611733448464</c:v>
                </c:pt>
                <c:pt idx="18">
                  <c:v>842.33972272629626</c:v>
                </c:pt>
                <c:pt idx="19">
                  <c:v>838.08420130895161</c:v>
                </c:pt>
                <c:pt idx="20">
                  <c:v>833.88065746306995</c:v>
                </c:pt>
                <c:pt idx="21">
                  <c:v>829.73008646458027</c:v>
                </c:pt>
                <c:pt idx="22">
                  <c:v>825.63336044695302</c:v>
                </c:pt>
                <c:pt idx="23">
                  <c:v>821.59121924258886</c:v>
                </c:pt>
                <c:pt idx="24">
                  <c:v>817.60426652443198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D-4235-ABFC-4F6D3DC39033}"/>
            </c:ext>
          </c:extLst>
        </c:ser>
        <c:ser>
          <c:idx val="1"/>
          <c:order val="1"/>
          <c:tx>
            <c:v>Grenzfall</c:v>
          </c:tx>
          <c:spPr>
            <a:ln w="28575">
              <a:solidFill>
                <a:srgbClr val="0476D9"/>
              </a:solidFill>
              <a:prstDash val="dash"/>
            </a:ln>
          </c:spPr>
          <c:marker>
            <c:symbol val="none"/>
          </c:marker>
          <c:xVal>
            <c:numRef>
              <c:f>'Kaverne &amp; Gassäule'!$G$49:$G$73</c:f>
              <c:numCache>
                <c:formatCode>0.0</c:formatCode>
                <c:ptCount val="25"/>
                <c:pt idx="0">
                  <c:v>897.02184242090505</c:v>
                </c:pt>
                <c:pt idx="1">
                  <c:v>891.29696099094076</c:v>
                </c:pt>
                <c:pt idx="2">
                  <c:v>885.59013179289752</c:v>
                </c:pt>
                <c:pt idx="3">
                  <c:v>879.90480437760289</c:v>
                </c:pt>
                <c:pt idx="4">
                  <c:v>874.2444277392234</c:v>
                </c:pt>
                <c:pt idx="5">
                  <c:v>868.61241568352341</c:v>
                </c:pt>
                <c:pt idx="6">
                  <c:v>863.01213022070874</c:v>
                </c:pt>
                <c:pt idx="7">
                  <c:v>857.4468823333757</c:v>
                </c:pt>
                <c:pt idx="8">
                  <c:v>851.91994629564965</c:v>
                </c:pt>
                <c:pt idx="9">
                  <c:v>846.43458122630852</c:v>
                </c:pt>
                <c:pt idx="10">
                  <c:v>840.99405225745625</c:v>
                </c:pt>
                <c:pt idx="11">
                  <c:v>835.60164387285442</c:v>
                </c:pt>
                <c:pt idx="12">
                  <c:v>830.2606596077286</c:v>
                </c:pt>
                <c:pt idx="13">
                  <c:v>824.97440504122233</c:v>
                </c:pt>
                <c:pt idx="14">
                  <c:v>819.74615425736431</c:v>
                </c:pt>
                <c:pt idx="15">
                  <c:v>814.57910309335955</c:v>
                </c:pt>
                <c:pt idx="16">
                  <c:v>809.47631470365286</c:v>
                </c:pt>
                <c:pt idx="17">
                  <c:v>804.44066408788944</c:v>
                </c:pt>
                <c:pt idx="18">
                  <c:v>799.47478794284075</c:v>
                </c:pt>
                <c:pt idx="19">
                  <c:v>794.58104484150067</c:v>
                </c:pt>
                <c:pt idx="20">
                  <c:v>789.7614887078571</c:v>
                </c:pt>
                <c:pt idx="21">
                  <c:v>785.01785637481521</c:v>
                </c:pt>
                <c:pt idx="22">
                  <c:v>780.35156814174218</c:v>
                </c:pt>
                <c:pt idx="23">
                  <c:v>775.76373897866199</c:v>
                </c:pt>
                <c:pt idx="24">
                  <c:v>771.25519744430449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D-4235-ABFC-4F6D3DC39033}"/>
            </c:ext>
          </c:extLst>
        </c:ser>
        <c:ser>
          <c:idx val="2"/>
          <c:order val="2"/>
          <c:tx>
            <c:v>leer</c:v>
          </c:tx>
          <c:spPr>
            <a:ln w="28575">
              <a:solidFill>
                <a:srgbClr val="EE7203"/>
              </a:solidFill>
              <a:prstDash val="sysDot"/>
            </a:ln>
          </c:spPr>
          <c:marker>
            <c:symbol val="none"/>
          </c:marker>
          <c:xVal>
            <c:numRef>
              <c:f>'Kaverne &amp; Gassäule'!$I$49:$I$73</c:f>
              <c:numCache>
                <c:formatCode>General</c:formatCode>
                <c:ptCount val="25"/>
                <c:pt idx="0" formatCode="0.0">
                  <c:v>134.97287245577121</c:v>
                </c:pt>
                <c:pt idx="5" formatCode="0.0">
                  <c:v>172.35312893618291</c:v>
                </c:pt>
                <c:pt idx="6" formatCode="0.0">
                  <c:v>172.621519049852</c:v>
                </c:pt>
                <c:pt idx="7" formatCode="0.0">
                  <c:v>172.9361403382413</c:v>
                </c:pt>
                <c:pt idx="8" formatCode="0.0">
                  <c:v>173.2871502061312</c:v>
                </c:pt>
                <c:pt idx="9" formatCode="0.0">
                  <c:v>173.6673159513561</c:v>
                </c:pt>
                <c:pt idx="10" formatCode="0.0">
                  <c:v>174.0711215222214</c:v>
                </c:pt>
                <c:pt idx="11" formatCode="0.0">
                  <c:v>174.49423004274641</c:v>
                </c:pt>
                <c:pt idx="12" formatCode="0.0">
                  <c:v>174.93314967554269</c:v>
                </c:pt>
                <c:pt idx="13" formatCode="0.0">
                  <c:v>175.385018717165</c:v>
                </c:pt>
                <c:pt idx="14" formatCode="0.0">
                  <c:v>175.84746215970779</c:v>
                </c:pt>
                <c:pt idx="15" formatCode="0.0">
                  <c:v>176.3184920198822</c:v>
                </c:pt>
                <c:pt idx="16" formatCode="0.0">
                  <c:v>176.79643510684511</c:v>
                </c:pt>
                <c:pt idx="17" formatCode="0.0">
                  <c:v>177.27987846440661</c:v>
                </c:pt>
                <c:pt idx="18" formatCode="0.0">
                  <c:v>177.76762657287509</c:v>
                </c:pt>
                <c:pt idx="19" formatCode="0.0">
                  <c:v>178.25866668657179</c:v>
                </c:pt>
                <c:pt idx="20" formatCode="0.0">
                  <c:v>178.75214006440939</c:v>
                </c:pt>
                <c:pt idx="21" formatCode="0.0">
                  <c:v>179.2473176918887</c:v>
                </c:pt>
                <c:pt idx="22" formatCode="0.0">
                  <c:v>179.7435796054763</c:v>
                </c:pt>
                <c:pt idx="23" formatCode="0.0">
                  <c:v>180.24039723890161</c:v>
                </c:pt>
                <c:pt idx="24" formatCode="0.0">
                  <c:v>180.73731839070081</c:v>
                </c:pt>
              </c:numCache>
            </c:numRef>
          </c:xVal>
          <c:yVal>
            <c:numRef>
              <c:f>'Kaverne &amp; Gassäule'!$B$49:$B$73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AD-4235-ABFC-4F6D3DC39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  <c:max val="1000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/>
                </a:pPr>
                <a:r>
                  <a:rPr lang="en-US" sz="900" b="0" baseline="0"/>
                  <a:t>ρ [kg/m³]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Teufe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midCat"/>
        <c:majorUnit val="200"/>
      </c:valAx>
    </c:plotArea>
    <c:legend>
      <c:legendPos val="b"/>
      <c:overlay val="0"/>
      <c:txPr>
        <a:bodyPr/>
        <a:lstStyle/>
        <a:p>
          <a:pPr>
            <a:defRPr sz="800" baseline="0"/>
          </a:pPr>
          <a:endParaRPr lang="en-US"/>
        </a:p>
      </c:txPr>
    </c:legend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_orig3_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Druckverlauf über die Teufe (Ziel 210 bar in 1200 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CO₂</c:v>
          </c:tx>
          <c:spPr>
            <a:ln w="31750">
              <a:solidFill>
                <a:srgbClr val="007335"/>
              </a:solidFill>
            </a:ln>
          </c:spPr>
          <c:marker>
            <c:symbol val="none"/>
          </c:marker>
          <c:xVal>
            <c:numRef>
              <c:f>Medienvergleich!$C$25:$C$49</c:f>
              <c:numCache>
                <c:formatCode>0.0</c:formatCode>
                <c:ptCount val="25"/>
                <c:pt idx="0">
                  <c:v>107.603219569636</c:v>
                </c:pt>
                <c:pt idx="1">
                  <c:v>112.1341797962734</c:v>
                </c:pt>
                <c:pt idx="2">
                  <c:v>116.6408956363133</c:v>
                </c:pt>
                <c:pt idx="3">
                  <c:v>121.12349405283589</c:v>
                </c:pt>
                <c:pt idx="4">
                  <c:v>125.58211155495179</c:v>
                </c:pt>
                <c:pt idx="5">
                  <c:v>130.0168939094205</c:v>
                </c:pt>
                <c:pt idx="6">
                  <c:v>134.42799578384981</c:v>
                </c:pt>
                <c:pt idx="7">
                  <c:v>138.81558035303229</c:v>
                </c:pt>
                <c:pt idx="8">
                  <c:v>143.1798189021624</c:v>
                </c:pt>
                <c:pt idx="9">
                  <c:v>147.52089045854169</c:v>
                </c:pt>
                <c:pt idx="10">
                  <c:v>151.8389814770035</c:v>
                </c:pt>
                <c:pt idx="11">
                  <c:v>156.13428559421959</c:v>
                </c:pt>
                <c:pt idx="12">
                  <c:v>160.4070034547488</c:v>
                </c:pt>
                <c:pt idx="13">
                  <c:v>164.65734259893159</c:v>
                </c:pt>
                <c:pt idx="14">
                  <c:v>168.88551739156031</c:v>
                </c:pt>
                <c:pt idx="15">
                  <c:v>173.09174896231849</c:v>
                </c:pt>
                <c:pt idx="16">
                  <c:v>177.27626512552101</c:v>
                </c:pt>
                <c:pt idx="17">
                  <c:v>181.43930024805519</c:v>
                </c:pt>
                <c:pt idx="18">
                  <c:v>185.58109504021709</c:v>
                </c:pt>
                <c:pt idx="19">
                  <c:v>189.7018962532259</c:v>
                </c:pt>
                <c:pt idx="20">
                  <c:v>193.8019562780313</c:v>
                </c:pt>
                <c:pt idx="21">
                  <c:v>197.8815326508965</c:v>
                </c:pt>
                <c:pt idx="22">
                  <c:v>201.94088748061549</c:v>
                </c:pt>
                <c:pt idx="23">
                  <c:v>205.98028681901269</c:v>
                </c:pt>
                <c:pt idx="24">
                  <c:v>210</c:v>
                </c:pt>
              </c:numCache>
            </c:numRef>
          </c:xVal>
          <c:yVal>
            <c:numRef>
              <c:f>Medienvergleich!$B$25:$B$49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6C-4A2A-AFC1-11C38B40F17D}"/>
            </c:ext>
          </c:extLst>
        </c:ser>
        <c:ser>
          <c:idx val="1"/>
          <c:order val="1"/>
          <c:tx>
            <c:v>Erdgas (CH₄)</c:v>
          </c:tx>
          <c:spPr>
            <a:ln w="31750">
              <a:solidFill>
                <a:srgbClr val="EE7203"/>
              </a:solidFill>
            </a:ln>
          </c:spPr>
          <c:marker>
            <c:symbol val="none"/>
          </c:marker>
          <c:xVal>
            <c:numRef>
              <c:f>Medienvergleich!$E$25:$E$49</c:f>
              <c:numCache>
                <c:formatCode>0.0</c:formatCode>
                <c:ptCount val="25"/>
                <c:pt idx="0">
                  <c:v>191.70534274066219</c:v>
                </c:pt>
                <c:pt idx="1">
                  <c:v>192.52379911027771</c:v>
                </c:pt>
                <c:pt idx="2">
                  <c:v>193.33658532431599</c:v>
                </c:pt>
                <c:pt idx="3">
                  <c:v>194.14382581401239</c:v>
                </c:pt>
                <c:pt idx="4">
                  <c:v>194.9456412954687</c:v>
                </c:pt>
                <c:pt idx="5">
                  <c:v>195.74214887277981</c:v>
                </c:pt>
                <c:pt idx="6">
                  <c:v>196.53346214151821</c:v>
                </c:pt>
                <c:pt idx="7">
                  <c:v>197.31969129205709</c:v>
                </c:pt>
                <c:pt idx="8">
                  <c:v>198.10094321227609</c:v>
                </c:pt>
                <c:pt idx="9">
                  <c:v>198.87732158927039</c:v>
                </c:pt>
                <c:pt idx="10">
                  <c:v>199.64892700973121</c:v>
                </c:pt>
                <c:pt idx="11">
                  <c:v>200.41585705872819</c:v>
                </c:pt>
                <c:pt idx="12">
                  <c:v>201.17820641666481</c:v>
                </c:pt>
                <c:pt idx="13">
                  <c:v>201.93606695422011</c:v>
                </c:pt>
                <c:pt idx="14">
                  <c:v>202.68952782513051</c:v>
                </c:pt>
                <c:pt idx="15">
                  <c:v>203.4386755566926</c:v>
                </c:pt>
                <c:pt idx="16">
                  <c:v>204.1835941379002</c:v>
                </c:pt>
                <c:pt idx="17">
                  <c:v>204.92436510515191</c:v>
                </c:pt>
                <c:pt idx="18">
                  <c:v>205.66106762548699</c:v>
                </c:pt>
                <c:pt idx="19">
                  <c:v>206.3937785773266</c:v>
                </c:pt>
                <c:pt idx="20">
                  <c:v>207.1225726287141</c:v>
                </c:pt>
                <c:pt idx="21">
                  <c:v>207.84752231306001</c:v>
                </c:pt>
                <c:pt idx="22">
                  <c:v>208.56869810241059</c:v>
                </c:pt>
                <c:pt idx="23">
                  <c:v>209.28616847826811</c:v>
                </c:pt>
                <c:pt idx="24">
                  <c:v>210</c:v>
                </c:pt>
              </c:numCache>
            </c:numRef>
          </c:xVal>
          <c:yVal>
            <c:numRef>
              <c:f>Medienvergleich!$B$25:$B$49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6C-4A2A-AFC1-11C38B40F17D}"/>
            </c:ext>
          </c:extLst>
        </c:ser>
        <c:ser>
          <c:idx val="2"/>
          <c:order val="2"/>
          <c:tx>
            <c:v>Wasserstoff (H₂)</c:v>
          </c:tx>
          <c:spPr>
            <a:ln w="31750">
              <a:solidFill>
                <a:srgbClr val="0476D9"/>
              </a:solidFill>
            </a:ln>
          </c:spPr>
          <c:marker>
            <c:symbol val="none"/>
          </c:marker>
          <c:xVal>
            <c:numRef>
              <c:f>Medienvergleich!$G$25:$G$49</c:f>
              <c:numCache>
                <c:formatCode>0.0</c:formatCode>
                <c:ptCount val="25"/>
                <c:pt idx="0">
                  <c:v>208.241191221202</c:v>
                </c:pt>
                <c:pt idx="1">
                  <c:v>208.31816153818531</c:v>
                </c:pt>
                <c:pt idx="2">
                  <c:v>208.39478875352</c:v>
                </c:pt>
                <c:pt idx="3">
                  <c:v>208.4710761816751</c:v>
                </c:pt>
                <c:pt idx="4">
                  <c:v>208.54702708707711</c:v>
                </c:pt>
                <c:pt idx="5">
                  <c:v>208.62264468514221</c:v>
                </c:pt>
                <c:pt idx="6">
                  <c:v>208.69793214327979</c:v>
                </c:pt>
                <c:pt idx="7">
                  <c:v>208.7728925818721</c:v>
                </c:pt>
                <c:pt idx="8">
                  <c:v>208.84752907522599</c:v>
                </c:pt>
                <c:pt idx="9">
                  <c:v>208.92184465250301</c:v>
                </c:pt>
                <c:pt idx="10">
                  <c:v>208.99584229862339</c:v>
                </c:pt>
                <c:pt idx="11">
                  <c:v>209.06952495514909</c:v>
                </c:pt>
                <c:pt idx="12">
                  <c:v>209.1428955211428</c:v>
                </c:pt>
                <c:pt idx="13">
                  <c:v>209.21595685400649</c:v>
                </c:pt>
                <c:pt idx="14">
                  <c:v>209.28871177029879</c:v>
                </c:pt>
                <c:pt idx="15">
                  <c:v>209.36116304653191</c:v>
                </c:pt>
                <c:pt idx="16">
                  <c:v>209.43331341994849</c:v>
                </c:pt>
                <c:pt idx="17">
                  <c:v>209.50516558928081</c:v>
                </c:pt>
                <c:pt idx="18">
                  <c:v>209.57672221548941</c:v>
                </c:pt>
                <c:pt idx="19">
                  <c:v>209.6479859224853</c:v>
                </c:pt>
                <c:pt idx="20">
                  <c:v>209.71895929783389</c:v>
                </c:pt>
                <c:pt idx="21">
                  <c:v>209.78964489344239</c:v>
                </c:pt>
                <c:pt idx="22">
                  <c:v>209.86004522623051</c:v>
                </c:pt>
                <c:pt idx="23">
                  <c:v>209.93016277878519</c:v>
                </c:pt>
                <c:pt idx="24">
                  <c:v>210</c:v>
                </c:pt>
              </c:numCache>
            </c:numRef>
          </c:xVal>
          <c:yVal>
            <c:numRef>
              <c:f>Medienvergleich!$B$25:$B$49</c:f>
              <c:numCache>
                <c:formatCode>0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6C-4A2A-AFC1-11C38B40F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  <c:max val="250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Druck p [bar]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crossBetween val="midCat"/>
        <c:majorUnit val="50"/>
      </c:valAx>
      <c:valAx>
        <c:axId val="50040002"/>
        <c:scaling>
          <c:orientation val="maxMin"/>
          <c:max val="120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Teufe z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midCat"/>
        <c:majorUnit val="2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_orig3_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Nötiger Kopfdruck über der Teufe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CO₂</c:v>
          </c:tx>
          <c:spPr>
            <a:ln w="28575">
              <a:solidFill>
                <a:srgbClr val="007335"/>
              </a:solidFill>
            </a:ln>
          </c:spPr>
          <c:marker>
            <c:symbol val="circle"/>
            <c:size val="6"/>
            <c:spPr>
              <a:solidFill>
                <a:srgbClr val="007335"/>
              </a:solidFill>
              <a:ln>
                <a:solidFill>
                  <a:srgbClr val="007335"/>
                </a:solidFill>
              </a:ln>
            </c:spPr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Medienvergleich!$C$8:$C$13</c:f>
              <c:numCache>
                <c:formatCode>0.0</c:formatCode>
                <c:ptCount val="6"/>
                <c:pt idx="0">
                  <c:v>155.16616512291739</c:v>
                </c:pt>
                <c:pt idx="1">
                  <c:v>138.41709225398901</c:v>
                </c:pt>
                <c:pt idx="2">
                  <c:v>122.5367242536628</c:v>
                </c:pt>
                <c:pt idx="3">
                  <c:v>107.603219569636</c:v>
                </c:pt>
                <c:pt idx="4">
                  <c:v>93.70583884822787</c:v>
                </c:pt>
                <c:pt idx="5">
                  <c:v>80.943840898339673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9B-4F6E-A862-B1C872E8AE46}"/>
            </c:ext>
          </c:extLst>
        </c:ser>
        <c:ser>
          <c:idx val="1"/>
          <c:order val="1"/>
          <c:tx>
            <c:v>Erdgas (CH₄)</c:v>
          </c:tx>
          <c:spPr>
            <a:ln w="28575">
              <a:solidFill>
                <a:srgbClr val="EE7203"/>
              </a:solidFill>
            </a:ln>
          </c:spPr>
          <c:marker>
            <c:symbol val="circle"/>
            <c:size val="6"/>
            <c:spPr>
              <a:solidFill>
                <a:srgbClr val="EE7203"/>
              </a:solidFill>
              <a:ln>
                <a:solidFill>
                  <a:srgbClr val="EE7203"/>
                </a:solidFill>
              </a:ln>
            </c:spPr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Medienvergleich!$D$8:$D$13</c:f>
              <c:numCache>
                <c:formatCode>0.0</c:formatCode>
                <c:ptCount val="6"/>
                <c:pt idx="0">
                  <c:v>200.16600942229849</c:v>
                </c:pt>
                <c:pt idx="1">
                  <c:v>197.20927492428419</c:v>
                </c:pt>
                <c:pt idx="2">
                  <c:v>194.39267671096141</c:v>
                </c:pt>
                <c:pt idx="3">
                  <c:v>191.70534274066219</c:v>
                </c:pt>
                <c:pt idx="4">
                  <c:v>189.1373555557519</c:v>
                </c:pt>
                <c:pt idx="5">
                  <c:v>186.67970597588419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9B-4F6E-A862-B1C872E8AE46}"/>
            </c:ext>
          </c:extLst>
        </c:ser>
        <c:ser>
          <c:idx val="2"/>
          <c:order val="2"/>
          <c:tx>
            <c:v>Wasserstoff (H₂)</c:v>
          </c:tx>
          <c:spPr>
            <a:ln w="28575">
              <a:solidFill>
                <a:srgbClr val="0476D9"/>
              </a:solidFill>
            </a:ln>
          </c:spPr>
          <c:marker>
            <c:symbol val="circle"/>
            <c:size val="6"/>
            <c:spPr>
              <a:solidFill>
                <a:srgbClr val="0476D9"/>
              </a:solidFill>
              <a:ln>
                <a:solidFill>
                  <a:srgbClr val="0476D9"/>
                </a:solidFill>
              </a:ln>
            </c:spPr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Medienvergleich!$E$8:$E$13</c:f>
              <c:numCache>
                <c:formatCode>0.0</c:formatCode>
                <c:ptCount val="6"/>
                <c:pt idx="0">
                  <c:v>209.095008669397</c:v>
                </c:pt>
                <c:pt idx="1">
                  <c:v>208.80500493947619</c:v>
                </c:pt>
                <c:pt idx="2">
                  <c:v>208.5204660223911</c:v>
                </c:pt>
                <c:pt idx="3">
                  <c:v>208.241191221202</c:v>
                </c:pt>
                <c:pt idx="4">
                  <c:v>207.9669908462842</c:v>
                </c:pt>
                <c:pt idx="5">
                  <c:v>207.697685413979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9B-4F6E-A862-B1C872E8AE46}"/>
            </c:ext>
          </c:extLst>
        </c:ser>
        <c:ser>
          <c:idx val="3"/>
          <c:order val="3"/>
          <c:tx>
            <c:v>Zieldruck unten</c:v>
          </c:tx>
          <c:spPr>
            <a:ln w="15875">
              <a:solidFill>
                <a:srgbClr val="7F7F7F"/>
              </a:solidFill>
              <a:prstDash val="dash"/>
            </a:ln>
          </c:spPr>
          <c:marker>
            <c:symbol val="none"/>
          </c:marker>
          <c:xVal>
            <c:numRef>
              <c:f>Medienvergleich!$B$8:$B$13</c:f>
              <c:numCache>
                <c:formatCode>0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Medienvergleich!$F$8:$F$13</c:f>
              <c:numCache>
                <c:formatCode>0.0</c:formatCode>
                <c:ptCount val="6"/>
                <c:pt idx="0">
                  <c:v>210</c:v>
                </c:pt>
                <c:pt idx="1">
                  <c:v>210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9B-4F6E-A862-B1C872E8A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  <c:max val="16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Teufe der Kaverne [m]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crossBetween val="midCat"/>
        <c:majorUnit val="200"/>
      </c:valAx>
      <c:valAx>
        <c:axId val="50050002"/>
        <c:scaling>
          <c:orientation val="minMax"/>
          <c:max val="25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Kopfdruck [bar]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midCat"/>
        <c:majorUnit val="50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_orig3_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Druckgewinn durch die Säule bei 1200 m [bar]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Säulengewinn</c:v>
          </c:tx>
          <c:invertIfNegative val="0"/>
          <c:dPt>
            <c:idx val="0"/>
            <c:invertIfNegative val="0"/>
            <c:bubble3D val="0"/>
            <c:spPr>
              <a:solidFill>
                <a:srgbClr val="007335"/>
              </a:solidFill>
            </c:spPr>
            <c:extLst>
              <c:ext xmlns:c16="http://schemas.microsoft.com/office/drawing/2014/chart" uri="{C3380CC4-5D6E-409C-BE32-E72D297353CC}">
                <c16:uniqueId val="{00000000-9256-40C9-A995-B4AAAC1A4D96}"/>
              </c:ext>
            </c:extLst>
          </c:dPt>
          <c:dPt>
            <c:idx val="1"/>
            <c:invertIfNegative val="0"/>
            <c:bubble3D val="0"/>
            <c:spPr>
              <a:solidFill>
                <a:srgbClr val="EE7203"/>
              </a:solidFill>
            </c:spPr>
            <c:extLst>
              <c:ext xmlns:c16="http://schemas.microsoft.com/office/drawing/2014/chart" uri="{C3380CC4-5D6E-409C-BE32-E72D297353CC}">
                <c16:uniqueId val="{00000001-9256-40C9-A995-B4AAAC1A4D96}"/>
              </c:ext>
            </c:extLst>
          </c:dPt>
          <c:dPt>
            <c:idx val="2"/>
            <c:invertIfNegative val="0"/>
            <c:bubble3D val="0"/>
            <c:spPr>
              <a:solidFill>
                <a:srgbClr val="0476D9"/>
              </a:solidFill>
            </c:spPr>
            <c:extLst>
              <c:ext xmlns:c16="http://schemas.microsoft.com/office/drawing/2014/chart" uri="{C3380CC4-5D6E-409C-BE32-E72D297353CC}">
                <c16:uniqueId val="{00000002-9256-40C9-A995-B4AAAC1A4D96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Medienvergleich!$B$18:$B$20</c:f>
              <c:strCache>
                <c:ptCount val="3"/>
                <c:pt idx="0">
                  <c:v>CO₂</c:v>
                </c:pt>
                <c:pt idx="1">
                  <c:v>Erdgas (CH₄)</c:v>
                </c:pt>
                <c:pt idx="2">
                  <c:v>Wasserstoff (H₂)</c:v>
                </c:pt>
              </c:strCache>
            </c:strRef>
          </c:cat>
          <c:val>
            <c:numRef>
              <c:f>Medienvergleich!$D$18:$D$20</c:f>
              <c:numCache>
                <c:formatCode>0.0</c:formatCode>
                <c:ptCount val="3"/>
                <c:pt idx="0">
                  <c:v>102.396780430364</c:v>
                </c:pt>
                <c:pt idx="1">
                  <c:v>18.294657259337811</c:v>
                </c:pt>
                <c:pt idx="2">
                  <c:v>1.7588087787979987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56-40C9-A995-B4AAAC1A4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6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_orig4_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00304F"/>
                </a:solidFill>
              </a:defRPr>
            </a:pPr>
            <a:r>
              <a:rPr lang="en-US" sz="1100" baseline="0">
                <a:solidFill>
                  <a:srgbClr val="00304F"/>
                </a:solidFill>
              </a:rPr>
              <a:t>Spezifische Arbeit bis zum Bohrlochkopf [kJ/kg]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'Einspeicherung S2'!$D$74</c:f>
              <c:strCache>
                <c:ptCount val="1"/>
                <c:pt idx="0">
                  <c:v>Verdichter 1. Stufe</c:v>
                </c:pt>
              </c:strCache>
            </c:strRef>
          </c:tx>
          <c:spPr>
            <a:solidFill>
              <a:srgbClr val="EE7203"/>
            </a:solidFill>
          </c:spPr>
          <c:invertIfNegative val="0"/>
          <c:dLbls>
            <c:numFmt formatCode="0.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'Einspeicherung S2'!$C$75:$C$78</c:f>
              <c:strCache>
                <c:ptCount val="4"/>
                <c:pt idx="0">
                  <c:v>S1 dichte Phase - Pumpe</c:v>
                </c:pt>
                <c:pt idx="1">
                  <c:v>S2 Basisfall: 1 Stufe + Verflüssiger + Pumpe</c:v>
                </c:pt>
                <c:pt idx="2">
                  <c:v>S2 Variante: 2 Stufen + Verflüssiger + Pumpe</c:v>
                </c:pt>
                <c:pt idx="3">
                  <c:v>Vergleich: Durchverdichten</c:v>
                </c:pt>
              </c:strCache>
            </c:strRef>
          </c:cat>
          <c:val>
            <c:numRef>
              <c:f>'Einspeicherung S2'!$D$75:$D$78</c:f>
              <c:numCache>
                <c:formatCode>0.00</c:formatCode>
                <c:ptCount val="4"/>
                <c:pt idx="0">
                  <c:v>0</c:v>
                </c:pt>
                <c:pt idx="1">
                  <c:v>38.976161456603904</c:v>
                </c:pt>
                <c:pt idx="2">
                  <c:v>18.765286843768365</c:v>
                </c:pt>
                <c:pt idx="3">
                  <c:v>28.154584156719352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5-4D16-83CA-C3696206DB4F}"/>
            </c:ext>
          </c:extLst>
        </c:ser>
        <c:ser>
          <c:idx val="1"/>
          <c:order val="1"/>
          <c:tx>
            <c:strRef>
              <c:f>'Einspeicherung S2'!$E$74</c:f>
              <c:strCache>
                <c:ptCount val="1"/>
                <c:pt idx="0">
                  <c:v>Verdichter 2. Stufe</c:v>
                </c:pt>
              </c:strCache>
            </c:strRef>
          </c:tx>
          <c:spPr>
            <a:solidFill>
              <a:srgbClr val="C55A11"/>
            </a:solidFill>
          </c:spPr>
          <c:invertIfNegative val="0"/>
          <c:dLbls>
            <c:numFmt formatCode="0.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'Einspeicherung S2'!$C$75:$C$78</c:f>
              <c:strCache>
                <c:ptCount val="4"/>
                <c:pt idx="0">
                  <c:v>S1 dichte Phase - Pumpe</c:v>
                </c:pt>
                <c:pt idx="1">
                  <c:v>S2 Basisfall: 1 Stufe + Verflüssiger + Pumpe</c:v>
                </c:pt>
                <c:pt idx="2">
                  <c:v>S2 Variante: 2 Stufen + Verflüssiger + Pumpe</c:v>
                </c:pt>
                <c:pt idx="3">
                  <c:v>Vergleich: Durchverdichten</c:v>
                </c:pt>
              </c:strCache>
            </c:strRef>
          </c:cat>
          <c:val>
            <c:numRef>
              <c:f>'Einspeicherung S2'!$E$75:$E$78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17.488388130189264</c:v>
                </c:pt>
                <c:pt idx="3">
                  <c:v>36.523422760239157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35-4D16-83CA-C3696206DB4F}"/>
            </c:ext>
          </c:extLst>
        </c:ser>
        <c:ser>
          <c:idx val="2"/>
          <c:order val="2"/>
          <c:tx>
            <c:strRef>
              <c:f>'Einspeicherung S2'!$F$74</c:f>
              <c:strCache>
                <c:ptCount val="1"/>
                <c:pt idx="0">
                  <c:v>Pumpe</c:v>
                </c:pt>
              </c:strCache>
            </c:strRef>
          </c:tx>
          <c:spPr>
            <a:solidFill>
              <a:srgbClr val="007335"/>
            </a:solidFill>
          </c:spPr>
          <c:invertIfNegative val="0"/>
          <c:dLbls>
            <c:numFmt formatCode="0.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'Einspeicherung S2'!$C$75:$C$78</c:f>
              <c:strCache>
                <c:ptCount val="4"/>
                <c:pt idx="0">
                  <c:v>S1 dichte Phase - Pumpe</c:v>
                </c:pt>
                <c:pt idx="1">
                  <c:v>S2 Basisfall: 1 Stufe + Verflüssiger + Pumpe</c:v>
                </c:pt>
                <c:pt idx="2">
                  <c:v>S2 Variante: 2 Stufen + Verflüssiger + Pumpe</c:v>
                </c:pt>
                <c:pt idx="3">
                  <c:v>Vergleich: Durchverdichten</c:v>
                </c:pt>
              </c:strCache>
            </c:strRef>
          </c:cat>
          <c:val>
            <c:numRef>
              <c:f>'Einspeicherung S2'!$F$75:$F$78</c:f>
              <c:numCache>
                <c:formatCode>0.00</c:formatCode>
                <c:ptCount val="4"/>
                <c:pt idx="0">
                  <c:v>2.3473871252743947</c:v>
                </c:pt>
                <c:pt idx="1">
                  <c:v>7.4487267809693662</c:v>
                </c:pt>
                <c:pt idx="2">
                  <c:v>7.4487267809693662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35-4D16-83CA-C3696206D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7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_orig5_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Einspeicherung: Prozesspfade S1, S2 und Vergleich Durchverdichten (bis Bohrlochkopf)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Diagrammdaten!$D$7</c:f>
              <c:strCache>
                <c:ptCount val="1"/>
                <c:pt idx="0">
                  <c:v>gasförmig [bar]</c:v>
                </c:pt>
              </c:strCache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Diagrammdaten!$C$8:$C$368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Diagrammdaten!$D$8:$D$368</c:f>
              <c:numCache>
                <c:formatCode>General</c:formatCode>
                <c:ptCount val="361"/>
                <c:pt idx="0">
                  <c:v>0.89239999999999997</c:v>
                </c:pt>
                <c:pt idx="1">
                  <c:v>0.93030000000000002</c:v>
                </c:pt>
                <c:pt idx="2">
                  <c:v>0.96960000000000002</c:v>
                </c:pt>
                <c:pt idx="3">
                  <c:v>1.0103</c:v>
                </c:pt>
                <c:pt idx="4">
                  <c:v>1.0526</c:v>
                </c:pt>
                <c:pt idx="5">
                  <c:v>1.0964</c:v>
                </c:pt>
                <c:pt idx="6">
                  <c:v>1.1417999999999999</c:v>
                </c:pt>
                <c:pt idx="7">
                  <c:v>1.1888000000000001</c:v>
                </c:pt>
                <c:pt idx="8">
                  <c:v>1.2375</c:v>
                </c:pt>
                <c:pt idx="9">
                  <c:v>1.288</c:v>
                </c:pt>
                <c:pt idx="10">
                  <c:v>1.3403</c:v>
                </c:pt>
                <c:pt idx="11">
                  <c:v>1.3944000000000001</c:v>
                </c:pt>
                <c:pt idx="12">
                  <c:v>1.4504999999999999</c:v>
                </c:pt>
                <c:pt idx="13">
                  <c:v>1.5085</c:v>
                </c:pt>
                <c:pt idx="14">
                  <c:v>1.5686</c:v>
                </c:pt>
                <c:pt idx="15">
                  <c:v>1.6308</c:v>
                </c:pt>
                <c:pt idx="16">
                  <c:v>1.6951000000000001</c:v>
                </c:pt>
                <c:pt idx="17">
                  <c:v>1.7617</c:v>
                </c:pt>
                <c:pt idx="18">
                  <c:v>1.8305</c:v>
                </c:pt>
                <c:pt idx="19">
                  <c:v>1.9016999999999999</c:v>
                </c:pt>
                <c:pt idx="20">
                  <c:v>1.9754</c:v>
                </c:pt>
                <c:pt idx="21">
                  <c:v>2.0516000000000001</c:v>
                </c:pt>
                <c:pt idx="22">
                  <c:v>2.1303000000000001</c:v>
                </c:pt>
                <c:pt idx="23">
                  <c:v>2.2117</c:v>
                </c:pt>
                <c:pt idx="24">
                  <c:v>2.2957999999999998</c:v>
                </c:pt>
                <c:pt idx="25">
                  <c:v>2.3828</c:v>
                </c:pt>
                <c:pt idx="26">
                  <c:v>2.4725999999999999</c:v>
                </c:pt>
                <c:pt idx="27">
                  <c:v>2.5653999999999999</c:v>
                </c:pt>
                <c:pt idx="28">
                  <c:v>2.6613000000000002</c:v>
                </c:pt>
                <c:pt idx="29">
                  <c:v>2.7604000000000002</c:v>
                </c:pt>
                <c:pt idx="30">
                  <c:v>2.8626999999999998</c:v>
                </c:pt>
                <c:pt idx="31">
                  <c:v>2.9683000000000002</c:v>
                </c:pt>
                <c:pt idx="32">
                  <c:v>3.0773999999999999</c:v>
                </c:pt>
                <c:pt idx="33">
                  <c:v>3.19</c:v>
                </c:pt>
                <c:pt idx="34">
                  <c:v>3.3062</c:v>
                </c:pt>
                <c:pt idx="35">
                  <c:v>3.4262000000000001</c:v>
                </c:pt>
                <c:pt idx="36">
                  <c:v>3.5501</c:v>
                </c:pt>
                <c:pt idx="37">
                  <c:v>3.6779000000000002</c:v>
                </c:pt>
                <c:pt idx="38">
                  <c:v>3.8098000000000001</c:v>
                </c:pt>
                <c:pt idx="39">
                  <c:v>3.9458000000000002</c:v>
                </c:pt>
                <c:pt idx="40">
                  <c:v>4.0861999999999998</c:v>
                </c:pt>
                <c:pt idx="41">
                  <c:v>4.2309999999999999</c:v>
                </c:pt>
                <c:pt idx="42">
                  <c:v>4.3803000000000001</c:v>
                </c:pt>
                <c:pt idx="43">
                  <c:v>4.5343</c:v>
                </c:pt>
                <c:pt idx="44">
                  <c:v>4.6932</c:v>
                </c:pt>
                <c:pt idx="45">
                  <c:v>4.8570000000000002</c:v>
                </c:pt>
                <c:pt idx="46">
                  <c:v>5.0259</c:v>
                </c:pt>
                <c:pt idx="47">
                  <c:v>5.1927000000000003</c:v>
                </c:pt>
                <c:pt idx="48">
                  <c:v>5.3064999999999998</c:v>
                </c:pt>
                <c:pt idx="49">
                  <c:v>5.4221000000000004</c:v>
                </c:pt>
                <c:pt idx="50">
                  <c:v>5.5396999999999998</c:v>
                </c:pt>
                <c:pt idx="51">
                  <c:v>5.6590999999999996</c:v>
                </c:pt>
                <c:pt idx="52">
                  <c:v>5.7805</c:v>
                </c:pt>
                <c:pt idx="53">
                  <c:v>5.9038000000000004</c:v>
                </c:pt>
                <c:pt idx="54">
                  <c:v>6.0290999999999997</c:v>
                </c:pt>
                <c:pt idx="55">
                  <c:v>6.1563999999999997</c:v>
                </c:pt>
                <c:pt idx="56">
                  <c:v>6.2857000000000003</c:v>
                </c:pt>
                <c:pt idx="57">
                  <c:v>6.4169999999999998</c:v>
                </c:pt>
                <c:pt idx="58">
                  <c:v>6.5503999999999998</c:v>
                </c:pt>
                <c:pt idx="59">
                  <c:v>6.6859000000000002</c:v>
                </c:pt>
                <c:pt idx="60">
                  <c:v>6.8234000000000004</c:v>
                </c:pt>
                <c:pt idx="61">
                  <c:v>6.9630999999999998</c:v>
                </c:pt>
                <c:pt idx="62">
                  <c:v>7.1048999999999998</c:v>
                </c:pt>
                <c:pt idx="63">
                  <c:v>7.2488000000000001</c:v>
                </c:pt>
                <c:pt idx="64">
                  <c:v>7.3948999999999998</c:v>
                </c:pt>
                <c:pt idx="65">
                  <c:v>7.5431999999999997</c:v>
                </c:pt>
                <c:pt idx="66">
                  <c:v>7.6936999999999998</c:v>
                </c:pt>
                <c:pt idx="67">
                  <c:v>7.8464999999999998</c:v>
                </c:pt>
                <c:pt idx="68">
                  <c:v>8.0015000000000001</c:v>
                </c:pt>
                <c:pt idx="69">
                  <c:v>8.1587999999999994</c:v>
                </c:pt>
                <c:pt idx="70">
                  <c:v>8.3184000000000005</c:v>
                </c:pt>
                <c:pt idx="71">
                  <c:v>8.4802999999999997</c:v>
                </c:pt>
                <c:pt idx="72">
                  <c:v>8.6445000000000007</c:v>
                </c:pt>
                <c:pt idx="73">
                  <c:v>8.8110999999999997</c:v>
                </c:pt>
                <c:pt idx="74">
                  <c:v>8.98</c:v>
                </c:pt>
                <c:pt idx="75">
                  <c:v>9.1514000000000006</c:v>
                </c:pt>
                <c:pt idx="76">
                  <c:v>9.3252000000000006</c:v>
                </c:pt>
                <c:pt idx="77">
                  <c:v>9.5014000000000003</c:v>
                </c:pt>
                <c:pt idx="78">
                  <c:v>9.6800999999999995</c:v>
                </c:pt>
                <c:pt idx="79">
                  <c:v>9.8613</c:v>
                </c:pt>
                <c:pt idx="80">
                  <c:v>10.045</c:v>
                </c:pt>
                <c:pt idx="81">
                  <c:v>10.231199999999999</c:v>
                </c:pt>
                <c:pt idx="82">
                  <c:v>10.4199</c:v>
                </c:pt>
                <c:pt idx="83">
                  <c:v>10.6112</c:v>
                </c:pt>
                <c:pt idx="84">
                  <c:v>10.805099999999999</c:v>
                </c:pt>
                <c:pt idx="85">
                  <c:v>11.0017</c:v>
                </c:pt>
                <c:pt idx="86">
                  <c:v>11.200799999999999</c:v>
                </c:pt>
                <c:pt idx="87">
                  <c:v>11.4026</c:v>
                </c:pt>
                <c:pt idx="88">
                  <c:v>11.607100000000001</c:v>
                </c:pt>
                <c:pt idx="89">
                  <c:v>11.814299999999999</c:v>
                </c:pt>
                <c:pt idx="90">
                  <c:v>12.0242</c:v>
                </c:pt>
                <c:pt idx="91">
                  <c:v>12.236800000000001</c:v>
                </c:pt>
                <c:pt idx="92">
                  <c:v>12.452199999999999</c:v>
                </c:pt>
                <c:pt idx="93">
                  <c:v>12.670400000000001</c:v>
                </c:pt>
                <c:pt idx="94">
                  <c:v>12.891400000000001</c:v>
                </c:pt>
                <c:pt idx="95">
                  <c:v>13.1153</c:v>
                </c:pt>
                <c:pt idx="96">
                  <c:v>13.341900000000001</c:v>
                </c:pt>
                <c:pt idx="97">
                  <c:v>13.5715</c:v>
                </c:pt>
                <c:pt idx="98">
                  <c:v>13.803900000000001</c:v>
                </c:pt>
                <c:pt idx="99">
                  <c:v>14.039300000000001</c:v>
                </c:pt>
                <c:pt idx="100">
                  <c:v>14.2776</c:v>
                </c:pt>
                <c:pt idx="101">
                  <c:v>14.5189</c:v>
                </c:pt>
                <c:pt idx="102">
                  <c:v>14.7631</c:v>
                </c:pt>
                <c:pt idx="103">
                  <c:v>15.010400000000001</c:v>
                </c:pt>
                <c:pt idx="104">
                  <c:v>15.2607</c:v>
                </c:pt>
                <c:pt idx="105">
                  <c:v>15.513999999999999</c:v>
                </c:pt>
                <c:pt idx="106">
                  <c:v>15.7705</c:v>
                </c:pt>
                <c:pt idx="107">
                  <c:v>16.03</c:v>
                </c:pt>
                <c:pt idx="108">
                  <c:v>16.2926</c:v>
                </c:pt>
                <c:pt idx="109">
                  <c:v>16.558399999999999</c:v>
                </c:pt>
                <c:pt idx="110">
                  <c:v>16.827400000000001</c:v>
                </c:pt>
                <c:pt idx="111">
                  <c:v>17.099499999999999</c:v>
                </c:pt>
                <c:pt idx="112">
                  <c:v>17.3749</c:v>
                </c:pt>
                <c:pt idx="113">
                  <c:v>17.653500000000001</c:v>
                </c:pt>
                <c:pt idx="114">
                  <c:v>17.935300000000002</c:v>
                </c:pt>
                <c:pt idx="115">
                  <c:v>18.220500000000001</c:v>
                </c:pt>
                <c:pt idx="116">
                  <c:v>18.508900000000001</c:v>
                </c:pt>
                <c:pt idx="117">
                  <c:v>18.800699999999999</c:v>
                </c:pt>
                <c:pt idx="118">
                  <c:v>19.0959</c:v>
                </c:pt>
                <c:pt idx="119">
                  <c:v>19.394400000000001</c:v>
                </c:pt>
                <c:pt idx="120">
                  <c:v>19.696300000000001</c:v>
                </c:pt>
                <c:pt idx="121">
                  <c:v>20.0016</c:v>
                </c:pt>
                <c:pt idx="122">
                  <c:v>20.310400000000001</c:v>
                </c:pt>
                <c:pt idx="123">
                  <c:v>20.622699999999998</c:v>
                </c:pt>
                <c:pt idx="124">
                  <c:v>20.938400000000001</c:v>
                </c:pt>
                <c:pt idx="125">
                  <c:v>21.2577</c:v>
                </c:pt>
                <c:pt idx="126">
                  <c:v>21.5806</c:v>
                </c:pt>
                <c:pt idx="127">
                  <c:v>21.907</c:v>
                </c:pt>
                <c:pt idx="128">
                  <c:v>22.236999999999998</c:v>
                </c:pt>
                <c:pt idx="129">
                  <c:v>22.570599999999999</c:v>
                </c:pt>
                <c:pt idx="130">
                  <c:v>22.907900000000001</c:v>
                </c:pt>
                <c:pt idx="131">
                  <c:v>23.248799999999999</c:v>
                </c:pt>
                <c:pt idx="132">
                  <c:v>23.593499999999999</c:v>
                </c:pt>
                <c:pt idx="133">
                  <c:v>23.941800000000001</c:v>
                </c:pt>
                <c:pt idx="134">
                  <c:v>24.294</c:v>
                </c:pt>
                <c:pt idx="135">
                  <c:v>24.649799999999999</c:v>
                </c:pt>
                <c:pt idx="136">
                  <c:v>25.009499999999999</c:v>
                </c:pt>
                <c:pt idx="137">
                  <c:v>25.373000000000001</c:v>
                </c:pt>
                <c:pt idx="138">
                  <c:v>25.740400000000001</c:v>
                </c:pt>
                <c:pt idx="139">
                  <c:v>26.111599999999999</c:v>
                </c:pt>
                <c:pt idx="140">
                  <c:v>26.486799999999999</c:v>
                </c:pt>
                <c:pt idx="141">
                  <c:v>26.8658</c:v>
                </c:pt>
                <c:pt idx="142">
                  <c:v>27.248899999999999</c:v>
                </c:pt>
                <c:pt idx="143">
                  <c:v>27.635899999999999</c:v>
                </c:pt>
                <c:pt idx="144">
                  <c:v>28.026900000000001</c:v>
                </c:pt>
                <c:pt idx="145">
                  <c:v>28.421900000000001</c:v>
                </c:pt>
                <c:pt idx="146">
                  <c:v>28.821100000000001</c:v>
                </c:pt>
                <c:pt idx="147">
                  <c:v>29.224299999999999</c:v>
                </c:pt>
                <c:pt idx="148">
                  <c:v>29.631599999999999</c:v>
                </c:pt>
                <c:pt idx="149">
                  <c:v>30.043099999999999</c:v>
                </c:pt>
                <c:pt idx="150">
                  <c:v>30.4588</c:v>
                </c:pt>
                <c:pt idx="151">
                  <c:v>30.878599999999999</c:v>
                </c:pt>
                <c:pt idx="152">
                  <c:v>31.302700000000002</c:v>
                </c:pt>
                <c:pt idx="153">
                  <c:v>31.731100000000001</c:v>
                </c:pt>
                <c:pt idx="154">
                  <c:v>32.163699999999999</c:v>
                </c:pt>
                <c:pt idx="155">
                  <c:v>32.600700000000003</c:v>
                </c:pt>
                <c:pt idx="156">
                  <c:v>33.042000000000002</c:v>
                </c:pt>
                <c:pt idx="157">
                  <c:v>33.487699999999997</c:v>
                </c:pt>
                <c:pt idx="158">
                  <c:v>33.937800000000003</c:v>
                </c:pt>
                <c:pt idx="159">
                  <c:v>34.392400000000002</c:v>
                </c:pt>
                <c:pt idx="160">
                  <c:v>34.851399999999998</c:v>
                </c:pt>
                <c:pt idx="161">
                  <c:v>35.314900000000002</c:v>
                </c:pt>
                <c:pt idx="162">
                  <c:v>35.783000000000001</c:v>
                </c:pt>
                <c:pt idx="163">
                  <c:v>36.255600000000001</c:v>
                </c:pt>
                <c:pt idx="164">
                  <c:v>36.732900000000001</c:v>
                </c:pt>
                <c:pt idx="165">
                  <c:v>37.214700000000001</c:v>
                </c:pt>
                <c:pt idx="166">
                  <c:v>37.7012</c:v>
                </c:pt>
                <c:pt idx="167">
                  <c:v>38.192500000000003</c:v>
                </c:pt>
                <c:pt idx="168">
                  <c:v>38.688400000000001</c:v>
                </c:pt>
                <c:pt idx="169">
                  <c:v>39.189100000000003</c:v>
                </c:pt>
                <c:pt idx="170">
                  <c:v>39.694699999999997</c:v>
                </c:pt>
                <c:pt idx="171">
                  <c:v>40.204999999999998</c:v>
                </c:pt>
                <c:pt idx="172">
                  <c:v>40.720199999999998</c:v>
                </c:pt>
                <c:pt idx="173">
                  <c:v>41.240400000000001</c:v>
                </c:pt>
                <c:pt idx="174">
                  <c:v>41.7654</c:v>
                </c:pt>
                <c:pt idx="175">
                  <c:v>42.295499999999997</c:v>
                </c:pt>
                <c:pt idx="176">
                  <c:v>42.830599999999997</c:v>
                </c:pt>
                <c:pt idx="177">
                  <c:v>43.370699999999999</c:v>
                </c:pt>
                <c:pt idx="178">
                  <c:v>43.915900000000001</c:v>
                </c:pt>
                <c:pt idx="179">
                  <c:v>44.466299999999997</c:v>
                </c:pt>
                <c:pt idx="180">
                  <c:v>45.021799999999999</c:v>
                </c:pt>
                <c:pt idx="181">
                  <c:v>45.582599999999999</c:v>
                </c:pt>
                <c:pt idx="182">
                  <c:v>46.148600000000002</c:v>
                </c:pt>
                <c:pt idx="183">
                  <c:v>46.719900000000003</c:v>
                </c:pt>
                <c:pt idx="184">
                  <c:v>47.296599999999998</c:v>
                </c:pt>
                <c:pt idx="185">
                  <c:v>47.878700000000002</c:v>
                </c:pt>
                <c:pt idx="186">
                  <c:v>48.466200000000001</c:v>
                </c:pt>
                <c:pt idx="187">
                  <c:v>49.059100000000001</c:v>
                </c:pt>
                <c:pt idx="188">
                  <c:v>49.657699999999998</c:v>
                </c:pt>
                <c:pt idx="189">
                  <c:v>50.261699999999998</c:v>
                </c:pt>
                <c:pt idx="190">
                  <c:v>50.871499999999997</c:v>
                </c:pt>
                <c:pt idx="191">
                  <c:v>51.486899999999999</c:v>
                </c:pt>
                <c:pt idx="192">
                  <c:v>52.107999999999997</c:v>
                </c:pt>
                <c:pt idx="193">
                  <c:v>52.734999999999999</c:v>
                </c:pt>
                <c:pt idx="194">
                  <c:v>53.367699999999999</c:v>
                </c:pt>
                <c:pt idx="195">
                  <c:v>54.006399999999999</c:v>
                </c:pt>
                <c:pt idx="196">
                  <c:v>54.6511</c:v>
                </c:pt>
                <c:pt idx="197">
                  <c:v>55.301699999999997</c:v>
                </c:pt>
                <c:pt idx="198">
                  <c:v>55.958500000000001</c:v>
                </c:pt>
                <c:pt idx="199">
                  <c:v>56.621400000000001</c:v>
                </c:pt>
                <c:pt idx="200">
                  <c:v>57.290500000000002</c:v>
                </c:pt>
                <c:pt idx="201">
                  <c:v>57.966000000000001</c:v>
                </c:pt>
                <c:pt idx="202">
                  <c:v>58.647799999999997</c:v>
                </c:pt>
                <c:pt idx="203">
                  <c:v>59.335999999999999</c:v>
                </c:pt>
                <c:pt idx="204">
                  <c:v>60.030799999999999</c:v>
                </c:pt>
                <c:pt idx="205">
                  <c:v>60.732300000000002</c:v>
                </c:pt>
                <c:pt idx="206">
                  <c:v>61.440399999999997</c:v>
                </c:pt>
                <c:pt idx="207">
                  <c:v>62.1554</c:v>
                </c:pt>
                <c:pt idx="208">
                  <c:v>62.877299999999998</c:v>
                </c:pt>
                <c:pt idx="209">
                  <c:v>63.606299999999997</c:v>
                </c:pt>
                <c:pt idx="210">
                  <c:v>64.342399999999998</c:v>
                </c:pt>
                <c:pt idx="211">
                  <c:v>65.085899999999995</c:v>
                </c:pt>
                <c:pt idx="212">
                  <c:v>65.836799999999997</c:v>
                </c:pt>
                <c:pt idx="213">
                  <c:v>66.595200000000006</c:v>
                </c:pt>
                <c:pt idx="214">
                  <c:v>67.361500000000007</c:v>
                </c:pt>
                <c:pt idx="215">
                  <c:v>68.1357</c:v>
                </c:pt>
                <c:pt idx="216">
                  <c:v>68.918199999999999</c:v>
                </c:pt>
                <c:pt idx="217">
                  <c:v>69.709100000000007</c:v>
                </c:pt>
                <c:pt idx="218">
                  <c:v>70.508899999999997</c:v>
                </c:pt>
                <c:pt idx="219">
                  <c:v>71.317899999999995</c:v>
                </c:pt>
                <c:pt idx="220">
                  <c:v>72.136899999999997</c:v>
                </c:pt>
                <c:pt idx="221">
                  <c:v>72.966700000000003</c:v>
                </c:pt>
                <c:pt idx="222">
                  <c:v>73.772999999999996</c:v>
                </c:pt>
                <c:pt idx="223">
                  <c:v>73.772999999999996</c:v>
                </c:pt>
                <c:pt idx="224">
                  <c:v>73.772999999999996</c:v>
                </c:pt>
                <c:pt idx="225">
                  <c:v>73.772999999999996</c:v>
                </c:pt>
                <c:pt idx="226">
                  <c:v>73.772999999999996</c:v>
                </c:pt>
                <c:pt idx="227">
                  <c:v>73.772999999999996</c:v>
                </c:pt>
                <c:pt idx="228">
                  <c:v>73.772999999999996</c:v>
                </c:pt>
                <c:pt idx="229">
                  <c:v>73.772999999999996</c:v>
                </c:pt>
                <c:pt idx="230">
                  <c:v>73.772999999999996</c:v>
                </c:pt>
                <c:pt idx="231">
                  <c:v>73.772999999999996</c:v>
                </c:pt>
                <c:pt idx="232">
                  <c:v>73.772999999999996</c:v>
                </c:pt>
                <c:pt idx="233">
                  <c:v>73.772999999999996</c:v>
                </c:pt>
                <c:pt idx="234">
                  <c:v>73.772999999999996</c:v>
                </c:pt>
                <c:pt idx="235">
                  <c:v>73.772999999999996</c:v>
                </c:pt>
                <c:pt idx="236">
                  <c:v>73.772999999999996</c:v>
                </c:pt>
                <c:pt idx="237">
                  <c:v>73.772999999999996</c:v>
                </c:pt>
                <c:pt idx="238">
                  <c:v>73.772999999999996</c:v>
                </c:pt>
                <c:pt idx="239">
                  <c:v>73.772999999999996</c:v>
                </c:pt>
                <c:pt idx="240">
                  <c:v>73.772999999999996</c:v>
                </c:pt>
                <c:pt idx="241">
                  <c:v>73.772999999999996</c:v>
                </c:pt>
                <c:pt idx="242">
                  <c:v>73.772999999999996</c:v>
                </c:pt>
                <c:pt idx="243">
                  <c:v>73.772999999999996</c:v>
                </c:pt>
                <c:pt idx="244">
                  <c:v>73.772999999999996</c:v>
                </c:pt>
                <c:pt idx="245">
                  <c:v>73.772999999999996</c:v>
                </c:pt>
                <c:pt idx="246">
                  <c:v>73.772999999999996</c:v>
                </c:pt>
                <c:pt idx="247">
                  <c:v>73.772999999999996</c:v>
                </c:pt>
                <c:pt idx="248">
                  <c:v>73.772999999999996</c:v>
                </c:pt>
                <c:pt idx="249">
                  <c:v>73.772999999999996</c:v>
                </c:pt>
                <c:pt idx="250">
                  <c:v>73.772999999999996</c:v>
                </c:pt>
                <c:pt idx="251">
                  <c:v>73.772999999999996</c:v>
                </c:pt>
                <c:pt idx="252">
                  <c:v>73.772999999999996</c:v>
                </c:pt>
                <c:pt idx="253">
                  <c:v>73.772999999999996</c:v>
                </c:pt>
                <c:pt idx="254">
                  <c:v>73.772999999999996</c:v>
                </c:pt>
                <c:pt idx="255">
                  <c:v>73.772999999999996</c:v>
                </c:pt>
                <c:pt idx="256">
                  <c:v>73.772999999999996</c:v>
                </c:pt>
                <c:pt idx="257">
                  <c:v>73.772999999999996</c:v>
                </c:pt>
                <c:pt idx="258">
                  <c:v>73.772999999999996</c:v>
                </c:pt>
                <c:pt idx="259">
                  <c:v>73.772999999999996</c:v>
                </c:pt>
                <c:pt idx="260">
                  <c:v>73.772999999999996</c:v>
                </c:pt>
                <c:pt idx="261">
                  <c:v>73.772999999999996</c:v>
                </c:pt>
                <c:pt idx="262">
                  <c:v>73.772999999999996</c:v>
                </c:pt>
                <c:pt idx="263">
                  <c:v>73.772999999999996</c:v>
                </c:pt>
                <c:pt idx="264">
                  <c:v>73.772999999999996</c:v>
                </c:pt>
                <c:pt idx="265">
                  <c:v>73.772999999999996</c:v>
                </c:pt>
                <c:pt idx="266">
                  <c:v>73.772999999999996</c:v>
                </c:pt>
                <c:pt idx="267">
                  <c:v>73.772999999999996</c:v>
                </c:pt>
                <c:pt idx="268">
                  <c:v>73.772999999999996</c:v>
                </c:pt>
                <c:pt idx="269">
                  <c:v>73.772999999999996</c:v>
                </c:pt>
                <c:pt idx="270">
                  <c:v>73.772999999999996</c:v>
                </c:pt>
                <c:pt idx="271">
                  <c:v>73.772999999999996</c:v>
                </c:pt>
                <c:pt idx="272">
                  <c:v>73.772999999999996</c:v>
                </c:pt>
                <c:pt idx="273">
                  <c:v>73.772999999999996</c:v>
                </c:pt>
                <c:pt idx="274">
                  <c:v>73.772999999999996</c:v>
                </c:pt>
                <c:pt idx="275">
                  <c:v>73.772999999999996</c:v>
                </c:pt>
                <c:pt idx="276">
                  <c:v>73.772999999999996</c:v>
                </c:pt>
                <c:pt idx="277">
                  <c:v>73.772999999999996</c:v>
                </c:pt>
                <c:pt idx="278">
                  <c:v>73.772999999999996</c:v>
                </c:pt>
                <c:pt idx="279">
                  <c:v>73.772999999999996</c:v>
                </c:pt>
                <c:pt idx="280">
                  <c:v>73.772999999999996</c:v>
                </c:pt>
                <c:pt idx="281">
                  <c:v>73.772999999999996</c:v>
                </c:pt>
                <c:pt idx="282">
                  <c:v>73.772999999999996</c:v>
                </c:pt>
                <c:pt idx="283">
                  <c:v>73.772999999999996</c:v>
                </c:pt>
                <c:pt idx="284">
                  <c:v>73.772999999999996</c:v>
                </c:pt>
                <c:pt idx="285">
                  <c:v>73.772999999999996</c:v>
                </c:pt>
                <c:pt idx="286">
                  <c:v>73.772999999999996</c:v>
                </c:pt>
                <c:pt idx="287">
                  <c:v>73.772999999999996</c:v>
                </c:pt>
                <c:pt idx="288">
                  <c:v>73.772999999999996</c:v>
                </c:pt>
                <c:pt idx="289">
                  <c:v>73.772999999999996</c:v>
                </c:pt>
                <c:pt idx="290">
                  <c:v>73.772999999999996</c:v>
                </c:pt>
                <c:pt idx="291">
                  <c:v>73.772999999999996</c:v>
                </c:pt>
                <c:pt idx="292">
                  <c:v>73.772999999999996</c:v>
                </c:pt>
                <c:pt idx="293">
                  <c:v>73.772999999999996</c:v>
                </c:pt>
                <c:pt idx="294">
                  <c:v>73.772999999999996</c:v>
                </c:pt>
                <c:pt idx="295">
                  <c:v>73.772999999999996</c:v>
                </c:pt>
                <c:pt idx="296">
                  <c:v>73.772999999999996</c:v>
                </c:pt>
                <c:pt idx="297">
                  <c:v>73.772999999999996</c:v>
                </c:pt>
                <c:pt idx="298">
                  <c:v>73.772999999999996</c:v>
                </c:pt>
                <c:pt idx="299">
                  <c:v>73.772999999999996</c:v>
                </c:pt>
                <c:pt idx="300">
                  <c:v>73.772999999999996</c:v>
                </c:pt>
                <c:pt idx="301">
                  <c:v>73.772999999999996</c:v>
                </c:pt>
                <c:pt idx="302">
                  <c:v>73.772999999999996</c:v>
                </c:pt>
                <c:pt idx="303">
                  <c:v>73.772999999999996</c:v>
                </c:pt>
                <c:pt idx="304">
                  <c:v>73.772999999999996</c:v>
                </c:pt>
                <c:pt idx="305">
                  <c:v>73.772999999999996</c:v>
                </c:pt>
                <c:pt idx="306">
                  <c:v>73.772999999999996</c:v>
                </c:pt>
                <c:pt idx="307">
                  <c:v>73.772999999999996</c:v>
                </c:pt>
                <c:pt idx="308">
                  <c:v>73.772999999999996</c:v>
                </c:pt>
                <c:pt idx="309">
                  <c:v>73.772999999999996</c:v>
                </c:pt>
                <c:pt idx="310">
                  <c:v>73.772999999999996</c:v>
                </c:pt>
                <c:pt idx="311">
                  <c:v>73.772999999999996</c:v>
                </c:pt>
                <c:pt idx="312">
                  <c:v>73.772999999999996</c:v>
                </c:pt>
                <c:pt idx="313">
                  <c:v>73.772999999999996</c:v>
                </c:pt>
                <c:pt idx="314">
                  <c:v>73.772999999999996</c:v>
                </c:pt>
                <c:pt idx="315">
                  <c:v>73.772999999999996</c:v>
                </c:pt>
                <c:pt idx="316">
                  <c:v>73.772999999999996</c:v>
                </c:pt>
                <c:pt idx="317">
                  <c:v>73.772999999999996</c:v>
                </c:pt>
                <c:pt idx="318">
                  <c:v>73.772999999999996</c:v>
                </c:pt>
                <c:pt idx="319">
                  <c:v>73.772999999999996</c:v>
                </c:pt>
                <c:pt idx="320">
                  <c:v>73.772999999999996</c:v>
                </c:pt>
                <c:pt idx="321">
                  <c:v>73.772999999999996</c:v>
                </c:pt>
                <c:pt idx="322">
                  <c:v>73.772999999999996</c:v>
                </c:pt>
                <c:pt idx="323">
                  <c:v>73.772999999999996</c:v>
                </c:pt>
                <c:pt idx="324">
                  <c:v>73.772999999999996</c:v>
                </c:pt>
                <c:pt idx="325">
                  <c:v>73.772999999999996</c:v>
                </c:pt>
                <c:pt idx="326">
                  <c:v>73.772999999999996</c:v>
                </c:pt>
                <c:pt idx="327">
                  <c:v>73.772999999999996</c:v>
                </c:pt>
                <c:pt idx="328">
                  <c:v>73.772999999999996</c:v>
                </c:pt>
                <c:pt idx="329">
                  <c:v>73.772999999999996</c:v>
                </c:pt>
                <c:pt idx="330">
                  <c:v>73.772999999999996</c:v>
                </c:pt>
                <c:pt idx="331">
                  <c:v>73.772999999999996</c:v>
                </c:pt>
                <c:pt idx="332">
                  <c:v>73.772999999999996</c:v>
                </c:pt>
                <c:pt idx="333">
                  <c:v>73.772999999999996</c:v>
                </c:pt>
                <c:pt idx="334">
                  <c:v>73.772999999999996</c:v>
                </c:pt>
                <c:pt idx="335">
                  <c:v>73.772999999999996</c:v>
                </c:pt>
                <c:pt idx="336">
                  <c:v>73.772999999999996</c:v>
                </c:pt>
                <c:pt idx="337">
                  <c:v>73.772999999999996</c:v>
                </c:pt>
                <c:pt idx="338">
                  <c:v>73.772999999999996</c:v>
                </c:pt>
                <c:pt idx="339">
                  <c:v>73.772999999999996</c:v>
                </c:pt>
                <c:pt idx="340">
                  <c:v>73.772999999999996</c:v>
                </c:pt>
                <c:pt idx="341">
                  <c:v>73.772999999999996</c:v>
                </c:pt>
                <c:pt idx="342">
                  <c:v>73.772999999999996</c:v>
                </c:pt>
                <c:pt idx="343">
                  <c:v>73.772999999999996</c:v>
                </c:pt>
                <c:pt idx="344">
                  <c:v>73.772999999999996</c:v>
                </c:pt>
                <c:pt idx="345">
                  <c:v>73.772999999999996</c:v>
                </c:pt>
                <c:pt idx="346">
                  <c:v>73.772999999999996</c:v>
                </c:pt>
                <c:pt idx="347">
                  <c:v>73.772999999999996</c:v>
                </c:pt>
                <c:pt idx="348">
                  <c:v>73.772999999999996</c:v>
                </c:pt>
                <c:pt idx="349">
                  <c:v>73.772999999999996</c:v>
                </c:pt>
                <c:pt idx="350">
                  <c:v>73.772999999999996</c:v>
                </c:pt>
                <c:pt idx="351">
                  <c:v>73.772999999999996</c:v>
                </c:pt>
                <c:pt idx="352">
                  <c:v>73.772999999999996</c:v>
                </c:pt>
                <c:pt idx="353">
                  <c:v>73.772999999999996</c:v>
                </c:pt>
                <c:pt idx="354">
                  <c:v>73.772999999999996</c:v>
                </c:pt>
                <c:pt idx="355">
                  <c:v>73.772999999999996</c:v>
                </c:pt>
                <c:pt idx="356">
                  <c:v>73.772999999999996</c:v>
                </c:pt>
                <c:pt idx="357">
                  <c:v>73.772999999999996</c:v>
                </c:pt>
                <c:pt idx="358">
                  <c:v>73.772999999999996</c:v>
                </c:pt>
                <c:pt idx="359">
                  <c:v>73.772999999999996</c:v>
                </c:pt>
                <c:pt idx="360">
                  <c:v>73.772999999999996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7-47FC-8DC3-5ACFE91589D0}"/>
            </c:ext>
          </c:extLst>
        </c:ser>
        <c:ser>
          <c:idx val="1"/>
          <c:order val="1"/>
          <c:tx>
            <c:strRef>
              <c:f>Diagrammdaten!$E$7</c:f>
              <c:strCache>
                <c:ptCount val="1"/>
                <c:pt idx="0">
                  <c:v>flüssig [bar]</c:v>
                </c:pt>
              </c:strCache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Diagrammdaten!$C$8:$C$368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Diagrammdaten!$E$8:$E$368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2.7000999999999999</c:v>
                </c:pt>
                <c:pt idx="48">
                  <c:v>26.038900000000002</c:v>
                </c:pt>
                <c:pt idx="49">
                  <c:v>49.4893</c:v>
                </c:pt>
                <c:pt idx="50">
                  <c:v>73.051199999999994</c:v>
                </c:pt>
                <c:pt idx="51">
                  <c:v>96.724800000000002</c:v>
                </c:pt>
                <c:pt idx="52">
                  <c:v>120.5099</c:v>
                </c:pt>
                <c:pt idx="53">
                  <c:v>144.40649999999999</c:v>
                </c:pt>
                <c:pt idx="54">
                  <c:v>168.41460000000001</c:v>
                </c:pt>
                <c:pt idx="55">
                  <c:v>192.5341</c:v>
                </c:pt>
                <c:pt idx="56">
                  <c:v>216.76519999999999</c:v>
                </c:pt>
                <c:pt idx="57">
                  <c:v>241.10769999999999</c:v>
                </c:pt>
                <c:pt idx="58">
                  <c:v>243.4496</c:v>
                </c:pt>
                <c:pt idx="59">
                  <c:v>243.3141</c:v>
                </c:pt>
                <c:pt idx="60">
                  <c:v>243.17660000000001</c:v>
                </c:pt>
                <c:pt idx="61">
                  <c:v>243.0369</c:v>
                </c:pt>
                <c:pt idx="62">
                  <c:v>242.89510000000001</c:v>
                </c:pt>
                <c:pt idx="63">
                  <c:v>242.75120000000001</c:v>
                </c:pt>
                <c:pt idx="64">
                  <c:v>242.60509999999999</c:v>
                </c:pt>
                <c:pt idx="65">
                  <c:v>242.45679999999999</c:v>
                </c:pt>
                <c:pt idx="66">
                  <c:v>242.30629999999999</c:v>
                </c:pt>
                <c:pt idx="67">
                  <c:v>242.15350000000001</c:v>
                </c:pt>
                <c:pt idx="68">
                  <c:v>241.99850000000001</c:v>
                </c:pt>
                <c:pt idx="69">
                  <c:v>241.84119999999999</c:v>
                </c:pt>
                <c:pt idx="70">
                  <c:v>241.6816</c:v>
                </c:pt>
                <c:pt idx="71">
                  <c:v>241.5197</c:v>
                </c:pt>
                <c:pt idx="72">
                  <c:v>241.35550000000001</c:v>
                </c:pt>
                <c:pt idx="73">
                  <c:v>241.18889999999999</c:v>
                </c:pt>
                <c:pt idx="74">
                  <c:v>241.02</c:v>
                </c:pt>
                <c:pt idx="75">
                  <c:v>240.8486</c:v>
                </c:pt>
                <c:pt idx="76">
                  <c:v>240.6748</c:v>
                </c:pt>
                <c:pt idx="77">
                  <c:v>240.49860000000001</c:v>
                </c:pt>
                <c:pt idx="78">
                  <c:v>240.31989999999999</c:v>
                </c:pt>
                <c:pt idx="79">
                  <c:v>240.1387</c:v>
                </c:pt>
                <c:pt idx="80">
                  <c:v>239.95500000000001</c:v>
                </c:pt>
                <c:pt idx="81">
                  <c:v>239.7688</c:v>
                </c:pt>
                <c:pt idx="82">
                  <c:v>239.58009999999999</c:v>
                </c:pt>
                <c:pt idx="83">
                  <c:v>239.3888</c:v>
                </c:pt>
                <c:pt idx="84">
                  <c:v>239.19489999999999</c:v>
                </c:pt>
                <c:pt idx="85">
                  <c:v>238.9983</c:v>
                </c:pt>
                <c:pt idx="86">
                  <c:v>238.79920000000001</c:v>
                </c:pt>
                <c:pt idx="87">
                  <c:v>238.59739999999999</c:v>
                </c:pt>
                <c:pt idx="88">
                  <c:v>238.3929</c:v>
                </c:pt>
                <c:pt idx="89">
                  <c:v>238.1857</c:v>
                </c:pt>
                <c:pt idx="90">
                  <c:v>237.97579999999999</c:v>
                </c:pt>
                <c:pt idx="91">
                  <c:v>237.76320000000001</c:v>
                </c:pt>
                <c:pt idx="92">
                  <c:v>237.5478</c:v>
                </c:pt>
                <c:pt idx="93">
                  <c:v>237.3296</c:v>
                </c:pt>
                <c:pt idx="94">
                  <c:v>237.1086</c:v>
                </c:pt>
                <c:pt idx="95">
                  <c:v>236.88470000000001</c:v>
                </c:pt>
                <c:pt idx="96">
                  <c:v>236.65809999999999</c:v>
                </c:pt>
                <c:pt idx="97">
                  <c:v>236.42850000000001</c:v>
                </c:pt>
                <c:pt idx="98">
                  <c:v>236.1961</c:v>
                </c:pt>
                <c:pt idx="99">
                  <c:v>235.9607</c:v>
                </c:pt>
                <c:pt idx="100">
                  <c:v>235.72239999999999</c:v>
                </c:pt>
                <c:pt idx="101">
                  <c:v>235.4811</c:v>
                </c:pt>
                <c:pt idx="102">
                  <c:v>235.23689999999999</c:v>
                </c:pt>
                <c:pt idx="103">
                  <c:v>234.9896</c:v>
                </c:pt>
                <c:pt idx="104">
                  <c:v>234.73929999999999</c:v>
                </c:pt>
                <c:pt idx="105">
                  <c:v>234.48599999999999</c:v>
                </c:pt>
                <c:pt idx="106">
                  <c:v>234.2295</c:v>
                </c:pt>
                <c:pt idx="107">
                  <c:v>233.97</c:v>
                </c:pt>
                <c:pt idx="108">
                  <c:v>233.70740000000001</c:v>
                </c:pt>
                <c:pt idx="109">
                  <c:v>233.44159999999999</c:v>
                </c:pt>
                <c:pt idx="110">
                  <c:v>233.17259999999999</c:v>
                </c:pt>
                <c:pt idx="111">
                  <c:v>232.90049999999999</c:v>
                </c:pt>
                <c:pt idx="112">
                  <c:v>232.6251</c:v>
                </c:pt>
                <c:pt idx="113">
                  <c:v>232.34649999999999</c:v>
                </c:pt>
                <c:pt idx="114">
                  <c:v>232.06469999999999</c:v>
                </c:pt>
                <c:pt idx="115">
                  <c:v>231.77950000000001</c:v>
                </c:pt>
                <c:pt idx="116">
                  <c:v>231.49109999999999</c:v>
                </c:pt>
                <c:pt idx="117">
                  <c:v>231.19929999999999</c:v>
                </c:pt>
                <c:pt idx="118">
                  <c:v>230.9041</c:v>
                </c:pt>
                <c:pt idx="119">
                  <c:v>230.60560000000001</c:v>
                </c:pt>
                <c:pt idx="120">
                  <c:v>230.30369999999999</c:v>
                </c:pt>
                <c:pt idx="121">
                  <c:v>229.9984</c:v>
                </c:pt>
                <c:pt idx="122">
                  <c:v>229.68960000000001</c:v>
                </c:pt>
                <c:pt idx="123">
                  <c:v>229.37729999999999</c:v>
                </c:pt>
                <c:pt idx="124">
                  <c:v>229.0616</c:v>
                </c:pt>
                <c:pt idx="125">
                  <c:v>228.7423</c:v>
                </c:pt>
                <c:pt idx="126">
                  <c:v>228.4194</c:v>
                </c:pt>
                <c:pt idx="127">
                  <c:v>228.09299999999999</c:v>
                </c:pt>
                <c:pt idx="128">
                  <c:v>227.76300000000001</c:v>
                </c:pt>
                <c:pt idx="129">
                  <c:v>227.42939999999999</c:v>
                </c:pt>
                <c:pt idx="130">
                  <c:v>227.09209999999999</c:v>
                </c:pt>
                <c:pt idx="131">
                  <c:v>226.75120000000001</c:v>
                </c:pt>
                <c:pt idx="132">
                  <c:v>226.40649999999999</c:v>
                </c:pt>
                <c:pt idx="133">
                  <c:v>226.0582</c:v>
                </c:pt>
                <c:pt idx="134">
                  <c:v>225.70599999999999</c:v>
                </c:pt>
                <c:pt idx="135">
                  <c:v>225.3502</c:v>
                </c:pt>
                <c:pt idx="136">
                  <c:v>224.9905</c:v>
                </c:pt>
                <c:pt idx="137">
                  <c:v>224.62700000000001</c:v>
                </c:pt>
                <c:pt idx="138">
                  <c:v>224.25960000000001</c:v>
                </c:pt>
                <c:pt idx="139">
                  <c:v>223.88839999999999</c:v>
                </c:pt>
                <c:pt idx="140">
                  <c:v>223.51320000000001</c:v>
                </c:pt>
                <c:pt idx="141">
                  <c:v>223.13419999999999</c:v>
                </c:pt>
                <c:pt idx="142">
                  <c:v>222.75110000000001</c:v>
                </c:pt>
                <c:pt idx="143">
                  <c:v>222.36410000000001</c:v>
                </c:pt>
                <c:pt idx="144">
                  <c:v>221.97309999999999</c:v>
                </c:pt>
                <c:pt idx="145">
                  <c:v>221.57810000000001</c:v>
                </c:pt>
                <c:pt idx="146">
                  <c:v>221.1789</c:v>
                </c:pt>
                <c:pt idx="147">
                  <c:v>220.7757</c:v>
                </c:pt>
                <c:pt idx="148">
                  <c:v>220.36840000000001</c:v>
                </c:pt>
                <c:pt idx="149">
                  <c:v>219.95689999999999</c:v>
                </c:pt>
                <c:pt idx="150">
                  <c:v>219.5412</c:v>
                </c:pt>
                <c:pt idx="151">
                  <c:v>219.12139999999999</c:v>
                </c:pt>
                <c:pt idx="152">
                  <c:v>218.69730000000001</c:v>
                </c:pt>
                <c:pt idx="153">
                  <c:v>218.2689</c:v>
                </c:pt>
                <c:pt idx="154">
                  <c:v>217.83629999999999</c:v>
                </c:pt>
                <c:pt idx="155">
                  <c:v>217.39930000000001</c:v>
                </c:pt>
                <c:pt idx="156">
                  <c:v>216.958</c:v>
                </c:pt>
                <c:pt idx="157">
                  <c:v>216.51230000000001</c:v>
                </c:pt>
                <c:pt idx="158">
                  <c:v>216.06219999999999</c:v>
                </c:pt>
                <c:pt idx="159">
                  <c:v>215.60759999999999</c:v>
                </c:pt>
                <c:pt idx="160">
                  <c:v>215.14859999999999</c:v>
                </c:pt>
                <c:pt idx="161">
                  <c:v>214.68510000000001</c:v>
                </c:pt>
                <c:pt idx="162">
                  <c:v>214.21700000000001</c:v>
                </c:pt>
                <c:pt idx="163">
                  <c:v>213.74440000000001</c:v>
                </c:pt>
                <c:pt idx="164">
                  <c:v>213.2671</c:v>
                </c:pt>
                <c:pt idx="165">
                  <c:v>212.78530000000001</c:v>
                </c:pt>
                <c:pt idx="166">
                  <c:v>212.2988</c:v>
                </c:pt>
                <c:pt idx="167">
                  <c:v>211.8075</c:v>
                </c:pt>
                <c:pt idx="168">
                  <c:v>211.3116</c:v>
                </c:pt>
                <c:pt idx="169">
                  <c:v>210.8109</c:v>
                </c:pt>
                <c:pt idx="170">
                  <c:v>210.30529999999999</c:v>
                </c:pt>
                <c:pt idx="171">
                  <c:v>209.79499999999999</c:v>
                </c:pt>
                <c:pt idx="172">
                  <c:v>209.27979999999999</c:v>
                </c:pt>
                <c:pt idx="173">
                  <c:v>208.75960000000001</c:v>
                </c:pt>
                <c:pt idx="174">
                  <c:v>208.2346</c:v>
                </c:pt>
                <c:pt idx="175">
                  <c:v>207.7045</c:v>
                </c:pt>
                <c:pt idx="176">
                  <c:v>207.1694</c:v>
                </c:pt>
                <c:pt idx="177">
                  <c:v>206.6293</c:v>
                </c:pt>
                <c:pt idx="178">
                  <c:v>206.08410000000001</c:v>
                </c:pt>
                <c:pt idx="179">
                  <c:v>205.53370000000001</c:v>
                </c:pt>
                <c:pt idx="180">
                  <c:v>204.97819999999999</c:v>
                </c:pt>
                <c:pt idx="181">
                  <c:v>204.41739999999999</c:v>
                </c:pt>
                <c:pt idx="182">
                  <c:v>203.85140000000001</c:v>
                </c:pt>
                <c:pt idx="183">
                  <c:v>203.2801</c:v>
                </c:pt>
                <c:pt idx="184">
                  <c:v>202.70339999999999</c:v>
                </c:pt>
                <c:pt idx="185">
                  <c:v>202.12129999999999</c:v>
                </c:pt>
                <c:pt idx="186">
                  <c:v>201.53380000000001</c:v>
                </c:pt>
                <c:pt idx="187">
                  <c:v>200.9409</c:v>
                </c:pt>
                <c:pt idx="188">
                  <c:v>200.34229999999999</c:v>
                </c:pt>
                <c:pt idx="189">
                  <c:v>199.73830000000001</c:v>
                </c:pt>
                <c:pt idx="190">
                  <c:v>199.1285</c:v>
                </c:pt>
                <c:pt idx="191">
                  <c:v>198.51310000000001</c:v>
                </c:pt>
                <c:pt idx="192">
                  <c:v>197.892</c:v>
                </c:pt>
                <c:pt idx="193">
                  <c:v>197.26499999999999</c:v>
                </c:pt>
                <c:pt idx="194">
                  <c:v>196.63229999999999</c:v>
                </c:pt>
                <c:pt idx="195">
                  <c:v>195.99359999999999</c:v>
                </c:pt>
                <c:pt idx="196">
                  <c:v>195.34889999999999</c:v>
                </c:pt>
                <c:pt idx="197">
                  <c:v>194.69829999999999</c:v>
                </c:pt>
                <c:pt idx="198">
                  <c:v>194.04150000000001</c:v>
                </c:pt>
                <c:pt idx="199">
                  <c:v>193.37860000000001</c:v>
                </c:pt>
                <c:pt idx="200">
                  <c:v>192.70949999999999</c:v>
                </c:pt>
                <c:pt idx="201">
                  <c:v>192.03399999999999</c:v>
                </c:pt>
                <c:pt idx="202">
                  <c:v>191.35220000000001</c:v>
                </c:pt>
                <c:pt idx="203">
                  <c:v>190.66399999999999</c:v>
                </c:pt>
                <c:pt idx="204">
                  <c:v>189.9692</c:v>
                </c:pt>
                <c:pt idx="205">
                  <c:v>189.26769999999999</c:v>
                </c:pt>
                <c:pt idx="206">
                  <c:v>188.55959999999999</c:v>
                </c:pt>
                <c:pt idx="207">
                  <c:v>187.84460000000001</c:v>
                </c:pt>
                <c:pt idx="208">
                  <c:v>187.12270000000001</c:v>
                </c:pt>
                <c:pt idx="209">
                  <c:v>186.3937</c:v>
                </c:pt>
                <c:pt idx="210">
                  <c:v>185.6576</c:v>
                </c:pt>
                <c:pt idx="211">
                  <c:v>184.91409999999999</c:v>
                </c:pt>
                <c:pt idx="212">
                  <c:v>184.16319999999999</c:v>
                </c:pt>
                <c:pt idx="213">
                  <c:v>183.40479999999999</c:v>
                </c:pt>
                <c:pt idx="214">
                  <c:v>182.63849999999999</c:v>
                </c:pt>
                <c:pt idx="215">
                  <c:v>181.86429999999999</c:v>
                </c:pt>
                <c:pt idx="216">
                  <c:v>181.08179999999999</c:v>
                </c:pt>
                <c:pt idx="217">
                  <c:v>180.29089999999999</c:v>
                </c:pt>
                <c:pt idx="218">
                  <c:v>179.49109999999999</c:v>
                </c:pt>
                <c:pt idx="219">
                  <c:v>178.68209999999999</c:v>
                </c:pt>
                <c:pt idx="220">
                  <c:v>177.8631</c:v>
                </c:pt>
                <c:pt idx="221">
                  <c:v>177.0333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97-47FC-8DC3-5ACFE91589D0}"/>
            </c:ext>
          </c:extLst>
        </c:ser>
        <c:ser>
          <c:idx val="2"/>
          <c:order val="2"/>
          <c:tx>
            <c:strRef>
              <c:f>Diagrammdaten!$F$7</c:f>
              <c:strCache>
                <c:ptCount val="1"/>
                <c:pt idx="0">
                  <c:v>überkritisch [bar]</c:v>
                </c:pt>
              </c:strCache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Diagrammdaten!$C$8:$C$368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Diagrammdaten!$F$8:$F$368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176.227</c:v>
                </c:pt>
                <c:pt idx="223">
                  <c:v>176.227</c:v>
                </c:pt>
                <c:pt idx="224">
                  <c:v>176.227</c:v>
                </c:pt>
                <c:pt idx="225">
                  <c:v>176.227</c:v>
                </c:pt>
                <c:pt idx="226">
                  <c:v>176.227</c:v>
                </c:pt>
                <c:pt idx="227">
                  <c:v>176.227</c:v>
                </c:pt>
                <c:pt idx="228">
                  <c:v>176.227</c:v>
                </c:pt>
                <c:pt idx="229">
                  <c:v>176.227</c:v>
                </c:pt>
                <c:pt idx="230">
                  <c:v>176.227</c:v>
                </c:pt>
                <c:pt idx="231">
                  <c:v>176.227</c:v>
                </c:pt>
                <c:pt idx="232">
                  <c:v>176.227</c:v>
                </c:pt>
                <c:pt idx="233">
                  <c:v>176.227</c:v>
                </c:pt>
                <c:pt idx="234">
                  <c:v>176.227</c:v>
                </c:pt>
                <c:pt idx="235">
                  <c:v>176.227</c:v>
                </c:pt>
                <c:pt idx="236">
                  <c:v>176.227</c:v>
                </c:pt>
                <c:pt idx="237">
                  <c:v>176.227</c:v>
                </c:pt>
                <c:pt idx="238">
                  <c:v>176.227</c:v>
                </c:pt>
                <c:pt idx="239">
                  <c:v>176.227</c:v>
                </c:pt>
                <c:pt idx="240">
                  <c:v>176.227</c:v>
                </c:pt>
                <c:pt idx="241">
                  <c:v>176.227</c:v>
                </c:pt>
                <c:pt idx="242">
                  <c:v>176.227</c:v>
                </c:pt>
                <c:pt idx="243">
                  <c:v>176.227</c:v>
                </c:pt>
                <c:pt idx="244">
                  <c:v>176.227</c:v>
                </c:pt>
                <c:pt idx="245">
                  <c:v>176.227</c:v>
                </c:pt>
                <c:pt idx="246">
                  <c:v>176.227</c:v>
                </c:pt>
                <c:pt idx="247">
                  <c:v>176.227</c:v>
                </c:pt>
                <c:pt idx="248">
                  <c:v>176.227</c:v>
                </c:pt>
                <c:pt idx="249">
                  <c:v>176.227</c:v>
                </c:pt>
                <c:pt idx="250">
                  <c:v>176.227</c:v>
                </c:pt>
                <c:pt idx="251">
                  <c:v>176.227</c:v>
                </c:pt>
                <c:pt idx="252">
                  <c:v>176.227</c:v>
                </c:pt>
                <c:pt idx="253">
                  <c:v>176.227</c:v>
                </c:pt>
                <c:pt idx="254">
                  <c:v>176.227</c:v>
                </c:pt>
                <c:pt idx="255">
                  <c:v>176.227</c:v>
                </c:pt>
                <c:pt idx="256">
                  <c:v>176.227</c:v>
                </c:pt>
                <c:pt idx="257">
                  <c:v>176.227</c:v>
                </c:pt>
                <c:pt idx="258">
                  <c:v>176.227</c:v>
                </c:pt>
                <c:pt idx="259">
                  <c:v>176.227</c:v>
                </c:pt>
                <c:pt idx="260">
                  <c:v>176.227</c:v>
                </c:pt>
                <c:pt idx="261">
                  <c:v>176.227</c:v>
                </c:pt>
                <c:pt idx="262">
                  <c:v>176.227</c:v>
                </c:pt>
                <c:pt idx="263">
                  <c:v>176.227</c:v>
                </c:pt>
                <c:pt idx="264">
                  <c:v>176.227</c:v>
                </c:pt>
                <c:pt idx="265">
                  <c:v>176.227</c:v>
                </c:pt>
                <c:pt idx="266">
                  <c:v>176.227</c:v>
                </c:pt>
                <c:pt idx="267">
                  <c:v>176.227</c:v>
                </c:pt>
                <c:pt idx="268">
                  <c:v>176.227</c:v>
                </c:pt>
                <c:pt idx="269">
                  <c:v>176.227</c:v>
                </c:pt>
                <c:pt idx="270">
                  <c:v>176.227</c:v>
                </c:pt>
                <c:pt idx="271">
                  <c:v>176.227</c:v>
                </c:pt>
                <c:pt idx="272">
                  <c:v>176.227</c:v>
                </c:pt>
                <c:pt idx="273">
                  <c:v>176.227</c:v>
                </c:pt>
                <c:pt idx="274">
                  <c:v>176.227</c:v>
                </c:pt>
                <c:pt idx="275">
                  <c:v>176.227</c:v>
                </c:pt>
                <c:pt idx="276">
                  <c:v>176.227</c:v>
                </c:pt>
                <c:pt idx="277">
                  <c:v>176.227</c:v>
                </c:pt>
                <c:pt idx="278">
                  <c:v>176.227</c:v>
                </c:pt>
                <c:pt idx="279">
                  <c:v>176.227</c:v>
                </c:pt>
                <c:pt idx="280">
                  <c:v>176.227</c:v>
                </c:pt>
                <c:pt idx="281">
                  <c:v>176.227</c:v>
                </c:pt>
                <c:pt idx="282">
                  <c:v>176.227</c:v>
                </c:pt>
                <c:pt idx="283">
                  <c:v>176.227</c:v>
                </c:pt>
                <c:pt idx="284">
                  <c:v>176.227</c:v>
                </c:pt>
                <c:pt idx="285">
                  <c:v>176.227</c:v>
                </c:pt>
                <c:pt idx="286">
                  <c:v>176.227</c:v>
                </c:pt>
                <c:pt idx="287">
                  <c:v>176.227</c:v>
                </c:pt>
                <c:pt idx="288">
                  <c:v>176.227</c:v>
                </c:pt>
                <c:pt idx="289">
                  <c:v>176.227</c:v>
                </c:pt>
                <c:pt idx="290">
                  <c:v>176.227</c:v>
                </c:pt>
                <c:pt idx="291">
                  <c:v>176.227</c:v>
                </c:pt>
                <c:pt idx="292">
                  <c:v>176.227</c:v>
                </c:pt>
                <c:pt idx="293">
                  <c:v>176.227</c:v>
                </c:pt>
                <c:pt idx="294">
                  <c:v>176.227</c:v>
                </c:pt>
                <c:pt idx="295">
                  <c:v>176.227</c:v>
                </c:pt>
                <c:pt idx="296">
                  <c:v>176.227</c:v>
                </c:pt>
                <c:pt idx="297">
                  <c:v>176.227</c:v>
                </c:pt>
                <c:pt idx="298">
                  <c:v>176.227</c:v>
                </c:pt>
                <c:pt idx="299">
                  <c:v>176.227</c:v>
                </c:pt>
                <c:pt idx="300">
                  <c:v>176.227</c:v>
                </c:pt>
                <c:pt idx="301">
                  <c:v>176.227</c:v>
                </c:pt>
                <c:pt idx="302">
                  <c:v>176.227</c:v>
                </c:pt>
                <c:pt idx="303">
                  <c:v>176.227</c:v>
                </c:pt>
                <c:pt idx="304">
                  <c:v>176.227</c:v>
                </c:pt>
                <c:pt idx="305">
                  <c:v>176.227</c:v>
                </c:pt>
                <c:pt idx="306">
                  <c:v>176.227</c:v>
                </c:pt>
                <c:pt idx="307">
                  <c:v>176.227</c:v>
                </c:pt>
                <c:pt idx="308">
                  <c:v>176.227</c:v>
                </c:pt>
                <c:pt idx="309">
                  <c:v>176.227</c:v>
                </c:pt>
                <c:pt idx="310">
                  <c:v>176.227</c:v>
                </c:pt>
                <c:pt idx="311">
                  <c:v>176.227</c:v>
                </c:pt>
                <c:pt idx="312">
                  <c:v>176.227</c:v>
                </c:pt>
                <c:pt idx="313">
                  <c:v>176.227</c:v>
                </c:pt>
                <c:pt idx="314">
                  <c:v>176.227</c:v>
                </c:pt>
                <c:pt idx="315">
                  <c:v>176.227</c:v>
                </c:pt>
                <c:pt idx="316">
                  <c:v>176.227</c:v>
                </c:pt>
                <c:pt idx="317">
                  <c:v>176.227</c:v>
                </c:pt>
                <c:pt idx="318">
                  <c:v>176.227</c:v>
                </c:pt>
                <c:pt idx="319">
                  <c:v>176.227</c:v>
                </c:pt>
                <c:pt idx="320">
                  <c:v>176.227</c:v>
                </c:pt>
                <c:pt idx="321">
                  <c:v>176.227</c:v>
                </c:pt>
                <c:pt idx="322">
                  <c:v>176.227</c:v>
                </c:pt>
                <c:pt idx="323">
                  <c:v>176.227</c:v>
                </c:pt>
                <c:pt idx="324">
                  <c:v>176.227</c:v>
                </c:pt>
                <c:pt idx="325">
                  <c:v>176.227</c:v>
                </c:pt>
                <c:pt idx="326">
                  <c:v>176.227</c:v>
                </c:pt>
                <c:pt idx="327">
                  <c:v>176.227</c:v>
                </c:pt>
                <c:pt idx="328">
                  <c:v>176.227</c:v>
                </c:pt>
                <c:pt idx="329">
                  <c:v>176.227</c:v>
                </c:pt>
                <c:pt idx="330">
                  <c:v>176.227</c:v>
                </c:pt>
                <c:pt idx="331">
                  <c:v>176.227</c:v>
                </c:pt>
                <c:pt idx="332">
                  <c:v>176.227</c:v>
                </c:pt>
                <c:pt idx="333">
                  <c:v>176.227</c:v>
                </c:pt>
                <c:pt idx="334">
                  <c:v>176.227</c:v>
                </c:pt>
                <c:pt idx="335">
                  <c:v>176.227</c:v>
                </c:pt>
                <c:pt idx="336">
                  <c:v>176.227</c:v>
                </c:pt>
                <c:pt idx="337">
                  <c:v>176.227</c:v>
                </c:pt>
                <c:pt idx="338">
                  <c:v>176.227</c:v>
                </c:pt>
                <c:pt idx="339">
                  <c:v>176.227</c:v>
                </c:pt>
                <c:pt idx="340">
                  <c:v>176.227</c:v>
                </c:pt>
                <c:pt idx="341">
                  <c:v>176.227</c:v>
                </c:pt>
                <c:pt idx="342">
                  <c:v>176.227</c:v>
                </c:pt>
                <c:pt idx="343">
                  <c:v>176.227</c:v>
                </c:pt>
                <c:pt idx="344">
                  <c:v>176.227</c:v>
                </c:pt>
                <c:pt idx="345">
                  <c:v>176.227</c:v>
                </c:pt>
                <c:pt idx="346">
                  <c:v>176.227</c:v>
                </c:pt>
                <c:pt idx="347">
                  <c:v>176.227</c:v>
                </c:pt>
                <c:pt idx="348">
                  <c:v>176.227</c:v>
                </c:pt>
                <c:pt idx="349">
                  <c:v>176.227</c:v>
                </c:pt>
                <c:pt idx="350">
                  <c:v>176.227</c:v>
                </c:pt>
                <c:pt idx="351">
                  <c:v>176.227</c:v>
                </c:pt>
                <c:pt idx="352">
                  <c:v>176.227</c:v>
                </c:pt>
                <c:pt idx="353">
                  <c:v>176.227</c:v>
                </c:pt>
                <c:pt idx="354">
                  <c:v>176.227</c:v>
                </c:pt>
                <c:pt idx="355">
                  <c:v>176.227</c:v>
                </c:pt>
                <c:pt idx="356">
                  <c:v>176.227</c:v>
                </c:pt>
                <c:pt idx="357">
                  <c:v>176.227</c:v>
                </c:pt>
                <c:pt idx="358">
                  <c:v>176.227</c:v>
                </c:pt>
                <c:pt idx="359">
                  <c:v>176.227</c:v>
                </c:pt>
                <c:pt idx="360">
                  <c:v>176.227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97-47FC-8DC3-5ACFE91589D0}"/>
            </c:ext>
          </c:extLst>
        </c:ser>
        <c:ser>
          <c:idx val="3"/>
          <c:order val="3"/>
          <c:tx>
            <c:strRef>
              <c:f>Diagrammdaten!$G$7</c:f>
              <c:strCache>
                <c:ptCount val="1"/>
                <c:pt idx="0">
                  <c:v>fest [bar]</c:v>
                </c:pt>
              </c:strCache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Diagrammdaten!$C$8:$C$368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Diagrammdaten!$G$8:$G$368</c:f>
              <c:numCache>
                <c:formatCode>General</c:formatCode>
                <c:ptCount val="361"/>
                <c:pt idx="0">
                  <c:v>249.10759999999999</c:v>
                </c:pt>
                <c:pt idx="1">
                  <c:v>249.06970000000001</c:v>
                </c:pt>
                <c:pt idx="2">
                  <c:v>249.03039999999999</c:v>
                </c:pt>
                <c:pt idx="3">
                  <c:v>248.9897</c:v>
                </c:pt>
                <c:pt idx="4">
                  <c:v>248.94739999999999</c:v>
                </c:pt>
                <c:pt idx="5">
                  <c:v>248.90360000000001</c:v>
                </c:pt>
                <c:pt idx="6">
                  <c:v>248.85820000000001</c:v>
                </c:pt>
                <c:pt idx="7">
                  <c:v>248.81120000000001</c:v>
                </c:pt>
                <c:pt idx="8">
                  <c:v>248.76249999999999</c:v>
                </c:pt>
                <c:pt idx="9">
                  <c:v>248.71199999999999</c:v>
                </c:pt>
                <c:pt idx="10">
                  <c:v>248.65969999999999</c:v>
                </c:pt>
                <c:pt idx="11">
                  <c:v>248.60560000000001</c:v>
                </c:pt>
                <c:pt idx="12">
                  <c:v>248.54949999999999</c:v>
                </c:pt>
                <c:pt idx="13">
                  <c:v>248.4915</c:v>
                </c:pt>
                <c:pt idx="14">
                  <c:v>248.4314</c:v>
                </c:pt>
                <c:pt idx="15">
                  <c:v>248.36920000000001</c:v>
                </c:pt>
                <c:pt idx="16">
                  <c:v>248.3049</c:v>
                </c:pt>
                <c:pt idx="17">
                  <c:v>248.23830000000001</c:v>
                </c:pt>
                <c:pt idx="18">
                  <c:v>248.1695</c:v>
                </c:pt>
                <c:pt idx="19">
                  <c:v>248.09829999999999</c:v>
                </c:pt>
                <c:pt idx="20">
                  <c:v>248.02459999999999</c:v>
                </c:pt>
                <c:pt idx="21">
                  <c:v>247.94839999999999</c:v>
                </c:pt>
                <c:pt idx="22">
                  <c:v>247.86969999999999</c:v>
                </c:pt>
                <c:pt idx="23">
                  <c:v>247.78829999999999</c:v>
                </c:pt>
                <c:pt idx="24">
                  <c:v>247.70419999999999</c:v>
                </c:pt>
                <c:pt idx="25">
                  <c:v>247.6172</c:v>
                </c:pt>
                <c:pt idx="26">
                  <c:v>247.5274</c:v>
                </c:pt>
                <c:pt idx="27">
                  <c:v>247.43459999999999</c:v>
                </c:pt>
                <c:pt idx="28">
                  <c:v>247.33869999999999</c:v>
                </c:pt>
                <c:pt idx="29">
                  <c:v>247.2396</c:v>
                </c:pt>
                <c:pt idx="30">
                  <c:v>247.13730000000001</c:v>
                </c:pt>
                <c:pt idx="31">
                  <c:v>247.0317</c:v>
                </c:pt>
                <c:pt idx="32">
                  <c:v>246.92259999999999</c:v>
                </c:pt>
                <c:pt idx="33">
                  <c:v>246.81</c:v>
                </c:pt>
                <c:pt idx="34">
                  <c:v>246.69380000000001</c:v>
                </c:pt>
                <c:pt idx="35">
                  <c:v>246.57380000000001</c:v>
                </c:pt>
                <c:pt idx="36">
                  <c:v>246.44990000000001</c:v>
                </c:pt>
                <c:pt idx="37">
                  <c:v>246.32210000000001</c:v>
                </c:pt>
                <c:pt idx="38">
                  <c:v>246.1902</c:v>
                </c:pt>
                <c:pt idx="39">
                  <c:v>246.05420000000001</c:v>
                </c:pt>
                <c:pt idx="40">
                  <c:v>245.91380000000001</c:v>
                </c:pt>
                <c:pt idx="41">
                  <c:v>245.76900000000001</c:v>
                </c:pt>
                <c:pt idx="42">
                  <c:v>245.61969999999999</c:v>
                </c:pt>
                <c:pt idx="43">
                  <c:v>245.4657</c:v>
                </c:pt>
                <c:pt idx="44">
                  <c:v>245.30680000000001</c:v>
                </c:pt>
                <c:pt idx="45">
                  <c:v>245.143</c:v>
                </c:pt>
                <c:pt idx="46">
                  <c:v>244.97409999999999</c:v>
                </c:pt>
                <c:pt idx="47">
                  <c:v>242.10720000000001</c:v>
                </c:pt>
                <c:pt idx="48">
                  <c:v>218.65459999999999</c:v>
                </c:pt>
                <c:pt idx="49">
                  <c:v>195.08860000000001</c:v>
                </c:pt>
                <c:pt idx="50">
                  <c:v>171.4091</c:v>
                </c:pt>
                <c:pt idx="51">
                  <c:v>147.61609999999999</c:v>
                </c:pt>
                <c:pt idx="52">
                  <c:v>123.7097</c:v>
                </c:pt>
                <c:pt idx="53">
                  <c:v>99.689700000000002</c:v>
                </c:pt>
                <c:pt idx="54">
                  <c:v>75.556299999999993</c:v>
                </c:pt>
                <c:pt idx="55">
                  <c:v>51.3095</c:v>
                </c:pt>
                <c:pt idx="56">
                  <c:v>26.949100000000001</c:v>
                </c:pt>
                <c:pt idx="57">
                  <c:v>2.4752999999999998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97-47FC-8DC3-5ACFE9158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areaChart>
      <c:scatterChart>
        <c:scatterStyle val="lineMarker"/>
        <c:varyColors val="0"/>
        <c:ser>
          <c:idx val="4"/>
          <c:order val="4"/>
          <c:tx>
            <c:v>Sättigungslinie</c:v>
          </c:tx>
          <c:spPr>
            <a:ln w="22225">
              <a:solidFill>
                <a:srgbClr val="1F4E79"/>
              </a:solidFill>
            </a:ln>
          </c:spPr>
          <c:marker>
            <c:symbol val="none"/>
          </c:marker>
          <c:xVal>
            <c:numRef>
              <c:f>Diagrammdaten!$L$8:$L$77</c:f>
              <c:numCache>
                <c:formatCode>General</c:formatCode>
                <c:ptCount val="70"/>
                <c:pt idx="0">
                  <c:v>47.884</c:v>
                </c:pt>
                <c:pt idx="1">
                  <c:v>50.421199999999999</c:v>
                </c:pt>
                <c:pt idx="2">
                  <c:v>52.958600000000004</c:v>
                </c:pt>
                <c:pt idx="3">
                  <c:v>55.495800000000003</c:v>
                </c:pt>
                <c:pt idx="4">
                  <c:v>58.033199999999994</c:v>
                </c:pt>
                <c:pt idx="5">
                  <c:v>60.570400000000006</c:v>
                </c:pt>
                <c:pt idx="6">
                  <c:v>63.107600000000005</c:v>
                </c:pt>
                <c:pt idx="7">
                  <c:v>65.644999999999996</c:v>
                </c:pt>
                <c:pt idx="8">
                  <c:v>68.182199999999995</c:v>
                </c:pt>
                <c:pt idx="9">
                  <c:v>70.7196</c:v>
                </c:pt>
                <c:pt idx="10">
                  <c:v>73.256799999999998</c:v>
                </c:pt>
                <c:pt idx="11">
                  <c:v>75.793999999999997</c:v>
                </c:pt>
                <c:pt idx="12">
                  <c:v>78.331400000000002</c:v>
                </c:pt>
                <c:pt idx="13">
                  <c:v>80.868600000000001</c:v>
                </c:pt>
                <c:pt idx="14">
                  <c:v>83.406000000000006</c:v>
                </c:pt>
                <c:pt idx="15">
                  <c:v>85.943200000000004</c:v>
                </c:pt>
                <c:pt idx="16">
                  <c:v>88.480400000000003</c:v>
                </c:pt>
                <c:pt idx="17">
                  <c:v>91.017799999999994</c:v>
                </c:pt>
                <c:pt idx="18">
                  <c:v>93.555000000000007</c:v>
                </c:pt>
                <c:pt idx="19">
                  <c:v>96.092399999999998</c:v>
                </c:pt>
                <c:pt idx="20">
                  <c:v>98.629600000000011</c:v>
                </c:pt>
                <c:pt idx="21">
                  <c:v>101.167</c:v>
                </c:pt>
                <c:pt idx="22">
                  <c:v>103.7042</c:v>
                </c:pt>
                <c:pt idx="23">
                  <c:v>106.2414</c:v>
                </c:pt>
                <c:pt idx="24">
                  <c:v>108.77879999999999</c:v>
                </c:pt>
                <c:pt idx="25">
                  <c:v>111.316</c:v>
                </c:pt>
                <c:pt idx="26">
                  <c:v>113.85339999999999</c:v>
                </c:pt>
                <c:pt idx="27">
                  <c:v>116.39060000000001</c:v>
                </c:pt>
                <c:pt idx="28">
                  <c:v>118.92779999999999</c:v>
                </c:pt>
                <c:pt idx="29">
                  <c:v>121.46520000000001</c:v>
                </c:pt>
                <c:pt idx="30">
                  <c:v>124.00239999999999</c:v>
                </c:pt>
                <c:pt idx="31">
                  <c:v>126.5398</c:v>
                </c:pt>
                <c:pt idx="32">
                  <c:v>129.077</c:v>
                </c:pt>
                <c:pt idx="33">
                  <c:v>131.61420000000001</c:v>
                </c:pt>
                <c:pt idx="34">
                  <c:v>134.1516</c:v>
                </c:pt>
                <c:pt idx="35">
                  <c:v>136.68880000000001</c:v>
                </c:pt>
                <c:pt idx="36">
                  <c:v>139.22620000000001</c:v>
                </c:pt>
                <c:pt idx="37">
                  <c:v>141.76339999999999</c:v>
                </c:pt>
                <c:pt idx="38">
                  <c:v>144.3006</c:v>
                </c:pt>
                <c:pt idx="39">
                  <c:v>146.83799999999999</c:v>
                </c:pt>
                <c:pt idx="40">
                  <c:v>149.37520000000001</c:v>
                </c:pt>
                <c:pt idx="41">
                  <c:v>151.9126</c:v>
                </c:pt>
                <c:pt idx="42">
                  <c:v>154.44980000000001</c:v>
                </c:pt>
                <c:pt idx="43">
                  <c:v>156.98699999999999</c:v>
                </c:pt>
                <c:pt idx="44">
                  <c:v>159.52440000000001</c:v>
                </c:pt>
                <c:pt idx="45">
                  <c:v>162.0616</c:v>
                </c:pt>
                <c:pt idx="46">
                  <c:v>164.59899999999999</c:v>
                </c:pt>
                <c:pt idx="47">
                  <c:v>167.1362</c:v>
                </c:pt>
                <c:pt idx="48">
                  <c:v>169.67340000000002</c:v>
                </c:pt>
                <c:pt idx="49">
                  <c:v>172.21080000000001</c:v>
                </c:pt>
                <c:pt idx="50">
                  <c:v>174.74799999999999</c:v>
                </c:pt>
                <c:pt idx="51">
                  <c:v>177.28540000000001</c:v>
                </c:pt>
                <c:pt idx="52">
                  <c:v>179.82259999999999</c:v>
                </c:pt>
                <c:pt idx="53">
                  <c:v>182.36</c:v>
                </c:pt>
                <c:pt idx="54">
                  <c:v>184.8972</c:v>
                </c:pt>
                <c:pt idx="55">
                  <c:v>187.43440000000001</c:v>
                </c:pt>
                <c:pt idx="56">
                  <c:v>189.9718</c:v>
                </c:pt>
                <c:pt idx="57">
                  <c:v>192.50900000000001</c:v>
                </c:pt>
                <c:pt idx="58">
                  <c:v>195.04640000000001</c:v>
                </c:pt>
                <c:pt idx="59">
                  <c:v>197.58359999999999</c:v>
                </c:pt>
                <c:pt idx="60">
                  <c:v>200.1208</c:v>
                </c:pt>
                <c:pt idx="61">
                  <c:v>202.65819999999999</c:v>
                </c:pt>
                <c:pt idx="62">
                  <c:v>205.19540000000001</c:v>
                </c:pt>
                <c:pt idx="63">
                  <c:v>207.7328</c:v>
                </c:pt>
                <c:pt idx="64">
                  <c:v>210.27</c:v>
                </c:pt>
                <c:pt idx="65">
                  <c:v>212.80719999999999</c:v>
                </c:pt>
                <c:pt idx="66">
                  <c:v>215.34460000000001</c:v>
                </c:pt>
                <c:pt idx="67">
                  <c:v>217.8818</c:v>
                </c:pt>
                <c:pt idx="68">
                  <c:v>220.41919999999999</c:v>
                </c:pt>
                <c:pt idx="69">
                  <c:v>222.9564</c:v>
                </c:pt>
              </c:numCache>
            </c:numRef>
          </c:xVal>
          <c:yVal>
            <c:numRef>
              <c:f>Diagrammdaten!$K$8:$K$77</c:f>
              <c:numCache>
                <c:formatCode>General</c:formatCode>
                <c:ptCount val="70"/>
                <c:pt idx="0">
                  <c:v>5.1795999999999998</c:v>
                </c:pt>
                <c:pt idx="1">
                  <c:v>5.4714</c:v>
                </c:pt>
                <c:pt idx="2">
                  <c:v>5.7754000000000003</c:v>
                </c:pt>
                <c:pt idx="3">
                  <c:v>6.0919999999999996</c:v>
                </c:pt>
                <c:pt idx="4">
                  <c:v>6.4214000000000002</c:v>
                </c:pt>
                <c:pt idx="5">
                  <c:v>6.7641</c:v>
                </c:pt>
                <c:pt idx="6">
                  <c:v>7.1203000000000003</c:v>
                </c:pt>
                <c:pt idx="7">
                  <c:v>7.4903000000000004</c:v>
                </c:pt>
                <c:pt idx="8">
                  <c:v>7.8746</c:v>
                </c:pt>
                <c:pt idx="9">
                  <c:v>8.2734000000000005</c:v>
                </c:pt>
                <c:pt idx="10">
                  <c:v>8.6869999999999994</c:v>
                </c:pt>
                <c:pt idx="11">
                  <c:v>9.1158999999999999</c:v>
                </c:pt>
                <c:pt idx="12">
                  <c:v>9.5603999999999996</c:v>
                </c:pt>
                <c:pt idx="13">
                  <c:v>10.0207</c:v>
                </c:pt>
                <c:pt idx="14">
                  <c:v>10.497299999999999</c:v>
                </c:pt>
                <c:pt idx="15">
                  <c:v>10.990399999999999</c:v>
                </c:pt>
                <c:pt idx="16">
                  <c:v>11.500500000000001</c:v>
                </c:pt>
                <c:pt idx="17">
                  <c:v>12.027900000000001</c:v>
                </c:pt>
                <c:pt idx="18">
                  <c:v>12.573</c:v>
                </c:pt>
                <c:pt idx="19">
                  <c:v>13.136100000000001</c:v>
                </c:pt>
                <c:pt idx="20">
                  <c:v>13.717499999999999</c:v>
                </c:pt>
                <c:pt idx="21">
                  <c:v>14.3177</c:v>
                </c:pt>
                <c:pt idx="22">
                  <c:v>14.9369</c:v>
                </c:pt>
                <c:pt idx="23">
                  <c:v>15.575699999999999</c:v>
                </c:pt>
                <c:pt idx="24">
                  <c:v>16.234300000000001</c:v>
                </c:pt>
                <c:pt idx="25">
                  <c:v>16.913</c:v>
                </c:pt>
                <c:pt idx="26">
                  <c:v>17.612400000000001</c:v>
                </c:pt>
                <c:pt idx="27">
                  <c:v>18.332799999999999</c:v>
                </c:pt>
                <c:pt idx="28">
                  <c:v>19.0745</c:v>
                </c:pt>
                <c:pt idx="29">
                  <c:v>19.837900000000001</c:v>
                </c:pt>
                <c:pt idx="30">
                  <c:v>20.6234</c:v>
                </c:pt>
                <c:pt idx="31">
                  <c:v>21.4315</c:v>
                </c:pt>
                <c:pt idx="32">
                  <c:v>22.262499999999999</c:v>
                </c:pt>
                <c:pt idx="33">
                  <c:v>23.116900000000001</c:v>
                </c:pt>
                <c:pt idx="34">
                  <c:v>23.995000000000001</c:v>
                </c:pt>
                <c:pt idx="35">
                  <c:v>24.897200000000002</c:v>
                </c:pt>
                <c:pt idx="36">
                  <c:v>25.824000000000002</c:v>
                </c:pt>
                <c:pt idx="37">
                  <c:v>26.7758</c:v>
                </c:pt>
                <c:pt idx="38">
                  <c:v>27.753</c:v>
                </c:pt>
                <c:pt idx="39">
                  <c:v>28.7561</c:v>
                </c:pt>
                <c:pt idx="40">
                  <c:v>29.785499999999999</c:v>
                </c:pt>
                <c:pt idx="41">
                  <c:v>30.841699999999999</c:v>
                </c:pt>
                <c:pt idx="42">
                  <c:v>31.9251</c:v>
                </c:pt>
                <c:pt idx="43">
                  <c:v>33.036299999999997</c:v>
                </c:pt>
                <c:pt idx="44">
                  <c:v>34.175600000000003</c:v>
                </c:pt>
                <c:pt idx="45">
                  <c:v>35.343699999999998</c:v>
                </c:pt>
                <c:pt idx="46">
                  <c:v>36.540900000000001</c:v>
                </c:pt>
                <c:pt idx="47">
                  <c:v>37.767899999999997</c:v>
                </c:pt>
                <c:pt idx="48">
                  <c:v>39.025100000000002</c:v>
                </c:pt>
                <c:pt idx="49">
                  <c:v>40.313200000000002</c:v>
                </c:pt>
                <c:pt idx="50">
                  <c:v>41.6327</c:v>
                </c:pt>
                <c:pt idx="51">
                  <c:v>42.984200000000001</c:v>
                </c:pt>
                <c:pt idx="52">
                  <c:v>44.368299999999998</c:v>
                </c:pt>
                <c:pt idx="53">
                  <c:v>45.785699999999999</c:v>
                </c:pt>
                <c:pt idx="54">
                  <c:v>47.237099999999998</c:v>
                </c:pt>
                <c:pt idx="55">
                  <c:v>48.723100000000002</c:v>
                </c:pt>
                <c:pt idx="56">
                  <c:v>50.244599999999998</c:v>
                </c:pt>
                <c:pt idx="57">
                  <c:v>51.802300000000002</c:v>
                </c:pt>
                <c:pt idx="58">
                  <c:v>53.397199999999998</c:v>
                </c:pt>
                <c:pt idx="59">
                  <c:v>55.03</c:v>
                </c:pt>
                <c:pt idx="60">
                  <c:v>56.701900000000002</c:v>
                </c:pt>
                <c:pt idx="61">
                  <c:v>58.414000000000001</c:v>
                </c:pt>
                <c:pt idx="62">
                  <c:v>60.167400000000001</c:v>
                </c:pt>
                <c:pt idx="63">
                  <c:v>61.963700000000003</c:v>
                </c:pt>
                <c:pt idx="64">
                  <c:v>63.804400000000001</c:v>
                </c:pt>
                <c:pt idx="65">
                  <c:v>65.691500000000005</c:v>
                </c:pt>
                <c:pt idx="66">
                  <c:v>67.627300000000005</c:v>
                </c:pt>
                <c:pt idx="67">
                  <c:v>69.615200000000002</c:v>
                </c:pt>
                <c:pt idx="68">
                  <c:v>71.659899999999993</c:v>
                </c:pt>
                <c:pt idx="69">
                  <c:v>73.772999999999996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97-47FC-8DC3-5ACFE91589D0}"/>
            </c:ext>
          </c:extLst>
        </c:ser>
        <c:ser>
          <c:idx val="5"/>
          <c:order val="5"/>
          <c:tx>
            <c:v>Sublimationslinie</c:v>
          </c:tx>
          <c:spPr>
            <a:ln w="19050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Diagrammdaten!$L$79:$L$103</c:f>
              <c:numCache>
                <c:formatCode>General</c:formatCode>
                <c:ptCount val="25"/>
                <c:pt idx="0">
                  <c:v>1</c:v>
                </c:pt>
                <c:pt idx="1">
                  <c:v>2.9535999999999945</c:v>
                </c:pt>
                <c:pt idx="2">
                  <c:v>4.9070000000000107</c:v>
                </c:pt>
                <c:pt idx="3">
                  <c:v>6.8606000000000051</c:v>
                </c:pt>
                <c:pt idx="4">
                  <c:v>8.813999999999993</c:v>
                </c:pt>
                <c:pt idx="5">
                  <c:v>10.767599999999987</c:v>
                </c:pt>
                <c:pt idx="6">
                  <c:v>12.721000000000004</c:v>
                </c:pt>
                <c:pt idx="7">
                  <c:v>14.674599999999998</c:v>
                </c:pt>
                <c:pt idx="8">
                  <c:v>16.627999999999986</c:v>
                </c:pt>
                <c:pt idx="9">
                  <c:v>18.581600000000009</c:v>
                </c:pt>
                <c:pt idx="10">
                  <c:v>20.534999999999997</c:v>
                </c:pt>
                <c:pt idx="11">
                  <c:v>22.488599999999991</c:v>
                </c:pt>
                <c:pt idx="12">
                  <c:v>24.442000000000007</c:v>
                </c:pt>
                <c:pt idx="13">
                  <c:v>26.395600000000002</c:v>
                </c:pt>
                <c:pt idx="14">
                  <c:v>28.34899999999999</c:v>
                </c:pt>
                <c:pt idx="15">
                  <c:v>30.302600000000012</c:v>
                </c:pt>
                <c:pt idx="16">
                  <c:v>32.256</c:v>
                </c:pt>
                <c:pt idx="17">
                  <c:v>34.209599999999995</c:v>
                </c:pt>
                <c:pt idx="18">
                  <c:v>36.162999999999997</c:v>
                </c:pt>
                <c:pt idx="19">
                  <c:v>38.116600000000005</c:v>
                </c:pt>
                <c:pt idx="20">
                  <c:v>40.069999999999993</c:v>
                </c:pt>
                <c:pt idx="21">
                  <c:v>42.023600000000002</c:v>
                </c:pt>
                <c:pt idx="22">
                  <c:v>43.977000000000004</c:v>
                </c:pt>
                <c:pt idx="23">
                  <c:v>45.930599999999998</c:v>
                </c:pt>
                <c:pt idx="24">
                  <c:v>47.884</c:v>
                </c:pt>
              </c:numCache>
            </c:numRef>
          </c:xVal>
          <c:yVal>
            <c:numRef>
              <c:f>Diagrammdaten!$K$79:$K$103</c:f>
              <c:numCache>
                <c:formatCode>General</c:formatCode>
                <c:ptCount val="25"/>
                <c:pt idx="0">
                  <c:v>0.89239999999999997</c:v>
                </c:pt>
                <c:pt idx="1">
                  <c:v>0.9677</c:v>
                </c:pt>
                <c:pt idx="2">
                  <c:v>1.0486</c:v>
                </c:pt>
                <c:pt idx="3">
                  <c:v>1.1353</c:v>
                </c:pt>
                <c:pt idx="4">
                  <c:v>1.2282999999999999</c:v>
                </c:pt>
                <c:pt idx="5">
                  <c:v>1.3280000000000001</c:v>
                </c:pt>
                <c:pt idx="6">
                  <c:v>1.4346000000000001</c:v>
                </c:pt>
                <c:pt idx="7">
                  <c:v>1.5488</c:v>
                </c:pt>
                <c:pt idx="8">
                  <c:v>1.6709000000000001</c:v>
                </c:pt>
                <c:pt idx="9">
                  <c:v>1.8013999999999999</c:v>
                </c:pt>
                <c:pt idx="10">
                  <c:v>1.9408000000000001</c:v>
                </c:pt>
                <c:pt idx="11">
                  <c:v>2.0897000000000001</c:v>
                </c:pt>
                <c:pt idx="12">
                  <c:v>2.2484999999999999</c:v>
                </c:pt>
                <c:pt idx="13">
                  <c:v>2.4180000000000001</c:v>
                </c:pt>
                <c:pt idx="14">
                  <c:v>2.5985</c:v>
                </c:pt>
                <c:pt idx="15">
                  <c:v>2.7909999999999999</c:v>
                </c:pt>
                <c:pt idx="16">
                  <c:v>2.9958999999999998</c:v>
                </c:pt>
                <c:pt idx="17">
                  <c:v>3.214</c:v>
                </c:pt>
                <c:pt idx="18">
                  <c:v>3.4462000000000002</c:v>
                </c:pt>
                <c:pt idx="19">
                  <c:v>3.6930000000000001</c:v>
                </c:pt>
                <c:pt idx="20">
                  <c:v>3.9554999999999998</c:v>
                </c:pt>
                <c:pt idx="21">
                  <c:v>4.2343999999999999</c:v>
                </c:pt>
                <c:pt idx="22">
                  <c:v>4.5308000000000002</c:v>
                </c:pt>
                <c:pt idx="23">
                  <c:v>4.8455000000000004</c:v>
                </c:pt>
                <c:pt idx="24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97-47FC-8DC3-5ACFE91589D0}"/>
            </c:ext>
          </c:extLst>
        </c:ser>
        <c:ser>
          <c:idx val="6"/>
          <c:order val="6"/>
          <c:tx>
            <c:v>Schmelzlinie</c:v>
          </c:tx>
          <c:spPr>
            <a:ln w="19050">
              <a:solidFill>
                <a:srgbClr val="5F2176"/>
              </a:solidFill>
            </a:ln>
          </c:spPr>
          <c:marker>
            <c:symbol val="none"/>
          </c:marker>
          <c:xVal>
            <c:numRef>
              <c:f>Diagrammdaten!$L$105:$L$119</c:f>
              <c:numCache>
                <c:formatCode>General</c:formatCode>
                <c:ptCount val="15"/>
                <c:pt idx="0">
                  <c:v>47.884</c:v>
                </c:pt>
                <c:pt idx="1">
                  <c:v>48.613799999999998</c:v>
                </c:pt>
                <c:pt idx="2">
                  <c:v>49.343599999999995</c:v>
                </c:pt>
                <c:pt idx="3">
                  <c:v>50.073400000000007</c:v>
                </c:pt>
                <c:pt idx="4">
                  <c:v>50.803200000000004</c:v>
                </c:pt>
                <c:pt idx="5">
                  <c:v>51.532799999999995</c:v>
                </c:pt>
                <c:pt idx="6">
                  <c:v>52.262600000000006</c:v>
                </c:pt>
                <c:pt idx="7">
                  <c:v>52.992400000000004</c:v>
                </c:pt>
                <c:pt idx="8">
                  <c:v>53.722200000000001</c:v>
                </c:pt>
                <c:pt idx="9">
                  <c:v>54.451999999999998</c:v>
                </c:pt>
                <c:pt idx="10">
                  <c:v>55.181799999999996</c:v>
                </c:pt>
                <c:pt idx="11">
                  <c:v>55.911600000000007</c:v>
                </c:pt>
                <c:pt idx="12">
                  <c:v>56.641400000000004</c:v>
                </c:pt>
                <c:pt idx="13">
                  <c:v>57.371200000000002</c:v>
                </c:pt>
                <c:pt idx="14">
                  <c:v>58.100800000000007</c:v>
                </c:pt>
              </c:numCache>
            </c:numRef>
          </c:xVal>
          <c:yVal>
            <c:numRef>
              <c:f>Diagrammdaten!$K$105:$K$119</c:f>
              <c:numCache>
                <c:formatCode>General</c:formatCode>
                <c:ptCount val="15"/>
                <c:pt idx="0">
                  <c:v>5.1795999999999998</c:v>
                </c:pt>
                <c:pt idx="1">
                  <c:v>22.274000000000001</c:v>
                </c:pt>
                <c:pt idx="2">
                  <c:v>39.428800000000003</c:v>
                </c:pt>
                <c:pt idx="3">
                  <c:v>56.643999999999998</c:v>
                </c:pt>
                <c:pt idx="4">
                  <c:v>73.919700000000006</c:v>
                </c:pt>
                <c:pt idx="5">
                  <c:v>91.255700000000004</c:v>
                </c:pt>
                <c:pt idx="6">
                  <c:v>108.6523</c:v>
                </c:pt>
                <c:pt idx="7">
                  <c:v>126.1092</c:v>
                </c:pt>
                <c:pt idx="8">
                  <c:v>143.6266</c:v>
                </c:pt>
                <c:pt idx="9">
                  <c:v>161.20439999999999</c:v>
                </c:pt>
                <c:pt idx="10">
                  <c:v>178.84270000000001</c:v>
                </c:pt>
                <c:pt idx="11">
                  <c:v>196.54130000000001</c:v>
                </c:pt>
                <c:pt idx="12">
                  <c:v>214.3005</c:v>
                </c:pt>
                <c:pt idx="13">
                  <c:v>232.12</c:v>
                </c:pt>
                <c:pt idx="1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97-47FC-8DC3-5ACFE91589D0}"/>
            </c:ext>
          </c:extLst>
        </c:ser>
        <c:ser>
          <c:idx val="7"/>
          <c:order val="7"/>
          <c:tx>
            <c:v>Tripelpunkt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Diagrammdaten!$L$121</c:f>
              <c:numCache>
                <c:formatCode>General</c:formatCode>
                <c:ptCount val="1"/>
                <c:pt idx="0">
                  <c:v>47.884</c:v>
                </c:pt>
              </c:numCache>
            </c:numRef>
          </c:xVal>
          <c:yVal>
            <c:numRef>
              <c:f>Diagrammdaten!$K$121</c:f>
              <c:numCache>
                <c:formatCode>General</c:formatCode>
                <c:ptCount val="1"/>
                <c:pt idx="0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97-47FC-8DC3-5ACFE91589D0}"/>
            </c:ext>
          </c:extLst>
        </c:ser>
        <c:ser>
          <c:idx val="8"/>
          <c:order val="8"/>
          <c:tx>
            <c:v>Kritischer Punkt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Diagrammdaten!$L$123</c:f>
              <c:numCache>
                <c:formatCode>General</c:formatCode>
                <c:ptCount val="1"/>
                <c:pt idx="0">
                  <c:v>222.9564</c:v>
                </c:pt>
              </c:numCache>
            </c:numRef>
          </c:xVal>
          <c:yVal>
            <c:numRef>
              <c:f>Diagrammdaten!$K$123</c:f>
              <c:numCache>
                <c:formatCode>General</c:formatCode>
                <c:ptCount val="1"/>
                <c:pt idx="0">
                  <c:v>73.772999999999996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97-47FC-8DC3-5ACFE91589D0}"/>
            </c:ext>
          </c:extLst>
        </c:ser>
        <c:ser>
          <c:idx val="9"/>
          <c:order val="9"/>
          <c:tx>
            <c:v>S1: Pumpe</c:v>
          </c:tx>
          <c:spPr>
            <a:ln w="34925">
              <a:solidFill>
                <a:srgbClr val="007335"/>
              </a:solidFill>
            </a:ln>
          </c:spPr>
          <c:marker>
            <c:symbol val="diamond"/>
            <c:size val="8"/>
            <c:spPr>
              <a:solidFill>
                <a:srgbClr val="007335"/>
              </a:solidFill>
              <a:ln>
                <a:solidFill>
                  <a:srgbClr val="007335"/>
                </a:solidFill>
              </a:ln>
            </c:spPr>
          </c:marker>
          <c:xVal>
            <c:numRef>
              <c:f>Diagrammdaten!$L$125:$L$126</c:f>
              <c:numCache>
                <c:formatCode>General</c:formatCode>
                <c:ptCount val="2"/>
                <c:pt idx="0">
                  <c:v>191</c:v>
                </c:pt>
                <c:pt idx="1">
                  <c:v>194.60651297673928</c:v>
                </c:pt>
              </c:numCache>
            </c:numRef>
          </c:xVal>
          <c:yVal>
            <c:numRef>
              <c:f>Diagrammdaten!$K$125:$K$126</c:f>
              <c:numCache>
                <c:formatCode>General</c:formatCode>
                <c:ptCount val="2"/>
                <c:pt idx="0">
                  <c:v>91</c:v>
                </c:pt>
                <c:pt idx="1">
                  <c:v>107.603219569636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97-47FC-8DC3-5ACFE91589D0}"/>
            </c:ext>
          </c:extLst>
        </c:ser>
        <c:ser>
          <c:idx val="10"/>
          <c:order val="10"/>
          <c:tx>
            <c:v>S2: verdichten → überkritisch kühlen → pumpen</c:v>
          </c:tx>
          <c:spPr>
            <a:ln w="28575">
              <a:solidFill>
                <a:srgbClr val="0476D9"/>
              </a:solidFill>
            </a:ln>
          </c:spPr>
          <c:marker>
            <c:symbol val="circle"/>
            <c:size val="6"/>
            <c:spPr>
              <a:solidFill>
                <a:srgbClr val="0476D9"/>
              </a:solidFill>
              <a:ln>
                <a:solidFill>
                  <a:srgbClr val="0476D9"/>
                </a:solidFill>
              </a:ln>
            </c:spPr>
          </c:marker>
          <c:xVal>
            <c:numRef>
              <c:f>Diagrammdaten!$L$128:$L$133</c:f>
              <c:numCache>
                <c:formatCode>General</c:formatCode>
                <c:ptCount val="4"/>
                <c:pt idx="0">
                  <c:v>191</c:v>
                </c:pt>
                <c:pt idx="1">
                  <c:v>307.31078491815822</c:v>
                </c:pt>
                <c:pt idx="2">
                  <c:v>201</c:v>
                </c:pt>
                <c:pt idx="3">
                  <c:v>216.08448699792746</c:v>
                </c:pt>
              </c:numCache>
            </c:numRef>
          </c:xVal>
          <c:yVal>
            <c:numRef>
              <c:f>Diagrammdaten!$K$128:$K$133</c:f>
              <c:numCache>
                <c:formatCode>General</c:formatCode>
                <c:ptCount val="4"/>
                <c:pt idx="0">
                  <c:v>30</c:v>
                </c:pt>
                <c:pt idx="1">
                  <c:v>60</c:v>
                </c:pt>
                <c:pt idx="2">
                  <c:v>60</c:v>
                </c:pt>
                <c:pt idx="3">
                  <c:v>107.603219569636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97-47FC-8DC3-5ACFE91589D0}"/>
            </c:ext>
          </c:extLst>
        </c:ser>
        <c:ser>
          <c:idx val="11"/>
          <c:order val="11"/>
          <c:tx>
            <c:v>Vergleich A: verflüssigen bei 60 bar (Kühlwasser ≤ 14 °C)</c:v>
          </c:tx>
          <c:spPr>
            <a:ln w="19050">
              <a:solidFill>
                <a:srgbClr val="68AFE1"/>
              </a:solidFill>
              <a:prstDash val="sysDot"/>
            </a:ln>
          </c:spPr>
          <c:marker>
            <c:symbol val="circle"/>
            <c:size val="4"/>
            <c:spPr>
              <a:solidFill>
                <a:srgbClr val="68AFE1"/>
              </a:solidFill>
              <a:ln>
                <a:solidFill>
                  <a:srgbClr val="68AFE1"/>
                </a:solidFill>
              </a:ln>
            </c:spPr>
          </c:marker>
          <c:xVal>
            <c:numRef>
              <c:f>Diagrammdaten!$L$370:$L$375</c:f>
              <c:numCache>
                <c:formatCode>General</c:formatCode>
                <c:ptCount val="4"/>
                <c:pt idx="0">
                  <c:v>191</c:v>
                </c:pt>
                <c:pt idx="1">
                  <c:v>247.20335200603222</c:v>
                </c:pt>
                <c:pt idx="2">
                  <c:v>201</c:v>
                </c:pt>
                <c:pt idx="3">
                  <c:v>257.89220914958628</c:v>
                </c:pt>
              </c:numCache>
            </c:numRef>
          </c:xVal>
          <c:yVal>
            <c:numRef>
              <c:f>Diagrammdaten!$K$370:$K$375</c:f>
              <c:numCache>
                <c:formatCode>General</c:formatCode>
                <c:ptCount val="4"/>
                <c:pt idx="0">
                  <c:v>30</c:v>
                </c:pt>
                <c:pt idx="1">
                  <c:v>42.426406871192853</c:v>
                </c:pt>
                <c:pt idx="2">
                  <c:v>42.426406871192853</c:v>
                </c:pt>
                <c:pt idx="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97-47FC-8DC3-5ACFE91589D0}"/>
            </c:ext>
          </c:extLst>
        </c:ser>
        <c:ser>
          <c:idx val="12"/>
          <c:order val="12"/>
          <c:tx>
            <c:v>Vergleich: Durchverdichten (2 Stufen)</c:v>
          </c:tx>
          <c:spPr>
            <a:ln w="19050">
              <a:solidFill>
                <a:srgbClr val="7030A0"/>
              </a:solidFill>
              <a:prstDash val="dash"/>
            </a:ln>
          </c:spPr>
          <c:marker>
            <c:symbol val="circle"/>
            <c:size val="4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xVal>
            <c:numRef>
              <c:f>Diagrammdaten!$L$138:$L$142</c:f>
              <c:numCache>
                <c:formatCode>General</c:formatCode>
                <c:ptCount val="5"/>
                <c:pt idx="0">
                  <c:v>191</c:v>
                </c:pt>
                <c:pt idx="1">
                  <c:v>275.20544034842783</c:v>
                </c:pt>
                <c:pt idx="2">
                  <c:v>201</c:v>
                </c:pt>
                <c:pt idx="3">
                  <c:v>327.7315631178767</c:v>
                </c:pt>
                <c:pt idx="4">
                  <c:v>216.08448699792746</c:v>
                </c:pt>
              </c:numCache>
            </c:numRef>
          </c:xVal>
          <c:yVal>
            <c:numRef>
              <c:f>Diagrammdaten!$K$138:$K$142</c:f>
              <c:numCache>
                <c:formatCode>General</c:formatCode>
                <c:ptCount val="5"/>
                <c:pt idx="0">
                  <c:v>30</c:v>
                </c:pt>
                <c:pt idx="1">
                  <c:v>50</c:v>
                </c:pt>
                <c:pt idx="2">
                  <c:v>50</c:v>
                </c:pt>
                <c:pt idx="3">
                  <c:v>107.603219569636</c:v>
                </c:pt>
                <c:pt idx="4">
                  <c:v>107.603219569636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97-47FC-8DC3-5ACFE91589D0}"/>
            </c:ext>
          </c:extLst>
        </c:ser>
        <c:ser>
          <c:idx val="13"/>
          <c:order val="13"/>
          <c:tx>
            <c:v>Beschriftung Phasengebiete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fest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5497-47FC-8DC3-5ACFE91589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flüssig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5497-47FC-8DC3-5ACFE91589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gasförmig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5497-47FC-8DC3-5ACFE91589D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überkritisch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5497-47FC-8DC3-5ACFE91589D0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Diagrammdaten!$L$144:$L$147</c:f>
              <c:numCache>
                <c:formatCode>General</c:formatCode>
                <c:ptCount val="4"/>
                <c:pt idx="0">
                  <c:v>19</c:v>
                </c:pt>
                <c:pt idx="1">
                  <c:v>101</c:v>
                </c:pt>
                <c:pt idx="2">
                  <c:v>305</c:v>
                </c:pt>
                <c:pt idx="3">
                  <c:v>331</c:v>
                </c:pt>
              </c:numCache>
            </c:numRef>
          </c:xVal>
          <c:yVal>
            <c:numRef>
              <c:f>Diagrammdaten!$K$144:$K$147</c:f>
              <c:numCache>
                <c:formatCode>General</c:formatCode>
                <c:ptCount val="4"/>
                <c:pt idx="0">
                  <c:v>70</c:v>
                </c:pt>
                <c:pt idx="1">
                  <c:v>105</c:v>
                </c:pt>
                <c:pt idx="2">
                  <c:v>12</c:v>
                </c:pt>
                <c:pt idx="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497-47FC-8DC3-5ACFE91589D0}"/>
            </c:ext>
          </c:extLst>
        </c:ser>
        <c:ser>
          <c:idx val="14"/>
          <c:order val="14"/>
          <c:tx>
            <c:v>Beschriftung Punkte E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S1 Netzübergabe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5497-47FC-8DC3-5ACFE91589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S2 Netzübergabe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5497-47FC-8DC3-5ACFE91589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Verdichter 2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5497-47FC-8DC3-5ACFE91589D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Kühler 91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5497-47FC-8DC3-5ACFE91589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Bohrlochkopf S1 105,4 / S2 114,6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5497-47FC-8DC3-5ACFE91589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Verdichter 1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5497-47FC-8DC3-5ACFE91589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Zwischenkühler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5497-47FC-8DC3-5ACFE91589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404040"/>
                        </a:solidFill>
                      </a:rPr>
                      <a:t>Durchverdichten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5497-47FC-8DC3-5ACFE91589D0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Diagrammdaten!$L$149:$L$156</c:f>
              <c:numCache>
                <c:formatCode>General</c:formatCode>
                <c:ptCount val="8"/>
                <c:pt idx="0">
                  <c:v>163</c:v>
                </c:pt>
                <c:pt idx="1">
                  <c:v>191</c:v>
                </c:pt>
                <c:pt idx="2">
                  <c:v>327.31079999999997</c:v>
                </c:pt>
                <c:pt idx="3">
                  <c:v>177</c:v>
                </c:pt>
                <c:pt idx="4">
                  <c:v>207</c:v>
                </c:pt>
                <c:pt idx="5">
                  <c:v>293.2054</c:v>
                </c:pt>
                <c:pt idx="6">
                  <c:v>233</c:v>
                </c:pt>
                <c:pt idx="7">
                  <c:v>345.73159999999996</c:v>
                </c:pt>
              </c:numCache>
            </c:numRef>
          </c:xVal>
          <c:yVal>
            <c:numRef>
              <c:f>Diagrammdaten!$K$149:$K$156</c:f>
              <c:numCache>
                <c:formatCode>General</c:formatCode>
                <c:ptCount val="8"/>
                <c:pt idx="0">
                  <c:v>91</c:v>
                </c:pt>
                <c:pt idx="1">
                  <c:v>25</c:v>
                </c:pt>
                <c:pt idx="2">
                  <c:v>63</c:v>
                </c:pt>
                <c:pt idx="3">
                  <c:v>60</c:v>
                </c:pt>
                <c:pt idx="4">
                  <c:v>114</c:v>
                </c:pt>
                <c:pt idx="5">
                  <c:v>46</c:v>
                </c:pt>
                <c:pt idx="6">
                  <c:v>53</c:v>
                </c:pt>
                <c:pt idx="7">
                  <c:v>103.6032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497-47FC-8DC3-5ACFE9158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80001"/>
        <c:axId val="60080002"/>
      </c:scatte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80002"/>
        <c:scaling>
          <c:orientation val="minMax"/>
          <c:max val="13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80001"/>
        <c:crosses val="autoZero"/>
        <c:crossBetween val="midCat"/>
        <c:majorUnit val="10"/>
      </c:valAx>
      <c:valAx>
        <c:axId val="60080002"/>
        <c:scaling>
          <c:orientation val="minMax"/>
          <c:max val="13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80001"/>
        <c:crosses val="max"/>
        <c:crossBetween val="midCat"/>
      </c:valAx>
      <c:catAx>
        <c:axId val="60080001"/>
        <c:scaling>
          <c:orientation val="minMax"/>
        </c:scaling>
        <c:delete val="1"/>
        <c:axPos val="b"/>
        <c:majorTickMark val="out"/>
        <c:minorTickMark val="none"/>
        <c:tickLblPos val="none"/>
        <c:crossAx val="60080002"/>
        <c:crosses val="autoZero"/>
        <c:auto val="1"/>
        <c:lblAlgn val="ctr"/>
        <c:lblOffset val="100"/>
        <c:noMultiLvlLbl val="0"/>
      </c:cat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_orig5_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00304F"/>
                </a:solidFill>
              </a:defRPr>
            </a:pPr>
            <a:r>
              <a:rPr lang="en-US" sz="1200" b="1" baseline="0">
                <a:solidFill>
                  <a:srgbClr val="00304F"/>
                </a:solidFill>
              </a:rPr>
              <a:t>NUR STILLSTAND – Bohrloch und Kaverne V1: Gassäulen für voll, Grenzfall und leer (nach Q-028, Fig. 3)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Diagrammdaten!$D$7</c:f>
              <c:strCache>
                <c:ptCount val="1"/>
                <c:pt idx="0">
                  <c:v>gasförmig [bar]</c:v>
                </c:pt>
              </c:strCache>
            </c:strRef>
          </c:tx>
          <c:spPr>
            <a:solidFill>
              <a:srgbClr val="CFE2F3"/>
            </a:solidFill>
            <a:ln>
              <a:noFill/>
            </a:ln>
          </c:spPr>
          <c:cat>
            <c:strRef>
              <c:f>Diagrammdaten!$C$8:$C$368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Diagrammdaten!$D$8:$D$368</c:f>
              <c:numCache>
                <c:formatCode>General</c:formatCode>
                <c:ptCount val="361"/>
                <c:pt idx="0">
                  <c:v>0.89239999999999997</c:v>
                </c:pt>
                <c:pt idx="1">
                  <c:v>0.93030000000000002</c:v>
                </c:pt>
                <c:pt idx="2">
                  <c:v>0.96960000000000002</c:v>
                </c:pt>
                <c:pt idx="3">
                  <c:v>1.0103</c:v>
                </c:pt>
                <c:pt idx="4">
                  <c:v>1.0526</c:v>
                </c:pt>
                <c:pt idx="5">
                  <c:v>1.0964</c:v>
                </c:pt>
                <c:pt idx="6">
                  <c:v>1.1417999999999999</c:v>
                </c:pt>
                <c:pt idx="7">
                  <c:v>1.1888000000000001</c:v>
                </c:pt>
                <c:pt idx="8">
                  <c:v>1.2375</c:v>
                </c:pt>
                <c:pt idx="9">
                  <c:v>1.288</c:v>
                </c:pt>
                <c:pt idx="10">
                  <c:v>1.3403</c:v>
                </c:pt>
                <c:pt idx="11">
                  <c:v>1.3944000000000001</c:v>
                </c:pt>
                <c:pt idx="12">
                  <c:v>1.4504999999999999</c:v>
                </c:pt>
                <c:pt idx="13">
                  <c:v>1.5085</c:v>
                </c:pt>
                <c:pt idx="14">
                  <c:v>1.5686</c:v>
                </c:pt>
                <c:pt idx="15">
                  <c:v>1.6308</c:v>
                </c:pt>
                <c:pt idx="16">
                  <c:v>1.6951000000000001</c:v>
                </c:pt>
                <c:pt idx="17">
                  <c:v>1.7617</c:v>
                </c:pt>
                <c:pt idx="18">
                  <c:v>1.8305</c:v>
                </c:pt>
                <c:pt idx="19">
                  <c:v>1.9016999999999999</c:v>
                </c:pt>
                <c:pt idx="20">
                  <c:v>1.9754</c:v>
                </c:pt>
                <c:pt idx="21">
                  <c:v>2.0516000000000001</c:v>
                </c:pt>
                <c:pt idx="22">
                  <c:v>2.1303000000000001</c:v>
                </c:pt>
                <c:pt idx="23">
                  <c:v>2.2117</c:v>
                </c:pt>
                <c:pt idx="24">
                  <c:v>2.2957999999999998</c:v>
                </c:pt>
                <c:pt idx="25">
                  <c:v>2.3828</c:v>
                </c:pt>
                <c:pt idx="26">
                  <c:v>2.4725999999999999</c:v>
                </c:pt>
                <c:pt idx="27">
                  <c:v>2.5653999999999999</c:v>
                </c:pt>
                <c:pt idx="28">
                  <c:v>2.6613000000000002</c:v>
                </c:pt>
                <c:pt idx="29">
                  <c:v>2.7604000000000002</c:v>
                </c:pt>
                <c:pt idx="30">
                  <c:v>2.8626999999999998</c:v>
                </c:pt>
                <c:pt idx="31">
                  <c:v>2.9683000000000002</c:v>
                </c:pt>
                <c:pt idx="32">
                  <c:v>3.0773999999999999</c:v>
                </c:pt>
                <c:pt idx="33">
                  <c:v>3.19</c:v>
                </c:pt>
                <c:pt idx="34">
                  <c:v>3.3062</c:v>
                </c:pt>
                <c:pt idx="35">
                  <c:v>3.4262000000000001</c:v>
                </c:pt>
                <c:pt idx="36">
                  <c:v>3.5501</c:v>
                </c:pt>
                <c:pt idx="37">
                  <c:v>3.6779000000000002</c:v>
                </c:pt>
                <c:pt idx="38">
                  <c:v>3.8098000000000001</c:v>
                </c:pt>
                <c:pt idx="39">
                  <c:v>3.9458000000000002</c:v>
                </c:pt>
                <c:pt idx="40">
                  <c:v>4.0861999999999998</c:v>
                </c:pt>
                <c:pt idx="41">
                  <c:v>4.2309999999999999</c:v>
                </c:pt>
                <c:pt idx="42">
                  <c:v>4.3803000000000001</c:v>
                </c:pt>
                <c:pt idx="43">
                  <c:v>4.5343</c:v>
                </c:pt>
                <c:pt idx="44">
                  <c:v>4.6932</c:v>
                </c:pt>
                <c:pt idx="45">
                  <c:v>4.8570000000000002</c:v>
                </c:pt>
                <c:pt idx="46">
                  <c:v>5.0259</c:v>
                </c:pt>
                <c:pt idx="47">
                  <c:v>5.1927000000000003</c:v>
                </c:pt>
                <c:pt idx="48">
                  <c:v>5.3064999999999998</c:v>
                </c:pt>
                <c:pt idx="49">
                  <c:v>5.4221000000000004</c:v>
                </c:pt>
                <c:pt idx="50">
                  <c:v>5.5396999999999998</c:v>
                </c:pt>
                <c:pt idx="51">
                  <c:v>5.6590999999999996</c:v>
                </c:pt>
                <c:pt idx="52">
                  <c:v>5.7805</c:v>
                </c:pt>
                <c:pt idx="53">
                  <c:v>5.9038000000000004</c:v>
                </c:pt>
                <c:pt idx="54">
                  <c:v>6.0290999999999997</c:v>
                </c:pt>
                <c:pt idx="55">
                  <c:v>6.1563999999999997</c:v>
                </c:pt>
                <c:pt idx="56">
                  <c:v>6.2857000000000003</c:v>
                </c:pt>
                <c:pt idx="57">
                  <c:v>6.4169999999999998</c:v>
                </c:pt>
                <c:pt idx="58">
                  <c:v>6.5503999999999998</c:v>
                </c:pt>
                <c:pt idx="59">
                  <c:v>6.6859000000000002</c:v>
                </c:pt>
                <c:pt idx="60">
                  <c:v>6.8234000000000004</c:v>
                </c:pt>
                <c:pt idx="61">
                  <c:v>6.9630999999999998</c:v>
                </c:pt>
                <c:pt idx="62">
                  <c:v>7.1048999999999998</c:v>
                </c:pt>
                <c:pt idx="63">
                  <c:v>7.2488000000000001</c:v>
                </c:pt>
                <c:pt idx="64">
                  <c:v>7.3948999999999998</c:v>
                </c:pt>
                <c:pt idx="65">
                  <c:v>7.5431999999999997</c:v>
                </c:pt>
                <c:pt idx="66">
                  <c:v>7.6936999999999998</c:v>
                </c:pt>
                <c:pt idx="67">
                  <c:v>7.8464999999999998</c:v>
                </c:pt>
                <c:pt idx="68">
                  <c:v>8.0015000000000001</c:v>
                </c:pt>
                <c:pt idx="69">
                  <c:v>8.1587999999999994</c:v>
                </c:pt>
                <c:pt idx="70">
                  <c:v>8.3184000000000005</c:v>
                </c:pt>
                <c:pt idx="71">
                  <c:v>8.4802999999999997</c:v>
                </c:pt>
                <c:pt idx="72">
                  <c:v>8.6445000000000007</c:v>
                </c:pt>
                <c:pt idx="73">
                  <c:v>8.8110999999999997</c:v>
                </c:pt>
                <c:pt idx="74">
                  <c:v>8.98</c:v>
                </c:pt>
                <c:pt idx="75">
                  <c:v>9.1514000000000006</c:v>
                </c:pt>
                <c:pt idx="76">
                  <c:v>9.3252000000000006</c:v>
                </c:pt>
                <c:pt idx="77">
                  <c:v>9.5014000000000003</c:v>
                </c:pt>
                <c:pt idx="78">
                  <c:v>9.6800999999999995</c:v>
                </c:pt>
                <c:pt idx="79">
                  <c:v>9.8613</c:v>
                </c:pt>
                <c:pt idx="80">
                  <c:v>10.045</c:v>
                </c:pt>
                <c:pt idx="81">
                  <c:v>10.231199999999999</c:v>
                </c:pt>
                <c:pt idx="82">
                  <c:v>10.4199</c:v>
                </c:pt>
                <c:pt idx="83">
                  <c:v>10.6112</c:v>
                </c:pt>
                <c:pt idx="84">
                  <c:v>10.805099999999999</c:v>
                </c:pt>
                <c:pt idx="85">
                  <c:v>11.0017</c:v>
                </c:pt>
                <c:pt idx="86">
                  <c:v>11.200799999999999</c:v>
                </c:pt>
                <c:pt idx="87">
                  <c:v>11.4026</c:v>
                </c:pt>
                <c:pt idx="88">
                  <c:v>11.607100000000001</c:v>
                </c:pt>
                <c:pt idx="89">
                  <c:v>11.814299999999999</c:v>
                </c:pt>
                <c:pt idx="90">
                  <c:v>12.0242</c:v>
                </c:pt>
                <c:pt idx="91">
                  <c:v>12.236800000000001</c:v>
                </c:pt>
                <c:pt idx="92">
                  <c:v>12.452199999999999</c:v>
                </c:pt>
                <c:pt idx="93">
                  <c:v>12.670400000000001</c:v>
                </c:pt>
                <c:pt idx="94">
                  <c:v>12.891400000000001</c:v>
                </c:pt>
                <c:pt idx="95">
                  <c:v>13.1153</c:v>
                </c:pt>
                <c:pt idx="96">
                  <c:v>13.341900000000001</c:v>
                </c:pt>
                <c:pt idx="97">
                  <c:v>13.5715</c:v>
                </c:pt>
                <c:pt idx="98">
                  <c:v>13.803900000000001</c:v>
                </c:pt>
                <c:pt idx="99">
                  <c:v>14.039300000000001</c:v>
                </c:pt>
                <c:pt idx="100">
                  <c:v>14.2776</c:v>
                </c:pt>
                <c:pt idx="101">
                  <c:v>14.5189</c:v>
                </c:pt>
                <c:pt idx="102">
                  <c:v>14.7631</c:v>
                </c:pt>
                <c:pt idx="103">
                  <c:v>15.010400000000001</c:v>
                </c:pt>
                <c:pt idx="104">
                  <c:v>15.2607</c:v>
                </c:pt>
                <c:pt idx="105">
                  <c:v>15.513999999999999</c:v>
                </c:pt>
                <c:pt idx="106">
                  <c:v>15.7705</c:v>
                </c:pt>
                <c:pt idx="107">
                  <c:v>16.03</c:v>
                </c:pt>
                <c:pt idx="108">
                  <c:v>16.2926</c:v>
                </c:pt>
                <c:pt idx="109">
                  <c:v>16.558399999999999</c:v>
                </c:pt>
                <c:pt idx="110">
                  <c:v>16.827400000000001</c:v>
                </c:pt>
                <c:pt idx="111">
                  <c:v>17.099499999999999</c:v>
                </c:pt>
                <c:pt idx="112">
                  <c:v>17.3749</c:v>
                </c:pt>
                <c:pt idx="113">
                  <c:v>17.653500000000001</c:v>
                </c:pt>
                <c:pt idx="114">
                  <c:v>17.935300000000002</c:v>
                </c:pt>
                <c:pt idx="115">
                  <c:v>18.220500000000001</c:v>
                </c:pt>
                <c:pt idx="116">
                  <c:v>18.508900000000001</c:v>
                </c:pt>
                <c:pt idx="117">
                  <c:v>18.800699999999999</c:v>
                </c:pt>
                <c:pt idx="118">
                  <c:v>19.0959</c:v>
                </c:pt>
                <c:pt idx="119">
                  <c:v>19.394400000000001</c:v>
                </c:pt>
                <c:pt idx="120">
                  <c:v>19.696300000000001</c:v>
                </c:pt>
                <c:pt idx="121">
                  <c:v>20.0016</c:v>
                </c:pt>
                <c:pt idx="122">
                  <c:v>20.310400000000001</c:v>
                </c:pt>
                <c:pt idx="123">
                  <c:v>20.622699999999998</c:v>
                </c:pt>
                <c:pt idx="124">
                  <c:v>20.938400000000001</c:v>
                </c:pt>
                <c:pt idx="125">
                  <c:v>21.2577</c:v>
                </c:pt>
                <c:pt idx="126">
                  <c:v>21.5806</c:v>
                </c:pt>
                <c:pt idx="127">
                  <c:v>21.907</c:v>
                </c:pt>
                <c:pt idx="128">
                  <c:v>22.236999999999998</c:v>
                </c:pt>
                <c:pt idx="129">
                  <c:v>22.570599999999999</c:v>
                </c:pt>
                <c:pt idx="130">
                  <c:v>22.907900000000001</c:v>
                </c:pt>
                <c:pt idx="131">
                  <c:v>23.248799999999999</c:v>
                </c:pt>
                <c:pt idx="132">
                  <c:v>23.593499999999999</c:v>
                </c:pt>
                <c:pt idx="133">
                  <c:v>23.941800000000001</c:v>
                </c:pt>
                <c:pt idx="134">
                  <c:v>24.294</c:v>
                </c:pt>
                <c:pt idx="135">
                  <c:v>24.649799999999999</c:v>
                </c:pt>
                <c:pt idx="136">
                  <c:v>25.009499999999999</c:v>
                </c:pt>
                <c:pt idx="137">
                  <c:v>25.373000000000001</c:v>
                </c:pt>
                <c:pt idx="138">
                  <c:v>25.740400000000001</c:v>
                </c:pt>
                <c:pt idx="139">
                  <c:v>26.111599999999999</c:v>
                </c:pt>
                <c:pt idx="140">
                  <c:v>26.486799999999999</c:v>
                </c:pt>
                <c:pt idx="141">
                  <c:v>26.8658</c:v>
                </c:pt>
                <c:pt idx="142">
                  <c:v>27.248899999999999</c:v>
                </c:pt>
                <c:pt idx="143">
                  <c:v>27.635899999999999</c:v>
                </c:pt>
                <c:pt idx="144">
                  <c:v>28.026900000000001</c:v>
                </c:pt>
                <c:pt idx="145">
                  <c:v>28.421900000000001</c:v>
                </c:pt>
                <c:pt idx="146">
                  <c:v>28.821100000000001</c:v>
                </c:pt>
                <c:pt idx="147">
                  <c:v>29.224299999999999</c:v>
                </c:pt>
                <c:pt idx="148">
                  <c:v>29.631599999999999</c:v>
                </c:pt>
                <c:pt idx="149">
                  <c:v>30.043099999999999</c:v>
                </c:pt>
                <c:pt idx="150">
                  <c:v>30.4588</c:v>
                </c:pt>
                <c:pt idx="151">
                  <c:v>30.878599999999999</c:v>
                </c:pt>
                <c:pt idx="152">
                  <c:v>31.302700000000002</c:v>
                </c:pt>
                <c:pt idx="153">
                  <c:v>31.731100000000001</c:v>
                </c:pt>
                <c:pt idx="154">
                  <c:v>32.163699999999999</c:v>
                </c:pt>
                <c:pt idx="155">
                  <c:v>32.600700000000003</c:v>
                </c:pt>
                <c:pt idx="156">
                  <c:v>33.042000000000002</c:v>
                </c:pt>
                <c:pt idx="157">
                  <c:v>33.487699999999997</c:v>
                </c:pt>
                <c:pt idx="158">
                  <c:v>33.937800000000003</c:v>
                </c:pt>
                <c:pt idx="159">
                  <c:v>34.392400000000002</c:v>
                </c:pt>
                <c:pt idx="160">
                  <c:v>34.851399999999998</c:v>
                </c:pt>
                <c:pt idx="161">
                  <c:v>35.314900000000002</c:v>
                </c:pt>
                <c:pt idx="162">
                  <c:v>35.783000000000001</c:v>
                </c:pt>
                <c:pt idx="163">
                  <c:v>36.255600000000001</c:v>
                </c:pt>
                <c:pt idx="164">
                  <c:v>36.732900000000001</c:v>
                </c:pt>
                <c:pt idx="165">
                  <c:v>37.214700000000001</c:v>
                </c:pt>
                <c:pt idx="166">
                  <c:v>37.7012</c:v>
                </c:pt>
                <c:pt idx="167">
                  <c:v>38.192500000000003</c:v>
                </c:pt>
                <c:pt idx="168">
                  <c:v>38.688400000000001</c:v>
                </c:pt>
                <c:pt idx="169">
                  <c:v>39.189100000000003</c:v>
                </c:pt>
                <c:pt idx="170">
                  <c:v>39.694699999999997</c:v>
                </c:pt>
                <c:pt idx="171">
                  <c:v>40.204999999999998</c:v>
                </c:pt>
                <c:pt idx="172">
                  <c:v>40.720199999999998</c:v>
                </c:pt>
                <c:pt idx="173">
                  <c:v>41.240400000000001</c:v>
                </c:pt>
                <c:pt idx="174">
                  <c:v>41.7654</c:v>
                </c:pt>
                <c:pt idx="175">
                  <c:v>42.295499999999997</c:v>
                </c:pt>
                <c:pt idx="176">
                  <c:v>42.830599999999997</c:v>
                </c:pt>
                <c:pt idx="177">
                  <c:v>43.370699999999999</c:v>
                </c:pt>
                <c:pt idx="178">
                  <c:v>43.915900000000001</c:v>
                </c:pt>
                <c:pt idx="179">
                  <c:v>44.466299999999997</c:v>
                </c:pt>
                <c:pt idx="180">
                  <c:v>45.021799999999999</c:v>
                </c:pt>
                <c:pt idx="181">
                  <c:v>45.582599999999999</c:v>
                </c:pt>
                <c:pt idx="182">
                  <c:v>46.148600000000002</c:v>
                </c:pt>
                <c:pt idx="183">
                  <c:v>46.719900000000003</c:v>
                </c:pt>
                <c:pt idx="184">
                  <c:v>47.296599999999998</c:v>
                </c:pt>
                <c:pt idx="185">
                  <c:v>47.878700000000002</c:v>
                </c:pt>
                <c:pt idx="186">
                  <c:v>48.466200000000001</c:v>
                </c:pt>
                <c:pt idx="187">
                  <c:v>49.059100000000001</c:v>
                </c:pt>
                <c:pt idx="188">
                  <c:v>49.657699999999998</c:v>
                </c:pt>
                <c:pt idx="189">
                  <c:v>50.261699999999998</c:v>
                </c:pt>
                <c:pt idx="190">
                  <c:v>50.871499999999997</c:v>
                </c:pt>
                <c:pt idx="191">
                  <c:v>51.486899999999999</c:v>
                </c:pt>
                <c:pt idx="192">
                  <c:v>52.107999999999997</c:v>
                </c:pt>
                <c:pt idx="193">
                  <c:v>52.734999999999999</c:v>
                </c:pt>
                <c:pt idx="194">
                  <c:v>53.367699999999999</c:v>
                </c:pt>
                <c:pt idx="195">
                  <c:v>54.006399999999999</c:v>
                </c:pt>
                <c:pt idx="196">
                  <c:v>54.6511</c:v>
                </c:pt>
                <c:pt idx="197">
                  <c:v>55.301699999999997</c:v>
                </c:pt>
                <c:pt idx="198">
                  <c:v>55.958500000000001</c:v>
                </c:pt>
                <c:pt idx="199">
                  <c:v>56.621400000000001</c:v>
                </c:pt>
                <c:pt idx="200">
                  <c:v>57.290500000000002</c:v>
                </c:pt>
                <c:pt idx="201">
                  <c:v>57.966000000000001</c:v>
                </c:pt>
                <c:pt idx="202">
                  <c:v>58.647799999999997</c:v>
                </c:pt>
                <c:pt idx="203">
                  <c:v>59.335999999999999</c:v>
                </c:pt>
                <c:pt idx="204">
                  <c:v>60.030799999999999</c:v>
                </c:pt>
                <c:pt idx="205">
                  <c:v>60.732300000000002</c:v>
                </c:pt>
                <c:pt idx="206">
                  <c:v>61.440399999999997</c:v>
                </c:pt>
                <c:pt idx="207">
                  <c:v>62.1554</c:v>
                </c:pt>
                <c:pt idx="208">
                  <c:v>62.877299999999998</c:v>
                </c:pt>
                <c:pt idx="209">
                  <c:v>63.606299999999997</c:v>
                </c:pt>
                <c:pt idx="210">
                  <c:v>64.342399999999998</c:v>
                </c:pt>
                <c:pt idx="211">
                  <c:v>65.085899999999995</c:v>
                </c:pt>
                <c:pt idx="212">
                  <c:v>65.836799999999997</c:v>
                </c:pt>
                <c:pt idx="213">
                  <c:v>66.595200000000006</c:v>
                </c:pt>
                <c:pt idx="214">
                  <c:v>67.361500000000007</c:v>
                </c:pt>
                <c:pt idx="215">
                  <c:v>68.1357</c:v>
                </c:pt>
                <c:pt idx="216">
                  <c:v>68.918199999999999</c:v>
                </c:pt>
                <c:pt idx="217">
                  <c:v>69.709100000000007</c:v>
                </c:pt>
                <c:pt idx="218">
                  <c:v>70.508899999999997</c:v>
                </c:pt>
                <c:pt idx="219">
                  <c:v>71.317899999999995</c:v>
                </c:pt>
                <c:pt idx="220">
                  <c:v>72.136899999999997</c:v>
                </c:pt>
                <c:pt idx="221">
                  <c:v>72.966700000000003</c:v>
                </c:pt>
                <c:pt idx="222">
                  <c:v>73.772999999999996</c:v>
                </c:pt>
                <c:pt idx="223">
                  <c:v>73.772999999999996</c:v>
                </c:pt>
                <c:pt idx="224">
                  <c:v>73.772999999999996</c:v>
                </c:pt>
                <c:pt idx="225">
                  <c:v>73.772999999999996</c:v>
                </c:pt>
                <c:pt idx="226">
                  <c:v>73.772999999999996</c:v>
                </c:pt>
                <c:pt idx="227">
                  <c:v>73.772999999999996</c:v>
                </c:pt>
                <c:pt idx="228">
                  <c:v>73.772999999999996</c:v>
                </c:pt>
                <c:pt idx="229">
                  <c:v>73.772999999999996</c:v>
                </c:pt>
                <c:pt idx="230">
                  <c:v>73.772999999999996</c:v>
                </c:pt>
                <c:pt idx="231">
                  <c:v>73.772999999999996</c:v>
                </c:pt>
                <c:pt idx="232">
                  <c:v>73.772999999999996</c:v>
                </c:pt>
                <c:pt idx="233">
                  <c:v>73.772999999999996</c:v>
                </c:pt>
                <c:pt idx="234">
                  <c:v>73.772999999999996</c:v>
                </c:pt>
                <c:pt idx="235">
                  <c:v>73.772999999999996</c:v>
                </c:pt>
                <c:pt idx="236">
                  <c:v>73.772999999999996</c:v>
                </c:pt>
                <c:pt idx="237">
                  <c:v>73.772999999999996</c:v>
                </c:pt>
                <c:pt idx="238">
                  <c:v>73.772999999999996</c:v>
                </c:pt>
                <c:pt idx="239">
                  <c:v>73.772999999999996</c:v>
                </c:pt>
                <c:pt idx="240">
                  <c:v>73.772999999999996</c:v>
                </c:pt>
                <c:pt idx="241">
                  <c:v>73.772999999999996</c:v>
                </c:pt>
                <c:pt idx="242">
                  <c:v>73.772999999999996</c:v>
                </c:pt>
                <c:pt idx="243">
                  <c:v>73.772999999999996</c:v>
                </c:pt>
                <c:pt idx="244">
                  <c:v>73.772999999999996</c:v>
                </c:pt>
                <c:pt idx="245">
                  <c:v>73.772999999999996</c:v>
                </c:pt>
                <c:pt idx="246">
                  <c:v>73.772999999999996</c:v>
                </c:pt>
                <c:pt idx="247">
                  <c:v>73.772999999999996</c:v>
                </c:pt>
                <c:pt idx="248">
                  <c:v>73.772999999999996</c:v>
                </c:pt>
                <c:pt idx="249">
                  <c:v>73.772999999999996</c:v>
                </c:pt>
                <c:pt idx="250">
                  <c:v>73.772999999999996</c:v>
                </c:pt>
                <c:pt idx="251">
                  <c:v>73.772999999999996</c:v>
                </c:pt>
                <c:pt idx="252">
                  <c:v>73.772999999999996</c:v>
                </c:pt>
                <c:pt idx="253">
                  <c:v>73.772999999999996</c:v>
                </c:pt>
                <c:pt idx="254">
                  <c:v>73.772999999999996</c:v>
                </c:pt>
                <c:pt idx="255">
                  <c:v>73.772999999999996</c:v>
                </c:pt>
                <c:pt idx="256">
                  <c:v>73.772999999999996</c:v>
                </c:pt>
                <c:pt idx="257">
                  <c:v>73.772999999999996</c:v>
                </c:pt>
                <c:pt idx="258">
                  <c:v>73.772999999999996</c:v>
                </c:pt>
                <c:pt idx="259">
                  <c:v>73.772999999999996</c:v>
                </c:pt>
                <c:pt idx="260">
                  <c:v>73.772999999999996</c:v>
                </c:pt>
                <c:pt idx="261">
                  <c:v>73.772999999999996</c:v>
                </c:pt>
                <c:pt idx="262">
                  <c:v>73.772999999999996</c:v>
                </c:pt>
                <c:pt idx="263">
                  <c:v>73.772999999999996</c:v>
                </c:pt>
                <c:pt idx="264">
                  <c:v>73.772999999999996</c:v>
                </c:pt>
                <c:pt idx="265">
                  <c:v>73.772999999999996</c:v>
                </c:pt>
                <c:pt idx="266">
                  <c:v>73.772999999999996</c:v>
                </c:pt>
                <c:pt idx="267">
                  <c:v>73.772999999999996</c:v>
                </c:pt>
                <c:pt idx="268">
                  <c:v>73.772999999999996</c:v>
                </c:pt>
                <c:pt idx="269">
                  <c:v>73.772999999999996</c:v>
                </c:pt>
                <c:pt idx="270">
                  <c:v>73.772999999999996</c:v>
                </c:pt>
                <c:pt idx="271">
                  <c:v>73.772999999999996</c:v>
                </c:pt>
                <c:pt idx="272">
                  <c:v>73.772999999999996</c:v>
                </c:pt>
                <c:pt idx="273">
                  <c:v>73.772999999999996</c:v>
                </c:pt>
                <c:pt idx="274">
                  <c:v>73.772999999999996</c:v>
                </c:pt>
                <c:pt idx="275">
                  <c:v>73.772999999999996</c:v>
                </c:pt>
                <c:pt idx="276">
                  <c:v>73.772999999999996</c:v>
                </c:pt>
                <c:pt idx="277">
                  <c:v>73.772999999999996</c:v>
                </c:pt>
                <c:pt idx="278">
                  <c:v>73.772999999999996</c:v>
                </c:pt>
                <c:pt idx="279">
                  <c:v>73.772999999999996</c:v>
                </c:pt>
                <c:pt idx="280">
                  <c:v>73.772999999999996</c:v>
                </c:pt>
                <c:pt idx="281">
                  <c:v>73.772999999999996</c:v>
                </c:pt>
                <c:pt idx="282">
                  <c:v>73.772999999999996</c:v>
                </c:pt>
                <c:pt idx="283">
                  <c:v>73.772999999999996</c:v>
                </c:pt>
                <c:pt idx="284">
                  <c:v>73.772999999999996</c:v>
                </c:pt>
                <c:pt idx="285">
                  <c:v>73.772999999999996</c:v>
                </c:pt>
                <c:pt idx="286">
                  <c:v>73.772999999999996</c:v>
                </c:pt>
                <c:pt idx="287">
                  <c:v>73.772999999999996</c:v>
                </c:pt>
                <c:pt idx="288">
                  <c:v>73.772999999999996</c:v>
                </c:pt>
                <c:pt idx="289">
                  <c:v>73.772999999999996</c:v>
                </c:pt>
                <c:pt idx="290">
                  <c:v>73.772999999999996</c:v>
                </c:pt>
                <c:pt idx="291">
                  <c:v>73.772999999999996</c:v>
                </c:pt>
                <c:pt idx="292">
                  <c:v>73.772999999999996</c:v>
                </c:pt>
                <c:pt idx="293">
                  <c:v>73.772999999999996</c:v>
                </c:pt>
                <c:pt idx="294">
                  <c:v>73.772999999999996</c:v>
                </c:pt>
                <c:pt idx="295">
                  <c:v>73.772999999999996</c:v>
                </c:pt>
                <c:pt idx="296">
                  <c:v>73.772999999999996</c:v>
                </c:pt>
                <c:pt idx="297">
                  <c:v>73.772999999999996</c:v>
                </c:pt>
                <c:pt idx="298">
                  <c:v>73.772999999999996</c:v>
                </c:pt>
                <c:pt idx="299">
                  <c:v>73.772999999999996</c:v>
                </c:pt>
                <c:pt idx="300">
                  <c:v>73.772999999999996</c:v>
                </c:pt>
                <c:pt idx="301">
                  <c:v>73.772999999999996</c:v>
                </c:pt>
                <c:pt idx="302">
                  <c:v>73.772999999999996</c:v>
                </c:pt>
                <c:pt idx="303">
                  <c:v>73.772999999999996</c:v>
                </c:pt>
                <c:pt idx="304">
                  <c:v>73.772999999999996</c:v>
                </c:pt>
                <c:pt idx="305">
                  <c:v>73.772999999999996</c:v>
                </c:pt>
                <c:pt idx="306">
                  <c:v>73.772999999999996</c:v>
                </c:pt>
                <c:pt idx="307">
                  <c:v>73.772999999999996</c:v>
                </c:pt>
                <c:pt idx="308">
                  <c:v>73.772999999999996</c:v>
                </c:pt>
                <c:pt idx="309">
                  <c:v>73.772999999999996</c:v>
                </c:pt>
                <c:pt idx="310">
                  <c:v>73.772999999999996</c:v>
                </c:pt>
                <c:pt idx="311">
                  <c:v>73.772999999999996</c:v>
                </c:pt>
                <c:pt idx="312">
                  <c:v>73.772999999999996</c:v>
                </c:pt>
                <c:pt idx="313">
                  <c:v>73.772999999999996</c:v>
                </c:pt>
                <c:pt idx="314">
                  <c:v>73.772999999999996</c:v>
                </c:pt>
                <c:pt idx="315">
                  <c:v>73.772999999999996</c:v>
                </c:pt>
                <c:pt idx="316">
                  <c:v>73.772999999999996</c:v>
                </c:pt>
                <c:pt idx="317">
                  <c:v>73.772999999999996</c:v>
                </c:pt>
                <c:pt idx="318">
                  <c:v>73.772999999999996</c:v>
                </c:pt>
                <c:pt idx="319">
                  <c:v>73.772999999999996</c:v>
                </c:pt>
                <c:pt idx="320">
                  <c:v>73.772999999999996</c:v>
                </c:pt>
                <c:pt idx="321">
                  <c:v>73.772999999999996</c:v>
                </c:pt>
                <c:pt idx="322">
                  <c:v>73.772999999999996</c:v>
                </c:pt>
                <c:pt idx="323">
                  <c:v>73.772999999999996</c:v>
                </c:pt>
                <c:pt idx="324">
                  <c:v>73.772999999999996</c:v>
                </c:pt>
                <c:pt idx="325">
                  <c:v>73.772999999999996</c:v>
                </c:pt>
                <c:pt idx="326">
                  <c:v>73.772999999999996</c:v>
                </c:pt>
                <c:pt idx="327">
                  <c:v>73.772999999999996</c:v>
                </c:pt>
                <c:pt idx="328">
                  <c:v>73.772999999999996</c:v>
                </c:pt>
                <c:pt idx="329">
                  <c:v>73.772999999999996</c:v>
                </c:pt>
                <c:pt idx="330">
                  <c:v>73.772999999999996</c:v>
                </c:pt>
                <c:pt idx="331">
                  <c:v>73.772999999999996</c:v>
                </c:pt>
                <c:pt idx="332">
                  <c:v>73.772999999999996</c:v>
                </c:pt>
                <c:pt idx="333">
                  <c:v>73.772999999999996</c:v>
                </c:pt>
                <c:pt idx="334">
                  <c:v>73.772999999999996</c:v>
                </c:pt>
                <c:pt idx="335">
                  <c:v>73.772999999999996</c:v>
                </c:pt>
                <c:pt idx="336">
                  <c:v>73.772999999999996</c:v>
                </c:pt>
                <c:pt idx="337">
                  <c:v>73.772999999999996</c:v>
                </c:pt>
                <c:pt idx="338">
                  <c:v>73.772999999999996</c:v>
                </c:pt>
                <c:pt idx="339">
                  <c:v>73.772999999999996</c:v>
                </c:pt>
                <c:pt idx="340">
                  <c:v>73.772999999999996</c:v>
                </c:pt>
                <c:pt idx="341">
                  <c:v>73.772999999999996</c:v>
                </c:pt>
                <c:pt idx="342">
                  <c:v>73.772999999999996</c:v>
                </c:pt>
                <c:pt idx="343">
                  <c:v>73.772999999999996</c:v>
                </c:pt>
                <c:pt idx="344">
                  <c:v>73.772999999999996</c:v>
                </c:pt>
                <c:pt idx="345">
                  <c:v>73.772999999999996</c:v>
                </c:pt>
                <c:pt idx="346">
                  <c:v>73.772999999999996</c:v>
                </c:pt>
                <c:pt idx="347">
                  <c:v>73.772999999999996</c:v>
                </c:pt>
                <c:pt idx="348">
                  <c:v>73.772999999999996</c:v>
                </c:pt>
                <c:pt idx="349">
                  <c:v>73.772999999999996</c:v>
                </c:pt>
                <c:pt idx="350">
                  <c:v>73.772999999999996</c:v>
                </c:pt>
                <c:pt idx="351">
                  <c:v>73.772999999999996</c:v>
                </c:pt>
                <c:pt idx="352">
                  <c:v>73.772999999999996</c:v>
                </c:pt>
                <c:pt idx="353">
                  <c:v>73.772999999999996</c:v>
                </c:pt>
                <c:pt idx="354">
                  <c:v>73.772999999999996</c:v>
                </c:pt>
                <c:pt idx="355">
                  <c:v>73.772999999999996</c:v>
                </c:pt>
                <c:pt idx="356">
                  <c:v>73.772999999999996</c:v>
                </c:pt>
                <c:pt idx="357">
                  <c:v>73.772999999999996</c:v>
                </c:pt>
                <c:pt idx="358">
                  <c:v>73.772999999999996</c:v>
                </c:pt>
                <c:pt idx="359">
                  <c:v>73.772999999999996</c:v>
                </c:pt>
                <c:pt idx="360">
                  <c:v>73.772999999999996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3-464D-940D-AFDE62BF7178}"/>
            </c:ext>
          </c:extLst>
        </c:ser>
        <c:ser>
          <c:idx val="1"/>
          <c:order val="1"/>
          <c:tx>
            <c:strRef>
              <c:f>Diagrammdaten!$E$7</c:f>
              <c:strCache>
                <c:ptCount val="1"/>
                <c:pt idx="0">
                  <c:v>flüssig [bar]</c:v>
                </c:pt>
              </c:strCache>
            </c:strRef>
          </c:tx>
          <c:spPr>
            <a:solidFill>
              <a:srgbClr val="D9EAD3"/>
            </a:solidFill>
            <a:ln>
              <a:noFill/>
            </a:ln>
          </c:spPr>
          <c:cat>
            <c:strRef>
              <c:f>Diagrammdaten!$C$8:$C$368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Diagrammdaten!$E$8:$E$368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2.7000999999999999</c:v>
                </c:pt>
                <c:pt idx="48">
                  <c:v>26.038900000000002</c:v>
                </c:pt>
                <c:pt idx="49">
                  <c:v>49.4893</c:v>
                </c:pt>
                <c:pt idx="50">
                  <c:v>73.051199999999994</c:v>
                </c:pt>
                <c:pt idx="51">
                  <c:v>96.724800000000002</c:v>
                </c:pt>
                <c:pt idx="52">
                  <c:v>120.5099</c:v>
                </c:pt>
                <c:pt idx="53">
                  <c:v>144.40649999999999</c:v>
                </c:pt>
                <c:pt idx="54">
                  <c:v>168.41460000000001</c:v>
                </c:pt>
                <c:pt idx="55">
                  <c:v>192.5341</c:v>
                </c:pt>
                <c:pt idx="56">
                  <c:v>216.76519999999999</c:v>
                </c:pt>
                <c:pt idx="57">
                  <c:v>241.10769999999999</c:v>
                </c:pt>
                <c:pt idx="58">
                  <c:v>243.4496</c:v>
                </c:pt>
                <c:pt idx="59">
                  <c:v>243.3141</c:v>
                </c:pt>
                <c:pt idx="60">
                  <c:v>243.17660000000001</c:v>
                </c:pt>
                <c:pt idx="61">
                  <c:v>243.0369</c:v>
                </c:pt>
                <c:pt idx="62">
                  <c:v>242.89510000000001</c:v>
                </c:pt>
                <c:pt idx="63">
                  <c:v>242.75120000000001</c:v>
                </c:pt>
                <c:pt idx="64">
                  <c:v>242.60509999999999</c:v>
                </c:pt>
                <c:pt idx="65">
                  <c:v>242.45679999999999</c:v>
                </c:pt>
                <c:pt idx="66">
                  <c:v>242.30629999999999</c:v>
                </c:pt>
                <c:pt idx="67">
                  <c:v>242.15350000000001</c:v>
                </c:pt>
                <c:pt idx="68">
                  <c:v>241.99850000000001</c:v>
                </c:pt>
                <c:pt idx="69">
                  <c:v>241.84119999999999</c:v>
                </c:pt>
                <c:pt idx="70">
                  <c:v>241.6816</c:v>
                </c:pt>
                <c:pt idx="71">
                  <c:v>241.5197</c:v>
                </c:pt>
                <c:pt idx="72">
                  <c:v>241.35550000000001</c:v>
                </c:pt>
                <c:pt idx="73">
                  <c:v>241.18889999999999</c:v>
                </c:pt>
                <c:pt idx="74">
                  <c:v>241.02</c:v>
                </c:pt>
                <c:pt idx="75">
                  <c:v>240.8486</c:v>
                </c:pt>
                <c:pt idx="76">
                  <c:v>240.6748</c:v>
                </c:pt>
                <c:pt idx="77">
                  <c:v>240.49860000000001</c:v>
                </c:pt>
                <c:pt idx="78">
                  <c:v>240.31989999999999</c:v>
                </c:pt>
                <c:pt idx="79">
                  <c:v>240.1387</c:v>
                </c:pt>
                <c:pt idx="80">
                  <c:v>239.95500000000001</c:v>
                </c:pt>
                <c:pt idx="81">
                  <c:v>239.7688</c:v>
                </c:pt>
                <c:pt idx="82">
                  <c:v>239.58009999999999</c:v>
                </c:pt>
                <c:pt idx="83">
                  <c:v>239.3888</c:v>
                </c:pt>
                <c:pt idx="84">
                  <c:v>239.19489999999999</c:v>
                </c:pt>
                <c:pt idx="85">
                  <c:v>238.9983</c:v>
                </c:pt>
                <c:pt idx="86">
                  <c:v>238.79920000000001</c:v>
                </c:pt>
                <c:pt idx="87">
                  <c:v>238.59739999999999</c:v>
                </c:pt>
                <c:pt idx="88">
                  <c:v>238.3929</c:v>
                </c:pt>
                <c:pt idx="89">
                  <c:v>238.1857</c:v>
                </c:pt>
                <c:pt idx="90">
                  <c:v>237.97579999999999</c:v>
                </c:pt>
                <c:pt idx="91">
                  <c:v>237.76320000000001</c:v>
                </c:pt>
                <c:pt idx="92">
                  <c:v>237.5478</c:v>
                </c:pt>
                <c:pt idx="93">
                  <c:v>237.3296</c:v>
                </c:pt>
                <c:pt idx="94">
                  <c:v>237.1086</c:v>
                </c:pt>
                <c:pt idx="95">
                  <c:v>236.88470000000001</c:v>
                </c:pt>
                <c:pt idx="96">
                  <c:v>236.65809999999999</c:v>
                </c:pt>
                <c:pt idx="97">
                  <c:v>236.42850000000001</c:v>
                </c:pt>
                <c:pt idx="98">
                  <c:v>236.1961</c:v>
                </c:pt>
                <c:pt idx="99">
                  <c:v>235.9607</c:v>
                </c:pt>
                <c:pt idx="100">
                  <c:v>235.72239999999999</c:v>
                </c:pt>
                <c:pt idx="101">
                  <c:v>235.4811</c:v>
                </c:pt>
                <c:pt idx="102">
                  <c:v>235.23689999999999</c:v>
                </c:pt>
                <c:pt idx="103">
                  <c:v>234.9896</c:v>
                </c:pt>
                <c:pt idx="104">
                  <c:v>234.73929999999999</c:v>
                </c:pt>
                <c:pt idx="105">
                  <c:v>234.48599999999999</c:v>
                </c:pt>
                <c:pt idx="106">
                  <c:v>234.2295</c:v>
                </c:pt>
                <c:pt idx="107">
                  <c:v>233.97</c:v>
                </c:pt>
                <c:pt idx="108">
                  <c:v>233.70740000000001</c:v>
                </c:pt>
                <c:pt idx="109">
                  <c:v>233.44159999999999</c:v>
                </c:pt>
                <c:pt idx="110">
                  <c:v>233.17259999999999</c:v>
                </c:pt>
                <c:pt idx="111">
                  <c:v>232.90049999999999</c:v>
                </c:pt>
                <c:pt idx="112">
                  <c:v>232.6251</c:v>
                </c:pt>
                <c:pt idx="113">
                  <c:v>232.34649999999999</c:v>
                </c:pt>
                <c:pt idx="114">
                  <c:v>232.06469999999999</c:v>
                </c:pt>
                <c:pt idx="115">
                  <c:v>231.77950000000001</c:v>
                </c:pt>
                <c:pt idx="116">
                  <c:v>231.49109999999999</c:v>
                </c:pt>
                <c:pt idx="117">
                  <c:v>231.19929999999999</c:v>
                </c:pt>
                <c:pt idx="118">
                  <c:v>230.9041</c:v>
                </c:pt>
                <c:pt idx="119">
                  <c:v>230.60560000000001</c:v>
                </c:pt>
                <c:pt idx="120">
                  <c:v>230.30369999999999</c:v>
                </c:pt>
                <c:pt idx="121">
                  <c:v>229.9984</c:v>
                </c:pt>
                <c:pt idx="122">
                  <c:v>229.68960000000001</c:v>
                </c:pt>
                <c:pt idx="123">
                  <c:v>229.37729999999999</c:v>
                </c:pt>
                <c:pt idx="124">
                  <c:v>229.0616</c:v>
                </c:pt>
                <c:pt idx="125">
                  <c:v>228.7423</c:v>
                </c:pt>
                <c:pt idx="126">
                  <c:v>228.4194</c:v>
                </c:pt>
                <c:pt idx="127">
                  <c:v>228.09299999999999</c:v>
                </c:pt>
                <c:pt idx="128">
                  <c:v>227.76300000000001</c:v>
                </c:pt>
                <c:pt idx="129">
                  <c:v>227.42939999999999</c:v>
                </c:pt>
                <c:pt idx="130">
                  <c:v>227.09209999999999</c:v>
                </c:pt>
                <c:pt idx="131">
                  <c:v>226.75120000000001</c:v>
                </c:pt>
                <c:pt idx="132">
                  <c:v>226.40649999999999</c:v>
                </c:pt>
                <c:pt idx="133">
                  <c:v>226.0582</c:v>
                </c:pt>
                <c:pt idx="134">
                  <c:v>225.70599999999999</c:v>
                </c:pt>
                <c:pt idx="135">
                  <c:v>225.3502</c:v>
                </c:pt>
                <c:pt idx="136">
                  <c:v>224.9905</c:v>
                </c:pt>
                <c:pt idx="137">
                  <c:v>224.62700000000001</c:v>
                </c:pt>
                <c:pt idx="138">
                  <c:v>224.25960000000001</c:v>
                </c:pt>
                <c:pt idx="139">
                  <c:v>223.88839999999999</c:v>
                </c:pt>
                <c:pt idx="140">
                  <c:v>223.51320000000001</c:v>
                </c:pt>
                <c:pt idx="141">
                  <c:v>223.13419999999999</c:v>
                </c:pt>
                <c:pt idx="142">
                  <c:v>222.75110000000001</c:v>
                </c:pt>
                <c:pt idx="143">
                  <c:v>222.36410000000001</c:v>
                </c:pt>
                <c:pt idx="144">
                  <c:v>221.97309999999999</c:v>
                </c:pt>
                <c:pt idx="145">
                  <c:v>221.57810000000001</c:v>
                </c:pt>
                <c:pt idx="146">
                  <c:v>221.1789</c:v>
                </c:pt>
                <c:pt idx="147">
                  <c:v>220.7757</c:v>
                </c:pt>
                <c:pt idx="148">
                  <c:v>220.36840000000001</c:v>
                </c:pt>
                <c:pt idx="149">
                  <c:v>219.95689999999999</c:v>
                </c:pt>
                <c:pt idx="150">
                  <c:v>219.5412</c:v>
                </c:pt>
                <c:pt idx="151">
                  <c:v>219.12139999999999</c:v>
                </c:pt>
                <c:pt idx="152">
                  <c:v>218.69730000000001</c:v>
                </c:pt>
                <c:pt idx="153">
                  <c:v>218.2689</c:v>
                </c:pt>
                <c:pt idx="154">
                  <c:v>217.83629999999999</c:v>
                </c:pt>
                <c:pt idx="155">
                  <c:v>217.39930000000001</c:v>
                </c:pt>
                <c:pt idx="156">
                  <c:v>216.958</c:v>
                </c:pt>
                <c:pt idx="157">
                  <c:v>216.51230000000001</c:v>
                </c:pt>
                <c:pt idx="158">
                  <c:v>216.06219999999999</c:v>
                </c:pt>
                <c:pt idx="159">
                  <c:v>215.60759999999999</c:v>
                </c:pt>
                <c:pt idx="160">
                  <c:v>215.14859999999999</c:v>
                </c:pt>
                <c:pt idx="161">
                  <c:v>214.68510000000001</c:v>
                </c:pt>
                <c:pt idx="162">
                  <c:v>214.21700000000001</c:v>
                </c:pt>
                <c:pt idx="163">
                  <c:v>213.74440000000001</c:v>
                </c:pt>
                <c:pt idx="164">
                  <c:v>213.2671</c:v>
                </c:pt>
                <c:pt idx="165">
                  <c:v>212.78530000000001</c:v>
                </c:pt>
                <c:pt idx="166">
                  <c:v>212.2988</c:v>
                </c:pt>
                <c:pt idx="167">
                  <c:v>211.8075</c:v>
                </c:pt>
                <c:pt idx="168">
                  <c:v>211.3116</c:v>
                </c:pt>
                <c:pt idx="169">
                  <c:v>210.8109</c:v>
                </c:pt>
                <c:pt idx="170">
                  <c:v>210.30529999999999</c:v>
                </c:pt>
                <c:pt idx="171">
                  <c:v>209.79499999999999</c:v>
                </c:pt>
                <c:pt idx="172">
                  <c:v>209.27979999999999</c:v>
                </c:pt>
                <c:pt idx="173">
                  <c:v>208.75960000000001</c:v>
                </c:pt>
                <c:pt idx="174">
                  <c:v>208.2346</c:v>
                </c:pt>
                <c:pt idx="175">
                  <c:v>207.7045</c:v>
                </c:pt>
                <c:pt idx="176">
                  <c:v>207.1694</c:v>
                </c:pt>
                <c:pt idx="177">
                  <c:v>206.6293</c:v>
                </c:pt>
                <c:pt idx="178">
                  <c:v>206.08410000000001</c:v>
                </c:pt>
                <c:pt idx="179">
                  <c:v>205.53370000000001</c:v>
                </c:pt>
                <c:pt idx="180">
                  <c:v>204.97819999999999</c:v>
                </c:pt>
                <c:pt idx="181">
                  <c:v>204.41739999999999</c:v>
                </c:pt>
                <c:pt idx="182">
                  <c:v>203.85140000000001</c:v>
                </c:pt>
                <c:pt idx="183">
                  <c:v>203.2801</c:v>
                </c:pt>
                <c:pt idx="184">
                  <c:v>202.70339999999999</c:v>
                </c:pt>
                <c:pt idx="185">
                  <c:v>202.12129999999999</c:v>
                </c:pt>
                <c:pt idx="186">
                  <c:v>201.53380000000001</c:v>
                </c:pt>
                <c:pt idx="187">
                  <c:v>200.9409</c:v>
                </c:pt>
                <c:pt idx="188">
                  <c:v>200.34229999999999</c:v>
                </c:pt>
                <c:pt idx="189">
                  <c:v>199.73830000000001</c:v>
                </c:pt>
                <c:pt idx="190">
                  <c:v>199.1285</c:v>
                </c:pt>
                <c:pt idx="191">
                  <c:v>198.51310000000001</c:v>
                </c:pt>
                <c:pt idx="192">
                  <c:v>197.892</c:v>
                </c:pt>
                <c:pt idx="193">
                  <c:v>197.26499999999999</c:v>
                </c:pt>
                <c:pt idx="194">
                  <c:v>196.63229999999999</c:v>
                </c:pt>
                <c:pt idx="195">
                  <c:v>195.99359999999999</c:v>
                </c:pt>
                <c:pt idx="196">
                  <c:v>195.34889999999999</c:v>
                </c:pt>
                <c:pt idx="197">
                  <c:v>194.69829999999999</c:v>
                </c:pt>
                <c:pt idx="198">
                  <c:v>194.04150000000001</c:v>
                </c:pt>
                <c:pt idx="199">
                  <c:v>193.37860000000001</c:v>
                </c:pt>
                <c:pt idx="200">
                  <c:v>192.70949999999999</c:v>
                </c:pt>
                <c:pt idx="201">
                  <c:v>192.03399999999999</c:v>
                </c:pt>
                <c:pt idx="202">
                  <c:v>191.35220000000001</c:v>
                </c:pt>
                <c:pt idx="203">
                  <c:v>190.66399999999999</c:v>
                </c:pt>
                <c:pt idx="204">
                  <c:v>189.9692</c:v>
                </c:pt>
                <c:pt idx="205">
                  <c:v>189.26769999999999</c:v>
                </c:pt>
                <c:pt idx="206">
                  <c:v>188.55959999999999</c:v>
                </c:pt>
                <c:pt idx="207">
                  <c:v>187.84460000000001</c:v>
                </c:pt>
                <c:pt idx="208">
                  <c:v>187.12270000000001</c:v>
                </c:pt>
                <c:pt idx="209">
                  <c:v>186.3937</c:v>
                </c:pt>
                <c:pt idx="210">
                  <c:v>185.6576</c:v>
                </c:pt>
                <c:pt idx="211">
                  <c:v>184.91409999999999</c:v>
                </c:pt>
                <c:pt idx="212">
                  <c:v>184.16319999999999</c:v>
                </c:pt>
                <c:pt idx="213">
                  <c:v>183.40479999999999</c:v>
                </c:pt>
                <c:pt idx="214">
                  <c:v>182.63849999999999</c:v>
                </c:pt>
                <c:pt idx="215">
                  <c:v>181.86429999999999</c:v>
                </c:pt>
                <c:pt idx="216">
                  <c:v>181.08179999999999</c:v>
                </c:pt>
                <c:pt idx="217">
                  <c:v>180.29089999999999</c:v>
                </c:pt>
                <c:pt idx="218">
                  <c:v>179.49109999999999</c:v>
                </c:pt>
                <c:pt idx="219">
                  <c:v>178.68209999999999</c:v>
                </c:pt>
                <c:pt idx="220">
                  <c:v>177.8631</c:v>
                </c:pt>
                <c:pt idx="221">
                  <c:v>177.0333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3-464D-940D-AFDE62BF7178}"/>
            </c:ext>
          </c:extLst>
        </c:ser>
        <c:ser>
          <c:idx val="2"/>
          <c:order val="2"/>
          <c:tx>
            <c:strRef>
              <c:f>Diagrammdaten!$F$7</c:f>
              <c:strCache>
                <c:ptCount val="1"/>
                <c:pt idx="0">
                  <c:v>überkritisch [bar]</c:v>
                </c:pt>
              </c:strCache>
            </c:strRef>
          </c:tx>
          <c:spPr>
            <a:solidFill>
              <a:srgbClr val="FCE5CD"/>
            </a:solidFill>
            <a:ln>
              <a:noFill/>
            </a:ln>
          </c:spPr>
          <c:cat>
            <c:strRef>
              <c:f>Diagrammdaten!$C$8:$C$368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Diagrammdaten!$F$8:$F$368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176.227</c:v>
                </c:pt>
                <c:pt idx="223">
                  <c:v>176.227</c:v>
                </c:pt>
                <c:pt idx="224">
                  <c:v>176.227</c:v>
                </c:pt>
                <c:pt idx="225">
                  <c:v>176.227</c:v>
                </c:pt>
                <c:pt idx="226">
                  <c:v>176.227</c:v>
                </c:pt>
                <c:pt idx="227">
                  <c:v>176.227</c:v>
                </c:pt>
                <c:pt idx="228">
                  <c:v>176.227</c:v>
                </c:pt>
                <c:pt idx="229">
                  <c:v>176.227</c:v>
                </c:pt>
                <c:pt idx="230">
                  <c:v>176.227</c:v>
                </c:pt>
                <c:pt idx="231">
                  <c:v>176.227</c:v>
                </c:pt>
                <c:pt idx="232">
                  <c:v>176.227</c:v>
                </c:pt>
                <c:pt idx="233">
                  <c:v>176.227</c:v>
                </c:pt>
                <c:pt idx="234">
                  <c:v>176.227</c:v>
                </c:pt>
                <c:pt idx="235">
                  <c:v>176.227</c:v>
                </c:pt>
                <c:pt idx="236">
                  <c:v>176.227</c:v>
                </c:pt>
                <c:pt idx="237">
                  <c:v>176.227</c:v>
                </c:pt>
                <c:pt idx="238">
                  <c:v>176.227</c:v>
                </c:pt>
                <c:pt idx="239">
                  <c:v>176.227</c:v>
                </c:pt>
                <c:pt idx="240">
                  <c:v>176.227</c:v>
                </c:pt>
                <c:pt idx="241">
                  <c:v>176.227</c:v>
                </c:pt>
                <c:pt idx="242">
                  <c:v>176.227</c:v>
                </c:pt>
                <c:pt idx="243">
                  <c:v>176.227</c:v>
                </c:pt>
                <c:pt idx="244">
                  <c:v>176.227</c:v>
                </c:pt>
                <c:pt idx="245">
                  <c:v>176.227</c:v>
                </c:pt>
                <c:pt idx="246">
                  <c:v>176.227</c:v>
                </c:pt>
                <c:pt idx="247">
                  <c:v>176.227</c:v>
                </c:pt>
                <c:pt idx="248">
                  <c:v>176.227</c:v>
                </c:pt>
                <c:pt idx="249">
                  <c:v>176.227</c:v>
                </c:pt>
                <c:pt idx="250">
                  <c:v>176.227</c:v>
                </c:pt>
                <c:pt idx="251">
                  <c:v>176.227</c:v>
                </c:pt>
                <c:pt idx="252">
                  <c:v>176.227</c:v>
                </c:pt>
                <c:pt idx="253">
                  <c:v>176.227</c:v>
                </c:pt>
                <c:pt idx="254">
                  <c:v>176.227</c:v>
                </c:pt>
                <c:pt idx="255">
                  <c:v>176.227</c:v>
                </c:pt>
                <c:pt idx="256">
                  <c:v>176.227</c:v>
                </c:pt>
                <c:pt idx="257">
                  <c:v>176.227</c:v>
                </c:pt>
                <c:pt idx="258">
                  <c:v>176.227</c:v>
                </c:pt>
                <c:pt idx="259">
                  <c:v>176.227</c:v>
                </c:pt>
                <c:pt idx="260">
                  <c:v>176.227</c:v>
                </c:pt>
                <c:pt idx="261">
                  <c:v>176.227</c:v>
                </c:pt>
                <c:pt idx="262">
                  <c:v>176.227</c:v>
                </c:pt>
                <c:pt idx="263">
                  <c:v>176.227</c:v>
                </c:pt>
                <c:pt idx="264">
                  <c:v>176.227</c:v>
                </c:pt>
                <c:pt idx="265">
                  <c:v>176.227</c:v>
                </c:pt>
                <c:pt idx="266">
                  <c:v>176.227</c:v>
                </c:pt>
                <c:pt idx="267">
                  <c:v>176.227</c:v>
                </c:pt>
                <c:pt idx="268">
                  <c:v>176.227</c:v>
                </c:pt>
                <c:pt idx="269">
                  <c:v>176.227</c:v>
                </c:pt>
                <c:pt idx="270">
                  <c:v>176.227</c:v>
                </c:pt>
                <c:pt idx="271">
                  <c:v>176.227</c:v>
                </c:pt>
                <c:pt idx="272">
                  <c:v>176.227</c:v>
                </c:pt>
                <c:pt idx="273">
                  <c:v>176.227</c:v>
                </c:pt>
                <c:pt idx="274">
                  <c:v>176.227</c:v>
                </c:pt>
                <c:pt idx="275">
                  <c:v>176.227</c:v>
                </c:pt>
                <c:pt idx="276">
                  <c:v>176.227</c:v>
                </c:pt>
                <c:pt idx="277">
                  <c:v>176.227</c:v>
                </c:pt>
                <c:pt idx="278">
                  <c:v>176.227</c:v>
                </c:pt>
                <c:pt idx="279">
                  <c:v>176.227</c:v>
                </c:pt>
                <c:pt idx="280">
                  <c:v>176.227</c:v>
                </c:pt>
                <c:pt idx="281">
                  <c:v>176.227</c:v>
                </c:pt>
                <c:pt idx="282">
                  <c:v>176.227</c:v>
                </c:pt>
                <c:pt idx="283">
                  <c:v>176.227</c:v>
                </c:pt>
                <c:pt idx="284">
                  <c:v>176.227</c:v>
                </c:pt>
                <c:pt idx="285">
                  <c:v>176.227</c:v>
                </c:pt>
                <c:pt idx="286">
                  <c:v>176.227</c:v>
                </c:pt>
                <c:pt idx="287">
                  <c:v>176.227</c:v>
                </c:pt>
                <c:pt idx="288">
                  <c:v>176.227</c:v>
                </c:pt>
                <c:pt idx="289">
                  <c:v>176.227</c:v>
                </c:pt>
                <c:pt idx="290">
                  <c:v>176.227</c:v>
                </c:pt>
                <c:pt idx="291">
                  <c:v>176.227</c:v>
                </c:pt>
                <c:pt idx="292">
                  <c:v>176.227</c:v>
                </c:pt>
                <c:pt idx="293">
                  <c:v>176.227</c:v>
                </c:pt>
                <c:pt idx="294">
                  <c:v>176.227</c:v>
                </c:pt>
                <c:pt idx="295">
                  <c:v>176.227</c:v>
                </c:pt>
                <c:pt idx="296">
                  <c:v>176.227</c:v>
                </c:pt>
                <c:pt idx="297">
                  <c:v>176.227</c:v>
                </c:pt>
                <c:pt idx="298">
                  <c:v>176.227</c:v>
                </c:pt>
                <c:pt idx="299">
                  <c:v>176.227</c:v>
                </c:pt>
                <c:pt idx="300">
                  <c:v>176.227</c:v>
                </c:pt>
                <c:pt idx="301">
                  <c:v>176.227</c:v>
                </c:pt>
                <c:pt idx="302">
                  <c:v>176.227</c:v>
                </c:pt>
                <c:pt idx="303">
                  <c:v>176.227</c:v>
                </c:pt>
                <c:pt idx="304">
                  <c:v>176.227</c:v>
                </c:pt>
                <c:pt idx="305">
                  <c:v>176.227</c:v>
                </c:pt>
                <c:pt idx="306">
                  <c:v>176.227</c:v>
                </c:pt>
                <c:pt idx="307">
                  <c:v>176.227</c:v>
                </c:pt>
                <c:pt idx="308">
                  <c:v>176.227</c:v>
                </c:pt>
                <c:pt idx="309">
                  <c:v>176.227</c:v>
                </c:pt>
                <c:pt idx="310">
                  <c:v>176.227</c:v>
                </c:pt>
                <c:pt idx="311">
                  <c:v>176.227</c:v>
                </c:pt>
                <c:pt idx="312">
                  <c:v>176.227</c:v>
                </c:pt>
                <c:pt idx="313">
                  <c:v>176.227</c:v>
                </c:pt>
                <c:pt idx="314">
                  <c:v>176.227</c:v>
                </c:pt>
                <c:pt idx="315">
                  <c:v>176.227</c:v>
                </c:pt>
                <c:pt idx="316">
                  <c:v>176.227</c:v>
                </c:pt>
                <c:pt idx="317">
                  <c:v>176.227</c:v>
                </c:pt>
                <c:pt idx="318">
                  <c:v>176.227</c:v>
                </c:pt>
                <c:pt idx="319">
                  <c:v>176.227</c:v>
                </c:pt>
                <c:pt idx="320">
                  <c:v>176.227</c:v>
                </c:pt>
                <c:pt idx="321">
                  <c:v>176.227</c:v>
                </c:pt>
                <c:pt idx="322">
                  <c:v>176.227</c:v>
                </c:pt>
                <c:pt idx="323">
                  <c:v>176.227</c:v>
                </c:pt>
                <c:pt idx="324">
                  <c:v>176.227</c:v>
                </c:pt>
                <c:pt idx="325">
                  <c:v>176.227</c:v>
                </c:pt>
                <c:pt idx="326">
                  <c:v>176.227</c:v>
                </c:pt>
                <c:pt idx="327">
                  <c:v>176.227</c:v>
                </c:pt>
                <c:pt idx="328">
                  <c:v>176.227</c:v>
                </c:pt>
                <c:pt idx="329">
                  <c:v>176.227</c:v>
                </c:pt>
                <c:pt idx="330">
                  <c:v>176.227</c:v>
                </c:pt>
                <c:pt idx="331">
                  <c:v>176.227</c:v>
                </c:pt>
                <c:pt idx="332">
                  <c:v>176.227</c:v>
                </c:pt>
                <c:pt idx="333">
                  <c:v>176.227</c:v>
                </c:pt>
                <c:pt idx="334">
                  <c:v>176.227</c:v>
                </c:pt>
                <c:pt idx="335">
                  <c:v>176.227</c:v>
                </c:pt>
                <c:pt idx="336">
                  <c:v>176.227</c:v>
                </c:pt>
                <c:pt idx="337">
                  <c:v>176.227</c:v>
                </c:pt>
                <c:pt idx="338">
                  <c:v>176.227</c:v>
                </c:pt>
                <c:pt idx="339">
                  <c:v>176.227</c:v>
                </c:pt>
                <c:pt idx="340">
                  <c:v>176.227</c:v>
                </c:pt>
                <c:pt idx="341">
                  <c:v>176.227</c:v>
                </c:pt>
                <c:pt idx="342">
                  <c:v>176.227</c:v>
                </c:pt>
                <c:pt idx="343">
                  <c:v>176.227</c:v>
                </c:pt>
                <c:pt idx="344">
                  <c:v>176.227</c:v>
                </c:pt>
                <c:pt idx="345">
                  <c:v>176.227</c:v>
                </c:pt>
                <c:pt idx="346">
                  <c:v>176.227</c:v>
                </c:pt>
                <c:pt idx="347">
                  <c:v>176.227</c:v>
                </c:pt>
                <c:pt idx="348">
                  <c:v>176.227</c:v>
                </c:pt>
                <c:pt idx="349">
                  <c:v>176.227</c:v>
                </c:pt>
                <c:pt idx="350">
                  <c:v>176.227</c:v>
                </c:pt>
                <c:pt idx="351">
                  <c:v>176.227</c:v>
                </c:pt>
                <c:pt idx="352">
                  <c:v>176.227</c:v>
                </c:pt>
                <c:pt idx="353">
                  <c:v>176.227</c:v>
                </c:pt>
                <c:pt idx="354">
                  <c:v>176.227</c:v>
                </c:pt>
                <c:pt idx="355">
                  <c:v>176.227</c:v>
                </c:pt>
                <c:pt idx="356">
                  <c:v>176.227</c:v>
                </c:pt>
                <c:pt idx="357">
                  <c:v>176.227</c:v>
                </c:pt>
                <c:pt idx="358">
                  <c:v>176.227</c:v>
                </c:pt>
                <c:pt idx="359">
                  <c:v>176.227</c:v>
                </c:pt>
                <c:pt idx="360">
                  <c:v>176.227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3-464D-940D-AFDE62BF7178}"/>
            </c:ext>
          </c:extLst>
        </c:ser>
        <c:ser>
          <c:idx val="3"/>
          <c:order val="3"/>
          <c:tx>
            <c:strRef>
              <c:f>Diagrammdaten!$G$7</c:f>
              <c:strCache>
                <c:ptCount val="1"/>
                <c:pt idx="0">
                  <c:v>fest [bar]</c:v>
                </c:pt>
              </c:strCache>
            </c:strRef>
          </c:tx>
          <c:spPr>
            <a:solidFill>
              <a:srgbClr val="D9D2E9"/>
            </a:solidFill>
            <a:ln>
              <a:noFill/>
            </a:ln>
          </c:spPr>
          <c:cat>
            <c:strRef>
              <c:f>Diagrammdaten!$C$8:$C$368</c:f>
              <c:strCache>
                <c:ptCount val="361"/>
                <c:pt idx="0">
                  <c:v>-80</c:v>
                </c:pt>
                <c:pt idx="40">
                  <c:v>-60</c:v>
                </c:pt>
                <c:pt idx="80">
                  <c:v>-40</c:v>
                </c:pt>
                <c:pt idx="120">
                  <c:v>-20</c:v>
                </c:pt>
                <c:pt idx="160">
                  <c:v>0</c:v>
                </c:pt>
                <c:pt idx="200">
                  <c:v>20</c:v>
                </c:pt>
                <c:pt idx="240">
                  <c:v>40</c:v>
                </c:pt>
                <c:pt idx="280">
                  <c:v>60</c:v>
                </c:pt>
                <c:pt idx="320">
                  <c:v>80</c:v>
                </c:pt>
                <c:pt idx="360">
                  <c:v>100</c:v>
                </c:pt>
              </c:strCache>
            </c:strRef>
          </c:cat>
          <c:val>
            <c:numRef>
              <c:f>Diagrammdaten!$G$8:$G$368</c:f>
              <c:numCache>
                <c:formatCode>General</c:formatCode>
                <c:ptCount val="361"/>
                <c:pt idx="0">
                  <c:v>249.10759999999999</c:v>
                </c:pt>
                <c:pt idx="1">
                  <c:v>249.06970000000001</c:v>
                </c:pt>
                <c:pt idx="2">
                  <c:v>249.03039999999999</c:v>
                </c:pt>
                <c:pt idx="3">
                  <c:v>248.9897</c:v>
                </c:pt>
                <c:pt idx="4">
                  <c:v>248.94739999999999</c:v>
                </c:pt>
                <c:pt idx="5">
                  <c:v>248.90360000000001</c:v>
                </c:pt>
                <c:pt idx="6">
                  <c:v>248.85820000000001</c:v>
                </c:pt>
                <c:pt idx="7">
                  <c:v>248.81120000000001</c:v>
                </c:pt>
                <c:pt idx="8">
                  <c:v>248.76249999999999</c:v>
                </c:pt>
                <c:pt idx="9">
                  <c:v>248.71199999999999</c:v>
                </c:pt>
                <c:pt idx="10">
                  <c:v>248.65969999999999</c:v>
                </c:pt>
                <c:pt idx="11">
                  <c:v>248.60560000000001</c:v>
                </c:pt>
                <c:pt idx="12">
                  <c:v>248.54949999999999</c:v>
                </c:pt>
                <c:pt idx="13">
                  <c:v>248.4915</c:v>
                </c:pt>
                <c:pt idx="14">
                  <c:v>248.4314</c:v>
                </c:pt>
                <c:pt idx="15">
                  <c:v>248.36920000000001</c:v>
                </c:pt>
                <c:pt idx="16">
                  <c:v>248.3049</c:v>
                </c:pt>
                <c:pt idx="17">
                  <c:v>248.23830000000001</c:v>
                </c:pt>
                <c:pt idx="18">
                  <c:v>248.1695</c:v>
                </c:pt>
                <c:pt idx="19">
                  <c:v>248.09829999999999</c:v>
                </c:pt>
                <c:pt idx="20">
                  <c:v>248.02459999999999</c:v>
                </c:pt>
                <c:pt idx="21">
                  <c:v>247.94839999999999</c:v>
                </c:pt>
                <c:pt idx="22">
                  <c:v>247.86969999999999</c:v>
                </c:pt>
                <c:pt idx="23">
                  <c:v>247.78829999999999</c:v>
                </c:pt>
                <c:pt idx="24">
                  <c:v>247.70419999999999</c:v>
                </c:pt>
                <c:pt idx="25">
                  <c:v>247.6172</c:v>
                </c:pt>
                <c:pt idx="26">
                  <c:v>247.5274</c:v>
                </c:pt>
                <c:pt idx="27">
                  <c:v>247.43459999999999</c:v>
                </c:pt>
                <c:pt idx="28">
                  <c:v>247.33869999999999</c:v>
                </c:pt>
                <c:pt idx="29">
                  <c:v>247.2396</c:v>
                </c:pt>
                <c:pt idx="30">
                  <c:v>247.13730000000001</c:v>
                </c:pt>
                <c:pt idx="31">
                  <c:v>247.0317</c:v>
                </c:pt>
                <c:pt idx="32">
                  <c:v>246.92259999999999</c:v>
                </c:pt>
                <c:pt idx="33">
                  <c:v>246.81</c:v>
                </c:pt>
                <c:pt idx="34">
                  <c:v>246.69380000000001</c:v>
                </c:pt>
                <c:pt idx="35">
                  <c:v>246.57380000000001</c:v>
                </c:pt>
                <c:pt idx="36">
                  <c:v>246.44990000000001</c:v>
                </c:pt>
                <c:pt idx="37">
                  <c:v>246.32210000000001</c:v>
                </c:pt>
                <c:pt idx="38">
                  <c:v>246.1902</c:v>
                </c:pt>
                <c:pt idx="39">
                  <c:v>246.05420000000001</c:v>
                </c:pt>
                <c:pt idx="40">
                  <c:v>245.91380000000001</c:v>
                </c:pt>
                <c:pt idx="41">
                  <c:v>245.76900000000001</c:v>
                </c:pt>
                <c:pt idx="42">
                  <c:v>245.61969999999999</c:v>
                </c:pt>
                <c:pt idx="43">
                  <c:v>245.4657</c:v>
                </c:pt>
                <c:pt idx="44">
                  <c:v>245.30680000000001</c:v>
                </c:pt>
                <c:pt idx="45">
                  <c:v>245.143</c:v>
                </c:pt>
                <c:pt idx="46">
                  <c:v>244.97409999999999</c:v>
                </c:pt>
                <c:pt idx="47">
                  <c:v>242.10720000000001</c:v>
                </c:pt>
                <c:pt idx="48">
                  <c:v>218.65459999999999</c:v>
                </c:pt>
                <c:pt idx="49">
                  <c:v>195.08860000000001</c:v>
                </c:pt>
                <c:pt idx="50">
                  <c:v>171.4091</c:v>
                </c:pt>
                <c:pt idx="51">
                  <c:v>147.61609999999999</c:v>
                </c:pt>
                <c:pt idx="52">
                  <c:v>123.7097</c:v>
                </c:pt>
                <c:pt idx="53">
                  <c:v>99.689700000000002</c:v>
                </c:pt>
                <c:pt idx="54">
                  <c:v>75.556299999999993</c:v>
                </c:pt>
                <c:pt idx="55">
                  <c:v>51.3095</c:v>
                </c:pt>
                <c:pt idx="56">
                  <c:v>26.949100000000001</c:v>
                </c:pt>
                <c:pt idx="57">
                  <c:v>2.4752999999999998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23-464D-940D-AFDE62BF7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0001"/>
        <c:axId val="50090002"/>
      </c:areaChart>
      <c:scatterChart>
        <c:scatterStyle val="lineMarker"/>
        <c:varyColors val="0"/>
        <c:ser>
          <c:idx val="4"/>
          <c:order val="4"/>
          <c:tx>
            <c:v>Sättigungslinie</c:v>
          </c:tx>
          <c:spPr>
            <a:ln w="22225">
              <a:solidFill>
                <a:srgbClr val="1F4E79"/>
              </a:solidFill>
            </a:ln>
          </c:spPr>
          <c:marker>
            <c:symbol val="none"/>
          </c:marker>
          <c:xVal>
            <c:numRef>
              <c:f>Diagrammdaten!$L$8:$L$77</c:f>
              <c:numCache>
                <c:formatCode>General</c:formatCode>
                <c:ptCount val="70"/>
                <c:pt idx="0">
                  <c:v>47.884</c:v>
                </c:pt>
                <c:pt idx="1">
                  <c:v>50.421199999999999</c:v>
                </c:pt>
                <c:pt idx="2">
                  <c:v>52.958600000000004</c:v>
                </c:pt>
                <c:pt idx="3">
                  <c:v>55.495800000000003</c:v>
                </c:pt>
                <c:pt idx="4">
                  <c:v>58.033199999999994</c:v>
                </c:pt>
                <c:pt idx="5">
                  <c:v>60.570400000000006</c:v>
                </c:pt>
                <c:pt idx="6">
                  <c:v>63.107600000000005</c:v>
                </c:pt>
                <c:pt idx="7">
                  <c:v>65.644999999999996</c:v>
                </c:pt>
                <c:pt idx="8">
                  <c:v>68.182199999999995</c:v>
                </c:pt>
                <c:pt idx="9">
                  <c:v>70.7196</c:v>
                </c:pt>
                <c:pt idx="10">
                  <c:v>73.256799999999998</c:v>
                </c:pt>
                <c:pt idx="11">
                  <c:v>75.793999999999997</c:v>
                </c:pt>
                <c:pt idx="12">
                  <c:v>78.331400000000002</c:v>
                </c:pt>
                <c:pt idx="13">
                  <c:v>80.868600000000001</c:v>
                </c:pt>
                <c:pt idx="14">
                  <c:v>83.406000000000006</c:v>
                </c:pt>
                <c:pt idx="15">
                  <c:v>85.943200000000004</c:v>
                </c:pt>
                <c:pt idx="16">
                  <c:v>88.480400000000003</c:v>
                </c:pt>
                <c:pt idx="17">
                  <c:v>91.017799999999994</c:v>
                </c:pt>
                <c:pt idx="18">
                  <c:v>93.555000000000007</c:v>
                </c:pt>
                <c:pt idx="19">
                  <c:v>96.092399999999998</c:v>
                </c:pt>
                <c:pt idx="20">
                  <c:v>98.629600000000011</c:v>
                </c:pt>
                <c:pt idx="21">
                  <c:v>101.167</c:v>
                </c:pt>
                <c:pt idx="22">
                  <c:v>103.7042</c:v>
                </c:pt>
                <c:pt idx="23">
                  <c:v>106.2414</c:v>
                </c:pt>
                <c:pt idx="24">
                  <c:v>108.77879999999999</c:v>
                </c:pt>
                <c:pt idx="25">
                  <c:v>111.316</c:v>
                </c:pt>
                <c:pt idx="26">
                  <c:v>113.85339999999999</c:v>
                </c:pt>
                <c:pt idx="27">
                  <c:v>116.39060000000001</c:v>
                </c:pt>
                <c:pt idx="28">
                  <c:v>118.92779999999999</c:v>
                </c:pt>
                <c:pt idx="29">
                  <c:v>121.46520000000001</c:v>
                </c:pt>
                <c:pt idx="30">
                  <c:v>124.00239999999999</c:v>
                </c:pt>
                <c:pt idx="31">
                  <c:v>126.5398</c:v>
                </c:pt>
                <c:pt idx="32">
                  <c:v>129.077</c:v>
                </c:pt>
                <c:pt idx="33">
                  <c:v>131.61420000000001</c:v>
                </c:pt>
                <c:pt idx="34">
                  <c:v>134.1516</c:v>
                </c:pt>
                <c:pt idx="35">
                  <c:v>136.68880000000001</c:v>
                </c:pt>
                <c:pt idx="36">
                  <c:v>139.22620000000001</c:v>
                </c:pt>
                <c:pt idx="37">
                  <c:v>141.76339999999999</c:v>
                </c:pt>
                <c:pt idx="38">
                  <c:v>144.3006</c:v>
                </c:pt>
                <c:pt idx="39">
                  <c:v>146.83799999999999</c:v>
                </c:pt>
                <c:pt idx="40">
                  <c:v>149.37520000000001</c:v>
                </c:pt>
                <c:pt idx="41">
                  <c:v>151.9126</c:v>
                </c:pt>
                <c:pt idx="42">
                  <c:v>154.44980000000001</c:v>
                </c:pt>
                <c:pt idx="43">
                  <c:v>156.98699999999999</c:v>
                </c:pt>
                <c:pt idx="44">
                  <c:v>159.52440000000001</c:v>
                </c:pt>
                <c:pt idx="45">
                  <c:v>162.0616</c:v>
                </c:pt>
                <c:pt idx="46">
                  <c:v>164.59899999999999</c:v>
                </c:pt>
                <c:pt idx="47">
                  <c:v>167.1362</c:v>
                </c:pt>
                <c:pt idx="48">
                  <c:v>169.67340000000002</c:v>
                </c:pt>
                <c:pt idx="49">
                  <c:v>172.21080000000001</c:v>
                </c:pt>
                <c:pt idx="50">
                  <c:v>174.74799999999999</c:v>
                </c:pt>
                <c:pt idx="51">
                  <c:v>177.28540000000001</c:v>
                </c:pt>
                <c:pt idx="52">
                  <c:v>179.82259999999999</c:v>
                </c:pt>
                <c:pt idx="53">
                  <c:v>182.36</c:v>
                </c:pt>
                <c:pt idx="54">
                  <c:v>184.8972</c:v>
                </c:pt>
                <c:pt idx="55">
                  <c:v>187.43440000000001</c:v>
                </c:pt>
                <c:pt idx="56">
                  <c:v>189.9718</c:v>
                </c:pt>
                <c:pt idx="57">
                  <c:v>192.50900000000001</c:v>
                </c:pt>
                <c:pt idx="58">
                  <c:v>195.04640000000001</c:v>
                </c:pt>
                <c:pt idx="59">
                  <c:v>197.58359999999999</c:v>
                </c:pt>
                <c:pt idx="60">
                  <c:v>200.1208</c:v>
                </c:pt>
                <c:pt idx="61">
                  <c:v>202.65819999999999</c:v>
                </c:pt>
                <c:pt idx="62">
                  <c:v>205.19540000000001</c:v>
                </c:pt>
                <c:pt idx="63">
                  <c:v>207.7328</c:v>
                </c:pt>
                <c:pt idx="64">
                  <c:v>210.27</c:v>
                </c:pt>
                <c:pt idx="65">
                  <c:v>212.80719999999999</c:v>
                </c:pt>
                <c:pt idx="66">
                  <c:v>215.34460000000001</c:v>
                </c:pt>
                <c:pt idx="67">
                  <c:v>217.8818</c:v>
                </c:pt>
                <c:pt idx="68">
                  <c:v>220.41919999999999</c:v>
                </c:pt>
                <c:pt idx="69">
                  <c:v>222.9564</c:v>
                </c:pt>
              </c:numCache>
            </c:numRef>
          </c:xVal>
          <c:yVal>
            <c:numRef>
              <c:f>Diagrammdaten!$K$8:$K$77</c:f>
              <c:numCache>
                <c:formatCode>General</c:formatCode>
                <c:ptCount val="70"/>
                <c:pt idx="0">
                  <c:v>5.1795999999999998</c:v>
                </c:pt>
                <c:pt idx="1">
                  <c:v>5.4714</c:v>
                </c:pt>
                <c:pt idx="2">
                  <c:v>5.7754000000000003</c:v>
                </c:pt>
                <c:pt idx="3">
                  <c:v>6.0919999999999996</c:v>
                </c:pt>
                <c:pt idx="4">
                  <c:v>6.4214000000000002</c:v>
                </c:pt>
                <c:pt idx="5">
                  <c:v>6.7641</c:v>
                </c:pt>
                <c:pt idx="6">
                  <c:v>7.1203000000000003</c:v>
                </c:pt>
                <c:pt idx="7">
                  <c:v>7.4903000000000004</c:v>
                </c:pt>
                <c:pt idx="8">
                  <c:v>7.8746</c:v>
                </c:pt>
                <c:pt idx="9">
                  <c:v>8.2734000000000005</c:v>
                </c:pt>
                <c:pt idx="10">
                  <c:v>8.6869999999999994</c:v>
                </c:pt>
                <c:pt idx="11">
                  <c:v>9.1158999999999999</c:v>
                </c:pt>
                <c:pt idx="12">
                  <c:v>9.5603999999999996</c:v>
                </c:pt>
                <c:pt idx="13">
                  <c:v>10.0207</c:v>
                </c:pt>
                <c:pt idx="14">
                  <c:v>10.497299999999999</c:v>
                </c:pt>
                <c:pt idx="15">
                  <c:v>10.990399999999999</c:v>
                </c:pt>
                <c:pt idx="16">
                  <c:v>11.500500000000001</c:v>
                </c:pt>
                <c:pt idx="17">
                  <c:v>12.027900000000001</c:v>
                </c:pt>
                <c:pt idx="18">
                  <c:v>12.573</c:v>
                </c:pt>
                <c:pt idx="19">
                  <c:v>13.136100000000001</c:v>
                </c:pt>
                <c:pt idx="20">
                  <c:v>13.717499999999999</c:v>
                </c:pt>
                <c:pt idx="21">
                  <c:v>14.3177</c:v>
                </c:pt>
                <c:pt idx="22">
                  <c:v>14.9369</c:v>
                </c:pt>
                <c:pt idx="23">
                  <c:v>15.575699999999999</c:v>
                </c:pt>
                <c:pt idx="24">
                  <c:v>16.234300000000001</c:v>
                </c:pt>
                <c:pt idx="25">
                  <c:v>16.913</c:v>
                </c:pt>
                <c:pt idx="26">
                  <c:v>17.612400000000001</c:v>
                </c:pt>
                <c:pt idx="27">
                  <c:v>18.332799999999999</c:v>
                </c:pt>
                <c:pt idx="28">
                  <c:v>19.0745</c:v>
                </c:pt>
                <c:pt idx="29">
                  <c:v>19.837900000000001</c:v>
                </c:pt>
                <c:pt idx="30">
                  <c:v>20.6234</c:v>
                </c:pt>
                <c:pt idx="31">
                  <c:v>21.4315</c:v>
                </c:pt>
                <c:pt idx="32">
                  <c:v>22.262499999999999</c:v>
                </c:pt>
                <c:pt idx="33">
                  <c:v>23.116900000000001</c:v>
                </c:pt>
                <c:pt idx="34">
                  <c:v>23.995000000000001</c:v>
                </c:pt>
                <c:pt idx="35">
                  <c:v>24.897200000000002</c:v>
                </c:pt>
                <c:pt idx="36">
                  <c:v>25.824000000000002</c:v>
                </c:pt>
                <c:pt idx="37">
                  <c:v>26.7758</c:v>
                </c:pt>
                <c:pt idx="38">
                  <c:v>27.753</c:v>
                </c:pt>
                <c:pt idx="39">
                  <c:v>28.7561</c:v>
                </c:pt>
                <c:pt idx="40">
                  <c:v>29.785499999999999</c:v>
                </c:pt>
                <c:pt idx="41">
                  <c:v>30.841699999999999</c:v>
                </c:pt>
                <c:pt idx="42">
                  <c:v>31.9251</c:v>
                </c:pt>
                <c:pt idx="43">
                  <c:v>33.036299999999997</c:v>
                </c:pt>
                <c:pt idx="44">
                  <c:v>34.175600000000003</c:v>
                </c:pt>
                <c:pt idx="45">
                  <c:v>35.343699999999998</c:v>
                </c:pt>
                <c:pt idx="46">
                  <c:v>36.540900000000001</c:v>
                </c:pt>
                <c:pt idx="47">
                  <c:v>37.767899999999997</c:v>
                </c:pt>
                <c:pt idx="48">
                  <c:v>39.025100000000002</c:v>
                </c:pt>
                <c:pt idx="49">
                  <c:v>40.313200000000002</c:v>
                </c:pt>
                <c:pt idx="50">
                  <c:v>41.6327</c:v>
                </c:pt>
                <c:pt idx="51">
                  <c:v>42.984200000000001</c:v>
                </c:pt>
                <c:pt idx="52">
                  <c:v>44.368299999999998</c:v>
                </c:pt>
                <c:pt idx="53">
                  <c:v>45.785699999999999</c:v>
                </c:pt>
                <c:pt idx="54">
                  <c:v>47.237099999999998</c:v>
                </c:pt>
                <c:pt idx="55">
                  <c:v>48.723100000000002</c:v>
                </c:pt>
                <c:pt idx="56">
                  <c:v>50.244599999999998</c:v>
                </c:pt>
                <c:pt idx="57">
                  <c:v>51.802300000000002</c:v>
                </c:pt>
                <c:pt idx="58">
                  <c:v>53.397199999999998</c:v>
                </c:pt>
                <c:pt idx="59">
                  <c:v>55.03</c:v>
                </c:pt>
                <c:pt idx="60">
                  <c:v>56.701900000000002</c:v>
                </c:pt>
                <c:pt idx="61">
                  <c:v>58.414000000000001</c:v>
                </c:pt>
                <c:pt idx="62">
                  <c:v>60.167400000000001</c:v>
                </c:pt>
                <c:pt idx="63">
                  <c:v>61.963700000000003</c:v>
                </c:pt>
                <c:pt idx="64">
                  <c:v>63.804400000000001</c:v>
                </c:pt>
                <c:pt idx="65">
                  <c:v>65.691500000000005</c:v>
                </c:pt>
                <c:pt idx="66">
                  <c:v>67.627300000000005</c:v>
                </c:pt>
                <c:pt idx="67">
                  <c:v>69.615200000000002</c:v>
                </c:pt>
                <c:pt idx="68">
                  <c:v>71.659899999999993</c:v>
                </c:pt>
                <c:pt idx="69">
                  <c:v>73.772999999999996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23-464D-940D-AFDE62BF7178}"/>
            </c:ext>
          </c:extLst>
        </c:ser>
        <c:ser>
          <c:idx val="5"/>
          <c:order val="5"/>
          <c:tx>
            <c:v>Sublimationslinie</c:v>
          </c:tx>
          <c:spPr>
            <a:ln w="19050">
              <a:solidFill>
                <a:srgbClr val="333333"/>
              </a:solidFill>
            </a:ln>
          </c:spPr>
          <c:marker>
            <c:symbol val="none"/>
          </c:marker>
          <c:xVal>
            <c:numRef>
              <c:f>Diagrammdaten!$L$79:$L$103</c:f>
              <c:numCache>
                <c:formatCode>General</c:formatCode>
                <c:ptCount val="25"/>
                <c:pt idx="0">
                  <c:v>1</c:v>
                </c:pt>
                <c:pt idx="1">
                  <c:v>2.9535999999999945</c:v>
                </c:pt>
                <c:pt idx="2">
                  <c:v>4.9070000000000107</c:v>
                </c:pt>
                <c:pt idx="3">
                  <c:v>6.8606000000000051</c:v>
                </c:pt>
                <c:pt idx="4">
                  <c:v>8.813999999999993</c:v>
                </c:pt>
                <c:pt idx="5">
                  <c:v>10.767599999999987</c:v>
                </c:pt>
                <c:pt idx="6">
                  <c:v>12.721000000000004</c:v>
                </c:pt>
                <c:pt idx="7">
                  <c:v>14.674599999999998</c:v>
                </c:pt>
                <c:pt idx="8">
                  <c:v>16.627999999999986</c:v>
                </c:pt>
                <c:pt idx="9">
                  <c:v>18.581600000000009</c:v>
                </c:pt>
                <c:pt idx="10">
                  <c:v>20.534999999999997</c:v>
                </c:pt>
                <c:pt idx="11">
                  <c:v>22.488599999999991</c:v>
                </c:pt>
                <c:pt idx="12">
                  <c:v>24.442000000000007</c:v>
                </c:pt>
                <c:pt idx="13">
                  <c:v>26.395600000000002</c:v>
                </c:pt>
                <c:pt idx="14">
                  <c:v>28.34899999999999</c:v>
                </c:pt>
                <c:pt idx="15">
                  <c:v>30.302600000000012</c:v>
                </c:pt>
                <c:pt idx="16">
                  <c:v>32.256</c:v>
                </c:pt>
                <c:pt idx="17">
                  <c:v>34.209599999999995</c:v>
                </c:pt>
                <c:pt idx="18">
                  <c:v>36.162999999999997</c:v>
                </c:pt>
                <c:pt idx="19">
                  <c:v>38.116600000000005</c:v>
                </c:pt>
                <c:pt idx="20">
                  <c:v>40.069999999999993</c:v>
                </c:pt>
                <c:pt idx="21">
                  <c:v>42.023600000000002</c:v>
                </c:pt>
                <c:pt idx="22">
                  <c:v>43.977000000000004</c:v>
                </c:pt>
                <c:pt idx="23">
                  <c:v>45.930599999999998</c:v>
                </c:pt>
                <c:pt idx="24">
                  <c:v>47.884</c:v>
                </c:pt>
              </c:numCache>
            </c:numRef>
          </c:xVal>
          <c:yVal>
            <c:numRef>
              <c:f>Diagrammdaten!$K$79:$K$103</c:f>
              <c:numCache>
                <c:formatCode>General</c:formatCode>
                <c:ptCount val="25"/>
                <c:pt idx="0">
                  <c:v>0.89239999999999997</c:v>
                </c:pt>
                <c:pt idx="1">
                  <c:v>0.9677</c:v>
                </c:pt>
                <c:pt idx="2">
                  <c:v>1.0486</c:v>
                </c:pt>
                <c:pt idx="3">
                  <c:v>1.1353</c:v>
                </c:pt>
                <c:pt idx="4">
                  <c:v>1.2282999999999999</c:v>
                </c:pt>
                <c:pt idx="5">
                  <c:v>1.3280000000000001</c:v>
                </c:pt>
                <c:pt idx="6">
                  <c:v>1.4346000000000001</c:v>
                </c:pt>
                <c:pt idx="7">
                  <c:v>1.5488</c:v>
                </c:pt>
                <c:pt idx="8">
                  <c:v>1.6709000000000001</c:v>
                </c:pt>
                <c:pt idx="9">
                  <c:v>1.8013999999999999</c:v>
                </c:pt>
                <c:pt idx="10">
                  <c:v>1.9408000000000001</c:v>
                </c:pt>
                <c:pt idx="11">
                  <c:v>2.0897000000000001</c:v>
                </c:pt>
                <c:pt idx="12">
                  <c:v>2.2484999999999999</c:v>
                </c:pt>
                <c:pt idx="13">
                  <c:v>2.4180000000000001</c:v>
                </c:pt>
                <c:pt idx="14">
                  <c:v>2.5985</c:v>
                </c:pt>
                <c:pt idx="15">
                  <c:v>2.7909999999999999</c:v>
                </c:pt>
                <c:pt idx="16">
                  <c:v>2.9958999999999998</c:v>
                </c:pt>
                <c:pt idx="17">
                  <c:v>3.214</c:v>
                </c:pt>
                <c:pt idx="18">
                  <c:v>3.4462000000000002</c:v>
                </c:pt>
                <c:pt idx="19">
                  <c:v>3.6930000000000001</c:v>
                </c:pt>
                <c:pt idx="20">
                  <c:v>3.9554999999999998</c:v>
                </c:pt>
                <c:pt idx="21">
                  <c:v>4.2343999999999999</c:v>
                </c:pt>
                <c:pt idx="22">
                  <c:v>4.5308000000000002</c:v>
                </c:pt>
                <c:pt idx="23">
                  <c:v>4.8455000000000004</c:v>
                </c:pt>
                <c:pt idx="24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23-464D-940D-AFDE62BF7178}"/>
            </c:ext>
          </c:extLst>
        </c:ser>
        <c:ser>
          <c:idx val="6"/>
          <c:order val="6"/>
          <c:tx>
            <c:v>Schmelzlinie</c:v>
          </c:tx>
          <c:spPr>
            <a:ln w="19050">
              <a:solidFill>
                <a:srgbClr val="5F2176"/>
              </a:solidFill>
            </a:ln>
          </c:spPr>
          <c:marker>
            <c:symbol val="none"/>
          </c:marker>
          <c:xVal>
            <c:numRef>
              <c:f>Diagrammdaten!$L$105:$L$119</c:f>
              <c:numCache>
                <c:formatCode>General</c:formatCode>
                <c:ptCount val="15"/>
                <c:pt idx="0">
                  <c:v>47.884</c:v>
                </c:pt>
                <c:pt idx="1">
                  <c:v>48.613799999999998</c:v>
                </c:pt>
                <c:pt idx="2">
                  <c:v>49.343599999999995</c:v>
                </c:pt>
                <c:pt idx="3">
                  <c:v>50.073400000000007</c:v>
                </c:pt>
                <c:pt idx="4">
                  <c:v>50.803200000000004</c:v>
                </c:pt>
                <c:pt idx="5">
                  <c:v>51.532799999999995</c:v>
                </c:pt>
                <c:pt idx="6">
                  <c:v>52.262600000000006</c:v>
                </c:pt>
                <c:pt idx="7">
                  <c:v>52.992400000000004</c:v>
                </c:pt>
                <c:pt idx="8">
                  <c:v>53.722200000000001</c:v>
                </c:pt>
                <c:pt idx="9">
                  <c:v>54.451999999999998</c:v>
                </c:pt>
                <c:pt idx="10">
                  <c:v>55.181799999999996</c:v>
                </c:pt>
                <c:pt idx="11">
                  <c:v>55.911600000000007</c:v>
                </c:pt>
                <c:pt idx="12">
                  <c:v>56.641400000000004</c:v>
                </c:pt>
                <c:pt idx="13">
                  <c:v>57.371200000000002</c:v>
                </c:pt>
                <c:pt idx="14">
                  <c:v>58.100800000000007</c:v>
                </c:pt>
              </c:numCache>
            </c:numRef>
          </c:xVal>
          <c:yVal>
            <c:numRef>
              <c:f>Diagrammdaten!$K$105:$K$119</c:f>
              <c:numCache>
                <c:formatCode>General</c:formatCode>
                <c:ptCount val="15"/>
                <c:pt idx="0">
                  <c:v>5.1795999999999998</c:v>
                </c:pt>
                <c:pt idx="1">
                  <c:v>22.274000000000001</c:v>
                </c:pt>
                <c:pt idx="2">
                  <c:v>39.428800000000003</c:v>
                </c:pt>
                <c:pt idx="3">
                  <c:v>56.643999999999998</c:v>
                </c:pt>
                <c:pt idx="4">
                  <c:v>73.919700000000006</c:v>
                </c:pt>
                <c:pt idx="5">
                  <c:v>91.255700000000004</c:v>
                </c:pt>
                <c:pt idx="6">
                  <c:v>108.6523</c:v>
                </c:pt>
                <c:pt idx="7">
                  <c:v>126.1092</c:v>
                </c:pt>
                <c:pt idx="8">
                  <c:v>143.6266</c:v>
                </c:pt>
                <c:pt idx="9">
                  <c:v>161.20439999999999</c:v>
                </c:pt>
                <c:pt idx="10">
                  <c:v>178.84270000000001</c:v>
                </c:pt>
                <c:pt idx="11">
                  <c:v>196.54130000000001</c:v>
                </c:pt>
                <c:pt idx="12">
                  <c:v>214.3005</c:v>
                </c:pt>
                <c:pt idx="13">
                  <c:v>232.12</c:v>
                </c:pt>
                <c:pt idx="1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823-464D-940D-AFDE62BF7178}"/>
            </c:ext>
          </c:extLst>
        </c:ser>
        <c:ser>
          <c:idx val="7"/>
          <c:order val="7"/>
          <c:tx>
            <c:v>Tripelpunkt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Diagrammdaten!$L$121</c:f>
              <c:numCache>
                <c:formatCode>General</c:formatCode>
                <c:ptCount val="1"/>
                <c:pt idx="0">
                  <c:v>47.884</c:v>
                </c:pt>
              </c:numCache>
            </c:numRef>
          </c:xVal>
          <c:yVal>
            <c:numRef>
              <c:f>Diagrammdaten!$K$121</c:f>
              <c:numCache>
                <c:formatCode>General</c:formatCode>
                <c:ptCount val="1"/>
                <c:pt idx="0">
                  <c:v>5.1795999999999998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823-464D-940D-AFDE62BF7178}"/>
            </c:ext>
          </c:extLst>
        </c:ser>
        <c:ser>
          <c:idx val="8"/>
          <c:order val="8"/>
          <c:tx>
            <c:v>Kritischer Punkt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CA220E"/>
              </a:solidFill>
              <a:ln>
                <a:solidFill>
                  <a:srgbClr val="CA220E"/>
                </a:solidFill>
              </a:ln>
            </c:spPr>
          </c:marker>
          <c:xVal>
            <c:numRef>
              <c:f>Diagrammdaten!$L$123</c:f>
              <c:numCache>
                <c:formatCode>General</c:formatCode>
                <c:ptCount val="1"/>
                <c:pt idx="0">
                  <c:v>222.9564</c:v>
                </c:pt>
              </c:numCache>
            </c:numRef>
          </c:xVal>
          <c:yVal>
            <c:numRef>
              <c:f>Diagrammdaten!$K$123</c:f>
              <c:numCache>
                <c:formatCode>General</c:formatCode>
                <c:ptCount val="1"/>
                <c:pt idx="0">
                  <c:v>73.772999999999996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823-464D-940D-AFDE62BF7178}"/>
            </c:ext>
          </c:extLst>
        </c:ser>
        <c:ser>
          <c:idx val="9"/>
          <c:order val="9"/>
          <c:tx>
            <c:v>Gassäule Kaverne voll (210 bar unten)</c:v>
          </c:tx>
          <c:spPr>
            <a:ln w="25400">
              <a:solidFill>
                <a:srgbClr val="00304F"/>
              </a:solidFill>
              <a:prstDash val="dash"/>
            </a:ln>
          </c:spPr>
          <c:marker>
            <c:symbol val="none"/>
          </c:marker>
          <c:xVal>
            <c:numRef>
              <c:f>Diagrammdaten!$L$158:$L$182</c:f>
              <c:numCache>
                <c:formatCode>General</c:formatCode>
                <c:ptCount val="25"/>
                <c:pt idx="0">
                  <c:v>181</c:v>
                </c:pt>
                <c:pt idx="1">
                  <c:v>184</c:v>
                </c:pt>
                <c:pt idx="2">
                  <c:v>187</c:v>
                </c:pt>
                <c:pt idx="3">
                  <c:v>190</c:v>
                </c:pt>
                <c:pt idx="4">
                  <c:v>193</c:v>
                </c:pt>
                <c:pt idx="5">
                  <c:v>196</c:v>
                </c:pt>
                <c:pt idx="6">
                  <c:v>199</c:v>
                </c:pt>
                <c:pt idx="7">
                  <c:v>202</c:v>
                </c:pt>
                <c:pt idx="8">
                  <c:v>205</c:v>
                </c:pt>
                <c:pt idx="9">
                  <c:v>208</c:v>
                </c:pt>
                <c:pt idx="10">
                  <c:v>211</c:v>
                </c:pt>
                <c:pt idx="11">
                  <c:v>214</c:v>
                </c:pt>
                <c:pt idx="12">
                  <c:v>217</c:v>
                </c:pt>
                <c:pt idx="13">
                  <c:v>220</c:v>
                </c:pt>
                <c:pt idx="14">
                  <c:v>223</c:v>
                </c:pt>
                <c:pt idx="15">
                  <c:v>226</c:v>
                </c:pt>
                <c:pt idx="16">
                  <c:v>229</c:v>
                </c:pt>
                <c:pt idx="17">
                  <c:v>232</c:v>
                </c:pt>
                <c:pt idx="18">
                  <c:v>235</c:v>
                </c:pt>
                <c:pt idx="19">
                  <c:v>238</c:v>
                </c:pt>
                <c:pt idx="20">
                  <c:v>241</c:v>
                </c:pt>
                <c:pt idx="21">
                  <c:v>244</c:v>
                </c:pt>
                <c:pt idx="22">
                  <c:v>247</c:v>
                </c:pt>
                <c:pt idx="23">
                  <c:v>250</c:v>
                </c:pt>
                <c:pt idx="24">
                  <c:v>253</c:v>
                </c:pt>
              </c:numCache>
            </c:numRef>
          </c:xVal>
          <c:yVal>
            <c:numRef>
              <c:f>Diagrammdaten!$K$158:$K$182</c:f>
              <c:numCache>
                <c:formatCode>General</c:formatCode>
                <c:ptCount val="25"/>
                <c:pt idx="0">
                  <c:v>107.603219569636</c:v>
                </c:pt>
                <c:pt idx="1">
                  <c:v>112.1341797962734</c:v>
                </c:pt>
                <c:pt idx="2">
                  <c:v>116.6408956363133</c:v>
                </c:pt>
                <c:pt idx="3">
                  <c:v>121.12349405283589</c:v>
                </c:pt>
                <c:pt idx="4">
                  <c:v>125.58211155495179</c:v>
                </c:pt>
                <c:pt idx="5">
                  <c:v>130.0168939094205</c:v>
                </c:pt>
                <c:pt idx="6">
                  <c:v>134.42799578384981</c:v>
                </c:pt>
                <c:pt idx="7">
                  <c:v>138.81558035303229</c:v>
                </c:pt>
                <c:pt idx="8">
                  <c:v>143.1798189021624</c:v>
                </c:pt>
                <c:pt idx="9">
                  <c:v>147.52089045854169</c:v>
                </c:pt>
                <c:pt idx="10">
                  <c:v>151.8389814770035</c:v>
                </c:pt>
                <c:pt idx="11">
                  <c:v>156.13428559421959</c:v>
                </c:pt>
                <c:pt idx="12">
                  <c:v>160.4070034547488</c:v>
                </c:pt>
                <c:pt idx="13">
                  <c:v>164.65734259893159</c:v>
                </c:pt>
                <c:pt idx="14">
                  <c:v>168.88551739156031</c:v>
                </c:pt>
                <c:pt idx="15">
                  <c:v>173.09174896231849</c:v>
                </c:pt>
                <c:pt idx="16">
                  <c:v>177.27626512552101</c:v>
                </c:pt>
                <c:pt idx="17">
                  <c:v>181.43930024805519</c:v>
                </c:pt>
                <c:pt idx="18">
                  <c:v>185.58109504021709</c:v>
                </c:pt>
                <c:pt idx="19">
                  <c:v>189.7018962532259</c:v>
                </c:pt>
                <c:pt idx="20">
                  <c:v>193.8019562780313</c:v>
                </c:pt>
                <c:pt idx="21">
                  <c:v>197.8815326508965</c:v>
                </c:pt>
                <c:pt idx="22">
                  <c:v>201.94088748061549</c:v>
                </c:pt>
                <c:pt idx="23">
                  <c:v>205.98028681901269</c:v>
                </c:pt>
                <c:pt idx="24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823-464D-940D-AFDE62BF7178}"/>
            </c:ext>
          </c:extLst>
        </c:ser>
        <c:ser>
          <c:idx val="10"/>
          <c:order val="10"/>
          <c:tx>
            <c:v>Gassäule Grenzfall (Kopf = p_krit)</c:v>
          </c:tx>
          <c:spPr>
            <a:ln w="19050">
              <a:solidFill>
                <a:srgbClr val="2E75B6"/>
              </a:solidFill>
              <a:prstDash val="lgDash"/>
            </a:ln>
          </c:spPr>
          <c:marker>
            <c:symbol val="none"/>
          </c:marker>
          <c:xVal>
            <c:numRef>
              <c:f>Diagrammdaten!$L$184:$L$208</c:f>
              <c:numCache>
                <c:formatCode>General</c:formatCode>
                <c:ptCount val="25"/>
                <c:pt idx="0">
                  <c:v>181</c:v>
                </c:pt>
                <c:pt idx="1">
                  <c:v>184</c:v>
                </c:pt>
                <c:pt idx="2">
                  <c:v>187</c:v>
                </c:pt>
                <c:pt idx="3">
                  <c:v>190</c:v>
                </c:pt>
                <c:pt idx="4">
                  <c:v>193</c:v>
                </c:pt>
                <c:pt idx="5">
                  <c:v>196</c:v>
                </c:pt>
                <c:pt idx="6">
                  <c:v>199</c:v>
                </c:pt>
                <c:pt idx="7">
                  <c:v>202</c:v>
                </c:pt>
                <c:pt idx="8">
                  <c:v>205</c:v>
                </c:pt>
                <c:pt idx="9">
                  <c:v>208</c:v>
                </c:pt>
                <c:pt idx="10">
                  <c:v>211</c:v>
                </c:pt>
                <c:pt idx="11">
                  <c:v>214</c:v>
                </c:pt>
                <c:pt idx="12">
                  <c:v>217</c:v>
                </c:pt>
                <c:pt idx="13">
                  <c:v>220</c:v>
                </c:pt>
                <c:pt idx="14">
                  <c:v>223</c:v>
                </c:pt>
                <c:pt idx="15">
                  <c:v>226</c:v>
                </c:pt>
                <c:pt idx="16">
                  <c:v>229</c:v>
                </c:pt>
                <c:pt idx="17">
                  <c:v>232</c:v>
                </c:pt>
                <c:pt idx="18">
                  <c:v>235</c:v>
                </c:pt>
                <c:pt idx="19">
                  <c:v>238</c:v>
                </c:pt>
                <c:pt idx="20">
                  <c:v>241</c:v>
                </c:pt>
                <c:pt idx="21">
                  <c:v>244</c:v>
                </c:pt>
                <c:pt idx="22">
                  <c:v>247</c:v>
                </c:pt>
                <c:pt idx="23">
                  <c:v>250</c:v>
                </c:pt>
                <c:pt idx="24">
                  <c:v>253</c:v>
                </c:pt>
              </c:numCache>
            </c:numRef>
          </c:xVal>
          <c:yVal>
            <c:numRef>
              <c:f>Diagrammdaten!$K$184:$K$208</c:f>
              <c:numCache>
                <c:formatCode>General</c:formatCode>
                <c:ptCount val="25"/>
                <c:pt idx="0">
                  <c:v>73.772983779137576</c:v>
                </c:pt>
                <c:pt idx="1">
                  <c:v>78.158267366217629</c:v>
                </c:pt>
                <c:pt idx="2">
                  <c:v>82.51551505203399</c:v>
                </c:pt>
                <c:pt idx="3">
                  <c:v>86.844824172214189</c:v>
                </c:pt>
                <c:pt idx="4">
                  <c:v>91.146308998600489</c:v>
                </c:pt>
                <c:pt idx="5">
                  <c:v>95.420100641130801</c:v>
                </c:pt>
                <c:pt idx="6">
                  <c:v>99.666346825411907</c:v>
                </c:pt>
                <c:pt idx="7">
                  <c:v>103.8852116340835</c:v>
                </c:pt>
                <c:pt idx="8">
                  <c:v>108.0768752886668</c:v>
                </c:pt>
                <c:pt idx="9">
                  <c:v>112.2415340230345</c:v>
                </c:pt>
                <c:pt idx="10">
                  <c:v>116.3794000648183</c:v>
                </c:pt>
                <c:pt idx="11">
                  <c:v>120.4907017034746</c:v>
                </c:pt>
                <c:pt idx="12">
                  <c:v>124.5756833908703</c:v>
                </c:pt>
                <c:pt idx="13">
                  <c:v>128.6346057983711</c:v>
                </c:pt>
                <c:pt idx="14">
                  <c:v>132.6677457476095</c:v>
                </c:pt>
                <c:pt idx="15">
                  <c:v>136.6753959411524</c:v>
                </c:pt>
                <c:pt idx="16">
                  <c:v>140.65786444165681</c:v>
                </c:pt>
                <c:pt idx="17">
                  <c:v>144.61547387863601</c:v>
                </c:pt>
                <c:pt idx="18">
                  <c:v>148.5485603943242</c:v>
                </c:pt>
                <c:pt idx="19">
                  <c:v>152.4574723682469</c:v>
                </c:pt>
                <c:pt idx="20">
                  <c:v>156.34256897962541</c:v>
                </c:pt>
                <c:pt idx="21">
                  <c:v>160.2042186756909</c:v>
                </c:pt>
                <c:pt idx="22">
                  <c:v>164.0427976128814</c:v>
                </c:pt>
                <c:pt idx="23">
                  <c:v>167.8586881290575</c:v>
                </c:pt>
                <c:pt idx="24">
                  <c:v>171.65227729158011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823-464D-940D-AFDE62BF7178}"/>
            </c:ext>
          </c:extLst>
        </c:ser>
        <c:ser>
          <c:idx val="11"/>
          <c:order val="11"/>
          <c:tx>
            <c:v>Gassäule Kaverne leer (70 bar unten)</c:v>
          </c:tx>
          <c:spPr>
            <a:ln w="25400">
              <a:solidFill>
                <a:srgbClr val="00304F"/>
              </a:solidFill>
              <a:prstDash val="sysDot"/>
            </a:ln>
          </c:spPr>
          <c:marker>
            <c:symbol val="none"/>
          </c:marker>
          <c:xVal>
            <c:numRef>
              <c:f>Diagrammdaten!$L$210:$L$234</c:f>
              <c:numCache>
                <c:formatCode>General</c:formatCode>
                <c:ptCount val="25"/>
                <c:pt idx="0">
                  <c:v>181</c:v>
                </c:pt>
                <c:pt idx="1">
                  <c:v>184</c:v>
                </c:pt>
                <c:pt idx="2">
                  <c:v>187</c:v>
                </c:pt>
                <c:pt idx="3">
                  <c:v>190</c:v>
                </c:pt>
                <c:pt idx="4">
                  <c:v>193</c:v>
                </c:pt>
                <c:pt idx="5">
                  <c:v>196</c:v>
                </c:pt>
                <c:pt idx="6">
                  <c:v>199</c:v>
                </c:pt>
                <c:pt idx="7">
                  <c:v>202</c:v>
                </c:pt>
                <c:pt idx="8">
                  <c:v>205</c:v>
                </c:pt>
                <c:pt idx="9">
                  <c:v>208</c:v>
                </c:pt>
                <c:pt idx="10">
                  <c:v>211</c:v>
                </c:pt>
                <c:pt idx="11">
                  <c:v>214</c:v>
                </c:pt>
                <c:pt idx="12">
                  <c:v>217</c:v>
                </c:pt>
                <c:pt idx="13">
                  <c:v>220</c:v>
                </c:pt>
                <c:pt idx="14">
                  <c:v>223</c:v>
                </c:pt>
                <c:pt idx="15">
                  <c:v>226</c:v>
                </c:pt>
                <c:pt idx="16">
                  <c:v>229</c:v>
                </c:pt>
                <c:pt idx="17">
                  <c:v>232</c:v>
                </c:pt>
                <c:pt idx="18">
                  <c:v>235</c:v>
                </c:pt>
                <c:pt idx="19">
                  <c:v>238</c:v>
                </c:pt>
                <c:pt idx="20">
                  <c:v>241</c:v>
                </c:pt>
                <c:pt idx="21">
                  <c:v>244</c:v>
                </c:pt>
                <c:pt idx="22">
                  <c:v>247</c:v>
                </c:pt>
                <c:pt idx="23">
                  <c:v>250</c:v>
                </c:pt>
                <c:pt idx="24">
                  <c:v>253</c:v>
                </c:pt>
              </c:numCache>
            </c:numRef>
          </c:xVal>
          <c:yVal>
            <c:numRef>
              <c:f>Diagrammdaten!$K$210:$K$234</c:f>
              <c:numCache>
                <c:formatCode>General</c:formatCode>
                <c:ptCount val="25"/>
                <c:pt idx="0">
                  <c:v>44.992994186969852</c:v>
                </c:pt>
                <c:pt idx="1">
                  <c:v>46.658027336303412</c:v>
                </c:pt>
                <c:pt idx="2">
                  <c:v>48.469673788771722</c:v>
                </c:pt>
                <c:pt idx="3">
                  <c:v>50.287386984021232</c:v>
                </c:pt>
                <c:pt idx="4">
                  <c:v>52.113012402204589</c:v>
                </c:pt>
                <c:pt idx="5">
                  <c:v>53.576395779275323</c:v>
                </c:pt>
                <c:pt idx="6">
                  <c:v>54.422451099446228</c:v>
                </c:pt>
                <c:pt idx="7">
                  <c:v>55.269945504788083</c:v>
                </c:pt>
                <c:pt idx="8">
                  <c:v>56.119079339465053</c:v>
                </c:pt>
                <c:pt idx="9">
                  <c:v>56.970011793445003</c:v>
                </c:pt>
                <c:pt idx="10">
                  <c:v>57.822871235687643</c:v>
                </c:pt>
                <c:pt idx="11">
                  <c:v>58.677762156197382</c:v>
                </c:pt>
                <c:pt idx="12">
                  <c:v>59.534770035388831</c:v>
                </c:pt>
                <c:pt idx="13">
                  <c:v>60.393964903905619</c:v>
                </c:pt>
                <c:pt idx="14">
                  <c:v>61.255404045156617</c:v>
                </c:pt>
                <c:pt idx="15">
                  <c:v>62.119134114436157</c:v>
                </c:pt>
                <c:pt idx="16">
                  <c:v>62.985192844205663</c:v>
                </c:pt>
                <c:pt idx="17">
                  <c:v>63.853610443206122</c:v>
                </c:pt>
                <c:pt idx="18">
                  <c:v>64.724410759818767</c:v>
                </c:pt>
                <c:pt idx="19">
                  <c:v>65.597612257397259</c:v>
                </c:pt>
                <c:pt idx="20">
                  <c:v>66.473228835324207</c:v>
                </c:pt>
                <c:pt idx="21">
                  <c:v>67.351270520858037</c:v>
                </c:pt>
                <c:pt idx="22">
                  <c:v>68.231744051372317</c:v>
                </c:pt>
                <c:pt idx="23">
                  <c:v>69.114653363081544</c:v>
                </c:pt>
                <c:pt idx="24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23-464D-940D-AFDE62BF7178}"/>
            </c:ext>
          </c:extLst>
        </c:ser>
        <c:ser>
          <c:idx val="12"/>
          <c:order val="12"/>
          <c:tx>
            <c:v>Kaverne V1 (LCCS, 1200 m): 70–210 bar</c:v>
          </c:tx>
          <c:spPr>
            <a:ln w="63500">
              <a:solidFill>
                <a:srgbClr val="00304F"/>
              </a:solidFill>
            </a:ln>
          </c:spPr>
          <c:marker>
            <c:symbol val="none"/>
          </c:marker>
          <c:xVal>
            <c:numRef>
              <c:f>Diagrammdaten!$L$236:$L$237</c:f>
              <c:numCache>
                <c:formatCode>General</c:formatCode>
                <c:ptCount val="2"/>
                <c:pt idx="0">
                  <c:v>253</c:v>
                </c:pt>
                <c:pt idx="1">
                  <c:v>253</c:v>
                </c:pt>
              </c:numCache>
            </c:numRef>
          </c:xVal>
          <c:yVal>
            <c:numRef>
              <c:f>Diagrammdaten!$K$236:$K$237</c:f>
              <c:numCache>
                <c:formatCode>General</c:formatCode>
                <c:ptCount val="2"/>
                <c:pt idx="0">
                  <c:v>70</c:v>
                </c:pt>
                <c:pt idx="1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823-464D-940D-AFDE62BF7178}"/>
            </c:ext>
          </c:extLst>
        </c:ser>
        <c:ser>
          <c:idx val="13"/>
          <c:order val="13"/>
          <c:tx>
            <c:v>Bohrlochkopf (0 m): 45–107,6 bar</c:v>
          </c:tx>
          <c:spPr>
            <a:ln w="635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Diagrammdaten!$L$239:$L$240</c:f>
              <c:numCache>
                <c:formatCode>General</c:formatCode>
                <c:ptCount val="2"/>
                <c:pt idx="0">
                  <c:v>181</c:v>
                </c:pt>
                <c:pt idx="1">
                  <c:v>181</c:v>
                </c:pt>
              </c:numCache>
            </c:numRef>
          </c:xVal>
          <c:yVal>
            <c:numRef>
              <c:f>Diagrammdaten!$K$239:$K$240</c:f>
              <c:numCache>
                <c:formatCode>General</c:formatCode>
                <c:ptCount val="2"/>
                <c:pt idx="0">
                  <c:v>44.992994186969852</c:v>
                </c:pt>
                <c:pt idx="1">
                  <c:v>107.603219569636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823-464D-940D-AFDE62BF7178}"/>
            </c:ext>
          </c:extLst>
        </c:ser>
        <c:ser>
          <c:idx val="14"/>
          <c:order val="14"/>
          <c:tx>
            <c:v>Beschriftung Phasengebiete K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fest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823-464D-940D-AFDE62BF71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flüssig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823-464D-940D-AFDE62BF71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gasförmig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823-464D-940D-AFDE62BF71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404040"/>
                        </a:solidFill>
                      </a:rPr>
                      <a:t>überkritisch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823-464D-940D-AFDE62BF7178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Diagrammdaten!$L$242:$L$245</c:f>
              <c:numCache>
                <c:formatCode>General</c:formatCode>
                <c:ptCount val="4"/>
                <c:pt idx="0">
                  <c:v>19</c:v>
                </c:pt>
                <c:pt idx="1">
                  <c:v>137</c:v>
                </c:pt>
                <c:pt idx="2">
                  <c:v>317</c:v>
                </c:pt>
                <c:pt idx="3">
                  <c:v>317</c:v>
                </c:pt>
              </c:numCache>
            </c:numRef>
          </c:xVal>
          <c:yVal>
            <c:numRef>
              <c:f>Diagrammdaten!$K$242:$K$245</c:f>
              <c:numCache>
                <c:formatCode>General</c:formatCode>
                <c:ptCount val="4"/>
                <c:pt idx="0">
                  <c:v>150</c:v>
                </c:pt>
                <c:pt idx="1">
                  <c:v>170</c:v>
                </c:pt>
                <c:pt idx="2">
                  <c:v>25</c:v>
                </c:pt>
                <c:pt idx="3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823-464D-940D-AFDE62BF7178}"/>
            </c:ext>
          </c:extLst>
        </c:ser>
        <c:ser>
          <c:idx val="15"/>
          <c:order val="15"/>
          <c:tx>
            <c:v>Beschriftung Punkte K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Kaverne voll 210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823-464D-940D-AFDE62BF71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Grenzfall 171,7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823-464D-940D-AFDE62BF71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Kaverne leer 70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823-464D-940D-AFDE62BF71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Kopf 107,6 bar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823-464D-940D-AFDE62BF717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Kopf 73,8 bar = p_krit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8823-464D-940D-AFDE62BF717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Kopf 45 bar = p_sat(10 °C)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8823-464D-940D-AFDE62BF717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sz="800" b="1" baseline="0">
                        <a:solidFill>
                          <a:srgbClr val="00304F"/>
                        </a:solidFill>
                      </a:rPr>
                      <a:t>Betriebsfenster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8823-464D-940D-AFDE62BF7178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Diagrammdaten!$L$247:$L$253</c:f>
              <c:numCache>
                <c:formatCode>General</c:formatCode>
                <c:ptCount val="7"/>
                <c:pt idx="0">
                  <c:v>281</c:v>
                </c:pt>
                <c:pt idx="1">
                  <c:v>281</c:v>
                </c:pt>
                <c:pt idx="2">
                  <c:v>277</c:v>
                </c:pt>
                <c:pt idx="3">
                  <c:v>149</c:v>
                </c:pt>
                <c:pt idx="4">
                  <c:v>153</c:v>
                </c:pt>
                <c:pt idx="5">
                  <c:v>139</c:v>
                </c:pt>
                <c:pt idx="6">
                  <c:v>219</c:v>
                </c:pt>
              </c:numCache>
            </c:numRef>
          </c:xVal>
          <c:yVal>
            <c:numRef>
              <c:f>Diagrammdaten!$K$247:$K$253</c:f>
              <c:numCache>
                <c:formatCode>General</c:formatCode>
                <c:ptCount val="7"/>
                <c:pt idx="0">
                  <c:v>216</c:v>
                </c:pt>
                <c:pt idx="1">
                  <c:v>172</c:v>
                </c:pt>
                <c:pt idx="2">
                  <c:v>64</c:v>
                </c:pt>
                <c:pt idx="3">
                  <c:v>111</c:v>
                </c:pt>
                <c:pt idx="4">
                  <c:v>74</c:v>
                </c:pt>
                <c:pt idx="5">
                  <c:v>39</c:v>
                </c:pt>
                <c:pt idx="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823-464D-940D-AFDE62BF7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90001"/>
        <c:axId val="60090002"/>
      </c:scatterChart>
      <c:cat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Temperatur [°C]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  <c:tickLblSkip val="40"/>
        <c:tickMarkSkip val="40"/>
        <c:noMultiLvlLbl val="0"/>
      </c:catAx>
      <c:valAx>
        <c:axId val="50090002"/>
        <c:scaling>
          <c:orientation val="minMax"/>
          <c:max val="250"/>
          <c:min val="0"/>
        </c:scaling>
        <c:delete val="0"/>
        <c:axPos val="l"/>
        <c:majorGridlines>
          <c:spPr>
            <a:ln w="6350">
              <a:solidFill>
                <a:srgbClr val="FFFFF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Druck [bar]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90001"/>
        <c:crosses val="autoZero"/>
        <c:crossBetween val="midCat"/>
        <c:majorUnit val="25"/>
      </c:valAx>
      <c:valAx>
        <c:axId val="60090002"/>
        <c:scaling>
          <c:orientation val="minMax"/>
          <c:max val="250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60090001"/>
        <c:crosses val="max"/>
        <c:crossBetween val="midCat"/>
      </c:valAx>
      <c:catAx>
        <c:axId val="60090001"/>
        <c:scaling>
          <c:orientation val="minMax"/>
        </c:scaling>
        <c:delete val="1"/>
        <c:axPos val="b"/>
        <c:majorTickMark val="out"/>
        <c:minorTickMark val="none"/>
        <c:tickLblPos val="none"/>
        <c:crossAx val="60090002"/>
        <c:crosses val="autoZero"/>
        <c:auto val="1"/>
        <c:lblAlgn val="ctr"/>
        <c:lblOffset val="100"/>
        <c:noMultiLvlLbl val="0"/>
      </c:cat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14"/>
        <c:delete val="1"/>
      </c:legendEntry>
      <c:legendEntry>
        <c:idx val="15"/>
        <c:delete val="1"/>
      </c:legendEntry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zero"/>
    <c:showDLblsOverMax val="0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_orig2.xml.rels><?xml version="1.0" encoding="UTF-8" standalone="yes"?>
<Relationships xmlns="http://schemas.openxmlformats.org/package/2006/relationships"><Relationship Id="rId3" Type="http://schemas.openxmlformats.org/officeDocument/2006/relationships/chart" Target="../charts/chart_orig2_chart3.xml"/><Relationship Id="rId2" Type="http://schemas.openxmlformats.org/officeDocument/2006/relationships/chart" Target="../charts/chart_orig2_chart2.xml"/><Relationship Id="rId1" Type="http://schemas.openxmlformats.org/officeDocument/2006/relationships/chart" Target="../charts/chart_orig2_chart1.xml"/></Relationships>
</file>

<file path=xl/drawings/_rels/drawing_orig3.xml.rels><?xml version="1.0" encoding="UTF-8" standalone="yes"?>
<Relationships xmlns="http://schemas.openxmlformats.org/package/2006/relationships"><Relationship Id="rId3" Type="http://schemas.openxmlformats.org/officeDocument/2006/relationships/chart" Target="../charts/chart_orig3_chart6.xml"/><Relationship Id="rId2" Type="http://schemas.openxmlformats.org/officeDocument/2006/relationships/chart" Target="../charts/chart_orig3_chart5.xml"/><Relationship Id="rId1" Type="http://schemas.openxmlformats.org/officeDocument/2006/relationships/chart" Target="../charts/chart_orig3_chart4.xml"/></Relationships>
</file>

<file path=xl/drawings/_rels/drawing_ori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_orig4_chart7.xml"/></Relationships>
</file>

<file path=xl/drawings/_rels/drawing_orig5.xml.rels><?xml version="1.0" encoding="UTF-8" standalone="yes"?>
<Relationships xmlns="http://schemas.openxmlformats.org/package/2006/relationships"><Relationship Id="rId2" Type="http://schemas.openxmlformats.org/officeDocument/2006/relationships/chart" Target="../charts/chart_orig5_chart9.xml"/><Relationship Id="rId1" Type="http://schemas.openxmlformats.org/officeDocument/2006/relationships/chart" Target="../charts/chart_orig5_chart8.xml"/></Relationships>
</file>

<file path=xl/drawings/drawing4.xml><?xml version="1.0" encoding="utf-8"?>
<wsDr xmlns="http://schemas.openxmlformats.org/drawingml/2006/spreadsheetDrawing">
  <oneCellAnchor>
    <from>
      <col>7</col>
      <colOff>0</colOff>
      <row>6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59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_ori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21</xdr:row>
      <xdr:rowOff>38100</xdr:rowOff>
    </xdr:from>
    <xdr:to>
      <xdr:col>6</xdr:col>
      <xdr:colOff>0</xdr:colOff>
      <xdr:row>22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76225" y="4229100"/>
          <a:ext cx="38100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 i="0">
              <a:solidFill>
                <a:srgbClr val="007335"/>
              </a:solidFill>
              <a:latin typeface="Calibri"/>
              <a:cs typeface="Calibri"/>
            </a:rPr>
            <a:t>S1 – Anlieferung in dichter Phase (Pipeline)</a:t>
          </a:r>
        </a:p>
      </xdr:txBody>
    </xdr:sp>
    <xdr:clientData/>
  </xdr:twoCellAnchor>
  <xdr:twoCellAnchor>
    <xdr:from>
      <xdr:col>1</xdr:col>
      <xdr:colOff>95250</xdr:colOff>
      <xdr:row>22</xdr:row>
      <xdr:rowOff>95250</xdr:rowOff>
    </xdr:from>
    <xdr:to>
      <xdr:col>2</xdr:col>
      <xdr:colOff>381000</xdr:colOff>
      <xdr:row>24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76225" y="447675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Netzübergabe S1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dichte Phase</a:t>
          </a:r>
        </a:p>
      </xdr:txBody>
    </xdr:sp>
    <xdr:clientData/>
  </xdr:twoCellAnchor>
  <xdr:twoCellAnchor>
    <xdr:from>
      <xdr:col>2</xdr:col>
      <xdr:colOff>381000</xdr:colOff>
      <xdr:row>23</xdr:row>
      <xdr:rowOff>0</xdr:rowOff>
    </xdr:from>
    <xdr:to>
      <xdr:col>2</xdr:col>
      <xdr:colOff>647700</xdr:colOff>
      <xdr:row>24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43025" y="457200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2</xdr:col>
      <xdr:colOff>647700</xdr:colOff>
      <xdr:row>22</xdr:row>
      <xdr:rowOff>95250</xdr:rowOff>
    </xdr:from>
    <xdr:to>
      <xdr:col>4</xdr:col>
      <xdr:colOff>152400</xdr:colOff>
      <xdr:row>24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609725" y="4476750"/>
          <a:ext cx="1066800" cy="457200"/>
        </a:xfrm>
        <a:prstGeom prst="rect">
          <a:avLst/>
        </a:prstGeom>
        <a:solidFill>
          <a:srgbClr val="EFF2F4"/>
        </a:solidFill>
        <a:ln w="19050" cmpd="sng">
          <a:solidFill>
            <a:srgbClr val="8A8A8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Messtechnik &amp;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Filtration</a:t>
          </a:r>
        </a:p>
      </xdr:txBody>
    </xdr:sp>
    <xdr:clientData/>
  </xdr:twoCellAnchor>
  <xdr:twoCellAnchor>
    <xdr:from>
      <xdr:col>4</xdr:col>
      <xdr:colOff>209550</xdr:colOff>
      <xdr:row>23</xdr:row>
      <xdr:rowOff>133350</xdr:rowOff>
    </xdr:from>
    <xdr:to>
      <xdr:col>11</xdr:col>
      <xdr:colOff>95250</xdr:colOff>
      <xdr:row>23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733675" y="4705350"/>
          <a:ext cx="5353050" cy="19050"/>
        </a:xfrm>
        <a:prstGeom prst="rect">
          <a:avLst/>
        </a:prstGeom>
        <a:solidFill>
          <a:srgbClr val="40404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11</xdr:col>
      <xdr:colOff>19050</xdr:colOff>
      <xdr:row>23</xdr:row>
      <xdr:rowOff>0</xdr:rowOff>
    </xdr:from>
    <xdr:to>
      <xdr:col>11</xdr:col>
      <xdr:colOff>266700</xdr:colOff>
      <xdr:row>24</xdr:row>
      <xdr:rowOff>57150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010525" y="45720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4</xdr:col>
      <xdr:colOff>209550</xdr:colOff>
      <xdr:row>22</xdr:row>
      <xdr:rowOff>133350</xdr:rowOff>
    </xdr:from>
    <xdr:to>
      <xdr:col>11</xdr:col>
      <xdr:colOff>209550</xdr:colOff>
      <xdr:row>23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733675" y="4514850"/>
          <a:ext cx="54673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1">
              <a:solidFill>
                <a:srgbClr val="595959"/>
              </a:solidFill>
              <a:latin typeface="Calibri"/>
              <a:cs typeface="Calibri"/>
            </a:rPr>
            <a:t>keine Verdichtung nötig – das CO₂ ist bereits dicht</a:t>
          </a:r>
        </a:p>
      </xdr:txBody>
    </xdr:sp>
    <xdr:clientData/>
  </xdr:twoCellAnchor>
  <xdr:twoCellAnchor>
    <xdr:from>
      <xdr:col>11</xdr:col>
      <xdr:colOff>285750</xdr:colOff>
      <xdr:row>22</xdr:row>
      <xdr:rowOff>95250</xdr:rowOff>
    </xdr:from>
    <xdr:to>
      <xdr:col>12</xdr:col>
      <xdr:colOff>571500</xdr:colOff>
      <xdr:row>24</xdr:row>
      <xdr:rowOff>171450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277225" y="447675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Pumpe</a:t>
          </a:r>
        </a:p>
      </xdr:txBody>
    </xdr:sp>
    <xdr:clientData/>
  </xdr:twoCellAnchor>
  <xdr:twoCellAnchor>
    <xdr:from>
      <xdr:col>12</xdr:col>
      <xdr:colOff>571500</xdr:colOff>
      <xdr:row>23</xdr:row>
      <xdr:rowOff>0</xdr:rowOff>
    </xdr:from>
    <xdr:to>
      <xdr:col>13</xdr:col>
      <xdr:colOff>57150</xdr:colOff>
      <xdr:row>24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344025" y="457200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</xdr:col>
      <xdr:colOff>95250</xdr:colOff>
      <xdr:row>26</xdr:row>
      <xdr:rowOff>57150</xdr:rowOff>
    </xdr:from>
    <xdr:to>
      <xdr:col>6</xdr:col>
      <xdr:colOff>0</xdr:colOff>
      <xdr:row>27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6225" y="5200650"/>
          <a:ext cx="38100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 i="0">
              <a:solidFill>
                <a:srgbClr val="164A73"/>
              </a:solidFill>
              <a:latin typeface="Calibri"/>
              <a:cs typeface="Calibri"/>
            </a:rPr>
            <a:t>S2 – gasförmige Anlieferung</a:t>
          </a:r>
        </a:p>
      </xdr:txBody>
    </xdr:sp>
    <xdr:clientData/>
  </xdr:twoCellAnchor>
  <xdr:twoCellAnchor>
    <xdr:from>
      <xdr:col>1</xdr:col>
      <xdr:colOff>95250</xdr:colOff>
      <xdr:row>27</xdr:row>
      <xdr:rowOff>114300</xdr:rowOff>
    </xdr:from>
    <xdr:to>
      <xdr:col>2</xdr:col>
      <xdr:colOff>381000</xdr:colOff>
      <xdr:row>30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76225" y="5448300"/>
          <a:ext cx="1066800" cy="457200"/>
        </a:xfrm>
        <a:prstGeom prst="rect">
          <a:avLst/>
        </a:prstGeom>
        <a:solidFill>
          <a:srgbClr val="CFE2F3"/>
        </a:solidFill>
        <a:ln w="19050" cmpd="sng">
          <a:solidFill>
            <a:srgbClr val="164A7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Netzübergabe S2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gasförmig</a:t>
          </a:r>
        </a:p>
      </xdr:txBody>
    </xdr:sp>
    <xdr:clientData/>
  </xdr:twoCellAnchor>
  <xdr:twoCellAnchor>
    <xdr:from>
      <xdr:col>2</xdr:col>
      <xdr:colOff>381000</xdr:colOff>
      <xdr:row>28</xdr:row>
      <xdr:rowOff>19050</xdr:rowOff>
    </xdr:from>
    <xdr:to>
      <xdr:col>2</xdr:col>
      <xdr:colOff>647700</xdr:colOff>
      <xdr:row>29</xdr:row>
      <xdr:rowOff>76200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343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2</xdr:col>
      <xdr:colOff>647700</xdr:colOff>
      <xdr:row>27</xdr:row>
      <xdr:rowOff>114300</xdr:rowOff>
    </xdr:from>
    <xdr:to>
      <xdr:col>4</xdr:col>
      <xdr:colOff>152400</xdr:colOff>
      <xdr:row>30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609725" y="5448300"/>
          <a:ext cx="1066800" cy="457200"/>
        </a:xfrm>
        <a:prstGeom prst="rect">
          <a:avLst/>
        </a:prstGeom>
        <a:solidFill>
          <a:srgbClr val="EFF2F4"/>
        </a:solidFill>
        <a:ln w="19050" cmpd="sng">
          <a:solidFill>
            <a:srgbClr val="8A8A8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Messtechnik &amp;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Filtration</a:t>
          </a:r>
        </a:p>
      </xdr:txBody>
    </xdr:sp>
    <xdr:clientData/>
  </xdr:twoCellAnchor>
  <xdr:twoCellAnchor>
    <xdr:from>
      <xdr:col>7</xdr:col>
      <xdr:colOff>742950</xdr:colOff>
      <xdr:row>27</xdr:row>
      <xdr:rowOff>114300</xdr:rowOff>
    </xdr:from>
    <xdr:to>
      <xdr:col>9</xdr:col>
      <xdr:colOff>247650</xdr:colOff>
      <xdr:row>30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610225" y="5448300"/>
          <a:ext cx="1066800" cy="457200"/>
        </a:xfrm>
        <a:prstGeom prst="rect">
          <a:avLst/>
        </a:prstGeom>
        <a:solidFill>
          <a:srgbClr val="CFE2F3"/>
        </a:solidFill>
        <a:ln w="19050" cmpd="sng">
          <a:solidFill>
            <a:srgbClr val="164A7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Verdichter
2 Stufen</a:t>
          </a:r>
        </a:p>
      </xdr:txBody>
    </xdr:sp>
    <xdr:clientData/>
  </xdr:twoCellAnchor>
  <xdr:twoCellAnchor>
    <xdr:from>
      <xdr:col>9</xdr:col>
      <xdr:colOff>247650</xdr:colOff>
      <xdr:row>28</xdr:row>
      <xdr:rowOff>19050</xdr:rowOff>
    </xdr:from>
    <xdr:to>
      <xdr:col>9</xdr:col>
      <xdr:colOff>514350</xdr:colOff>
      <xdr:row>29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677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9</xdr:col>
      <xdr:colOff>514350</xdr:colOff>
      <xdr:row>27</xdr:row>
      <xdr:rowOff>114300</xdr:rowOff>
    </xdr:from>
    <xdr:to>
      <xdr:col>11</xdr:col>
      <xdr:colOff>19050</xdr:colOff>
      <xdr:row>30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43725" y="544830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Kühler
91 bar</a:t>
          </a:r>
        </a:p>
      </xdr:txBody>
    </xdr:sp>
    <xdr:clientData/>
  </xdr:twoCellAnchor>
  <xdr:twoCellAnchor>
    <xdr:from>
      <xdr:col>11</xdr:col>
      <xdr:colOff>19050</xdr:colOff>
      <xdr:row>28</xdr:row>
      <xdr:rowOff>19050</xdr:rowOff>
    </xdr:from>
    <xdr:to>
      <xdr:col>11</xdr:col>
      <xdr:colOff>285750</xdr:colOff>
      <xdr:row>29</xdr:row>
      <xdr:rowOff>76200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0105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11</xdr:col>
      <xdr:colOff>285750</xdr:colOff>
      <xdr:row>27</xdr:row>
      <xdr:rowOff>114300</xdr:rowOff>
    </xdr:from>
    <xdr:to>
      <xdr:col>12</xdr:col>
      <xdr:colOff>571500</xdr:colOff>
      <xdr:row>30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277225" y="5448300"/>
          <a:ext cx="1066800" cy="45720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Pumpe</a:t>
          </a:r>
        </a:p>
      </xdr:txBody>
    </xdr:sp>
    <xdr:clientData/>
  </xdr:twoCellAnchor>
  <xdr:twoCellAnchor>
    <xdr:from>
      <xdr:col>12</xdr:col>
      <xdr:colOff>571500</xdr:colOff>
      <xdr:row>28</xdr:row>
      <xdr:rowOff>19050</xdr:rowOff>
    </xdr:from>
    <xdr:to>
      <xdr:col>13</xdr:col>
      <xdr:colOff>57150</xdr:colOff>
      <xdr:row>29</xdr:row>
      <xdr:rowOff>76200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344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4</xdr:col>
      <xdr:colOff>209550</xdr:colOff>
      <xdr:row>28</xdr:row>
      <xdr:rowOff>152400</xdr:rowOff>
    </xdr:from>
    <xdr:to>
      <xdr:col>7</xdr:col>
      <xdr:colOff>552450</xdr:colOff>
      <xdr:row>28</xdr:row>
      <xdr:rowOff>171450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33675" y="5676900"/>
          <a:ext cx="2686050" cy="19050"/>
        </a:xfrm>
        <a:prstGeom prst="rect">
          <a:avLst/>
        </a:prstGeom>
        <a:solidFill>
          <a:srgbClr val="40404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476250</xdr:colOff>
      <xdr:row>28</xdr:row>
      <xdr:rowOff>19050</xdr:rowOff>
    </xdr:from>
    <xdr:to>
      <xdr:col>7</xdr:col>
      <xdr:colOff>723900</xdr:colOff>
      <xdr:row>29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343525" y="55435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4</xdr:col>
      <xdr:colOff>209550</xdr:colOff>
      <xdr:row>27</xdr:row>
      <xdr:rowOff>152400</xdr:rowOff>
    </xdr:from>
    <xdr:to>
      <xdr:col>7</xdr:col>
      <xdr:colOff>666750</xdr:colOff>
      <xdr:row>28</xdr:row>
      <xdr:rowOff>133350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733675" y="5486400"/>
          <a:ext cx="28003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1">
              <a:solidFill>
                <a:srgbClr val="595959"/>
              </a:solidFill>
              <a:latin typeface="Calibri"/>
              <a:cs typeface="Calibri"/>
            </a:rPr>
            <a:t>Zwischenkühlung auf 40 °C · über T_krit, keine Kondensation</a:t>
          </a:r>
        </a:p>
      </xdr:txBody>
    </xdr:sp>
    <xdr:clientData/>
  </xdr:twoCellAnchor>
  <xdr:twoCellAnchor>
    <xdr:from>
      <xdr:col>13</xdr:col>
      <xdr:colOff>57150</xdr:colOff>
      <xdr:row>22</xdr:row>
      <xdr:rowOff>95250</xdr:rowOff>
    </xdr:from>
    <xdr:to>
      <xdr:col>14</xdr:col>
      <xdr:colOff>342900</xdr:colOff>
      <xdr:row>30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9610725" y="4476750"/>
          <a:ext cx="1066800" cy="1428750"/>
        </a:xfrm>
        <a:prstGeom prst="rect">
          <a:avLst/>
        </a:prstGeom>
        <a:solidFill>
          <a:srgbClr val="D9EAD3"/>
        </a:solidFill>
        <a:ln w="19050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Bohrloch-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kopf</a:t>
          </a:r>
        </a:p>
      </xdr:txBody>
    </xdr:sp>
    <xdr:clientData/>
  </xdr:twoCellAnchor>
  <xdr:twoCellAnchor>
    <xdr:from>
      <xdr:col>14</xdr:col>
      <xdr:colOff>342900</xdr:colOff>
      <xdr:row>25</xdr:row>
      <xdr:rowOff>104775</xdr:rowOff>
    </xdr:from>
    <xdr:to>
      <xdr:col>14</xdr:col>
      <xdr:colOff>609600</xdr:colOff>
      <xdr:row>26</xdr:row>
      <xdr:rowOff>161925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0677525" y="5057775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14</xdr:col>
      <xdr:colOff>609600</xdr:colOff>
      <xdr:row>22</xdr:row>
      <xdr:rowOff>95250</xdr:rowOff>
    </xdr:from>
    <xdr:to>
      <xdr:col>16</xdr:col>
      <xdr:colOff>114300</xdr:colOff>
      <xdr:row>30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0944225" y="4476750"/>
          <a:ext cx="1066800" cy="1428750"/>
        </a:xfrm>
        <a:prstGeom prst="rect">
          <a:avLst/>
        </a:prstGeom>
        <a:gradFill>
          <a:gsLst>
            <a:gs pos="0">
              <a:srgbClr val="D9EAD3"/>
            </a:gs>
            <a:gs pos="100000">
              <a:srgbClr val="FCE5CD"/>
            </a:gs>
          </a:gsLst>
          <a:lin ang="5400000" scaled="0"/>
        </a:gradFill>
        <a:ln w="19050" cmpd="sng">
          <a:solidFill>
            <a:srgbClr val="00304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Gassäule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im Bohrloch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(1200 m)</a:t>
          </a:r>
        </a:p>
      </xdr:txBody>
    </xdr:sp>
    <xdr:clientData/>
  </xdr:twoCellAnchor>
  <xdr:twoCellAnchor>
    <xdr:from>
      <xdr:col>16</xdr:col>
      <xdr:colOff>114300</xdr:colOff>
      <xdr:row>23</xdr:row>
      <xdr:rowOff>0</xdr:rowOff>
    </xdr:from>
    <xdr:to>
      <xdr:col>16</xdr:col>
      <xdr:colOff>381000</xdr:colOff>
      <xdr:row>24</xdr:row>
      <xdr:rowOff>57150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2011025" y="457200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404040"/>
              </a:solidFill>
              <a:latin typeface="Calibri"/>
              <a:cs typeface="Calibri"/>
            </a:rPr>
            <a:t>→</a:t>
          </a:r>
        </a:p>
      </xdr:txBody>
    </xdr:sp>
    <xdr:clientData/>
  </xdr:twoCellAnchor>
  <xdr:twoCellAnchor>
    <xdr:from>
      <xdr:col>16</xdr:col>
      <xdr:colOff>114300</xdr:colOff>
      <xdr:row>28</xdr:row>
      <xdr:rowOff>19050</xdr:rowOff>
    </xdr:from>
    <xdr:to>
      <xdr:col>16</xdr:col>
      <xdr:colOff>381000</xdr:colOff>
      <xdr:row>29</xdr:row>
      <xdr:rowOff>76200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2011025" y="5543550"/>
          <a:ext cx="2667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1600" b="1" i="0">
              <a:solidFill>
                <a:srgbClr val="8A8A8A"/>
              </a:solidFill>
              <a:latin typeface="Calibri"/>
              <a:cs typeface="Calibri"/>
            </a:rPr>
            <a:t>⇢</a:t>
          </a:r>
        </a:p>
      </xdr:txBody>
    </xdr:sp>
    <xdr:clientData/>
  </xdr:twoCellAnchor>
  <xdr:twoCellAnchor>
    <xdr:from>
      <xdr:col>16</xdr:col>
      <xdr:colOff>381000</xdr:colOff>
      <xdr:row>22</xdr:row>
      <xdr:rowOff>95250</xdr:rowOff>
    </xdr:from>
    <xdr:to>
      <xdr:col>17</xdr:col>
      <xdr:colOff>666750</xdr:colOff>
      <xdr:row>24</xdr:row>
      <xdr:rowOff>171450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2277725" y="4476750"/>
          <a:ext cx="1066800" cy="457200"/>
        </a:xfrm>
        <a:prstGeom prst="rect">
          <a:avLst/>
        </a:prstGeom>
        <a:solidFill>
          <a:srgbClr val="FCE5CD"/>
        </a:solidFill>
        <a:ln w="31750" cmpd="sng">
          <a:solidFill>
            <a:srgbClr val="00304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Kaverne V1</a:t>
          </a:r>
        </a:p>
        <a:p>
          <a:r>
            <a:rPr lang="en-US" sz="900" b="1">
              <a:solidFill>
                <a:srgbClr val="00304F"/>
              </a:solidFill>
              <a:latin typeface="Calibri"/>
              <a:cs typeface="Calibri"/>
            </a:rPr>
            <a:t>tief · 1200 m</a:t>
          </a:r>
        </a:p>
      </xdr:txBody>
    </xdr:sp>
    <xdr:clientData/>
  </xdr:twoCellAnchor>
  <xdr:twoCellAnchor>
    <xdr:from>
      <xdr:col>16</xdr:col>
      <xdr:colOff>381000</xdr:colOff>
      <xdr:row>27</xdr:row>
      <xdr:rowOff>114300</xdr:rowOff>
    </xdr:from>
    <xdr:to>
      <xdr:col>17</xdr:col>
      <xdr:colOff>666750</xdr:colOff>
      <xdr:row>30</xdr:row>
      <xdr:rowOff>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277725" y="5448300"/>
          <a:ext cx="1066800" cy="457200"/>
        </a:xfrm>
        <a:prstGeom prst="rect">
          <a:avLst/>
        </a:prstGeom>
        <a:solidFill>
          <a:srgbClr val="FFFFFF"/>
        </a:solidFill>
        <a:ln w="19050" cmpd="sng">
          <a:solidFill>
            <a:srgbClr val="8A8A8A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900" b="1">
              <a:solidFill>
                <a:srgbClr val="8A8A8A"/>
              </a:solidFill>
              <a:latin typeface="Calibri"/>
              <a:cs typeface="Calibri"/>
            </a:rPr>
            <a:t>Kaverne V2</a:t>
          </a:r>
        </a:p>
        <a:p>
          <a:r>
            <a:rPr lang="en-US" sz="900" b="1">
              <a:solidFill>
                <a:srgbClr val="8A8A8A"/>
              </a:solidFill>
              <a:latin typeface="Calibri"/>
              <a:cs typeface="Calibri"/>
            </a:rPr>
            <a:t>flach · entfällt</a:t>
          </a:r>
        </a:p>
      </xdr:txBody>
    </xdr:sp>
    <xdr:clientData/>
  </xdr:twoCellAnchor>
  <xdr:twoCellAnchor>
    <xdr:from>
      <xdr:col>0</xdr:col>
      <xdr:colOff>133350</xdr:colOff>
      <xdr:row>24</xdr:row>
      <xdr:rowOff>180975</xdr:rowOff>
    </xdr:from>
    <xdr:to>
      <xdr:col>2</xdr:col>
      <xdr:colOff>523875</xdr:colOff>
      <xdr:row>25</xdr:row>
      <xdr:rowOff>161925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33350" y="494347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91 bar · 15 °C</a:t>
          </a:r>
        </a:p>
      </xdr:txBody>
    </xdr:sp>
    <xdr:clientData/>
  </xdr:twoCellAnchor>
  <xdr:twoCellAnchor>
    <xdr:from>
      <xdr:col>11</xdr:col>
      <xdr:colOff>142875</xdr:colOff>
      <xdr:row>24</xdr:row>
      <xdr:rowOff>180975</xdr:rowOff>
    </xdr:from>
    <xdr:to>
      <xdr:col>12</xdr:col>
      <xdr:colOff>714375</xdr:colOff>
      <xdr:row>25</xdr:row>
      <xdr:rowOff>161925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8134350" y="494347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→ 105,4 bar · 16,6 °C</a:t>
          </a:r>
        </a:p>
      </xdr:txBody>
    </xdr:sp>
    <xdr:clientData/>
  </xdr:twoCellAnchor>
  <xdr:twoCellAnchor>
    <xdr:from>
      <xdr:col>0</xdr:col>
      <xdr:colOff>133350</xdr:colOff>
      <xdr:row>30</xdr:row>
      <xdr:rowOff>9525</xdr:rowOff>
    </xdr:from>
    <xdr:to>
      <xdr:col>2</xdr:col>
      <xdr:colOff>523875</xdr:colOff>
      <xdr:row>30</xdr:row>
      <xdr:rowOff>180975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33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30 bar · 15 °C</a:t>
          </a:r>
        </a:p>
      </xdr:txBody>
    </xdr:sp>
    <xdr:clientData/>
  </xdr:twoCellAnchor>
  <xdr:twoCellAnchor>
    <xdr:from>
      <xdr:col>7</xdr:col>
      <xdr:colOff>600075</xdr:colOff>
      <xdr:row>30</xdr:row>
      <xdr:rowOff>9525</xdr:rowOff>
    </xdr:from>
    <xdr:to>
      <xdr:col>9</xdr:col>
      <xdr:colOff>390525</xdr:colOff>
      <xdr:row>30</xdr:row>
      <xdr:rowOff>180975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5467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→ 91 bar · 84 °C (2 Stufen)</a:t>
          </a:r>
        </a:p>
      </xdr:txBody>
    </xdr:sp>
    <xdr:clientData/>
  </xdr:twoCellAnchor>
  <xdr:twoCellAnchor>
    <xdr:from>
      <xdr:col>9</xdr:col>
      <xdr:colOff>371475</xdr:colOff>
      <xdr:row>30</xdr:row>
      <xdr:rowOff>9525</xdr:rowOff>
    </xdr:from>
    <xdr:to>
      <xdr:col>11</xdr:col>
      <xdr:colOff>161925</xdr:colOff>
      <xdr:row>30</xdr:row>
      <xdr:rowOff>180975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8008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91 bar · 26 °C</a:t>
          </a:r>
        </a:p>
      </xdr:txBody>
    </xdr:sp>
    <xdr:clientData/>
  </xdr:twoCellAnchor>
  <xdr:twoCellAnchor>
    <xdr:from>
      <xdr:col>11</xdr:col>
      <xdr:colOff>142875</xdr:colOff>
      <xdr:row>30</xdr:row>
      <xdr:rowOff>9525</xdr:rowOff>
    </xdr:from>
    <xdr:to>
      <xdr:col>12</xdr:col>
      <xdr:colOff>714375</xdr:colOff>
      <xdr:row>30</xdr:row>
      <xdr:rowOff>180975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8134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→ 114,6 bar · 29,6 °C</a:t>
          </a:r>
        </a:p>
      </xdr:txBody>
    </xdr:sp>
    <xdr:clientData/>
  </xdr:twoCellAnchor>
  <xdr:twoCellAnchor>
    <xdr:from>
      <xdr:col>16</xdr:col>
      <xdr:colOff>238125</xdr:colOff>
      <xdr:row>24</xdr:row>
      <xdr:rowOff>180975</xdr:rowOff>
    </xdr:from>
    <xdr:to>
      <xdr:col>18</xdr:col>
      <xdr:colOff>28575</xdr:colOff>
      <xdr:row>25</xdr:row>
      <xdr:rowOff>161925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2134850" y="494347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70–210 bar · 46 °C</a:t>
          </a:r>
        </a:p>
      </xdr:txBody>
    </xdr:sp>
    <xdr:clientData/>
  </xdr:twoCellAnchor>
  <xdr:twoCellAnchor>
    <xdr:from>
      <xdr:col>12</xdr:col>
      <xdr:colOff>695325</xdr:colOff>
      <xdr:row>30</xdr:row>
      <xdr:rowOff>9525</xdr:rowOff>
    </xdr:from>
    <xdr:to>
      <xdr:col>14</xdr:col>
      <xdr:colOff>485775</xdr:colOff>
      <xdr:row>30</xdr:row>
      <xdr:rowOff>180975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94678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Kopf: 105,4 / 114,6 bar</a:t>
          </a:r>
        </a:p>
      </xdr:txBody>
    </xdr:sp>
    <xdr:clientData/>
  </xdr:twoCellAnchor>
  <xdr:twoCellAnchor>
    <xdr:from>
      <xdr:col>14</xdr:col>
      <xdr:colOff>466725</xdr:colOff>
      <xdr:row>30</xdr:row>
      <xdr:rowOff>9525</xdr:rowOff>
    </xdr:from>
    <xdr:to>
      <xdr:col>16</xdr:col>
      <xdr:colOff>257175</xdr:colOff>
      <xdr:row>30</xdr:row>
      <xdr:rowOff>180975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0801350" y="5915025"/>
          <a:ext cx="1352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1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+95–105 bar aus der Säule</a:t>
          </a:r>
        </a:p>
      </xdr:txBody>
    </xdr:sp>
    <xdr:clientData/>
  </xdr:twoCellAnchor>
  <xdr:twoCellAnchor>
    <xdr:from>
      <xdr:col>1</xdr:col>
      <xdr:colOff>95250</xdr:colOff>
      <xdr:row>31</xdr:row>
      <xdr:rowOff>57150</xdr:rowOff>
    </xdr:from>
    <xdr:to>
      <xdr:col>5</xdr:col>
      <xdr:colOff>400050</xdr:colOff>
      <xdr:row>32</xdr:row>
      <xdr:rowOff>38100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276225" y="6153150"/>
          <a:ext cx="342900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 i="0">
              <a:solidFill>
                <a:srgbClr val="595959"/>
              </a:solidFill>
              <a:latin typeface="Calibri"/>
              <a:cs typeface="Calibri"/>
            </a:rPr>
            <a:t>Farbe der Kästen = Phase am Austritt (wie im Phasendiagramm):</a:t>
          </a:r>
        </a:p>
      </xdr:txBody>
    </xdr:sp>
    <xdr:clientData/>
  </xdr:twoCellAnchor>
  <xdr:twoCellAnchor>
    <xdr:from>
      <xdr:col>5</xdr:col>
      <xdr:colOff>400050</xdr:colOff>
      <xdr:row>31</xdr:row>
      <xdr:rowOff>85725</xdr:rowOff>
    </xdr:from>
    <xdr:to>
      <xdr:col>5</xdr:col>
      <xdr:colOff>552450</xdr:colOff>
      <xdr:row>32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705225" y="6181725"/>
          <a:ext cx="152400" cy="104775"/>
        </a:xfrm>
        <a:prstGeom prst="rect">
          <a:avLst/>
        </a:prstGeom>
        <a:solidFill>
          <a:srgbClr val="D9EAD3"/>
        </a:solidFill>
        <a:ln w="9525" cmpd="sng">
          <a:solidFill>
            <a:srgbClr val="00733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590550</xdr:colOff>
      <xdr:row>31</xdr:row>
      <xdr:rowOff>57150</xdr:rowOff>
    </xdr:from>
    <xdr:to>
      <xdr:col>7</xdr:col>
      <xdr:colOff>266700</xdr:colOff>
      <xdr:row>32</xdr:row>
      <xdr:rowOff>38100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389572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dicht / flüssig</a:t>
          </a:r>
        </a:p>
      </xdr:txBody>
    </xdr:sp>
    <xdr:clientData/>
  </xdr:twoCellAnchor>
  <xdr:twoCellAnchor>
    <xdr:from>
      <xdr:col>7</xdr:col>
      <xdr:colOff>266700</xdr:colOff>
      <xdr:row>31</xdr:row>
      <xdr:rowOff>85725</xdr:rowOff>
    </xdr:from>
    <xdr:to>
      <xdr:col>7</xdr:col>
      <xdr:colOff>419100</xdr:colOff>
      <xdr:row>32</xdr:row>
      <xdr:rowOff>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133975" y="6181725"/>
          <a:ext cx="152400" cy="104775"/>
        </a:xfrm>
        <a:prstGeom prst="rect">
          <a:avLst/>
        </a:prstGeom>
        <a:solidFill>
          <a:srgbClr val="CFE2F3"/>
        </a:solidFill>
        <a:ln w="9525" cmpd="sng">
          <a:solidFill>
            <a:srgbClr val="164A7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457200</xdr:colOff>
      <xdr:row>31</xdr:row>
      <xdr:rowOff>57150</xdr:rowOff>
    </xdr:from>
    <xdr:to>
      <xdr:col>9</xdr:col>
      <xdr:colOff>133350</xdr:colOff>
      <xdr:row>32</xdr:row>
      <xdr:rowOff>38100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532447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gasförmig</a:t>
          </a:r>
        </a:p>
      </xdr:txBody>
    </xdr:sp>
    <xdr:clientData/>
  </xdr:twoCellAnchor>
  <xdr:twoCellAnchor>
    <xdr:from>
      <xdr:col>9</xdr:col>
      <xdr:colOff>133350</xdr:colOff>
      <xdr:row>31</xdr:row>
      <xdr:rowOff>85725</xdr:rowOff>
    </xdr:from>
    <xdr:to>
      <xdr:col>9</xdr:col>
      <xdr:colOff>285750</xdr:colOff>
      <xdr:row>32</xdr:row>
      <xdr:rowOff>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562725" y="6181725"/>
          <a:ext cx="152400" cy="104775"/>
        </a:xfrm>
        <a:prstGeom prst="rect">
          <a:avLst/>
        </a:prstGeom>
        <a:solidFill>
          <a:srgbClr val="FCE5CD"/>
        </a:solidFill>
        <a:ln w="9525" cmpd="sng">
          <a:solidFill>
            <a:srgbClr val="A3480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323850</xdr:colOff>
      <xdr:row>31</xdr:row>
      <xdr:rowOff>57150</xdr:rowOff>
    </xdr:from>
    <xdr:to>
      <xdr:col>11</xdr:col>
      <xdr:colOff>0</xdr:colOff>
      <xdr:row>32</xdr:row>
      <xdr:rowOff>38100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75322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überkritisch</a:t>
          </a:r>
        </a:p>
      </xdr:txBody>
    </xdr:sp>
    <xdr:clientData/>
  </xdr:twoCellAnchor>
  <xdr:twoCellAnchor>
    <xdr:from>
      <xdr:col>11</xdr:col>
      <xdr:colOff>0</xdr:colOff>
      <xdr:row>31</xdr:row>
      <xdr:rowOff>85725</xdr:rowOff>
    </xdr:from>
    <xdr:to>
      <xdr:col>11</xdr:col>
      <xdr:colOff>152400</xdr:colOff>
      <xdr:row>32</xdr:row>
      <xdr:rowOff>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7991475" y="6181725"/>
          <a:ext cx="152400" cy="104775"/>
        </a:xfrm>
        <a:prstGeom prst="rect">
          <a:avLst/>
        </a:prstGeom>
        <a:solidFill>
          <a:srgbClr val="EFF2F4"/>
        </a:solidFill>
        <a:ln w="9525" cmpd="sng">
          <a:solidFill>
            <a:srgbClr val="8A8A8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11</xdr:col>
      <xdr:colOff>190500</xdr:colOff>
      <xdr:row>31</xdr:row>
      <xdr:rowOff>57150</xdr:rowOff>
    </xdr:from>
    <xdr:to>
      <xdr:col>12</xdr:col>
      <xdr:colOff>647700</xdr:colOff>
      <xdr:row>32</xdr:row>
      <xdr:rowOff>38100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8181975" y="6153150"/>
          <a:ext cx="1238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0">
              <a:solidFill>
                <a:srgbClr val="595959"/>
              </a:solidFill>
              <a:latin typeface="Calibri"/>
              <a:cs typeface="Calibri"/>
            </a:rPr>
            <a:t>keine Zustandsänderung</a:t>
          </a:r>
        </a:p>
      </xdr:txBody>
    </xdr:sp>
    <xdr:clientData/>
  </xdr:twoCellAnchor>
  <xdr:twoCellAnchor>
    <xdr:from>
      <xdr:col>1</xdr:col>
      <xdr:colOff>95250</xdr:colOff>
      <xdr:row>32</xdr:row>
      <xdr:rowOff>57150</xdr:rowOff>
    </xdr:from>
    <xdr:to>
      <xdr:col>9</xdr:col>
      <xdr:colOff>514350</xdr:colOff>
      <xdr:row>33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276225" y="6343650"/>
          <a:ext cx="666750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0" i="1">
              <a:solidFill>
                <a:srgbClr val="595959"/>
              </a:solidFill>
              <a:latin typeface="Calibri"/>
              <a:cs typeface="Calibri"/>
            </a:rPr>
            <a:t>Ausspeicherung (Druckreduzierung, Vorwärmung, Aufbereitung, Rückgabe) folgt als eigener Teil.</a:t>
          </a:r>
        </a:p>
      </xdr:txBody>
    </xdr:sp>
    <xdr:clientData/>
  </xdr:twoCellAnchor>
</xdr:wsDr>
</file>

<file path=xl/drawings/drawing_ori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47625</xdr:rowOff>
    </xdr:from>
    <xdr:to>
      <xdr:col>2</xdr:col>
      <xdr:colOff>809625</xdr:colOff>
      <xdr:row>44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23</xdr:row>
      <xdr:rowOff>57150</xdr:rowOff>
    </xdr:from>
    <xdr:to>
      <xdr:col>6</xdr:col>
      <xdr:colOff>466725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657225</xdr:colOff>
      <xdr:row>23</xdr:row>
      <xdr:rowOff>38100</xdr:rowOff>
    </xdr:from>
    <xdr:to>
      <xdr:col>10</xdr:col>
      <xdr:colOff>123825</xdr:colOff>
      <xdr:row>44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_ori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23</xdr:row>
      <xdr:rowOff>0</xdr:rowOff>
    </xdr:from>
    <xdr:to>
      <xdr:col>16</xdr:col>
      <xdr:colOff>295275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4</xdr:row>
      <xdr:rowOff>66675</xdr:rowOff>
    </xdr:from>
    <xdr:to>
      <xdr:col>16</xdr:col>
      <xdr:colOff>152400</xdr:colOff>
      <xdr:row>20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514350</xdr:colOff>
      <xdr:row>22</xdr:row>
      <xdr:rowOff>171450</xdr:rowOff>
    </xdr:from>
    <xdr:to>
      <xdr:col>24</xdr:col>
      <xdr:colOff>285750</xdr:colOff>
      <xdr:row>36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_ori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17</xdr:col>
      <xdr:colOff>76200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_ori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18</xdr:col>
      <xdr:colOff>228600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18</xdr:col>
      <xdr:colOff>228600</xdr:colOff>
      <xdr:row>70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ZeichnungOrig" Type="http://schemas.openxmlformats.org/officeDocument/2006/relationships/drawing" Target="../drawings/drawing_orig1.xml"/></Relationships>
</file>

<file path=xl/worksheets/_rels/sheet2.xml.rels><Relationships xmlns="http://schemas.openxmlformats.org/package/2006/relationships"><Relationship Id="rIdZeichnungOrig" Type="http://schemas.openxmlformats.org/officeDocument/2006/relationships/drawing" Target="../drawings/drawing_orig2.xml"/></Relationships>
</file>

<file path=xl/worksheets/_rels/sheet3.xml.rels><Relationships xmlns="http://schemas.openxmlformats.org/package/2006/relationships"><Relationship Id="rIdZeichnungOrig" Type="http://schemas.openxmlformats.org/officeDocument/2006/relationships/drawing" Target="../drawings/drawing_orig3.xml"/></Relationships>
</file>

<file path=xl/worksheets/_rels/sheet5.xml.rels><Relationships xmlns="http://schemas.openxmlformats.org/package/2006/relationships"><Relationship Id="rIdZeichnungOrig" Type="http://schemas.openxmlformats.org/officeDocument/2006/relationships/drawing" Target="../drawings/drawing_orig4.x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Id="rIdZeichnungOrig" Type="http://schemas.openxmlformats.org/officeDocument/2006/relationships/drawing" Target="../drawings/drawing_orig5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304F"/>
    <outlinePr summaryBelow="1" summaryRight="1"/>
    <pageSetUpPr fitToPage="1"/>
  </sheetPr>
  <dimension ref="A1:Q90"/>
  <sheetViews>
    <sheetView showGridLines="0" tabSelected="1" workbookViewId="0">
      <selection activeCell="A1" sqref="A1"/>
    </sheetView>
  </sheetViews>
  <sheetFormatPr baseColWidth="10" defaultColWidth="9.140625" defaultRowHeight="15"/>
  <cols>
    <col width="2.7109375" customWidth="1" min="1" max="1"/>
    <col width="11.7109375" customWidth="1" min="2" max="19"/>
  </cols>
  <sheetData>
    <row r="1" ht="30" customHeight="1">
      <c r="B1" s="1" t="inlineStr">
        <is>
          <t>CO₂-Zwischenspeicherung in Salzkavernen – Obertageanlage</t>
        </is>
      </c>
    </row>
    <row r="2">
      <c r="B2" s="2" t="inlineStr">
        <is>
          <t>Rechenübersicht Einspeicherung · Masterarbeit Sarah Maxara · TH Köln / Uniper Energy Storage</t>
        </is>
      </c>
    </row>
    <row r="3">
      <c r="B3" s="2" t="inlineStr">
        <is>
          <t>Stand: 15.10.2026 (nach der Besprechung mit K. Vosbeck) · Stoffdaten: CoolProp 8.0.0, Referenz-Zustandsgleichung Span &amp; Wagner (1996), reines CO₂ · Gemisch: eigene Mappe</t>
        </is>
      </c>
    </row>
    <row r="4"/>
    <row r="5">
      <c r="B5" s="39" t="inlineStr">
        <is>
          <t>Worum geht es?</t>
        </is>
      </c>
      <c r="C5" s="41" t="n"/>
      <c r="D5" s="41" t="n"/>
      <c r="E5" s="41" t="n"/>
      <c r="F5" s="41" t="n"/>
      <c r="G5" s="41" t="n"/>
      <c r="H5" s="41" t="n"/>
      <c r="J5" s="39" t="inlineStr">
        <is>
          <t>Farblegende der Zellen</t>
        </is>
      </c>
      <c r="K5" s="41" t="n"/>
      <c r="L5" s="41" t="n"/>
      <c r="M5" s="41" t="n"/>
      <c r="N5" s="41" t="n"/>
      <c r="O5" s="41" t="n"/>
    </row>
    <row r="6">
      <c r="B6" s="35" t="inlineStr">
        <is>
          <t>Diese Mappe zeigt Schritt für Schritt, wie die Obertageanlage für die Einspeicherung berechnet wird:
1. Welcher Druck muss am Bohrlochkopf anliegen? → das gibt die Kaverne über die Gassäule vor.
2. Wie bringt die Anlage das CO₂ auf diesen Druck? → Pumpe (dichte Anlieferung, S1) bzw. zwei Verdichterstufen, Kühler und Pumpe (gasförmige Anlieferung, S2).
3. Wo liegen alle Zustände im Phasendiagramm – und wo liegt das Betriebsfenster von Bohrloch und Kaverne?
Basisfall ist reines CO₂. Begleitstoffe folgen als eigener Schritt.</t>
        </is>
      </c>
      <c r="J6" s="4" t="n">
        <v>91</v>
      </c>
      <c r="K6" s="35" t="inlineStr">
        <is>
          <t>Annahme – darf geändert werden</t>
        </is>
      </c>
    </row>
    <row r="7">
      <c r="J7" s="5" t="n">
        <v>231.2</v>
      </c>
      <c r="K7" s="35" t="inlineStr">
        <is>
          <t>Stoffwert aus CoolProp – fest</t>
        </is>
      </c>
    </row>
    <row r="8">
      <c r="J8" s="6" t="n">
        <v>64.40000000000001</v>
      </c>
      <c r="K8" s="35" t="inlineStr">
        <is>
          <t>Excel-Formel – rechnet sofort mit</t>
        </is>
      </c>
    </row>
    <row r="9">
      <c r="J9" s="7" t="n">
        <v>107.6</v>
      </c>
      <c r="K9" s="35" t="inlineStr">
        <is>
          <t>wichtiges Ergebnis</t>
        </is>
      </c>
    </row>
    <row r="10">
      <c r="J10" s="8" t="inlineStr">
        <is>
          <t>rot</t>
        </is>
      </c>
      <c r="K10" s="35" t="inlineStr">
        <is>
          <t>Stoffwert passt nicht mehr zu den Annahmen</t>
        </is>
      </c>
    </row>
    <row r="11"/>
    <row r="12">
      <c r="B12" s="39" t="inlineStr">
        <is>
          <t>Inhalt</t>
        </is>
      </c>
      <c r="C12" s="41" t="n"/>
      <c r="D12" s="41" t="n"/>
      <c r="E12" s="41" t="n"/>
      <c r="F12" s="41" t="n"/>
      <c r="G12" s="41" t="n"/>
      <c r="H12" s="41" t="n"/>
    </row>
    <row r="13">
      <c r="B13" s="34" t="inlineStr">
        <is>
          <t>→ Kaverne &amp; Gassäule</t>
        </is>
      </c>
      <c r="E13" s="35" t="inlineStr">
        <is>
          <t>Welchen Kopfdruck gibt die Kaverne vor? Stillstand für drei Füllstände (wie Q-028, Fig. 3) und – neu – im Betrieb: strömende Säule beim Einspeisen (Zieldruck der Pumpe).</t>
        </is>
      </c>
    </row>
    <row r="14">
      <c r="B14" s="34" t="inlineStr">
        <is>
          <t>→ Medienvergleich</t>
        </is>
      </c>
      <c r="E14" s="35" t="inlineStr">
        <is>
          <t>Warum braucht CO₂ oben weniger Druck als Erdgas oder Wasserstoff?</t>
        </is>
      </c>
    </row>
    <row r="15">
      <c r="B15" s="34" t="inlineStr">
        <is>
          <t>→ Einspeicherung S1</t>
        </is>
      </c>
      <c r="E15" s="35" t="inlineStr">
        <is>
          <t>Anlieferung dicht: Pumpe – jeder Rechenschritt einzeln.</t>
        </is>
      </c>
    </row>
    <row r="16">
      <c r="B16" s="34" t="inlineStr">
        <is>
          <t>→ Einspeicherung S2</t>
        </is>
      </c>
      <c r="E16" s="35" t="inlineStr">
        <is>
          <t>Anlieferung gasförmig: 2 Verdichterstufen (Zwischenkühler 40 °C), Kühler bei 91 bar auf 26 °C, Pumpe – mit Begründung des Wegs.</t>
        </is>
      </c>
    </row>
    <row r="17">
      <c r="B17" s="34" t="inlineStr">
        <is>
          <t>→ Phasendiagramm</t>
        </is>
      </c>
      <c r="E17" s="35" t="inlineStr">
        <is>
          <t>Diagramm 1: Prozesspfade bis zum Bohrlochkopf. Diagramm 2: Betriebsfenster von Bohrloch und Kaverne (nur Stillstand).</t>
        </is>
      </c>
    </row>
    <row r="18">
      <c r="B18" s="34" t="inlineStr">
        <is>
          <t>→ Quellen</t>
        </is>
      </c>
      <c r="E18" s="35" t="inlineStr">
        <is>
          <t>Herkunft aller Annahmen und Stoffdaten.</t>
        </is>
      </c>
    </row>
    <row r="19">
      <c r="B19" s="34" t="inlineStr">
        <is>
          <t>→ Diagrammdaten</t>
        </is>
      </c>
      <c r="E19" s="35" t="inlineStr">
        <is>
          <t>Hilfstabellen für die Diagramme (nicht ändern).</t>
        </is>
      </c>
    </row>
    <row r="20"/>
    <row r="21" ht="15.75" customHeight="1">
      <c r="B21" s="31" t="inlineStr">
        <is>
          <t>Prozesskette Einspeicherung – Szenarien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>
      <c r="B35" s="39" t="inlineStr">
        <is>
          <t>Neu (15.10.2026):</t>
        </is>
      </c>
      <c r="D35" s="34" t="inlineStr">
        <is>
          <t>→ Annahmen &amp; Begründung</t>
        </is>
      </c>
      <c r="G35" s="34" t="inlineStr">
        <is>
          <t>→ Kühlung</t>
        </is>
      </c>
      <c r="I35" s="34" t="inlineStr">
        <is>
          <t>→ Massenströme</t>
        </is>
      </c>
    </row>
    <row r="36">
      <c r="B36" s="25" t="inlineStr">
        <is>
          <t>Annahmen mit Quelle und Fundstelle (Seite, Folie, Tabelle) · warum Zwischenkühler 40 °C und Kühler vor der Pumpe 26 °C · ein Massenstrom, viele Volumenströme</t>
        </is>
      </c>
    </row>
    <row r="37" ht="15.75" customHeight="1">
      <c r="B37" s="31" t="inlineStr">
        <is>
          <t>Szenarien &amp; Annahmen</t>
        </is>
      </c>
    </row>
    <row r="38" ht="27.95" customHeight="1">
      <c r="B38" s="36" t="inlineStr">
        <is>
          <t>Blaue Werte dürfen geändert werden. Weiße Formelwerte rechnen sofort mit. Graue Stoffwerte (CoolProp) kann Excel nicht selbst berechnen – ändert sich eine Annahme, zeigt der Status, welche Werte neu berechnet werden müssen.</t>
        </is>
      </c>
    </row>
    <row r="39" ht="21.95" customHeight="1">
      <c r="B39" s="38" t="inlineStr">
        <is>
          <t>Status</t>
        </is>
      </c>
      <c r="C39" s="42" t="n"/>
      <c r="D39" s="43" t="n"/>
      <c r="E39" s="38">
        <f>IF(Stand_ok,"✔ Alle grauen Stoffwerte passen zu den Annahmen.","⚠ Mindestens eine Annahme wurde geändert – rot markierte Stoffwerte sind veraltet und müssen neu berechnet werden.")</f>
        <v/>
      </c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3" t="n"/>
      <c r="Q39" s="11">
        <f>COUNTIF($N$42:$N$69,"⚠*")=0</f>
        <v/>
      </c>
    </row>
    <row r="40"/>
    <row r="41" ht="20.1" customHeight="1">
      <c r="B41" s="37" t="inlineStr">
        <is>
          <t>Größe</t>
        </is>
      </c>
      <c r="C41" s="42" t="n"/>
      <c r="D41" s="43" t="n"/>
      <c r="E41" s="37" t="inlineStr">
        <is>
          <t>Symbol</t>
        </is>
      </c>
      <c r="F41" s="37" t="inlineStr">
        <is>
          <t>Wert</t>
        </is>
      </c>
      <c r="G41" s="37" t="inlineStr">
        <is>
          <t>Einheit</t>
        </is>
      </c>
      <c r="H41" s="37" t="inlineStr">
        <is>
          <t>Quelle / Begründung</t>
        </is>
      </c>
      <c r="I41" s="42" t="n"/>
      <c r="J41" s="42" t="n"/>
      <c r="K41" s="42" t="n"/>
      <c r="L41" s="43" t="n"/>
      <c r="M41" s="37" t="inlineStr">
        <is>
          <t>gerechnet mit</t>
        </is>
      </c>
      <c r="N41" s="37" t="inlineStr">
        <is>
          <t>Status</t>
        </is>
      </c>
      <c r="O41" s="43" t="n"/>
    </row>
    <row r="42">
      <c r="B42" s="30" t="inlineStr">
        <is>
          <t>Anlieferszenario S1 – dichte Phase (Pipeline OGE)</t>
        </is>
      </c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3" t="n"/>
    </row>
    <row r="43" ht="26.1" customHeight="1">
      <c r="B43" s="33" t="inlineStr">
        <is>
          <t>Übergabedruck</t>
        </is>
      </c>
      <c r="C43" s="42" t="n"/>
      <c r="D43" s="43" t="n"/>
      <c r="E43" s="33" t="inlineStr">
        <is>
          <t>p_S1</t>
        </is>
      </c>
      <c r="F43" s="4" t="n">
        <v>91</v>
      </c>
      <c r="G43" s="33" t="inlineStr">
        <is>
          <t>bar</t>
        </is>
      </c>
      <c r="H43" s="33" t="inlineStr">
        <is>
          <t>OGE-Notizen 16.09.2026, Pkt. 6: mind. 91 bar (vorher 85 bar), Worst Case mit Begleitstoffen</t>
        </is>
      </c>
      <c r="I43" s="42" t="n"/>
      <c r="J43" s="42" t="n"/>
      <c r="K43" s="42" t="n"/>
      <c r="L43" s="43" t="n"/>
      <c r="M43" s="5" t="n">
        <v>91</v>
      </c>
      <c r="N43" s="33">
        <f>IF(ABS(F43-M43)&lt;0.000000001,"✔ passt","⚠ geändert – neu rechnen")</f>
        <v/>
      </c>
      <c r="O43" s="43" t="n"/>
    </row>
    <row r="44">
      <c r="B44" s="33" t="inlineStr">
        <is>
          <t>Übergabetemperatur</t>
        </is>
      </c>
      <c r="C44" s="42" t="n"/>
      <c r="D44" s="43" t="n"/>
      <c r="E44" s="33" t="inlineStr">
        <is>
          <t>T_S1</t>
        </is>
      </c>
      <c r="F44" s="4" t="n">
        <v>15</v>
      </c>
      <c r="G44" s="33" t="inlineStr">
        <is>
          <t>°C</t>
        </is>
      </c>
      <c r="H44" s="33" t="inlineStr">
        <is>
          <t>Annahme: Medientemperatur der Fernleitung (nicht Gebirgstemperatur)</t>
        </is>
      </c>
      <c r="I44" s="42" t="n"/>
      <c r="J44" s="42" t="n"/>
      <c r="K44" s="42" t="n"/>
      <c r="L44" s="43" t="n"/>
      <c r="M44" s="5" t="n">
        <v>15</v>
      </c>
      <c r="N44" s="33">
        <f>IF(ABS(F44-M44)&lt;0.000000001,"✔ passt","⚠ geändert – neu rechnen")</f>
        <v/>
      </c>
      <c r="O44" s="43" t="n"/>
    </row>
    <row r="45">
      <c r="B45" s="30" t="inlineStr">
        <is>
          <t>Anlieferszenario S2 – gasförmig</t>
        </is>
      </c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3" t="n"/>
    </row>
    <row r="46" ht="26.1" customHeight="1">
      <c r="B46" s="33" t="inlineStr">
        <is>
          <t>Übergabedruck</t>
        </is>
      </c>
      <c r="C46" s="42" t="n"/>
      <c r="D46" s="43" t="n"/>
      <c r="E46" s="33" t="inlineStr">
        <is>
          <t>p_S2</t>
        </is>
      </c>
      <c r="F46" s="4" t="n">
        <v>30</v>
      </c>
      <c r="G46" s="33" t="inlineStr">
        <is>
          <t>bar</t>
        </is>
      </c>
      <c r="H46" s="33" t="inlineStr">
        <is>
          <t>Annahme aus Vorarbeit; alte Tabelle nennt Q-040 (ISO 27913) – dort noch nicht ausgewertet, zu prüfen</t>
        </is>
      </c>
      <c r="I46" s="42" t="n"/>
      <c r="J46" s="42" t="n"/>
      <c r="K46" s="42" t="n"/>
      <c r="L46" s="43" t="n"/>
      <c r="M46" s="5" t="n">
        <v>30</v>
      </c>
      <c r="N46" s="33">
        <f>IF(ABS(F46-M46)&lt;0.000000001,"✔ passt","⚠ geändert – neu rechnen")</f>
        <v/>
      </c>
      <c r="O46" s="43" t="n"/>
    </row>
    <row r="47">
      <c r="B47" s="33" t="inlineStr">
        <is>
          <t>Übergabetemperatur</t>
        </is>
      </c>
      <c r="C47" s="42" t="n"/>
      <c r="D47" s="43" t="n"/>
      <c r="E47" s="33" t="inlineStr">
        <is>
          <t>T_S2</t>
        </is>
      </c>
      <c r="F47" s="4" t="n">
        <v>15</v>
      </c>
      <c r="G47" s="33" t="inlineStr">
        <is>
          <t>°C</t>
        </is>
      </c>
      <c r="H47" s="33" t="inlineStr">
        <is>
          <t>Annahme: Medientemperatur</t>
        </is>
      </c>
      <c r="I47" s="42" t="n"/>
      <c r="J47" s="42" t="n"/>
      <c r="K47" s="42" t="n"/>
      <c r="L47" s="43" t="n"/>
      <c r="M47" s="5" t="n">
        <v>15</v>
      </c>
      <c r="N47" s="33">
        <f>IF(ABS(F47-M47)&lt;0.000000001,"✔ passt","⚠ geändert – neu rechnen")</f>
        <v/>
      </c>
      <c r="O47" s="43" t="n"/>
    </row>
    <row r="48" ht="39" customHeight="1">
      <c r="B48" s="33" t="inlineStr">
        <is>
          <t>CO₂-Temperatur nach dem Zwischenkühler (S2)</t>
        </is>
      </c>
      <c r="C48" s="42" t="n"/>
      <c r="D48" s="43" t="n"/>
      <c r="E48" s="33" t="inlineStr">
        <is>
          <t>T_ZK</t>
        </is>
      </c>
      <c r="F48" s="4" t="n">
        <v>40</v>
      </c>
      <c r="G48" s="33" t="inlineStr">
        <is>
          <t>°C</t>
        </is>
      </c>
      <c r="H48" s="33" t="inlineStr">
        <is>
          <t>Q-017 S. 37 (Tab. 3): Soll-Kühltemperatur CO₂ 40 °C; Q-063 Kap. 5.1: CO₂ „no more than about 40 °C“, Kühlung zwischen den Stufen – Begründung: Blatt „Kühlung“</t>
        </is>
      </c>
      <c r="I48" s="42" t="n"/>
      <c r="J48" s="42" t="n"/>
      <c r="K48" s="42" t="n"/>
      <c r="L48" s="43" t="n"/>
      <c r="M48" s="5" t="n">
        <v>40</v>
      </c>
      <c r="N48" s="33">
        <f>IF(ABS(F48-M48)&lt;0.000000001,"✔ passt","⚠ geändert – neu rechnen")</f>
        <v/>
      </c>
      <c r="O48" s="43" t="n"/>
    </row>
    <row r="49" ht="26.1" customHeight="1">
      <c r="B49" s="33" t="inlineStr">
        <is>
          <t>Max. Austrittstemperatur je Verdichterstufe</t>
        </is>
      </c>
      <c r="C49" s="42" t="n"/>
      <c r="D49" s="43" t="n"/>
      <c r="E49" s="33" t="inlineStr">
        <is>
          <t>T_max</t>
        </is>
      </c>
      <c r="F49" s="4" t="n">
        <v>95</v>
      </c>
      <c r="G49" s="33" t="inlineStr">
        <is>
          <t>°C</t>
        </is>
      </c>
      <c r="H49" s="33" t="inlineStr">
        <is>
          <t>Q-016 S. 4 (Kap. 2.3, dort Lit. [24]): höchstens 95 °C nach jeder Stufe → legt die Zahl der Stufen fest</t>
        </is>
      </c>
      <c r="I49" s="42" t="n"/>
      <c r="J49" s="42" t="n"/>
      <c r="K49" s="42" t="n"/>
      <c r="L49" s="43" t="n"/>
      <c r="M49" s="5" t="n">
        <v>95</v>
      </c>
      <c r="N49" s="33">
        <f>IF(ABS(F49-M49)&lt;0.000000001,"✔ passt","⚠ geändert – neu rechnen")</f>
        <v/>
      </c>
      <c r="O49" s="43" t="n"/>
    </row>
    <row r="50" ht="26.1" customHeight="1">
      <c r="B50" s="33" t="inlineStr">
        <is>
          <t>Druck nach Verdichtung = Kühldruck (S2)</t>
        </is>
      </c>
      <c r="C50" s="42" t="n"/>
      <c r="D50" s="43" t="n"/>
      <c r="E50" s="33" t="inlineStr">
        <is>
          <t>p_ük</t>
        </is>
      </c>
      <c r="F50" s="4" t="n">
        <v>91</v>
      </c>
      <c r="G50" s="33" t="inlineStr">
        <is>
          <t>bar</t>
        </is>
      </c>
      <c r="H50" s="33" t="inlineStr">
        <is>
          <t>über p_krit (73,8 bar) → Kühler ohne Phasenwechsel (überkritisch kühlen, Pfad B wie beim Gemisch); = Übergabedruck S1 (gleicher Pumpeneintritt)</t>
        </is>
      </c>
      <c r="I50" s="42" t="n"/>
      <c r="J50" s="42" t="n"/>
      <c r="K50" s="42" t="n"/>
      <c r="L50" s="43" t="n"/>
      <c r="M50" s="5" t="n">
        <v>91</v>
      </c>
      <c r="N50" s="33">
        <f>IF(ABS(F50-M50)&lt;0.000000001,"✔ passt","⚠ geändert – neu rechnen")</f>
        <v/>
      </c>
      <c r="O50" s="43" t="n"/>
    </row>
    <row r="51" ht="39" customHeight="1">
      <c r="B51" s="33" t="inlineStr">
        <is>
          <t>Zwischendruck (S2)</t>
        </is>
      </c>
      <c r="C51" s="42" t="n"/>
      <c r="D51" s="43" t="n"/>
      <c r="E51" s="33" t="inlineStr">
        <is>
          <t>p_zw</t>
        </is>
      </c>
      <c r="F51" s="4" t="n">
        <v>55</v>
      </c>
      <c r="G51" s="33" t="inlineStr">
        <is>
          <t>bar</t>
        </is>
      </c>
      <c r="H51" s="33" t="inlineStr">
        <is>
          <t>eigene Herleitung (Blatt „Kühlung“): höchster runder Druck mit Z ≥ 0,7 (Q-017 S. 44) am Eintritt Stufe 2 bei 40 °C für rein und Gemisch; beide Stufen &lt; 95 °C</t>
        </is>
      </c>
      <c r="I51" s="42" t="n"/>
      <c r="J51" s="42" t="n"/>
      <c r="K51" s="42" t="n"/>
      <c r="L51" s="43" t="n"/>
      <c r="M51" s="5" t="n">
        <v>55</v>
      </c>
      <c r="N51" s="33">
        <f>IF(ABS(F51-M51)&lt;0.000000001,"✔ passt","⚠ geändert – neu rechnen")</f>
        <v/>
      </c>
      <c r="O51" s="43" t="n"/>
    </row>
    <row r="52">
      <c r="B52" s="30" t="inlineStr">
        <is>
          <t>Kaverne V1 – tief (Referenzkaverne; flache Kaverne entfällt)</t>
        </is>
      </c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3" t="n"/>
    </row>
    <row r="53" ht="39" customHeight="1">
      <c r="B53" s="33" t="inlineStr">
        <is>
          <t>Teufe (LCCS)</t>
        </is>
      </c>
      <c r="C53" s="42" t="n"/>
      <c r="D53" s="43" t="n"/>
      <c r="E53" s="33" t="inlineStr">
        <is>
          <t>z</t>
        </is>
      </c>
      <c r="F53" s="14" t="n">
        <v>1200</v>
      </c>
      <c r="G53" s="33" t="inlineStr">
        <is>
          <t>m</t>
        </is>
      </c>
      <c r="H53" s="33" t="inlineStr">
        <is>
          <t>Q-030 Tab. 1, Option 2; abgestimmt mit M. Wall (Uniper). Flache Kaverne entfällt: Q-030 S. 17 (DBI: fast sofort Flüssigphase in Kaverne bzw. am Kopf), Besprechung K. Vosbeck 15.10.2026</t>
        </is>
      </c>
      <c r="I53" s="42" t="n"/>
      <c r="J53" s="42" t="n"/>
      <c r="K53" s="42" t="n"/>
      <c r="L53" s="43" t="n"/>
      <c r="M53" s="15" t="n">
        <v>1200</v>
      </c>
      <c r="N53" s="33">
        <f>IF(ABS(F53-M53)&lt;0.000000001,"✔ passt","⚠ geändert – neu rechnen")</f>
        <v/>
      </c>
      <c r="O53" s="43" t="n"/>
    </row>
    <row r="54">
      <c r="B54" s="33" t="inlineStr">
        <is>
          <t>Gebirgstemperatur an der Oberfläche</t>
        </is>
      </c>
      <c r="C54" s="42" t="n"/>
      <c r="D54" s="43" t="n"/>
      <c r="E54" s="33" t="inlineStr">
        <is>
          <t>T₀</t>
        </is>
      </c>
      <c r="F54" s="4" t="n">
        <v>10</v>
      </c>
      <c r="G54" s="33" t="inlineStr">
        <is>
          <t>°C</t>
        </is>
      </c>
      <c r="H54" s="33" t="inlineStr">
        <is>
          <t>Q-028 Kap. 3 (S. 5), Fig. 3: 10 °C an der Oberfläche</t>
        </is>
      </c>
      <c r="I54" s="42" t="n"/>
      <c r="J54" s="42" t="n"/>
      <c r="K54" s="42" t="n"/>
      <c r="L54" s="43" t="n"/>
      <c r="M54" s="5" t="n">
        <v>10</v>
      </c>
      <c r="N54" s="33">
        <f>IF(ABS(F54-M54)&lt;0.000000001,"✔ passt","⚠ geändert – neu rechnen")</f>
        <v/>
      </c>
      <c r="O54" s="43" t="n"/>
    </row>
    <row r="55">
      <c r="B55" s="33" t="inlineStr">
        <is>
          <t>Geothermischer Gradient</t>
        </is>
      </c>
      <c r="C55" s="42" t="n"/>
      <c r="D55" s="43" t="n"/>
      <c r="E55" s="33" t="inlineStr">
        <is>
          <t>grad T</t>
        </is>
      </c>
      <c r="F55" s="16" t="n">
        <v>0.03</v>
      </c>
      <c r="G55" s="33" t="inlineStr">
        <is>
          <t>K/m</t>
        </is>
      </c>
      <c r="H55" s="33" t="inlineStr">
        <is>
          <t>Q-028 Kap. 3 (S. 5), Fig. 3: 0,03 K/m</t>
        </is>
      </c>
      <c r="I55" s="42" t="n"/>
      <c r="J55" s="42" t="n"/>
      <c r="K55" s="42" t="n"/>
      <c r="L55" s="43" t="n"/>
      <c r="M55" s="17" t="n">
        <v>0.03</v>
      </c>
      <c r="N55" s="33">
        <f>IF(ABS(F55-M55)&lt;0.000000001,"✔ passt","⚠ geändert – neu rechnen")</f>
        <v/>
      </c>
      <c r="O55" s="43" t="n"/>
    </row>
    <row r="56">
      <c r="B56" s="33" t="inlineStr">
        <is>
          <t>Maximaldruck an der LCCS</t>
        </is>
      </c>
      <c r="C56" s="42" t="n"/>
      <c r="D56" s="43" t="n"/>
      <c r="E56" s="33" t="inlineStr">
        <is>
          <t>p_max</t>
        </is>
      </c>
      <c r="F56" s="4" t="n">
        <v>210</v>
      </c>
      <c r="G56" s="33" t="inlineStr">
        <is>
          <t>bar</t>
        </is>
      </c>
      <c r="H56" s="33" t="inlineStr">
        <is>
          <t>Zwischenwert aus Q-028 Tab. 1 (200 bar) und Q-030 Tab. 1, Opt. 2 (240 bar); Vorgabe M. Wall</t>
        </is>
      </c>
      <c r="I56" s="42" t="n"/>
      <c r="J56" s="42" t="n"/>
      <c r="K56" s="42" t="n"/>
      <c r="L56" s="43" t="n"/>
      <c r="M56" s="5" t="n">
        <v>210</v>
      </c>
      <c r="N56" s="33">
        <f>IF(ABS(F56-M56)&lt;0.000000001,"✔ passt","⚠ geändert – neu rechnen")</f>
        <v/>
      </c>
      <c r="O56" s="43" t="n"/>
    </row>
    <row r="57">
      <c r="B57" s="33" t="inlineStr">
        <is>
          <t>Minimaldruck an der LCCS</t>
        </is>
      </c>
      <c r="C57" s="42" t="n"/>
      <c r="D57" s="43" t="n"/>
      <c r="E57" s="33" t="inlineStr">
        <is>
          <t>p_min</t>
        </is>
      </c>
      <c r="F57" s="4" t="n">
        <v>70</v>
      </c>
      <c r="G57" s="33" t="inlineStr">
        <is>
          <t>bar</t>
        </is>
      </c>
      <c r="H57" s="33" t="inlineStr">
        <is>
          <t>Q-028 Tab. 1: geomechanisches Minimum</t>
        </is>
      </c>
      <c r="I57" s="42" t="n"/>
      <c r="J57" s="42" t="n"/>
      <c r="K57" s="42" t="n"/>
      <c r="L57" s="43" t="n"/>
      <c r="M57" s="5" t="n">
        <v>70</v>
      </c>
      <c r="N57" s="33">
        <f>IF(ABS(F57-M57)&lt;0.000000001,"✔ passt","⚠ geändert – neu rechnen")</f>
        <v/>
      </c>
      <c r="O57" s="43" t="n"/>
    </row>
    <row r="58">
      <c r="B58" s="33" t="inlineStr">
        <is>
          <t>Dichte Salzgestein</t>
        </is>
      </c>
      <c r="C58" s="42" t="n"/>
      <c r="D58" s="43" t="n"/>
      <c r="E58" s="33" t="inlineStr">
        <is>
          <t>ρ_Salz</t>
        </is>
      </c>
      <c r="F58" s="14" t="n">
        <v>2200</v>
      </c>
      <c r="G58" s="33" t="inlineStr">
        <is>
          <t>kg/m³</t>
        </is>
      </c>
      <c r="H58" s="33" t="inlineStr">
        <is>
          <t>Q-028; nur für den lithostatischen Druck (Formel unten)</t>
        </is>
      </c>
      <c r="I58" s="42" t="n"/>
      <c r="J58" s="42" t="n"/>
      <c r="K58" s="42" t="n"/>
      <c r="L58" s="43" t="n"/>
      <c r="M58" s="15" t="n">
        <v>2200</v>
      </c>
      <c r="N58" s="33">
        <f>IF(ABS(F58-M58)&lt;0.000000001,"✔ passt","⚠ geändert – neu rechnen")</f>
        <v/>
      </c>
      <c r="O58" s="43" t="n"/>
    </row>
    <row r="59">
      <c r="B59" s="30" t="inlineStr">
        <is>
          <t>Kühler vor der Pumpe (S2, 91 bar)</t>
        </is>
      </c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3" t="n"/>
    </row>
    <row r="60" ht="26.1" customHeight="1">
      <c r="B60" s="33" t="inlineStr">
        <is>
          <t>Kühlwassertemperatur (Auslegung)</t>
        </is>
      </c>
      <c r="C60" s="42" t="n"/>
      <c r="D60" s="43" t="n"/>
      <c r="E60" s="33" t="inlineStr">
        <is>
          <t>T_KW</t>
        </is>
      </c>
      <c r="F60" s="4" t="n">
        <v>20</v>
      </c>
      <c r="G60" s="33" t="inlineStr">
        <is>
          <t>°C</t>
        </is>
      </c>
      <c r="H60" s="33" t="inlineStr">
        <is>
          <t>eigene Annahme – Standortwert, mit Hersteller/Standort zu bestätigen; 15 / 25 °C: Blatt „Kühlung“</t>
        </is>
      </c>
      <c r="I60" s="42" t="n"/>
      <c r="J60" s="42" t="n"/>
      <c r="K60" s="42" t="n"/>
      <c r="L60" s="43" t="n"/>
      <c r="M60" s="5" t="n">
        <v>20</v>
      </c>
      <c r="N60" s="33">
        <f>IF(ABS(F60-M60)&lt;0.000000001,"✔ passt","⚠ geändert – neu rechnen")</f>
        <v/>
      </c>
      <c r="O60" s="43" t="n"/>
    </row>
    <row r="61" ht="39" customHeight="1">
      <c r="B61" s="33" t="inlineStr">
        <is>
          <t>CO₂-Temperatur nach dem Kühler vor der Pumpe (S2)</t>
        </is>
      </c>
      <c r="C61" s="42" t="n"/>
      <c r="D61" s="43" t="n"/>
      <c r="E61" s="33" t="inlineStr">
        <is>
          <t>T_K</t>
        </is>
      </c>
      <c r="F61" s="6">
        <f>T_KW+6</f>
        <v/>
      </c>
      <c r="G61" s="33" t="inlineStr">
        <is>
          <t>°C</t>
        </is>
      </c>
      <c r="H61" s="33" t="inlineStr">
        <is>
          <t>T_K = T_KW + 6 K: CO₂ selten kälter als Kühlmittel + 6 K (Q-120 Folie 24); für Pumpen 27–32 °C oder kälter (Q-120 Folie 32) → Pumpeneintritt 792 kg/m³ – Blatt „Kühlung“</t>
        </is>
      </c>
      <c r="I61" s="42" t="n"/>
      <c r="J61" s="42" t="n"/>
      <c r="K61" s="42" t="n"/>
      <c r="L61" s="43" t="n"/>
      <c r="M61" s="5" t="n">
        <v>26</v>
      </c>
      <c r="N61" s="33">
        <f>IF(ABS(F61-M61)&lt;0.000000001,"✔ passt","⚠ geändert – neu rechnen")</f>
        <v/>
      </c>
      <c r="O61" s="43" t="n"/>
    </row>
    <row r="62">
      <c r="B62" s="30" t="inlineStr">
        <is>
          <t>Betrieb &amp; Maschinen</t>
        </is>
      </c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3" t="n"/>
    </row>
    <row r="63">
      <c r="B63" s="33" t="inlineStr">
        <is>
          <t>Normvolumenstrom, unterer Fall</t>
        </is>
      </c>
      <c r="C63" s="42" t="n"/>
      <c r="D63" s="43" t="n"/>
      <c r="E63" s="33" t="inlineStr">
        <is>
          <t>V_n,min</t>
        </is>
      </c>
      <c r="F63" s="14" t="n">
        <v>50000</v>
      </c>
      <c r="G63" s="33" t="inlineStr">
        <is>
          <t>Nm³/h</t>
        </is>
      </c>
      <c r="H63" s="33" t="inlineStr">
        <is>
          <t>abgestimmt mit Martina Wall (Uniper)</t>
        </is>
      </c>
      <c r="I63" s="42" t="n"/>
      <c r="J63" s="42" t="n"/>
      <c r="K63" s="42" t="n"/>
      <c r="L63" s="43" t="n"/>
      <c r="M63" s="19" t="inlineStr">
        <is>
          <t>–</t>
        </is>
      </c>
      <c r="N63" s="33" t="inlineStr">
        <is>
          <t>rechnet live mit</t>
        </is>
      </c>
      <c r="O63" s="43" t="n"/>
    </row>
    <row r="64">
      <c r="B64" s="33" t="inlineStr">
        <is>
          <t>Normvolumenstrom, oberer Fall</t>
        </is>
      </c>
      <c r="C64" s="42" t="n"/>
      <c r="D64" s="43" t="n"/>
      <c r="E64" s="33" t="inlineStr">
        <is>
          <t>V_n,max</t>
        </is>
      </c>
      <c r="F64" s="14" t="n">
        <v>100000</v>
      </c>
      <c r="G64" s="33" t="inlineStr">
        <is>
          <t>Nm³/h</t>
        </is>
      </c>
      <c r="H64" s="33" t="inlineStr">
        <is>
          <t>abgestimmt mit Martina Wall (Uniper)</t>
        </is>
      </c>
      <c r="I64" s="42" t="n"/>
      <c r="J64" s="42" t="n"/>
      <c r="K64" s="42" t="n"/>
      <c r="L64" s="43" t="n"/>
      <c r="M64" s="19" t="inlineStr">
        <is>
          <t>–</t>
        </is>
      </c>
      <c r="N64" s="33" t="inlineStr">
        <is>
          <t>rechnet live mit</t>
        </is>
      </c>
      <c r="O64" s="43" t="n"/>
    </row>
    <row r="65">
      <c r="B65" s="33" t="inlineStr">
        <is>
          <t>Isentroper Wirkungsgrad Verdichter 1. Stufe (S2)</t>
        </is>
      </c>
      <c r="C65" s="42" t="n"/>
      <c r="D65" s="43" t="n"/>
      <c r="E65" s="33" t="inlineStr">
        <is>
          <t>η_V1</t>
        </is>
      </c>
      <c r="F65" s="16" t="n">
        <v>0.84</v>
      </c>
      <c r="G65" s="33" t="inlineStr">
        <is>
          <t>–</t>
        </is>
      </c>
      <c r="H65" s="33" t="inlineStr">
        <is>
          <t>Q-016 S. 4 (Kap. 2.3): 84 % in der ersten Stufe</t>
        </is>
      </c>
      <c r="I65" s="42" t="n"/>
      <c r="J65" s="42" t="n"/>
      <c r="K65" s="42" t="n"/>
      <c r="L65" s="43" t="n"/>
      <c r="M65" s="17" t="n">
        <v>0.84</v>
      </c>
      <c r="N65" s="33">
        <f>IF(ABS(F65-M65)&lt;0.000000001,"✔ passt","⚠ geändert – neu rechnen")</f>
        <v/>
      </c>
      <c r="O65" s="43" t="n"/>
    </row>
    <row r="66">
      <c r="B66" s="33" t="inlineStr">
        <is>
          <t>Isentroper Wirkungsgrad Verdichter 2. Stufe (S2)</t>
        </is>
      </c>
      <c r="C66" s="42" t="n"/>
      <c r="D66" s="43" t="n"/>
      <c r="E66" s="33" t="inlineStr">
        <is>
          <t>η_V2</t>
        </is>
      </c>
      <c r="F66" s="16" t="n">
        <v>0.82</v>
      </c>
      <c r="G66" s="33" t="inlineStr">
        <is>
          <t>–</t>
        </is>
      </c>
      <c r="H66" s="33" t="inlineStr">
        <is>
          <t>Q-016 S. 4 (Kap. 2.3): je weitere Stufe 2 % weniger → 82 %</t>
        </is>
      </c>
      <c r="I66" s="42" t="n"/>
      <c r="J66" s="42" t="n"/>
      <c r="K66" s="42" t="n"/>
      <c r="L66" s="43" t="n"/>
      <c r="M66" s="17" t="n">
        <v>0.82</v>
      </c>
      <c r="N66" s="33">
        <f>IF(ABS(F66-M66)&lt;0.000000001,"✔ passt","⚠ geändert – neu rechnen")</f>
        <v/>
      </c>
      <c r="O66" s="43" t="n"/>
    </row>
    <row r="67" ht="26.1" customHeight="1">
      <c r="B67" s="33" t="inlineStr">
        <is>
          <t>Isentroper Wirkungsgrad Pumpe (S1 und S2)</t>
        </is>
      </c>
      <c r="C67" s="42" t="n"/>
      <c r="D67" s="43" t="n"/>
      <c r="E67" s="33" t="inlineStr">
        <is>
          <t>η_P</t>
        </is>
      </c>
      <c r="F67" s="16" t="n">
        <v>0.8</v>
      </c>
      <c r="G67" s="33" t="inlineStr">
        <is>
          <t>–</t>
        </is>
      </c>
      <c r="H67" s="33" t="inlineStr">
        <is>
          <t>eigene Annahme – Lücke: Q-016 S. 4 nennt nur eine Glykolpumpe (70 %); Herstellerwert einholen (Messe Hamburg 20.–22.10.2026)</t>
        </is>
      </c>
      <c r="I67" s="42" t="n"/>
      <c r="J67" s="42" t="n"/>
      <c r="K67" s="42" t="n"/>
      <c r="L67" s="43" t="n"/>
      <c r="M67" s="17" t="n">
        <v>0.8</v>
      </c>
      <c r="N67" s="33">
        <f>IF(ABS(F67-M67)&lt;0.000000001,"✔ passt","⚠ geändert – neu rechnen")</f>
        <v/>
      </c>
      <c r="O67" s="43" t="n"/>
    </row>
    <row r="68" ht="39" customHeight="1">
      <c r="B68" s="33" t="inlineStr">
        <is>
          <t>Realgasfaktor am Verdichtereintritt mindestens (nur Verdichter, nicht Pumpe)</t>
        </is>
      </c>
      <c r="C68" s="42" t="n"/>
      <c r="D68" s="43" t="n"/>
      <c r="E68" s="33" t="inlineStr">
        <is>
          <t>Z_min</t>
        </is>
      </c>
      <c r="F68" s="16" t="n">
        <v>0.65</v>
      </c>
      <c r="G68" s="33" t="inlineStr">
        <is>
          <t>–</t>
        </is>
      </c>
      <c r="H68" s="33" t="inlineStr">
        <is>
          <t>Siemens Energy (E-Mail 08/2026): Grenze der Laufradberechnung &gt; 0,65; strenger Q-017 S. 37 (Tab. 3) / S. 44: Hersteller nennen 0,7 – mit 55 bar / 40 °C eingehalten (Gemisch 0,741, rein 0,715)</t>
        </is>
      </c>
      <c r="I68" s="42" t="n"/>
      <c r="J68" s="42" t="n"/>
      <c r="K68" s="42" t="n"/>
      <c r="L68" s="43" t="n"/>
      <c r="M68" s="17" t="inlineStr">
        <is>
          <t>–</t>
        </is>
      </c>
      <c r="N68" s="33" t="inlineStr">
        <is>
          <t>rechnet live mit</t>
        </is>
      </c>
      <c r="O68" s="43" t="n"/>
    </row>
    <row r="69" ht="26.1" customHeight="1">
      <c r="B69" s="33" t="inlineStr">
        <is>
          <t>Dichte am Pumpeneintritt mindestens</t>
        </is>
      </c>
      <c r="C69" s="42" t="n"/>
      <c r="D69" s="43" t="n"/>
      <c r="E69" s="33" t="inlineStr">
        <is>
          <t>ρ_min</t>
        </is>
      </c>
      <c r="F69" s="44" t="n">
        <v>500</v>
      </c>
      <c r="G69" s="33" t="inlineStr">
        <is>
          <t>kg/m³</t>
        </is>
      </c>
      <c r="H69" s="33" t="inlineStr">
        <is>
          <t>Q-121 S. 2: Einsatzgrenze CO₂-Pumpen 400–500 kg/m³; Q-001 Kap. 5.2: Pumpen ab ca. 500 kg/m³</t>
        </is>
      </c>
      <c r="I69" s="42" t="n"/>
      <c r="J69" s="42" t="n"/>
      <c r="K69" s="42" t="n"/>
      <c r="L69" s="43" t="n"/>
      <c r="M69" s="15" t="inlineStr">
        <is>
          <t>–</t>
        </is>
      </c>
      <c r="N69" s="33" t="inlineStr">
        <is>
          <t>rechnet live mit</t>
        </is>
      </c>
      <c r="O69" s="43" t="n"/>
    </row>
    <row r="70"/>
    <row r="71">
      <c r="B71" s="30" t="inlineStr">
        <is>
          <t>Abgeleitete Größen Kaverne V1 (Excel-Formeln, rechnen mit)</t>
        </is>
      </c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3" t="n"/>
    </row>
    <row r="72">
      <c r="B72" s="33" t="inlineStr">
        <is>
          <t>Kavernentemperatur (Gebirge, Stillstand)</t>
        </is>
      </c>
      <c r="C72" s="42" t="n"/>
      <c r="D72" s="43" t="n"/>
      <c r="E72" s="33" t="inlineStr">
        <is>
          <t>T_Kav</t>
        </is>
      </c>
      <c r="F72" s="6">
        <f>Tober_V1+grad_V1*z_V1</f>
        <v/>
      </c>
      <c r="G72" s="33" t="inlineStr">
        <is>
          <t>°C</t>
        </is>
      </c>
      <c r="H72" s="33" t="inlineStr">
        <is>
          <t>T_Kav = T₀ + grad T · z</t>
        </is>
      </c>
      <c r="I72" s="42" t="n"/>
      <c r="J72" s="42" t="n"/>
      <c r="K72" s="42" t="n"/>
      <c r="L72" s="42" t="n"/>
      <c r="M72" s="42" t="n"/>
      <c r="N72" s="42" t="n"/>
      <c r="O72" s="43" t="n"/>
    </row>
    <row r="73">
      <c r="B73" s="33" t="inlineStr">
        <is>
          <t>Lithostatischer Gebirgsdruck</t>
        </is>
      </c>
      <c r="C73" s="42" t="n"/>
      <c r="D73" s="43" t="n"/>
      <c r="E73" s="33" t="inlineStr">
        <is>
          <t>p_lith</t>
        </is>
      </c>
      <c r="F73" s="6">
        <f>rhoSalz_V1*9.81*z_V1/100000</f>
        <v/>
      </c>
      <c r="G73" s="33" t="inlineStr">
        <is>
          <t>bar</t>
        </is>
      </c>
      <c r="H73" s="33" t="inlineStr">
        <is>
          <t>p_lith = ρ_Salz · g · z</t>
        </is>
      </c>
      <c r="I73" s="42" t="n"/>
      <c r="J73" s="42" t="n"/>
      <c r="K73" s="42" t="n"/>
      <c r="L73" s="42" t="n"/>
      <c r="M73" s="42" t="n"/>
      <c r="N73" s="42" t="n"/>
      <c r="O73" s="43" t="n"/>
    </row>
    <row r="74">
      <c r="B74" s="33" t="inlineStr">
        <is>
          <t>p_max im Verhältnis zu p_lith</t>
        </is>
      </c>
      <c r="C74" s="42" t="n"/>
      <c r="D74" s="43" t="n"/>
      <c r="E74" s="33" t="inlineStr">
        <is>
          <t>p_max/p_lith</t>
        </is>
      </c>
      <c r="F74" s="20">
        <f>pmax_V1/p_lith_V1</f>
        <v/>
      </c>
      <c r="G74" s="33" t="inlineStr">
        <is>
          <t>–</t>
        </is>
      </c>
      <c r="H74" s="33" t="inlineStr">
        <is>
          <t>eigene Auslegung ca. 80 % von p_lith (alte Annahmentabelle nennt Q-038 mit 85 % – dort nicht belegt, zu prüfen)</t>
        </is>
      </c>
      <c r="I74" s="42" t="n"/>
      <c r="J74" s="42" t="n"/>
      <c r="K74" s="42" t="n"/>
      <c r="L74" s="42" t="n"/>
      <c r="M74" s="42" t="n"/>
      <c r="N74" s="42" t="n"/>
      <c r="O74" s="43" t="n"/>
    </row>
    <row r="75"/>
    <row r="76" ht="15.75" customHeight="1">
      <c r="B76" s="31" t="inlineStr">
        <is>
          <t>Kernergebnisse auf einen Blick</t>
        </is>
      </c>
    </row>
    <row r="77">
      <c r="B77" s="33" t="inlineStr">
        <is>
          <t>Bohrlochkopfdruck im Stillstand (Kaverne voll, 210 bar unten)</t>
        </is>
      </c>
      <c r="C77" s="42" t="n"/>
      <c r="D77" s="43" t="n"/>
      <c r="E77" s="33" t="inlineStr"/>
      <c r="F77" s="7">
        <f>Kopf_voll</f>
        <v/>
      </c>
      <c r="G77" s="33" t="inlineStr">
        <is>
          <t>bar</t>
        </is>
      </c>
      <c r="H77" s="33" t="inlineStr">
        <is>
          <t>ruhende Säule mit Gebirgstemperatur – Blatt „Kaverne &amp; Gassäule“; die Pumpe wird auf den Betrieb ausgelegt (Zeilen 88–89)</t>
        </is>
      </c>
      <c r="I77" s="42" t="n"/>
      <c r="J77" s="42" t="n"/>
      <c r="K77" s="42" t="n"/>
      <c r="L77" s="42" t="n"/>
      <c r="M77" s="42" t="n"/>
      <c r="N77" s="42" t="n"/>
      <c r="O77" s="43" t="n"/>
    </row>
    <row r="78">
      <c r="B78" s="33" t="inlineStr">
        <is>
          <t>Bohrlochkopfdruck bei leerer Kaverne (70 bar unten)</t>
        </is>
      </c>
      <c r="C78" s="42" t="n"/>
      <c r="D78" s="43" t="n"/>
      <c r="E78" s="33" t="inlineStr"/>
      <c r="F78" s="7">
        <f>Kopf_leer</f>
        <v/>
      </c>
      <c r="G78" s="33" t="inlineStr">
        <is>
          <t>bar</t>
        </is>
      </c>
      <c r="H78" s="33" t="inlineStr">
        <is>
          <t>entspricht dem Dampfdruck bei 10 °C (45,0 bar) → oberes Bohrloch im Mehrphasengebiet</t>
        </is>
      </c>
      <c r="I78" s="42" t="n"/>
      <c r="J78" s="42" t="n"/>
      <c r="K78" s="42" t="n"/>
      <c r="L78" s="42" t="n"/>
      <c r="M78" s="42" t="n"/>
      <c r="N78" s="42" t="n"/>
      <c r="O78" s="43" t="n"/>
    </row>
    <row r="79">
      <c r="B79" s="33" t="inlineStr">
        <is>
          <t>Säulengewinn bei voller Kaverne</t>
        </is>
      </c>
      <c r="C79" s="42" t="n"/>
      <c r="D79" s="43" t="n"/>
      <c r="E79" s="33" t="inlineStr"/>
      <c r="F79" s="7">
        <f>pmax_V1-Kopf_voll</f>
        <v/>
      </c>
      <c r="G79" s="33" t="inlineStr">
        <is>
          <t>bar</t>
        </is>
      </c>
      <c r="H79" s="33" t="inlineStr">
        <is>
          <t>diesen Druck liefert das Gewicht der CO₂-Säule „gratis“</t>
        </is>
      </c>
      <c r="I79" s="42" t="n"/>
      <c r="J79" s="42" t="n"/>
      <c r="K79" s="42" t="n"/>
      <c r="L79" s="42" t="n"/>
      <c r="M79" s="42" t="n"/>
      <c r="N79" s="42" t="n"/>
      <c r="O79" s="43" t="n"/>
    </row>
    <row r="80">
      <c r="B80" s="33" t="inlineStr">
        <is>
          <t>S1: spezifische Pumpenarbeit (Betrieb)</t>
        </is>
      </c>
      <c r="C80" s="42" t="n"/>
      <c r="D80" s="43" t="n"/>
      <c r="E80" s="33" t="inlineStr"/>
      <c r="F80" s="7">
        <f>Szen1_w</f>
        <v/>
      </c>
      <c r="G80" s="33" t="inlineStr">
        <is>
          <t>kJ/kg</t>
        </is>
      </c>
      <c r="H80" s="33" t="inlineStr">
        <is>
          <t>Blatt „Einspeicherung S1“</t>
        </is>
      </c>
      <c r="I80" s="42" t="n"/>
      <c r="J80" s="42" t="n"/>
      <c r="K80" s="42" t="n"/>
      <c r="L80" s="42" t="n"/>
      <c r="M80" s="42" t="n"/>
      <c r="N80" s="42" t="n"/>
      <c r="O80" s="43" t="n"/>
    </row>
    <row r="81">
      <c r="B81" s="33" t="inlineStr">
        <is>
          <t>S1: Pumpenleistung bei V_n,max</t>
        </is>
      </c>
      <c r="C81" s="42" t="n"/>
      <c r="D81" s="43" t="n"/>
      <c r="E81" s="33" t="inlineStr"/>
      <c r="F81" s="7">
        <f>Szen1_Pmax</f>
        <v/>
      </c>
      <c r="G81" s="33" t="inlineStr">
        <is>
          <t>kW</t>
        </is>
      </c>
      <c r="H81" s="33" t="inlineStr">
        <is>
          <t>bei 100.000 Nm³/h</t>
        </is>
      </c>
      <c r="I81" s="42" t="n"/>
      <c r="J81" s="42" t="n"/>
      <c r="K81" s="42" t="n"/>
      <c r="L81" s="42" t="n"/>
      <c r="M81" s="42" t="n"/>
      <c r="N81" s="42" t="n"/>
      <c r="O81" s="43" t="n"/>
    </row>
    <row r="82">
      <c r="B82" s="33" t="inlineStr">
        <is>
          <t>S2: spezifische Arbeit (2 Stufen, Zwischenkühler 40 °C, Kühler 91 bar / 26 °C, Pumpe)</t>
        </is>
      </c>
      <c r="C82" s="42" t="n"/>
      <c r="D82" s="43" t="n"/>
      <c r="E82" s="33" t="inlineStr"/>
      <c r="F82" s="7">
        <f>Szen2_w_ges</f>
        <v/>
      </c>
      <c r="G82" s="33" t="inlineStr">
        <is>
          <t>kJ/kg</t>
        </is>
      </c>
      <c r="H82" s="33" t="inlineStr">
        <is>
          <t>Blatt „Einspeicherung S2“</t>
        </is>
      </c>
      <c r="I82" s="42" t="n"/>
      <c r="J82" s="42" t="n"/>
      <c r="K82" s="42" t="n"/>
      <c r="L82" s="42" t="n"/>
      <c r="M82" s="42" t="n"/>
      <c r="N82" s="42" t="n"/>
      <c r="O82" s="43" t="n"/>
    </row>
    <row r="83">
      <c r="B83" s="33" t="inlineStr">
        <is>
          <t>S2: Antriebsleistung bei V_n,max</t>
        </is>
      </c>
      <c r="C83" s="42" t="n"/>
      <c r="D83" s="43" t="n"/>
      <c r="E83" s="33" t="inlineStr"/>
      <c r="F83" s="7">
        <f>Szen2_Pmax</f>
        <v/>
      </c>
      <c r="G83" s="33" t="inlineStr">
        <is>
          <t>kW</t>
        </is>
      </c>
      <c r="H83" s="33" t="inlineStr">
        <is>
          <t>bei 100.000 Nm³/h</t>
        </is>
      </c>
      <c r="I83" s="42" t="n"/>
      <c r="J83" s="42" t="n"/>
      <c r="K83" s="42" t="n"/>
      <c r="L83" s="42" t="n"/>
      <c r="M83" s="42" t="n"/>
      <c r="N83" s="42" t="n"/>
      <c r="O83" s="43" t="n"/>
    </row>
    <row r="84">
      <c r="B84" s="33" t="inlineStr">
        <is>
          <t>S2: Dichte am Pumpeneintritt (91 bar / 26 °C)</t>
        </is>
      </c>
      <c r="C84" s="42" t="n"/>
      <c r="D84" s="43" t="n"/>
      <c r="E84" s="33" t="inlineStr"/>
      <c r="F84" s="7">
        <f>Szen2_rhoP</f>
        <v/>
      </c>
      <c r="G84" s="33" t="inlineStr">
        <is>
          <t>kg/m³</t>
        </is>
      </c>
      <c r="H84" s="33" t="inlineStr">
        <is>
          <t>über p_krit – einphasig dicht, keine Gasblasen an der Pumpe</t>
        </is>
      </c>
      <c r="I84" s="42" t="n"/>
      <c r="J84" s="42" t="n"/>
      <c r="K84" s="42" t="n"/>
      <c r="L84" s="42" t="n"/>
      <c r="M84" s="42" t="n"/>
      <c r="N84" s="42" t="n"/>
      <c r="O84" s="43" t="n"/>
    </row>
    <row r="85">
      <c r="B85" s="33" t="inlineStr">
        <is>
          <t>Vergleich: Durchverdichten (C), spezifische Arbeit</t>
        </is>
      </c>
      <c r="C85" s="42" t="n"/>
      <c r="D85" s="43" t="n"/>
      <c r="E85" s="33" t="inlineStr"/>
      <c r="F85" s="7">
        <f>Vgl_C_w</f>
        <v/>
      </c>
      <c r="G85" s="33" t="inlineStr">
        <is>
          <t>kJ/kg</t>
        </is>
      </c>
      <c r="H85" s="33">
        <f>"Durchverdichten bräuchte "&amp;TEXT(Vgl_C_w/Szen2_w_ges-1,"0%")&amp;" mehr Arbeit, Stufe 2 läge bei 93,2 °C – Blatt „Einspeicherung S2“"</f>
        <v/>
      </c>
      <c r="I85" s="42" t="n"/>
      <c r="J85" s="42" t="n"/>
      <c r="K85" s="42" t="n"/>
      <c r="L85" s="42" t="n"/>
      <c r="M85" s="42" t="n"/>
      <c r="N85" s="42" t="n"/>
      <c r="O85" s="43" t="n"/>
    </row>
    <row r="86">
      <c r="B86" s="33" t="inlineStr">
        <is>
          <t>Kopfdruck Erdgas (CH₄) bei gleicher Kaverne</t>
        </is>
      </c>
      <c r="C86" s="42" t="n"/>
      <c r="D86" s="43" t="n"/>
      <c r="E86" s="33" t="inlineStr"/>
      <c r="F86" s="7">
        <f>MV_Kopf_CH4</f>
        <v/>
      </c>
      <c r="G86" s="33" t="inlineStr">
        <is>
          <t>bar</t>
        </is>
      </c>
      <c r="H86" s="33" t="inlineStr">
        <is>
          <t>Blatt „Medienvergleich“</t>
        </is>
      </c>
      <c r="I86" s="42" t="n"/>
      <c r="J86" s="42" t="n"/>
      <c r="K86" s="42" t="n"/>
      <c r="L86" s="42" t="n"/>
      <c r="M86" s="42" t="n"/>
      <c r="N86" s="42" t="n"/>
      <c r="O86" s="43" t="n"/>
    </row>
    <row r="87">
      <c r="B87" s="33" t="inlineStr">
        <is>
          <t>Kopfdruck Wasserstoff (H₂) bei gleicher Kaverne</t>
        </is>
      </c>
      <c r="C87" s="42" t="n"/>
      <c r="D87" s="43" t="n"/>
      <c r="E87" s="33" t="inlineStr"/>
      <c r="F87" s="7">
        <f>MV_Kopf_H2</f>
        <v/>
      </c>
      <c r="G87" s="33" t="inlineStr">
        <is>
          <t>bar</t>
        </is>
      </c>
      <c r="H87" s="33" t="inlineStr">
        <is>
          <t>Blatt „Medienvergleich“</t>
        </is>
      </c>
      <c r="I87" s="42" t="n"/>
      <c r="J87" s="42" t="n"/>
      <c r="K87" s="42" t="n"/>
      <c r="L87" s="42" t="n"/>
      <c r="M87" s="42" t="n"/>
      <c r="N87" s="42" t="n"/>
      <c r="O87" s="43" t="n"/>
    </row>
    <row r="88">
      <c r="B88" s="33" t="inlineStr">
        <is>
          <t>Zieldruck der Pumpe im Betrieb S1 (100.000 Nm³/h)</t>
        </is>
      </c>
      <c r="C88" s="42" t="n"/>
      <c r="D88" s="43" t="n"/>
      <c r="E88" s="33" t="inlineStr"/>
      <c r="F88" s="7">
        <f>Kopf_betr_S1</f>
        <v/>
      </c>
      <c r="G88" s="33" t="inlineStr">
        <is>
          <t>bar</t>
        </is>
      </c>
      <c r="H88" s="33" t="inlineStr">
        <is>
          <t>strömende Säule, Kopf 16,6 °C, Reibung 1,6 bar – Blatt „Kaverne &amp; Gassäule“ (Betrieb)</t>
        </is>
      </c>
      <c r="I88" s="42" t="n"/>
      <c r="J88" s="42" t="n"/>
      <c r="K88" s="42" t="n"/>
      <c r="L88" s="42" t="n"/>
      <c r="M88" s="42" t="n"/>
      <c r="N88" s="42" t="n"/>
      <c r="O88" s="43" t="n"/>
    </row>
    <row r="89">
      <c r="B89" s="33" t="inlineStr">
        <is>
          <t>Zieldruck der Pumpe im Betrieb S2 (100.000 Nm³/h)</t>
        </is>
      </c>
      <c r="C89" s="42" t="n"/>
      <c r="D89" s="43" t="n"/>
      <c r="E89" s="33" t="inlineStr"/>
      <c r="F89" s="7">
        <f>Kopf_betr_S2</f>
        <v/>
      </c>
      <c r="G89" s="33" t="inlineStr">
        <is>
          <t>bar</t>
        </is>
      </c>
      <c r="H89" s="33" t="inlineStr">
        <is>
          <t>Pumpe liefert 29,6 °C → leichtere Säule, Reibung 1,8 bar – Blatt „Kaverne &amp; Gassäule“</t>
        </is>
      </c>
      <c r="I89" s="42" t="n"/>
      <c r="J89" s="42" t="n"/>
      <c r="K89" s="42" t="n"/>
      <c r="L89" s="42" t="n"/>
      <c r="M89" s="42" t="n"/>
      <c r="N89" s="42" t="n"/>
      <c r="O89" s="43" t="n"/>
    </row>
    <row r="90">
      <c r="B90" s="33" t="inlineStr">
        <is>
          <t>S2: höchste Verdichteraustrittstemperatur (Stufe 2)</t>
        </is>
      </c>
      <c r="C90" s="42" t="n"/>
      <c r="D90" s="43" t="n"/>
      <c r="E90" s="33" t="inlineStr"/>
      <c r="F90" s="7">
        <f>Szen2_T2a</f>
        <v/>
      </c>
      <c r="G90" s="33" t="inlineStr">
        <is>
          <t>°C</t>
        </is>
      </c>
      <c r="H90" s="33" t="inlineStr">
        <is>
          <t>Grenze 95 °C (Q-016 S. 4) – Blatt „Einspeicherung S2“</t>
        </is>
      </c>
      <c r="I90" s="42" t="n"/>
      <c r="J90" s="42" t="n"/>
      <c r="K90" s="42" t="n"/>
      <c r="L90" s="42" t="n"/>
      <c r="M90" s="42" t="n"/>
      <c r="N90" s="42" t="n"/>
      <c r="O90" s="43" t="n"/>
    </row>
  </sheetData>
  <mergeCells count="141">
    <mergeCell ref="B60:D60"/>
    <mergeCell ref="H43:L43"/>
    <mergeCell ref="H78:O78"/>
    <mergeCell ref="B57:D57"/>
    <mergeCell ref="H54:L54"/>
    <mergeCell ref="B44:D44"/>
    <mergeCell ref="H41:L41"/>
    <mergeCell ref="B53:D53"/>
    <mergeCell ref="N66:O66"/>
    <mergeCell ref="N53:O53"/>
    <mergeCell ref="H56:L56"/>
    <mergeCell ref="H68:L68"/>
    <mergeCell ref="N68:O68"/>
    <mergeCell ref="N46:O46"/>
    <mergeCell ref="B84:D84"/>
    <mergeCell ref="H73:O73"/>
    <mergeCell ref="H49:L49"/>
    <mergeCell ref="N61:O61"/>
    <mergeCell ref="N48:O48"/>
    <mergeCell ref="B80:D80"/>
    <mergeCell ref="H69:L69"/>
    <mergeCell ref="H66:L66"/>
    <mergeCell ref="B37:O37"/>
    <mergeCell ref="B54:D54"/>
    <mergeCell ref="B72:D72"/>
    <mergeCell ref="J5:O5"/>
    <mergeCell ref="H48:L48"/>
    <mergeCell ref="H77:O77"/>
    <mergeCell ref="B56:D56"/>
    <mergeCell ref="K10:O10"/>
    <mergeCell ref="N65:O65"/>
    <mergeCell ref="B43:D43"/>
    <mergeCell ref="N63:O63"/>
    <mergeCell ref="B17:D17"/>
    <mergeCell ref="N50:O50"/>
    <mergeCell ref="B73:D73"/>
    <mergeCell ref="B88:D88"/>
    <mergeCell ref="K9:O9"/>
    <mergeCell ref="H44:L44"/>
    <mergeCell ref="B82:D82"/>
    <mergeCell ref="N51:O51"/>
    <mergeCell ref="E14:O14"/>
    <mergeCell ref="B6:H10"/>
    <mergeCell ref="H58:L58"/>
    <mergeCell ref="B71:O71"/>
    <mergeCell ref="B19:D19"/>
    <mergeCell ref="B52:O52"/>
    <mergeCell ref="H51:L51"/>
    <mergeCell ref="H60:L60"/>
    <mergeCell ref="B74:D74"/>
    <mergeCell ref="B68:D68"/>
    <mergeCell ref="B83:D83"/>
    <mergeCell ref="H89:O89"/>
    <mergeCell ref="B42:O42"/>
    <mergeCell ref="H79:O79"/>
    <mergeCell ref="H88:O88"/>
    <mergeCell ref="N44:O44"/>
    <mergeCell ref="N67:O67"/>
    <mergeCell ref="B85:D85"/>
    <mergeCell ref="K8:O8"/>
    <mergeCell ref="H72:O72"/>
    <mergeCell ref="H81:O81"/>
    <mergeCell ref="H90:O90"/>
    <mergeCell ref="H57:L57"/>
    <mergeCell ref="B47:D47"/>
    <mergeCell ref="N69:O69"/>
    <mergeCell ref="H87:O87"/>
    <mergeCell ref="K7:O7"/>
    <mergeCell ref="B46:D46"/>
    <mergeCell ref="E16:O16"/>
    <mergeCell ref="B76:O76"/>
    <mergeCell ref="B45:O45"/>
    <mergeCell ref="B39:D39"/>
    <mergeCell ref="N55:O55"/>
    <mergeCell ref="B48:D48"/>
    <mergeCell ref="E18:O18"/>
    <mergeCell ref="B14:D14"/>
    <mergeCell ref="H67:L67"/>
    <mergeCell ref="H82:O82"/>
    <mergeCell ref="N54:O54"/>
    <mergeCell ref="B62:O62"/>
    <mergeCell ref="B13:D13"/>
    <mergeCell ref="B59:O59"/>
    <mergeCell ref="N41:O41"/>
    <mergeCell ref="B78:D78"/>
    <mergeCell ref="B5:H5"/>
    <mergeCell ref="B87:D87"/>
    <mergeCell ref="E39:O39"/>
    <mergeCell ref="N56:O56"/>
    <mergeCell ref="H83:O83"/>
    <mergeCell ref="B21:O21"/>
    <mergeCell ref="N43:O43"/>
    <mergeCell ref="B49:D49"/>
    <mergeCell ref="H46:L46"/>
    <mergeCell ref="H64:L64"/>
    <mergeCell ref="N58:O58"/>
    <mergeCell ref="B65:D65"/>
    <mergeCell ref="H85:O85"/>
    <mergeCell ref="E13:O13"/>
    <mergeCell ref="H61:L61"/>
    <mergeCell ref="B51:D51"/>
    <mergeCell ref="B63:D63"/>
    <mergeCell ref="B41:D41"/>
    <mergeCell ref="E15:O15"/>
    <mergeCell ref="B50:D50"/>
    <mergeCell ref="H65:L65"/>
    <mergeCell ref="H80:O80"/>
    <mergeCell ref="H47:L47"/>
    <mergeCell ref="N60:O60"/>
    <mergeCell ref="B66:D66"/>
    <mergeCell ref="B77:D77"/>
    <mergeCell ref="B86:D86"/>
    <mergeCell ref="H53:L53"/>
    <mergeCell ref="B67:D67"/>
    <mergeCell ref="B61:D61"/>
    <mergeCell ref="N47:O47"/>
    <mergeCell ref="H63:L63"/>
    <mergeCell ref="H50:L50"/>
    <mergeCell ref="H55:L55"/>
    <mergeCell ref="B69:D69"/>
    <mergeCell ref="E17:O17"/>
    <mergeCell ref="H74:O74"/>
    <mergeCell ref="E19:O19"/>
    <mergeCell ref="B15:D15"/>
    <mergeCell ref="B55:D55"/>
    <mergeCell ref="B64:D64"/>
    <mergeCell ref="B89:D89"/>
    <mergeCell ref="N64:O64"/>
    <mergeCell ref="B79:D79"/>
    <mergeCell ref="B38:O38"/>
    <mergeCell ref="B12:H12"/>
    <mergeCell ref="N57:O57"/>
    <mergeCell ref="H84:O84"/>
    <mergeCell ref="B16:D16"/>
    <mergeCell ref="B81:D81"/>
    <mergeCell ref="B90:D90"/>
    <mergeCell ref="H86:O86"/>
    <mergeCell ref="B18:D18"/>
    <mergeCell ref="B58:D58"/>
    <mergeCell ref="K6:O6"/>
    <mergeCell ref="N49:O49"/>
  </mergeCells>
  <conditionalFormatting sqref="E39:O39">
    <cfRule type="expression" priority="3" dxfId="30">
      <formula>NOT(Stand_ok)</formula>
    </cfRule>
    <cfRule type="expression" priority="4" dxfId="29">
      <formula>Stand_ok</formula>
    </cfRule>
  </conditionalFormatting>
  <conditionalFormatting sqref="N42:O69">
    <cfRule type="beginsWith" priority="1" operator="beginsWith" dxfId="30" text="⚠">
      <formula>LEFT(N42,1)="⚠"</formula>
    </cfRule>
    <cfRule type="beginsWith" priority="2" operator="beginsWith" dxfId="29" text="✔">
      <formula>LEFT(N42,1)="✔"</formula>
    </cfRule>
  </conditionalFormatting>
  <hyperlinks>
    <hyperlink ref="B13" location="'Kaverne &amp; Gassäule'!A1" display="→ Kaverne &amp; Gassäule"/>
    <hyperlink ref="B14" location="'Medienvergleich'!A1" display="→ Medienvergleich"/>
    <hyperlink ref="B15" location="'Einspeicherung S1'!A1" display="→ Einspeicherung S1"/>
    <hyperlink ref="B16" location="'Einspeicherung S2'!A1" display="→ Einspeicherung S2"/>
    <hyperlink ref="B17" location="'Phasendiagramm'!A1" display="→ Phasendiagramm"/>
    <hyperlink ref="B18" location="'Quellen'!A1" display="→ Quellen"/>
    <hyperlink ref="B19" location="'Diagrammdaten'!A1" display="→ Diagrammdaten"/>
    <hyperlink ref="D35" location="'Annahmen &amp; Begründung'!A1" display="→ Annahmen &amp; Begründung"/>
    <hyperlink ref="G35" location="'Kühlung'!A1" display="→ Kühlung"/>
    <hyperlink ref="I35" location="'Massenströme'!A1" display="→ Massenströme"/>
  </hyperlinks>
  <pageMargins left="0.4" right="0.4" top="0.5" bottom="0.5" header="0.3" footer="0.3"/>
  <pageSetup orientation="landscape" paperSize="9" fitToHeight="0"/>
  <drawing r:id="rIdZeichnungOrig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1F4E79"/>
    <outlinePr summaryBelow="1" summaryRight="1"/>
    <pageSetUpPr fitToPage="1"/>
  </sheetPr>
  <dimension ref="A1:L93"/>
  <sheetViews>
    <sheetView showGridLines="0" tabSelected="0" topLeftCell="A4" workbookViewId="0">
      <selection activeCell="P27" sqref="P27"/>
    </sheetView>
  </sheetViews>
  <sheetFormatPr baseColWidth="10" defaultColWidth="9.140625" defaultRowHeight="15"/>
  <cols>
    <col width="2.7109375" customWidth="1" min="1" max="1"/>
    <col width="30.7109375" customWidth="1" min="2" max="2"/>
    <col width="12.7109375" customWidth="1" min="3" max="10"/>
    <col width="9.7109375" customWidth="1" min="11" max="31"/>
  </cols>
  <sheetData>
    <row r="1" ht="30" customHeight="1">
      <c r="B1" s="1" t="inlineStr">
        <is>
          <t>Kaverne &amp; Gassäule – welcher Druck muss am Bohrlochkopf anliegen?</t>
        </is>
      </c>
    </row>
    <row r="2">
      <c r="B2" s="2" t="inlineStr">
        <is>
          <t>Einspeicherung, Kaverne V1 (tief) · Stillstand: Temperatur = Gebirgstemperatur</t>
        </is>
      </c>
    </row>
    <row r="3">
      <c r="B3" s="34" t="inlineStr">
        <is>
          <t>← zur Übersicht</t>
        </is>
      </c>
    </row>
    <row r="4" ht="145.95" customHeight="1">
      <c r="B4" s="45" t="inlineStr">
        <is>
          <r>
            <rPr>
              <rFont val="Calibri"/>
              <b val="1"/>
              <sz val="10"/>
            </rPr>
            <t>WAS WIRD BERECHNET?</t>
          </r>
          <r>
            <rPr>
              <rFont val="Calibri"/>
              <sz val="10"/>
            </rPr>
            <t xml:space="preserve">  Die Kaverne legt fest, welcher Druck unten an der LCCS (letzte zementierte Rohrtour) höchstens anliegen darf: 210 bar. Gesucht ist der Druck, den die Anlage dafür oben am Bohrlochkopf liefern muss.
</t>
          </r>
          <r>
            <rPr>
              <rFont val="Calibri"/>
              <b val="1"/>
              <sz val="10"/>
            </rPr>
            <t>WARUM?</t>
          </r>
          <r>
            <rPr>
              <rFont val="Calibri"/>
              <sz val="10"/>
            </rPr>
            <t xml:space="preserve">  Zwischen Kopf und Kaverne steht eine 1200 m hohe CO₂-Säule. Ihr Gewicht erhöht den Druck nach unten: dp/dz = ρ(p,T) · g.
</t>
          </r>
          <r>
            <rPr>
              <rFont val="Calibri"/>
              <b val="1"/>
              <sz val="10"/>
            </rPr>
            <t>WIE WIRD GERECHNET?</t>
          </r>
          <r>
            <rPr>
              <rFont val="Calibri"/>
              <sz val="10"/>
            </rPr>
            <t xml:space="preserve">  Die Dichte ρ hängt selbst von Druck und Temperatur ab – deshalb wird die Säule in 600 Schritten à 2 m gerechnet, in jedem Schritt mit neuer Dichte aus CoolProp. Temperatur = Gebirgstemperatur T(z) = T₀ + grad T · z (Stillstand). Gerechnet wird von unten (bekannter Kavernendruck) nach oben – das Ergebnis ist direkt der Kopfdruck.
</t>
          </r>
          <r>
            <rPr>
              <rFont val="Calibri"/>
              <b val="1"/>
              <sz val="10"/>
            </rPr>
            <t>GRENZFALL:</t>
          </r>
          <r>
            <rPr>
              <rFont val="Calibri"/>
              <sz val="10"/>
            </rPr>
            <t xml:space="preserve">  Mit dem Sekantenverfahren (schrittweises Annähern) wird der Kavernendruck gesucht, bei dem der Kopfdruck genau p_krit = 73,8 bar ist. Darüber bleibt das ganze Bohrloch dicht, darunter kann das CO₂ im oberen Bohrloch verdampfen.
</t>
          </r>
          <r>
            <rPr>
              <rFont val="Calibri"/>
              <b val="1"/>
              <sz val="10"/>
            </rPr>
            <t>ERGEBNIS:</t>
          </r>
          <r>
            <rPr>
              <rFont val="Calibri"/>
              <sz val="10"/>
            </rPr>
            <t xml:space="preserve">  Für 210 bar unten reichen 107,6 bar am Kopf – die Säule liefert rund 102 bar. Das ist der Zieldruck für Pumpe bzw. Verdichter.
</t>
          </r>
          <r>
            <rPr>
              <rFont val="Calibri"/>
              <b val="1"/>
              <sz val="10"/>
            </rPr>
            <t>IM BETRIEB (NEU):</t>
          </r>
          <r>
            <rPr>
              <rFont val="Calibri"/>
              <sz val="10"/>
            </rPr>
            <t xml:space="preserve">  Beim Einspeisen strömt das CO₂ mit der Temperatur nach der Pumpe nach unten – Abschnitt unten. Zieldruck der Pumpe bei 100.000 Nm³/h: S1 105,4 bar, S2 114,6 bar (Stillstand 107,6 bar).</t>
          </r>
        </is>
      </c>
      <c r="C4" s="46" t="n"/>
      <c r="D4" s="46" t="n"/>
      <c r="E4" s="46" t="n"/>
      <c r="F4" s="46" t="n"/>
      <c r="G4" s="46" t="n"/>
      <c r="H4" s="46" t="n"/>
      <c r="I4" s="46" t="n"/>
      <c r="J4" s="47" t="n"/>
    </row>
    <row r="5"/>
    <row r="6">
      <c r="B6" s="39" t="inlineStr">
        <is>
          <t>Kavernenparameter</t>
        </is>
      </c>
    </row>
    <row r="7" ht="25.5" customHeight="1">
      <c r="B7" s="37" t="inlineStr">
        <is>
          <t>Größe</t>
        </is>
      </c>
      <c r="C7" s="37" t="inlineStr">
        <is>
          <t>Kaverne V1 (tief)</t>
        </is>
      </c>
      <c r="D7" s="37" t="inlineStr">
        <is>
          <t>Kaverne V2 (flach): entfällt</t>
        </is>
      </c>
      <c r="E7" s="37" t="inlineStr">
        <is>
          <t>Einheit</t>
        </is>
      </c>
    </row>
    <row r="8">
      <c r="B8" s="33" t="inlineStr">
        <is>
          <t>Teufe (LCCS)</t>
        </is>
      </c>
      <c r="C8" s="23">
        <f>z_V1</f>
        <v/>
      </c>
      <c r="D8" s="18" t="n"/>
      <c r="E8" s="33" t="inlineStr">
        <is>
          <t>m</t>
        </is>
      </c>
    </row>
    <row r="9">
      <c r="B9" s="33" t="inlineStr">
        <is>
          <t>Gebirgstemperatur Oberfläche</t>
        </is>
      </c>
      <c r="C9" s="6">
        <f>Tober_V1</f>
        <v/>
      </c>
      <c r="D9" s="18" t="n"/>
      <c r="E9" s="33" t="inlineStr">
        <is>
          <t>°C</t>
        </is>
      </c>
    </row>
    <row r="10">
      <c r="B10" s="33" t="inlineStr">
        <is>
          <t>Geothermischer Gradient</t>
        </is>
      </c>
      <c r="C10" s="24">
        <f>grad_V1</f>
        <v/>
      </c>
      <c r="D10" s="18" t="n"/>
      <c r="E10" s="33" t="inlineStr">
        <is>
          <t>K/m</t>
        </is>
      </c>
    </row>
    <row r="11">
      <c r="B11" s="33" t="inlineStr">
        <is>
          <t>Kavernentemperatur</t>
        </is>
      </c>
      <c r="C11" s="6">
        <f>T_Kav_V1</f>
        <v/>
      </c>
      <c r="D11" s="18" t="n"/>
      <c r="E11" s="33" t="inlineStr">
        <is>
          <t>°C</t>
        </is>
      </c>
    </row>
    <row r="12">
      <c r="B12" s="33" t="inlineStr">
        <is>
          <t>Maximaldruck an der LCCS</t>
        </is>
      </c>
      <c r="C12" s="6">
        <f>pmax_V1</f>
        <v/>
      </c>
      <c r="D12" s="18" t="n"/>
      <c r="E12" s="33" t="inlineStr">
        <is>
          <t>bar</t>
        </is>
      </c>
    </row>
    <row r="13">
      <c r="B13" s="33" t="inlineStr">
        <is>
          <t>Minimaldruck an der LCCS</t>
        </is>
      </c>
      <c r="C13" s="6">
        <f>pmin_V1</f>
        <v/>
      </c>
      <c r="D13" s="18" t="n"/>
      <c r="E13" s="33" t="inlineStr">
        <is>
          <t>bar</t>
        </is>
      </c>
    </row>
    <row r="14">
      <c r="B14" s="25" t="inlineStr">
        <is>
          <t>Werte kommen von der Übersicht. Die flache Kaverne entfällt (Q-030 S. 17: DBI verwirft sie selbst; Besprechung K. Vosbeck 15.10.2026).</t>
        </is>
      </c>
    </row>
    <row r="15"/>
    <row r="16">
      <c r="B16" s="39" t="inlineStr">
        <is>
          <t>Ergebnis: drei Füllstände der Kaverne</t>
        </is>
      </c>
    </row>
    <row r="17" ht="30" customHeight="1">
      <c r="B17" s="37" t="inlineStr">
        <is>
          <t>Fall</t>
        </is>
      </c>
      <c r="C17" s="37" t="inlineStr">
        <is>
          <t>Druck unten (LCCS) [bar]</t>
        </is>
      </c>
      <c r="D17" s="37" t="inlineStr">
        <is>
          <t>Kopfdruck [bar]</t>
        </is>
      </c>
      <c r="E17" s="37" t="inlineStr">
        <is>
          <t>T am Kopf [°C]</t>
        </is>
      </c>
      <c r="F17" s="37" t="inlineStr">
        <is>
          <t>ρ Kopf [kg/m³]</t>
        </is>
      </c>
      <c r="G17" s="37" t="inlineStr">
        <is>
          <t>ρ unten [kg/m³]</t>
        </is>
      </c>
      <c r="H17" s="37" t="inlineStr">
        <is>
          <t>Säulengewinn [bar]</t>
        </is>
      </c>
      <c r="I17" s="37" t="inlineStr">
        <is>
          <t>Bedeutung</t>
        </is>
      </c>
      <c r="J17" s="42" t="n"/>
      <c r="K17" s="43" t="n"/>
    </row>
    <row r="18" ht="30" customHeight="1">
      <c r="B18" s="38" t="inlineStr">
        <is>
          <t>voll (p_max)</t>
        </is>
      </c>
      <c r="C18" s="5" t="n">
        <v>210</v>
      </c>
      <c r="D18" s="7" t="n">
        <v>107.603219569636</v>
      </c>
      <c r="E18" s="5" t="n">
        <v>10</v>
      </c>
      <c r="F18" s="5" t="n">
        <v>926.3220368040497</v>
      </c>
      <c r="G18" s="5" t="n">
        <v>817.604266524432</v>
      </c>
      <c r="H18" s="6">
        <f>C18-D18</f>
        <v/>
      </c>
      <c r="I18" s="33" t="inlineStr">
        <is>
          <t>Zieldruck für die Einspeicherung</t>
        </is>
      </c>
      <c r="J18" s="42" t="n"/>
      <c r="K18" s="43" t="n"/>
    </row>
    <row r="19" ht="30" customHeight="1">
      <c r="B19" s="38" t="inlineStr">
        <is>
          <t>Grenzfall</t>
        </is>
      </c>
      <c r="C19" s="5" t="n">
        <v>171.6522772915801</v>
      </c>
      <c r="D19" s="7" t="n">
        <v>73.77298377913758</v>
      </c>
      <c r="E19" s="5" t="n">
        <v>10</v>
      </c>
      <c r="F19" s="5" t="n">
        <v>897.021842420905</v>
      </c>
      <c r="G19" s="5" t="n">
        <v>771.2551974443045</v>
      </c>
      <c r="H19" s="6">
        <f>C19-D19</f>
        <v/>
      </c>
      <c r="I19" s="33" t="inlineStr">
        <is>
          <t>Kopfdruck = p_krit: ab hier ist das Bohrloch ganz dicht</t>
        </is>
      </c>
      <c r="J19" s="42" t="n"/>
      <c r="K19" s="43" t="n"/>
    </row>
    <row r="20" ht="30" customHeight="1">
      <c r="B20" s="38" t="inlineStr">
        <is>
          <t>leer (p_min)</t>
        </is>
      </c>
      <c r="C20" s="5" t="n">
        <v>70</v>
      </c>
      <c r="D20" s="7" t="n">
        <v>44.99299418696985</v>
      </c>
      <c r="E20" s="5" t="n">
        <v>10</v>
      </c>
      <c r="F20" s="5" t="n">
        <v>134.9728724557712</v>
      </c>
      <c r="G20" s="5" t="n">
        <v>180.7373183907008</v>
      </c>
      <c r="H20" s="6">
        <f>C20-D20</f>
        <v/>
      </c>
      <c r="I20" s="33" t="inlineStr">
        <is>
          <t>Kopf = Dampfdruck bei 10 °C → Mehrphasengebiet 0–236 m</t>
        </is>
      </c>
      <c r="J20" s="42" t="n"/>
      <c r="K20" s="43" t="n"/>
    </row>
    <row r="21"/>
    <row r="22">
      <c r="B22" s="39" t="inlineStr">
        <is>
          <t>Diagramme – Darstellung nach Buzogany &amp; Kruck (2022), Fig. 3 (dort 1150 m Teufe, hier Kaverne V1 mit 1200 m)</t>
        </is>
      </c>
    </row>
    <row r="23" ht="57.95" customHeight="1">
      <c r="B23" s="40" t="inlineStr">
        <is>
          <t>HIER ZUM STILLSTAND:  Die Gassäulen gelten für ruhendes CO₂ mit Gebirgstemperatur und für die drei Füllstände nach Q-028 (Buzogany &amp; Kruck 2022, Fig. 3: voll, Grenzfall, leer). Was Injektion und Ausspeicherung für das Fenster bedeuten (Reibungsdruckverlust im Strang, Wärmeaustausch mit dem Gebirge, Erwärmung bzw. Abkühlung in der Kaverne, Drosselung beim Ausspeichern), ist hier NICHT dargestellt.</t>
        </is>
      </c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9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>
      <c r="B47" s="39" t="inlineStr">
        <is>
          <t>Tiefenprofile (gerechnet in 2-m-Schritten, dargestellt alle 50 m)</t>
        </is>
      </c>
    </row>
    <row r="48" ht="30" customHeight="1">
      <c r="B48" s="37" t="inlineStr">
        <is>
          <t>Teufe z [m]</t>
        </is>
      </c>
      <c r="C48" s="37" t="inlineStr">
        <is>
          <t>T [°C]</t>
        </is>
      </c>
      <c r="D48" s="37" t="inlineStr">
        <is>
          <t>p voll [bar]</t>
        </is>
      </c>
      <c r="E48" s="37" t="inlineStr">
        <is>
          <t>ρ voll [kg/m³]</t>
        </is>
      </c>
      <c r="F48" s="37" t="inlineStr">
        <is>
          <t>p Grenzfall [bar]</t>
        </is>
      </c>
      <c r="G48" s="37" t="inlineStr">
        <is>
          <t>ρ Grenzfall [kg/m³]</t>
        </is>
      </c>
      <c r="H48" s="37" t="inlineStr">
        <is>
          <t>p leer [bar]</t>
        </is>
      </c>
      <c r="I48" s="37" t="inlineStr">
        <is>
          <t>ρ leer [kg/m³]</t>
        </is>
      </c>
    </row>
    <row r="49">
      <c r="B49" s="15" t="n">
        <v>0</v>
      </c>
      <c r="C49" s="5" t="n">
        <v>10</v>
      </c>
      <c r="D49" s="5" t="n">
        <v>107.603219569636</v>
      </c>
      <c r="E49" s="5" t="n">
        <v>926.3220368040497</v>
      </c>
      <c r="F49" s="5" t="n">
        <v>73.77298377913758</v>
      </c>
      <c r="G49" s="5" t="n">
        <v>897.021842420905</v>
      </c>
      <c r="H49" s="5" t="n">
        <v>44.99299418696985</v>
      </c>
      <c r="I49" s="5" t="n">
        <v>134.9728724557712</v>
      </c>
    </row>
    <row r="50">
      <c r="B50" s="15" t="n">
        <v>50</v>
      </c>
      <c r="C50" s="5" t="n">
        <v>11.5</v>
      </c>
      <c r="D50" s="5" t="n">
        <v>112.1341797962734</v>
      </c>
      <c r="E50" s="5" t="n">
        <v>921.366486511542</v>
      </c>
      <c r="F50" s="5" t="n">
        <v>78.15826736621763</v>
      </c>
      <c r="G50" s="5" t="n">
        <v>891.2969609909408</v>
      </c>
      <c r="H50" s="5" t="n">
        <v>46.65802733630341</v>
      </c>
      <c r="I50" s="18" t="n"/>
    </row>
    <row r="51">
      <c r="B51" s="15" t="n">
        <v>100</v>
      </c>
      <c r="C51" s="5" t="n">
        <v>13</v>
      </c>
      <c r="D51" s="5" t="n">
        <v>116.6408956363133</v>
      </c>
      <c r="E51" s="5" t="n">
        <v>916.4357927804383</v>
      </c>
      <c r="F51" s="5" t="n">
        <v>82.51551505203399</v>
      </c>
      <c r="G51" s="5" t="n">
        <v>885.5901317928975</v>
      </c>
      <c r="H51" s="5" t="n">
        <v>48.46967378877172</v>
      </c>
      <c r="I51" s="18" t="n"/>
    </row>
    <row r="52">
      <c r="B52" s="15" t="n">
        <v>150</v>
      </c>
      <c r="C52" s="5" t="n">
        <v>14.5</v>
      </c>
      <c r="D52" s="5" t="n">
        <v>121.1234940528359</v>
      </c>
      <c r="E52" s="5" t="n">
        <v>911.5319259396267</v>
      </c>
      <c r="F52" s="5" t="n">
        <v>86.84482417221419</v>
      </c>
      <c r="G52" s="5" t="n">
        <v>879.9048043776029</v>
      </c>
      <c r="H52" s="5" t="n">
        <v>50.28738698402123</v>
      </c>
      <c r="I52" s="18" t="n"/>
    </row>
    <row r="53">
      <c r="B53" s="15" t="n">
        <v>200</v>
      </c>
      <c r="C53" s="5" t="n">
        <v>16</v>
      </c>
      <c r="D53" s="5" t="n">
        <v>125.5821115549518</v>
      </c>
      <c r="E53" s="5" t="n">
        <v>906.656806769357</v>
      </c>
      <c r="F53" s="5" t="n">
        <v>91.14630899860049</v>
      </c>
      <c r="G53" s="5" t="n">
        <v>874.2444277392234</v>
      </c>
      <c r="H53" s="5" t="n">
        <v>52.11301240220459</v>
      </c>
      <c r="I53" s="18" t="n"/>
    </row>
    <row r="54">
      <c r="B54" s="15" t="n">
        <v>250</v>
      </c>
      <c r="C54" s="5" t="n">
        <v>17.5</v>
      </c>
      <c r="D54" s="5" t="n">
        <v>130.0168939094205</v>
      </c>
      <c r="E54" s="5" t="n">
        <v>901.8122895680307</v>
      </c>
      <c r="F54" s="5" t="n">
        <v>95.4201006411308</v>
      </c>
      <c r="G54" s="5" t="n">
        <v>868.6124156835234</v>
      </c>
      <c r="H54" s="5" t="n">
        <v>53.57639577927532</v>
      </c>
      <c r="I54" s="5" t="n">
        <v>172.3531289361829</v>
      </c>
    </row>
    <row r="55">
      <c r="B55" s="15" t="n">
        <v>300</v>
      </c>
      <c r="C55" s="5" t="n">
        <v>19</v>
      </c>
      <c r="D55" s="5" t="n">
        <v>134.4279957838498</v>
      </c>
      <c r="E55" s="5" t="n">
        <v>897.0001511506534</v>
      </c>
      <c r="F55" s="5" t="n">
        <v>99.66634682541191</v>
      </c>
      <c r="G55" s="5" t="n">
        <v>863.0121302207087</v>
      </c>
      <c r="H55" s="5" t="n">
        <v>54.42245109944623</v>
      </c>
      <c r="I55" s="5" t="n">
        <v>172.621519049852</v>
      </c>
    </row>
    <row r="56">
      <c r="B56" s="15" t="n">
        <v>350</v>
      </c>
      <c r="C56" s="5" t="n">
        <v>20.5</v>
      </c>
      <c r="D56" s="5" t="n">
        <v>138.8155803530323</v>
      </c>
      <c r="E56" s="5" t="n">
        <v>892.222086630273</v>
      </c>
      <c r="F56" s="5" t="n">
        <v>103.8852116340835</v>
      </c>
      <c r="G56" s="5" t="n">
        <v>857.4468823333757</v>
      </c>
      <c r="H56" s="5" t="n">
        <v>55.26994550478808</v>
      </c>
      <c r="I56" s="5" t="n">
        <v>172.9361403382413</v>
      </c>
    </row>
    <row r="57">
      <c r="B57" s="15" t="n">
        <v>400</v>
      </c>
      <c r="C57" s="5" t="n">
        <v>22</v>
      </c>
      <c r="D57" s="5" t="n">
        <v>143.1798189021624</v>
      </c>
      <c r="E57" s="5" t="n">
        <v>887.4797120192601</v>
      </c>
      <c r="F57" s="5" t="n">
        <v>108.0768752886668</v>
      </c>
      <c r="G57" s="5" t="n">
        <v>851.9199462956497</v>
      </c>
      <c r="H57" s="5" t="n">
        <v>56.11907933946505</v>
      </c>
      <c r="I57" s="5" t="n">
        <v>173.2871502061312</v>
      </c>
    </row>
    <row r="58">
      <c r="B58" s="15" t="n">
        <v>450</v>
      </c>
      <c r="C58" s="5" t="n">
        <v>23.5</v>
      </c>
      <c r="D58" s="5" t="n">
        <v>147.5208904585417</v>
      </c>
      <c r="E58" s="5" t="n">
        <v>882.7745727921837</v>
      </c>
      <c r="F58" s="5" t="n">
        <v>112.2415340230345</v>
      </c>
      <c r="G58" s="5" t="n">
        <v>846.4345812263085</v>
      </c>
      <c r="H58" s="5" t="n">
        <v>56.970011793445</v>
      </c>
      <c r="I58" s="5" t="n">
        <v>173.6673159513561</v>
      </c>
    </row>
    <row r="59">
      <c r="B59" s="15" t="n">
        <v>500</v>
      </c>
      <c r="C59" s="5" t="n">
        <v>25</v>
      </c>
      <c r="D59" s="5" t="n">
        <v>151.8389814770035</v>
      </c>
      <c r="E59" s="5" t="n">
        <v>878.1081567113812</v>
      </c>
      <c r="F59" s="5" t="n">
        <v>116.3794000648183</v>
      </c>
      <c r="G59" s="5" t="n">
        <v>840.9940522574562</v>
      </c>
      <c r="H59" s="5" t="n">
        <v>57.82287123568764</v>
      </c>
      <c r="I59" s="5" t="n">
        <v>174.0711215222214</v>
      </c>
    </row>
    <row r="60">
      <c r="B60" s="15" t="n">
        <v>550</v>
      </c>
      <c r="C60" s="5" t="n">
        <v>26.5</v>
      </c>
      <c r="D60" s="5" t="n">
        <v>156.1342855942196</v>
      </c>
      <c r="E60" s="5" t="n">
        <v>873.4819085875686</v>
      </c>
      <c r="F60" s="5" t="n">
        <v>120.4907017034746</v>
      </c>
      <c r="G60" s="5" t="n">
        <v>835.6016438728544</v>
      </c>
      <c r="H60" s="5" t="n">
        <v>58.67776215619738</v>
      </c>
      <c r="I60" s="5" t="n">
        <v>174.4942300427464</v>
      </c>
    </row>
    <row r="61">
      <c r="B61" s="15" t="n">
        <v>600</v>
      </c>
      <c r="C61" s="5" t="n">
        <v>28</v>
      </c>
      <c r="D61" s="5" t="n">
        <v>160.4070034547488</v>
      </c>
      <c r="E61" s="5" t="n">
        <v>868.8972443584622</v>
      </c>
      <c r="F61" s="5" t="n">
        <v>124.5756833908703</v>
      </c>
      <c r="G61" s="5" t="n">
        <v>830.2606596077286</v>
      </c>
      <c r="H61" s="5" t="n">
        <v>59.53477003538883</v>
      </c>
      <c r="I61" s="5" t="n">
        <v>174.9331496755427</v>
      </c>
    </row>
    <row r="62">
      <c r="B62" s="15" t="n">
        <v>650</v>
      </c>
      <c r="C62" s="5" t="n">
        <v>29.5</v>
      </c>
      <c r="D62" s="5" t="n">
        <v>164.6573425989316</v>
      </c>
      <c r="E62" s="5" t="n">
        <v>864.3555619715407</v>
      </c>
      <c r="F62" s="5" t="n">
        <v>128.6346057983711</v>
      </c>
      <c r="G62" s="5" t="n">
        <v>824.9744050412223</v>
      </c>
      <c r="H62" s="5" t="n">
        <v>60.39396490390562</v>
      </c>
      <c r="I62" s="5" t="n">
        <v>175.385018717165</v>
      </c>
    </row>
    <row r="63">
      <c r="B63" s="15" t="n">
        <v>700</v>
      </c>
      <c r="C63" s="5" t="n">
        <v>31</v>
      </c>
      <c r="D63" s="5" t="n">
        <v>168.8855173915603</v>
      </c>
      <c r="E63" s="5" t="n">
        <v>859.8582470542098</v>
      </c>
      <c r="F63" s="5" t="n">
        <v>132.6677457476095</v>
      </c>
      <c r="G63" s="5" t="n">
        <v>819.7461542573643</v>
      </c>
      <c r="H63" s="5" t="n">
        <v>61.25540404515662</v>
      </c>
      <c r="I63" s="5" t="n">
        <v>175.8474621597078</v>
      </c>
    </row>
    <row r="64">
      <c r="B64" s="15" t="n">
        <v>750</v>
      </c>
      <c r="C64" s="5" t="n">
        <v>32.5</v>
      </c>
      <c r="D64" s="5" t="n">
        <v>173.0917489623185</v>
      </c>
      <c r="E64" s="5" t="n">
        <v>855.4066721820159</v>
      </c>
      <c r="F64" s="5" t="n">
        <v>136.6753959411524</v>
      </c>
      <c r="G64" s="5" t="n">
        <v>814.5791030933595</v>
      </c>
      <c r="H64" s="5" t="n">
        <v>62.11913411443616</v>
      </c>
      <c r="I64" s="5" t="n">
        <v>176.3184920198822</v>
      </c>
    </row>
    <row r="65">
      <c r="B65" s="15" t="n">
        <v>800</v>
      </c>
      <c r="C65" s="5" t="n">
        <v>34</v>
      </c>
      <c r="D65" s="5" t="n">
        <v>177.276265125521</v>
      </c>
      <c r="E65" s="5" t="n">
        <v>851.002189481026</v>
      </c>
      <c r="F65" s="5" t="n">
        <v>140.6578644416568</v>
      </c>
      <c r="G65" s="5" t="n">
        <v>809.4763147036529</v>
      </c>
      <c r="H65" s="5" t="n">
        <v>62.98519284420566</v>
      </c>
      <c r="I65" s="5" t="n">
        <v>176.7964351068451</v>
      </c>
    </row>
    <row r="66">
      <c r="B66" s="15" t="n">
        <v>850</v>
      </c>
      <c r="C66" s="5" t="n">
        <v>35.5</v>
      </c>
      <c r="D66" s="5" t="n">
        <v>181.4393002480552</v>
      </c>
      <c r="E66" s="5" t="n">
        <v>846.6461173344846</v>
      </c>
      <c r="F66" s="5" t="n">
        <v>144.615473878636</v>
      </c>
      <c r="G66" s="5" t="n">
        <v>804.4406640878894</v>
      </c>
      <c r="H66" s="5" t="n">
        <v>63.85361044320612</v>
      </c>
      <c r="I66" s="5" t="n">
        <v>177.2798784644066</v>
      </c>
    </row>
    <row r="67">
      <c r="B67" s="15" t="n">
        <v>900</v>
      </c>
      <c r="C67" s="5" t="n">
        <v>37</v>
      </c>
      <c r="D67" s="5" t="n">
        <v>185.5810950402171</v>
      </c>
      <c r="E67" s="5" t="n">
        <v>842.3397227262963</v>
      </c>
      <c r="F67" s="5" t="n">
        <v>148.5485603943242</v>
      </c>
      <c r="G67" s="5" t="n">
        <v>799.4747879428407</v>
      </c>
      <c r="H67" s="5" t="n">
        <v>64.72441075981877</v>
      </c>
      <c r="I67" s="5" t="n">
        <v>177.7676265728751</v>
      </c>
    </row>
    <row r="68">
      <c r="B68" s="15" t="n">
        <v>950</v>
      </c>
      <c r="C68" s="5" t="n">
        <v>38.5</v>
      </c>
      <c r="D68" s="5" t="n">
        <v>189.7018962532259</v>
      </c>
      <c r="E68" s="5" t="n">
        <v>838.0842013089516</v>
      </c>
      <c r="F68" s="5" t="n">
        <v>152.4574723682469</v>
      </c>
      <c r="G68" s="5" t="n">
        <v>794.5810448415007</v>
      </c>
      <c r="H68" s="5" t="n">
        <v>65.59761225739726</v>
      </c>
      <c r="I68" s="5" t="n">
        <v>178.2586666865718</v>
      </c>
    </row>
    <row r="69">
      <c r="B69" s="15" t="n">
        <v>1000</v>
      </c>
      <c r="C69" s="5" t="n">
        <v>40</v>
      </c>
      <c r="D69" s="5" t="n">
        <v>193.8019562780313</v>
      </c>
      <c r="E69" s="5" t="n">
        <v>833.88065746307</v>
      </c>
      <c r="F69" s="5" t="n">
        <v>156.3425689796254</v>
      </c>
      <c r="G69" s="5" t="n">
        <v>789.7614887078571</v>
      </c>
      <c r="H69" s="5" t="n">
        <v>66.47322883532421</v>
      </c>
      <c r="I69" s="5" t="n">
        <v>178.7521400644094</v>
      </c>
    </row>
    <row r="70">
      <c r="B70" s="15" t="n">
        <v>1050</v>
      </c>
      <c r="C70" s="5" t="n">
        <v>41.5</v>
      </c>
      <c r="D70" s="5" t="n">
        <v>197.8815326508965</v>
      </c>
      <c r="E70" s="5" t="n">
        <v>829.7300864645803</v>
      </c>
      <c r="F70" s="5" t="n">
        <v>160.2042186756909</v>
      </c>
      <c r="G70" s="5" t="n">
        <v>785.0178563748152</v>
      </c>
      <c r="H70" s="5" t="n">
        <v>67.35127052085804</v>
      </c>
      <c r="I70" s="5" t="n">
        <v>179.2473176918887</v>
      </c>
    </row>
    <row r="71">
      <c r="B71" s="15" t="n">
        <v>1100</v>
      </c>
      <c r="C71" s="5" t="n">
        <v>43</v>
      </c>
      <c r="D71" s="5" t="n">
        <v>201.9408874806155</v>
      </c>
      <c r="E71" s="5" t="n">
        <v>825.633360446953</v>
      </c>
      <c r="F71" s="5" t="n">
        <v>164.0427976128814</v>
      </c>
      <c r="G71" s="5" t="n">
        <v>780.3515681417422</v>
      </c>
      <c r="H71" s="5" t="n">
        <v>68.23174405137232</v>
      </c>
      <c r="I71" s="5" t="n">
        <v>179.7435796054763</v>
      </c>
    </row>
    <row r="72">
      <c r="B72" s="15" t="n">
        <v>1150</v>
      </c>
      <c r="C72" s="5" t="n">
        <v>44.5</v>
      </c>
      <c r="D72" s="5" t="n">
        <v>205.9802868190127</v>
      </c>
      <c r="E72" s="5" t="n">
        <v>821.5912192425889</v>
      </c>
      <c r="F72" s="5" t="n">
        <v>167.8586881290575</v>
      </c>
      <c r="G72" s="5" t="n">
        <v>775.763738978662</v>
      </c>
      <c r="H72" s="5" t="n">
        <v>69.11465336308154</v>
      </c>
      <c r="I72" s="5" t="n">
        <v>180.2403972389016</v>
      </c>
    </row>
    <row r="73">
      <c r="B73" s="15" t="n">
        <v>1200</v>
      </c>
      <c r="C73" s="5" t="n">
        <v>46</v>
      </c>
      <c r="D73" s="5" t="n">
        <v>210</v>
      </c>
      <c r="E73" s="5" t="n">
        <v>817.604266524432</v>
      </c>
      <c r="F73" s="5" t="n">
        <v>171.6522772915801</v>
      </c>
      <c r="G73" s="5" t="n">
        <v>771.2551974443045</v>
      </c>
      <c r="H73" s="5" t="n">
        <v>70</v>
      </c>
      <c r="I73" s="5" t="n">
        <v>180.7373183907008</v>
      </c>
    </row>
    <row r="74" ht="30" customHeight="1">
      <c r="B74" s="36" t="inlineStr">
        <is>
          <t>Schraffierte Felder: Mehrphasengebiet (Q-028: „multiphase region“). Beim leeren Fall liegt der Druck von 0 bis ca. 236 m genau auf der Sättigungslinie (p = p_sat(T)). Der Druck ist damit bestimmt, die Dichte nicht – sie hängt vom Dampfanteil ab, den eine Säule im Stillstand nicht kennt. Im Diagramm ist die Linie dort geradlinig überbrückt. Am Kopf (0 m) steht der Wert für gesättigten Dampf.</t>
        </is>
      </c>
    </row>
    <row r="75" ht="30" customHeight="1"/>
    <row r="76">
      <c r="B76" s="25" t="inlineStr">
        <is>
          <t>Arbeitsgas, Ein-/Ausspeicherzyklus, Stillstand und Kopfdruckfenster: eigene Kaverne-Mappe (Kaverne/Reines_CO2).</t>
        </is>
      </c>
    </row>
    <row r="77"/>
    <row r="78"/>
    <row r="79">
      <c r="B79" s="39" t="inlineStr">
        <is>
          <t>Im Betrieb: Einspeisen mit strömender Säule – Zieldruck der Pumpe (neu, Besprechung 15.10.2026)</t>
        </is>
      </c>
    </row>
    <row r="80" ht="112" customHeight="1">
      <c r="B80" s="32" t="inlineStr">
        <is>
          <r>
            <rPr>
              <rFont val="Calibri"/>
              <b val="1"/>
              <sz val="10"/>
            </rPr>
            <t>WARUM?</t>
          </r>
          <r>
            <rPr>
              <rFont val="Calibri"/>
              <sz val="10"/>
            </rPr>
            <t xml:space="preserve">  Die Säule im Stillstand (oben) hat Gebirgstemperatur. Beim Einspeisen strömt das CO₂ mit der Temperatur nach der Pumpe nach unten – S1 kälter als das Gebirge (dichtere Säule), S2 wärmer (leichtere Säule). Dazu kostet die Strömung Reibungsdruck.
</t>
          </r>
          <r>
            <rPr>
              <rFont val="Calibri"/>
              <b val="1"/>
              <sz val="10"/>
            </rPr>
            <t>WIE?</t>
          </r>
          <r>
            <rPr>
              <rFont val="Calibri"/>
              <sz val="10"/>
            </rPr>
            <t xml:space="preserve">  Adiabat (schnelle Förderung, kein Wärmeaustausch mit dem Gebirge): h + g·z = konst. Impuls: dp = −(ρ·g − f/D · ρ·v²/2)·dz, Förderstrang 8 5/8" (D_i = 198,8 mm, Q-030 Tab. 1), Darcy f = 0,016 (Q-003 Kap. 6.2). Kopfdruck und Pumpenaustritt hängen voneinander ab → Iteration (2–3 Schritte).
</t>
          </r>
          <r>
            <rPr>
              <rFont val="Calibri"/>
              <b val="1"/>
              <sz val="10"/>
            </rPr>
            <t>ERGEBNIS:</t>
          </r>
          <r>
            <rPr>
              <rFont val="Calibri"/>
              <sz val="10"/>
            </rPr>
            <t xml:space="preserve">  Die Pumpe wird auf den Betrieb bei 100.000 Nm³/h ausgelegt (Regelung über den Kopfdruck, Besprechung 15.10.2026, Pkt. 6): S1 105,4 bar, S2 114,6 bar. Bei kleinerem Kavernendruck wird weniger gebraucht (Kopfdruckfenster in der Kaverne-Mappe).
</t>
          </r>
          <r>
            <rPr>
              <rFont val="Calibri"/>
              <b val="1"/>
              <sz val="10"/>
            </rPr>
            <t>GRENZE:</t>
          </r>
          <r>
            <rPr>
              <rFont val="Calibri"/>
              <sz val="10"/>
            </rPr>
            <t xml:space="preserve">  homogen und einphasig gerechnet; genauer nur mit Mehrphasen-Bohrlochmodell (Q-028 S. 11). Rechnung: Kaverne/Grundlagen/kaverne_bausteine.zieldruck_einspeisen().</t>
          </r>
        </is>
      </c>
      <c r="C80" s="46" t="n"/>
      <c r="D80" s="46" t="n"/>
      <c r="E80" s="46" t="n"/>
      <c r="F80" s="46" t="n"/>
      <c r="G80" s="46" t="n"/>
      <c r="H80" s="46" t="n"/>
      <c r="I80" s="46" t="n"/>
      <c r="J80" s="46" t="n"/>
      <c r="K80" s="47" t="n"/>
    </row>
    <row r="81"/>
    <row r="82" ht="42" customHeight="1">
      <c r="B82" s="37" t="inlineStr">
        <is>
          <t>Fall</t>
        </is>
      </c>
      <c r="C82" s="37" t="inlineStr">
        <is>
          <t>Druck unten (LCCS) [bar]</t>
        </is>
      </c>
      <c r="D82" s="37" t="inlineStr">
        <is>
          <t>Kopfdruck [bar]</t>
        </is>
      </c>
      <c r="E82" s="37" t="inlineStr">
        <is>
          <t>T am Kopf [°C]</t>
        </is>
      </c>
      <c r="F82" s="37" t="inlineStr">
        <is>
          <t>T an der LCCS [°C]</t>
        </is>
      </c>
      <c r="G82" s="37" t="inlineStr">
        <is>
          <t>v am Kopf [m/s]</t>
        </is>
      </c>
      <c r="H82" s="37" t="inlineStr">
        <is>
          <t>davon Reibung [bar]</t>
        </is>
      </c>
      <c r="I82" s="37" t="inlineStr">
        <is>
          <t>Säulengewinn [bar]</t>
        </is>
      </c>
      <c r="J82" s="37" t="inlineStr">
        <is>
          <t>Bedeutung</t>
        </is>
      </c>
      <c r="K82" s="37" t="n"/>
    </row>
    <row r="83" ht="27.95" customHeight="1">
      <c r="B83" s="38" t="inlineStr">
        <is>
          <t>Stillstand (voll)</t>
        </is>
      </c>
      <c r="C83" s="5" t="n">
        <v>210</v>
      </c>
      <c r="D83" s="6">
        <f>Kopf_voll</f>
        <v/>
      </c>
      <c r="E83" s="5" t="n">
        <v>10</v>
      </c>
      <c r="F83" s="5" t="n">
        <v>46</v>
      </c>
      <c r="G83" s="17" t="inlineStr">
        <is>
          <t>–</t>
        </is>
      </c>
      <c r="H83" s="17" t="inlineStr">
        <is>
          <t>–</t>
        </is>
      </c>
      <c r="I83" s="6">
        <f>C83-D83</f>
        <v/>
      </c>
      <c r="J83" s="33" t="inlineStr">
        <is>
          <t>Gebirgstemperatur, ruht</t>
        </is>
      </c>
      <c r="K83" s="43" t="n"/>
    </row>
    <row r="84" ht="27.95" customHeight="1">
      <c r="B84" s="38" t="inlineStr">
        <is>
          <t>Einspeisen S1, 50.000 Nm³/h</t>
        </is>
      </c>
      <c r="C84" s="5" t="n">
        <v>210</v>
      </c>
      <c r="D84" s="5" t="n">
        <v>104.179005740051</v>
      </c>
      <c r="E84" s="5" t="n">
        <v>16.43633182883542</v>
      </c>
      <c r="F84" s="5" t="n">
        <v>25.48893686143083</v>
      </c>
      <c r="G84" s="17" t="n">
        <v>0.9999025873497633</v>
      </c>
      <c r="H84" s="17" t="inlineStr">
        <is>
          <t>–</t>
        </is>
      </c>
      <c r="I84" s="6">
        <f>C84-D84</f>
        <v/>
      </c>
      <c r="J84" s="33" t="inlineStr"/>
      <c r="K84" s="43" t="n"/>
    </row>
    <row r="85" ht="27.95" customHeight="1">
      <c r="B85" s="38" t="inlineStr">
        <is>
          <t>Einspeisen S1, 100.000 Nm³/h</t>
        </is>
      </c>
      <c r="C85" s="5" t="n">
        <v>210</v>
      </c>
      <c r="D85" s="7" t="n">
        <v>105.4411023087268</v>
      </c>
      <c r="E85" s="5" t="n">
        <v>16.57186183757796</v>
      </c>
      <c r="F85" s="5" t="n">
        <v>25.57424145386437</v>
      </c>
      <c r="G85" s="17" t="n">
        <v>1.998952873190172</v>
      </c>
      <c r="H85" s="17" t="n">
        <v>1.618974446129997</v>
      </c>
      <c r="I85" s="6">
        <f>C85-D85</f>
        <v/>
      </c>
      <c r="J85" s="33" t="inlineStr">
        <is>
          <t>Zieldruck Pumpe S1 (Auslegung)</t>
        </is>
      </c>
      <c r="K85" s="43" t="n"/>
    </row>
    <row r="86" ht="27.95" customHeight="1">
      <c r="B86" s="38" t="inlineStr">
        <is>
          <t>Einspeisen S2, 50.000 Nm³/h</t>
        </is>
      </c>
      <c r="C86" s="5" t="n">
        <v>210</v>
      </c>
      <c r="D86" s="5" t="n">
        <v>113.2600365197303</v>
      </c>
      <c r="E86" s="5" t="n">
        <v>29.38907104476311</v>
      </c>
      <c r="F86" s="5" t="n">
        <v>40.62195425991717</v>
      </c>
      <c r="G86" s="17" t="n">
        <v>1.102014846632815</v>
      </c>
      <c r="H86" s="17" t="inlineStr">
        <is>
          <t>–</t>
        </is>
      </c>
      <c r="I86" s="6">
        <f>C86-D86</f>
        <v/>
      </c>
      <c r="J86" s="33" t="inlineStr"/>
      <c r="K86" s="43" t="n"/>
    </row>
    <row r="87" ht="27.95" customHeight="1">
      <c r="B87" s="38" t="inlineStr">
        <is>
          <t>Einspeisen S2, 100.000 Nm³/h</t>
        </is>
      </c>
      <c r="C87" s="5" t="n">
        <v>210</v>
      </c>
      <c r="D87" s="7" t="n">
        <v>114.6341589872628</v>
      </c>
      <c r="E87" s="5" t="n">
        <v>29.58976389993643</v>
      </c>
      <c r="F87" s="5" t="n">
        <v>40.71835330057093</v>
      </c>
      <c r="G87" s="17" t="n">
        <v>2.202290698427762</v>
      </c>
      <c r="H87" s="17" t="n">
        <v>1.750165342168955</v>
      </c>
      <c r="I87" s="6">
        <f>C87-D87</f>
        <v/>
      </c>
      <c r="J87" s="33" t="inlineStr">
        <is>
          <t>Zieldruck Pumpe S2 (Auslegung)</t>
        </is>
      </c>
      <c r="K87" s="43" t="n"/>
    </row>
    <row r="88"/>
    <row r="89">
      <c r="B89" s="39" t="inlineStr">
        <is>
          <t>Zum Vergleich: Worst-Case-Gemisch (100.000 Nm³/h, Werte aus der Mappe für Worst-Case-Gemisch)</t>
        </is>
      </c>
    </row>
    <row r="90" ht="42" customHeight="1">
      <c r="B90" s="37" t="inlineStr">
        <is>
          <t>Fall</t>
        </is>
      </c>
      <c r="C90" s="37" t="inlineStr">
        <is>
          <t>Druck unten (LCCS) [bar]</t>
        </is>
      </c>
      <c r="D90" s="37" t="inlineStr">
        <is>
          <t>Kopfdruck [bar]</t>
        </is>
      </c>
      <c r="E90" s="37" t="inlineStr">
        <is>
          <t>T am Kopf [°C]</t>
        </is>
      </c>
      <c r="F90" s="37" t="inlineStr">
        <is>
          <t>T an der LCCS [°C]</t>
        </is>
      </c>
      <c r="G90" s="37" t="inlineStr">
        <is>
          <t>v am Kopf [m/s]</t>
        </is>
      </c>
      <c r="H90" s="37" t="inlineStr">
        <is>
          <t>davon Reibung [bar]</t>
        </is>
      </c>
      <c r="I90" s="37" t="inlineStr">
        <is>
          <t>Diese Mappe − Worst-Case-Gemisch [bar]</t>
        </is>
      </c>
    </row>
    <row r="91" ht="27.95" customHeight="1">
      <c r="B91" s="38" t="inlineStr">
        <is>
          <t>Einspeisen S1, 100.000 Nm³/h</t>
        </is>
      </c>
      <c r="C91" s="5" t="n">
        <v>210</v>
      </c>
      <c r="D91" s="5" t="n">
        <v>114.273800177097</v>
      </c>
      <c r="E91" s="5" t="n">
        <v>18.30573505665217</v>
      </c>
      <c r="F91" s="5" t="n">
        <v>28.78955369701979</v>
      </c>
      <c r="G91" s="17" t="n">
        <v>2.145048259124543</v>
      </c>
      <c r="H91" s="17" t="n">
        <v>1.674573540200683</v>
      </c>
      <c r="I91" s="6">
        <f>D85-D91</f>
        <v/>
      </c>
    </row>
    <row r="92" ht="27.95" customHeight="1">
      <c r="B92" s="38" t="inlineStr">
        <is>
          <t>Einspeisen S2, 100.000 Nm³/h</t>
        </is>
      </c>
      <c r="C92" s="5" t="n">
        <v>210</v>
      </c>
      <c r="D92" s="5" t="n">
        <v>127.2718032176663</v>
      </c>
      <c r="E92" s="5" t="n">
        <v>34.40649477199338</v>
      </c>
      <c r="F92" s="5" t="n">
        <v>48.11519660575867</v>
      </c>
      <c r="G92" s="17" t="n">
        <v>2.502659593168201</v>
      </c>
      <c r="H92" s="17" t="n">
        <v>1.890596869095688</v>
      </c>
      <c r="I92" s="6">
        <f>D87-D92</f>
        <v/>
      </c>
    </row>
    <row r="93">
      <c r="B93" s="25" t="inlineStr">
        <is>
          <t>Graue Werte aus Kaverne/Grundlagen (Schritt 01, kaverne_stillstand.json) bzw. Prozesskette/03_S1 und 03_S2. Reibung = Kopfdruck mit minus ohne Rohrreibung (nur bei 100.000 Nm³/h gerechnet; bei 50.000 Nm³/h etwa ein Viertel, da ~ṁ²).</t>
        </is>
      </c>
    </row>
  </sheetData>
  <mergeCells count="14">
    <mergeCell ref="I19:K19"/>
    <mergeCell ref="J86:K86"/>
    <mergeCell ref="J82:K82"/>
    <mergeCell ref="B74:I75"/>
    <mergeCell ref="J87:K87"/>
    <mergeCell ref="J85:K85"/>
    <mergeCell ref="I17:K17"/>
    <mergeCell ref="I18:K18"/>
    <mergeCell ref="B4:J4"/>
    <mergeCell ref="J83:K83"/>
    <mergeCell ref="I20:K20"/>
    <mergeCell ref="J84:K84"/>
    <mergeCell ref="B23:L23"/>
    <mergeCell ref="B80:K80"/>
  </mergeCells>
  <conditionalFormatting sqref="B49:I73">
    <cfRule type="expression" priority="2" dxfId="0">
      <formula>NOT(Stand_ok)</formula>
    </cfRule>
  </conditionalFormatting>
  <conditionalFormatting sqref="C18:G20">
    <cfRule type="expression" priority="1" dxfId="0">
      <formula>NOT(Stand_ok)</formula>
    </cfRule>
  </conditionalFormatting>
  <conditionalFormatting sqref="C84:H87">
    <cfRule type="expression" priority="3" dxfId="30">
      <formula>NOT(Stand_ok)</formula>
    </cfRule>
  </conditionalFormatting>
  <conditionalFormatting sqref="E83:F83">
    <cfRule type="expression" priority="4" dxfId="30">
      <formula>NOT(Stand_ok)</formula>
    </cfRule>
  </conditionalFormatting>
  <conditionalFormatting sqref="C91:H92">
    <cfRule type="expression" priority="5" dxfId="30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/>
  <drawing r:id="rIdZeichnungOrig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7F7F7F"/>
    <outlinePr summaryBelow="1" summaryRight="1"/>
    <pageSetUpPr fitToPage="1"/>
  </sheetPr>
  <dimension ref="A1:H50"/>
  <sheetViews>
    <sheetView showGridLines="0" tabSelected="0" topLeftCell="A3" workbookViewId="0">
      <selection activeCell="R18" sqref="R18"/>
    </sheetView>
  </sheetViews>
  <sheetFormatPr baseColWidth="10" defaultColWidth="9.140625" defaultRowHeight="15"/>
  <cols>
    <col width="2.7109375" customWidth="1" min="1" max="1"/>
    <col width="22.7109375" customWidth="1" min="2" max="2"/>
    <col width="15.7109375" customWidth="1" min="3" max="6"/>
    <col width="26.7109375" customWidth="1" min="7" max="7"/>
    <col width="15.7109375" customWidth="1" min="8" max="8"/>
    <col width="9.7109375" customWidth="1" min="9" max="31"/>
  </cols>
  <sheetData>
    <row r="1" ht="30" customHeight="1">
      <c r="B1" s="1" t="inlineStr">
        <is>
          <t>Medienvergleich – warum CO₂ oben weniger Druck braucht</t>
        </is>
      </c>
    </row>
    <row r="2">
      <c r="B2" s="2" t="inlineStr">
        <is>
          <t>Gleiche Kaverne (Ziel 210 bar unten, Gebirge 10 °C + 0,03 K/m), gleiche Rechnung – nur das Medium ist anders</t>
        </is>
      </c>
    </row>
    <row r="3">
      <c r="B3" s="34" t="inlineStr">
        <is>
          <t>← zur Übersicht</t>
        </is>
      </c>
    </row>
    <row r="4" ht="77.45" customHeight="1">
      <c r="B4" s="32" t="inlineStr">
        <is>
          <t>IDEE:  Je schwerer die Säule im Bohrloch, desto mehr Druck liefert sie und desto weniger muss die Anlage oben aufbringen.
CO₂ ist unter diesen Bedingungen dicht (700–930 kg/m³), Erdgas und Wasserstoff bleiben Gase (Erdgas ~150 kg/m³, Wasserstoff ~15 kg/m³).
FOLGE:  Für CO₂ reicht eine Pumpe auf ~108 bar. Erdgas- und Wasserstoffspeicher brauchen Verdichter fast bis zum vollen Kavernendruck.
Rechnung wie auf Blatt „Kaverne &amp; Gassäule“: dp/dz = ρ(p,T) · g, von unten nach oben, Dichte aus CoolProp (Methan als Erdgas-Ersatz, reiner Wasserstoff). Der Zieldruck unten bleibt für alle Teufen bewusst bei 210 bar, damit nur der Effekt der Säule sichtbar wird.</t>
        </is>
      </c>
      <c r="C4" s="46" t="n"/>
      <c r="D4" s="46" t="n"/>
      <c r="E4" s="46" t="n"/>
      <c r="F4" s="46" t="n"/>
      <c r="G4" s="46" t="n"/>
      <c r="H4" s="47" t="n"/>
    </row>
    <row r="5"/>
    <row r="6">
      <c r="B6" s="39" t="inlineStr">
        <is>
          <t>1) Nötiger Kopfdruck über der Teufe (210 bar unten)</t>
        </is>
      </c>
    </row>
    <row r="7" ht="25.5" customHeight="1">
      <c r="B7" s="37" t="inlineStr">
        <is>
          <t>Teufe [m]</t>
        </is>
      </c>
      <c r="C7" s="37" t="inlineStr">
        <is>
          <t>CO₂ [bar]</t>
        </is>
      </c>
      <c r="D7" s="37" t="inlineStr">
        <is>
          <t>Erdgas CH₄ [bar]</t>
        </is>
      </c>
      <c r="E7" s="37" t="inlineStr">
        <is>
          <t>Wasserstoff H₂ [bar]</t>
        </is>
      </c>
      <c r="F7" s="37" t="inlineStr">
        <is>
          <t>Ziel unten [bar]</t>
        </is>
      </c>
    </row>
    <row r="8">
      <c r="B8" s="15" t="n">
        <v>600</v>
      </c>
      <c r="C8" s="5" t="n">
        <v>155.1661651229174</v>
      </c>
      <c r="D8" s="5" t="n">
        <v>200.1660094222985</v>
      </c>
      <c r="E8" s="5" t="n">
        <v>209.095008669397</v>
      </c>
      <c r="F8" s="6">
        <f>pmax_V1</f>
        <v/>
      </c>
    </row>
    <row r="9">
      <c r="B9" s="15" t="n">
        <v>800</v>
      </c>
      <c r="C9" s="5" t="n">
        <v>138.417092253989</v>
      </c>
      <c r="D9" s="5" t="n">
        <v>197.2092749242842</v>
      </c>
      <c r="E9" s="5" t="n">
        <v>208.8050049394762</v>
      </c>
      <c r="F9" s="6">
        <f>pmax_V1</f>
        <v/>
      </c>
    </row>
    <row r="10">
      <c r="B10" s="15" t="n">
        <v>1000</v>
      </c>
      <c r="C10" s="5" t="n">
        <v>122.5367242536628</v>
      </c>
      <c r="D10" s="5" t="n">
        <v>194.3926767109614</v>
      </c>
      <c r="E10" s="5" t="n">
        <v>208.5204660223911</v>
      </c>
      <c r="F10" s="6">
        <f>pmax_V1</f>
        <v/>
      </c>
    </row>
    <row r="11">
      <c r="B11" s="15" t="n">
        <v>1200</v>
      </c>
      <c r="C11" s="5" t="n">
        <v>107.603219569636</v>
      </c>
      <c r="D11" s="5" t="n">
        <v>191.7053427406622</v>
      </c>
      <c r="E11" s="5" t="n">
        <v>208.241191221202</v>
      </c>
      <c r="F11" s="6">
        <f>pmax_V1</f>
        <v/>
      </c>
    </row>
    <row r="12">
      <c r="B12" s="15" t="n">
        <v>1400</v>
      </c>
      <c r="C12" s="5" t="n">
        <v>93.70583884822787</v>
      </c>
      <c r="D12" s="5" t="n">
        <v>189.1373555557519</v>
      </c>
      <c r="E12" s="5" t="n">
        <v>207.9669908462842</v>
      </c>
      <c r="F12" s="6">
        <f>pmax_V1</f>
        <v/>
      </c>
    </row>
    <row r="13">
      <c r="B13" s="15" t="n">
        <v>1600</v>
      </c>
      <c r="C13" s="5" t="n">
        <v>80.94384089833967</v>
      </c>
      <c r="D13" s="5" t="n">
        <v>186.6797059758842</v>
      </c>
      <c r="E13" s="5" t="n">
        <v>207.697685413979</v>
      </c>
      <c r="F13" s="6">
        <f>pmax_V1</f>
        <v/>
      </c>
    </row>
    <row r="14">
      <c r="B14" s="25" t="inlineStr">
        <is>
          <t>CO₂: 74 bar weniger Kopfdruck zwischen 600 und 1600 m – Erdgas und Wasserstoff profitieren kaum von der Teufe.</t>
        </is>
      </c>
    </row>
    <row r="15"/>
    <row r="16">
      <c r="B16" s="39" t="inlineStr">
        <is>
          <t>2) Kennzahlen bei 1200 m Teufe</t>
        </is>
      </c>
    </row>
    <row r="17" ht="25.5" customHeight="1">
      <c r="B17" s="37" t="inlineStr">
        <is>
          <t>Medium</t>
        </is>
      </c>
      <c r="C17" s="37" t="inlineStr">
        <is>
          <t>Kopfdruck [bar]</t>
        </is>
      </c>
      <c r="D17" s="37" t="inlineStr">
        <is>
          <t>Säulengewinn [bar]</t>
        </is>
      </c>
      <c r="E17" s="37" t="inlineStr">
        <is>
          <t>ρ Kopf [kg/m³]</t>
        </is>
      </c>
      <c r="F17" s="37" t="inlineStr">
        <is>
          <t>ρ unten [kg/m³]</t>
        </is>
      </c>
      <c r="G17" s="37" t="inlineStr">
        <is>
          <t>Übertagetechnik</t>
        </is>
      </c>
    </row>
    <row r="18">
      <c r="B18" s="38" t="inlineStr">
        <is>
          <t>CO₂</t>
        </is>
      </c>
      <c r="C18" s="5" t="n">
        <v>107.603219569636</v>
      </c>
      <c r="D18" s="7">
        <f>pmax_V1-C18</f>
        <v/>
      </c>
      <c r="E18" s="5" t="n">
        <v>926.3220368040497</v>
      </c>
      <c r="F18" s="5" t="n">
        <v>817.604266524432</v>
      </c>
      <c r="G18" s="33" t="inlineStr">
        <is>
          <t>Pumpe (91 → 108 bar)</t>
        </is>
      </c>
    </row>
    <row r="19">
      <c r="B19" s="38" t="inlineStr">
        <is>
          <t>Erdgas (CH₄)</t>
        </is>
      </c>
      <c r="C19" s="5" t="n">
        <v>191.7053427406622</v>
      </c>
      <c r="D19" s="7">
        <f>pmax_V1-C19</f>
        <v/>
      </c>
      <c r="E19" s="5" t="n">
        <v>167.4719408815457</v>
      </c>
      <c r="F19" s="5" t="n">
        <v>145.1794721555662</v>
      </c>
      <c r="G19" s="33" t="inlineStr">
        <is>
          <t>Verdichter bis ~192 bar</t>
        </is>
      </c>
    </row>
    <row r="20">
      <c r="B20" s="38" t="inlineStr">
        <is>
          <t>Wasserstoff (H₂)</t>
        </is>
      </c>
      <c r="C20" s="5" t="n">
        <v>208.241191221202</v>
      </c>
      <c r="D20" s="7">
        <f>pmax_V1-C20</f>
        <v/>
      </c>
      <c r="E20" s="5" t="n">
        <v>15.72883088966589</v>
      </c>
      <c r="F20" s="5" t="n">
        <v>14.21068755165444</v>
      </c>
      <c r="G20" s="33" t="inlineStr">
        <is>
          <t>Verdichter bis ~208 bar</t>
        </is>
      </c>
    </row>
    <row r="21">
      <c r="B21" s="25" t="inlineStr">
        <is>
          <t>Bei Erdgas und Wasserstoff ist die Dichte unten kleiner als oben: der Temperaturanstieg überwiegt den Druckanstieg.</t>
        </is>
      </c>
    </row>
    <row r="22"/>
    <row r="23">
      <c r="B23" s="39" t="inlineStr">
        <is>
          <t>3) Druck- und Dichteprofile über die Teufe (Kaverne V1, 1200 m – gerechnet in 2-m-Schritten, dargestellt alle 50 m)</t>
        </is>
      </c>
    </row>
    <row r="24" ht="30" customHeight="1">
      <c r="B24" s="37" t="inlineStr">
        <is>
          <t>Teufe z [m]</t>
        </is>
      </c>
      <c r="C24" s="37" t="inlineStr">
        <is>
          <t>p CO₂ [bar]</t>
        </is>
      </c>
      <c r="D24" s="37" t="inlineStr">
        <is>
          <t>ρ CO₂ [kg/m³]</t>
        </is>
      </c>
      <c r="E24" s="37" t="inlineStr">
        <is>
          <t>p CH₄ [bar]</t>
        </is>
      </c>
      <c r="F24" s="37" t="inlineStr">
        <is>
          <t>ρ CH₄ [kg/m³]</t>
        </is>
      </c>
      <c r="G24" s="37" t="inlineStr">
        <is>
          <t>p H₂ [bar]</t>
        </is>
      </c>
      <c r="H24" s="37" t="inlineStr">
        <is>
          <t>ρ H₂ [kg/m³]</t>
        </is>
      </c>
    </row>
    <row r="25">
      <c r="B25" s="15" t="n">
        <v>0</v>
      </c>
      <c r="C25" s="5" t="n">
        <v>107.603219569636</v>
      </c>
      <c r="D25" s="5" t="n">
        <v>926.3220368040497</v>
      </c>
      <c r="E25" s="5" t="n">
        <v>191.7053427406622</v>
      </c>
      <c r="F25" s="5" t="n">
        <v>167.4719408815457</v>
      </c>
      <c r="G25" s="5" t="n">
        <v>208.241191221202</v>
      </c>
      <c r="H25" s="5" t="n">
        <v>15.72883088966589</v>
      </c>
    </row>
    <row r="26">
      <c r="B26" s="15" t="n">
        <v>50</v>
      </c>
      <c r="C26" s="5" t="n">
        <v>112.1341797962734</v>
      </c>
      <c r="D26" s="5" t="n">
        <v>921.366486511542</v>
      </c>
      <c r="E26" s="5" t="n">
        <v>192.5237991102777</v>
      </c>
      <c r="F26" s="5" t="n">
        <v>166.3024809390417</v>
      </c>
      <c r="G26" s="5" t="n">
        <v>208.3181615381853</v>
      </c>
      <c r="H26" s="5" t="n">
        <v>15.65852647572181</v>
      </c>
    </row>
    <row r="27">
      <c r="B27" s="15" t="n">
        <v>100</v>
      </c>
      <c r="C27" s="5" t="n">
        <v>116.6408956363133</v>
      </c>
      <c r="D27" s="5" t="n">
        <v>916.4357927804383</v>
      </c>
      <c r="E27" s="5" t="n">
        <v>193.336585324316</v>
      </c>
      <c r="F27" s="5" t="n">
        <v>165.1587904857896</v>
      </c>
      <c r="G27" s="5" t="n">
        <v>208.39478875352</v>
      </c>
      <c r="H27" s="5" t="n">
        <v>15.58890317551354</v>
      </c>
    </row>
    <row r="28">
      <c r="B28" s="15" t="n">
        <v>150</v>
      </c>
      <c r="C28" s="5" t="n">
        <v>121.1234940528359</v>
      </c>
      <c r="D28" s="5" t="n">
        <v>911.5319259396267</v>
      </c>
      <c r="E28" s="5" t="n">
        <v>194.1438258140124</v>
      </c>
      <c r="F28" s="5" t="n">
        <v>164.0401012295617</v>
      </c>
      <c r="G28" s="5" t="n">
        <v>208.4710761816751</v>
      </c>
      <c r="H28" s="5" t="n">
        <v>15.51995067544083</v>
      </c>
    </row>
    <row r="29">
      <c r="B29" s="15" t="n">
        <v>200</v>
      </c>
      <c r="C29" s="5" t="n">
        <v>125.5821115549518</v>
      </c>
      <c r="D29" s="5" t="n">
        <v>906.656806769357</v>
      </c>
      <c r="E29" s="5" t="n">
        <v>194.9456412954687</v>
      </c>
      <c r="F29" s="5" t="n">
        <v>162.945665822523</v>
      </c>
      <c r="G29" s="5" t="n">
        <v>208.5470270870771</v>
      </c>
      <c r="H29" s="5" t="n">
        <v>15.45165887509044</v>
      </c>
    </row>
    <row r="30">
      <c r="B30" s="15" t="n">
        <v>250</v>
      </c>
      <c r="C30" s="5" t="n">
        <v>130.0168939094205</v>
      </c>
      <c r="D30" s="5" t="n">
        <v>901.8122895680307</v>
      </c>
      <c r="E30" s="5" t="n">
        <v>195.7421488727798</v>
      </c>
      <c r="F30" s="5" t="n">
        <v>161.8747579957838</v>
      </c>
      <c r="G30" s="5" t="n">
        <v>208.6226446851422</v>
      </c>
      <c r="H30" s="5" t="n">
        <v>15.38401788166031</v>
      </c>
    </row>
    <row r="31">
      <c r="B31" s="15" t="n">
        <v>300</v>
      </c>
      <c r="C31" s="5" t="n">
        <v>134.4279957838498</v>
      </c>
      <c r="D31" s="5" t="n">
        <v>897.0001511506534</v>
      </c>
      <c r="E31" s="5" t="n">
        <v>196.5334621415182</v>
      </c>
      <c r="F31" s="5" t="n">
        <v>160.8266725788987</v>
      </c>
      <c r="G31" s="5" t="n">
        <v>208.6979321432798</v>
      </c>
      <c r="H31" s="5" t="n">
        <v>15.3170180045594</v>
      </c>
    </row>
    <row r="32">
      <c r="B32" s="15" t="n">
        <v>350</v>
      </c>
      <c r="C32" s="5" t="n">
        <v>138.8155803530323</v>
      </c>
      <c r="D32" s="5" t="n">
        <v>892.222086630273</v>
      </c>
      <c r="E32" s="5" t="n">
        <v>197.3196912920571</v>
      </c>
      <c r="F32" s="5" t="n">
        <v>159.8007254200133</v>
      </c>
      <c r="G32" s="5" t="n">
        <v>208.7728925818721</v>
      </c>
      <c r="H32" s="5" t="n">
        <v>15.25064975017689</v>
      </c>
    </row>
    <row r="33">
      <c r="B33" s="15" t="n">
        <v>400</v>
      </c>
      <c r="C33" s="5" t="n">
        <v>143.1798189021624</v>
      </c>
      <c r="D33" s="5" t="n">
        <v>887.4797120192601</v>
      </c>
      <c r="E33" s="5" t="n">
        <v>198.1009432122761</v>
      </c>
      <c r="F33" s="5" t="n">
        <v>158.7962532207887</v>
      </c>
      <c r="G33" s="5" t="n">
        <v>208.847529075226</v>
      </c>
      <c r="H33" s="5" t="n">
        <v>15.18490381681445</v>
      </c>
    </row>
    <row r="34">
      <c r="B34" s="15" t="n">
        <v>450</v>
      </c>
      <c r="C34" s="5" t="n">
        <v>147.5208904585417</v>
      </c>
      <c r="D34" s="5" t="n">
        <v>882.7745727921837</v>
      </c>
      <c r="E34" s="5" t="n">
        <v>198.8773215892704</v>
      </c>
      <c r="F34" s="5" t="n">
        <v>157.8126132987892</v>
      </c>
      <c r="G34" s="5" t="n">
        <v>208.921844652503</v>
      </c>
      <c r="H34" s="5" t="n">
        <v>15.11977108977571</v>
      </c>
    </row>
    <row r="35">
      <c r="B35" s="15" t="n">
        <v>500</v>
      </c>
      <c r="C35" s="5" t="n">
        <v>151.8389814770035</v>
      </c>
      <c r="D35" s="5" t="n">
        <v>878.1081567113812</v>
      </c>
      <c r="E35" s="5" t="n">
        <v>199.6489270097312</v>
      </c>
      <c r="F35" s="5" t="n">
        <v>156.8491832886778</v>
      </c>
      <c r="G35" s="5" t="n">
        <v>208.9958422986234</v>
      </c>
      <c r="H35" s="5" t="n">
        <v>15.05524263660712</v>
      </c>
    </row>
    <row r="36">
      <c r="B36" s="15" t="n">
        <v>550</v>
      </c>
      <c r="C36" s="5" t="n">
        <v>156.1342855942196</v>
      </c>
      <c r="D36" s="5" t="n">
        <v>873.4819085875686</v>
      </c>
      <c r="E36" s="5" t="n">
        <v>200.4158570587282</v>
      </c>
      <c r="F36" s="5" t="n">
        <v>155.9053607923434</v>
      </c>
      <c r="G36" s="5" t="n">
        <v>209.0695249551491</v>
      </c>
      <c r="H36" s="5" t="n">
        <v>14.99130970248502</v>
      </c>
    </row>
    <row r="37">
      <c r="B37" s="15" t="n">
        <v>600</v>
      </c>
      <c r="C37" s="5" t="n">
        <v>160.4070034547488</v>
      </c>
      <c r="D37" s="5" t="n">
        <v>868.8972443584622</v>
      </c>
      <c r="E37" s="5" t="n">
        <v>201.1782064166648</v>
      </c>
      <c r="F37" s="5" t="n">
        <v>154.9805629869597</v>
      </c>
      <c r="G37" s="5" t="n">
        <v>209.1428955211428</v>
      </c>
      <c r="H37" s="5" t="n">
        <v>14.92796370574345</v>
      </c>
    </row>
    <row r="38">
      <c r="B38" s="15" t="n">
        <v>650</v>
      </c>
      <c r="C38" s="5" t="n">
        <v>164.6573425989316</v>
      </c>
      <c r="D38" s="5" t="n">
        <v>864.3555619715407</v>
      </c>
      <c r="E38" s="5" t="n">
        <v>201.9360669542201</v>
      </c>
      <c r="F38" s="5" t="n">
        <v>154.0742261989491</v>
      </c>
      <c r="G38" s="5" t="n">
        <v>209.2159568540065</v>
      </c>
      <c r="H38" s="5" t="n">
        <v>14.86519623353772</v>
      </c>
    </row>
    <row r="39">
      <c r="B39" s="15" t="n">
        <v>700</v>
      </c>
      <c r="C39" s="5" t="n">
        <v>168.8855173915603</v>
      </c>
      <c r="D39" s="5" t="n">
        <v>859.8582470542098</v>
      </c>
      <c r="E39" s="5" t="n">
        <v>202.6895278251305</v>
      </c>
      <c r="F39" s="5" t="n">
        <v>153.1858054508931</v>
      </c>
      <c r="G39" s="5" t="n">
        <v>209.2887117702988</v>
      </c>
      <c r="H39" s="5" t="n">
        <v>14.80299903763915</v>
      </c>
    </row>
    <row r="40">
      <c r="B40" s="15" t="n">
        <v>750</v>
      </c>
      <c r="C40" s="5" t="n">
        <v>173.0917489623185</v>
      </c>
      <c r="D40" s="5" t="n">
        <v>855.4066721820159</v>
      </c>
      <c r="E40" s="5" t="n">
        <v>203.4386755566926</v>
      </c>
      <c r="F40" s="5" t="n">
        <v>152.3147739875809</v>
      </c>
      <c r="G40" s="5" t="n">
        <v>209.3611630465319</v>
      </c>
      <c r="H40" s="5" t="n">
        <v>14.74136403035596</v>
      </c>
    </row>
    <row r="41">
      <c r="B41" s="15" t="n">
        <v>800</v>
      </c>
      <c r="C41" s="5" t="n">
        <v>177.276265125521</v>
      </c>
      <c r="D41" s="5" t="n">
        <v>851.002189481026</v>
      </c>
      <c r="E41" s="5" t="n">
        <v>204.1835941379002</v>
      </c>
      <c r="F41" s="5" t="n">
        <v>151.4606227866182</v>
      </c>
      <c r="G41" s="5" t="n">
        <v>209.4333134199485</v>
      </c>
      <c r="H41" s="5" t="n">
        <v>14.68028328057636</v>
      </c>
    </row>
    <row r="42">
      <c r="B42" s="15" t="n">
        <v>850</v>
      </c>
      <c r="C42" s="5" t="n">
        <v>181.4393002480552</v>
      </c>
      <c r="D42" s="5" t="n">
        <v>846.6461173344846</v>
      </c>
      <c r="E42" s="5" t="n">
        <v>204.9243651051519</v>
      </c>
      <c r="F42" s="5" t="n">
        <v>150.6228600583274</v>
      </c>
      <c r="G42" s="5" t="n">
        <v>209.5051655892808</v>
      </c>
      <c r="H42" s="5" t="n">
        <v>14.61974900992922</v>
      </c>
    </row>
    <row r="43">
      <c r="B43" s="15" t="n">
        <v>900</v>
      </c>
      <c r="C43" s="5" t="n">
        <v>185.5810950402171</v>
      </c>
      <c r="D43" s="5" t="n">
        <v>842.3397227262963</v>
      </c>
      <c r="E43" s="5" t="n">
        <v>205.661067625487</v>
      </c>
      <c r="F43" s="5" t="n">
        <v>149.8010107390447</v>
      </c>
      <c r="G43" s="5" t="n">
        <v>209.5767222154894</v>
      </c>
      <c r="H43" s="5" t="n">
        <v>14.55975358905833</v>
      </c>
    </row>
    <row r="44">
      <c r="B44" s="15" t="n">
        <v>950</v>
      </c>
      <c r="C44" s="5" t="n">
        <v>189.7018962532259</v>
      </c>
      <c r="D44" s="5" t="n">
        <v>838.0842013089516</v>
      </c>
      <c r="E44" s="5" t="n">
        <v>206.3937785773266</v>
      </c>
      <c r="F44" s="5" t="n">
        <v>148.9946159813571</v>
      </c>
      <c r="G44" s="5" t="n">
        <v>209.6479859224853</v>
      </c>
      <c r="H44" s="5" t="n">
        <v>14.50028953400642</v>
      </c>
    </row>
    <row r="45">
      <c r="B45" s="15" t="n">
        <v>1000</v>
      </c>
      <c r="C45" s="5" t="n">
        <v>193.8019562780313</v>
      </c>
      <c r="D45" s="5" t="n">
        <v>833.88065746307</v>
      </c>
      <c r="E45" s="5" t="n">
        <v>207.1225726287141</v>
      </c>
      <c r="F45" s="5" t="n">
        <v>148.2032326443234</v>
      </c>
      <c r="G45" s="5" t="n">
        <v>209.7189592978339</v>
      </c>
      <c r="H45" s="5" t="n">
        <v>14.44134950270513</v>
      </c>
    </row>
    <row r="46">
      <c r="B46" s="15" t="n">
        <v>1050</v>
      </c>
      <c r="C46" s="5" t="n">
        <v>197.8815326508965</v>
      </c>
      <c r="D46" s="5" t="n">
        <v>829.7300864645803</v>
      </c>
      <c r="E46" s="5" t="n">
        <v>207.84752231306</v>
      </c>
      <c r="F46" s="5" t="n">
        <v>147.4264327862767</v>
      </c>
      <c r="G46" s="5" t="n">
        <v>209.7896448934424</v>
      </c>
      <c r="H46" s="5" t="n">
        <v>14.38292629156719</v>
      </c>
    </row>
    <row r="47">
      <c r="B47" s="15" t="n">
        <v>1100</v>
      </c>
      <c r="C47" s="5" t="n">
        <v>201.9408874806155</v>
      </c>
      <c r="D47" s="5" t="n">
        <v>825.633360446953</v>
      </c>
      <c r="E47" s="5" t="n">
        <v>208.5686981024106</v>
      </c>
      <c r="F47" s="5" t="n">
        <v>146.6638031624037</v>
      </c>
      <c r="G47" s="5" t="n">
        <v>209.8600452262305</v>
      </c>
      <c r="H47" s="5" t="n">
        <v>14.32501283217746</v>
      </c>
    </row>
    <row r="48">
      <c r="B48" s="15" t="n">
        <v>1150</v>
      </c>
      <c r="C48" s="5" t="n">
        <v>205.9802868190127</v>
      </c>
      <c r="D48" s="5" t="n">
        <v>821.5912192425889</v>
      </c>
      <c r="E48" s="5" t="n">
        <v>209.2861684782681</v>
      </c>
      <c r="F48" s="5" t="n">
        <v>145.9149447289471</v>
      </c>
      <c r="G48" s="5" t="n">
        <v>209.9301627787852</v>
      </c>
      <c r="H48" s="5" t="n">
        <v>14.26760218807953</v>
      </c>
    </row>
    <row r="49">
      <c r="B49" s="15" t="n">
        <v>1200</v>
      </c>
      <c r="C49" s="5" t="n">
        <v>210</v>
      </c>
      <c r="D49" s="5" t="n">
        <v>817.604266524432</v>
      </c>
      <c r="E49" s="5" t="n">
        <v>210</v>
      </c>
      <c r="F49" s="5" t="n">
        <v>145.1794721555662</v>
      </c>
      <c r="G49" s="5" t="n">
        <v>210</v>
      </c>
      <c r="H49" s="5" t="n">
        <v>14.21068755165444</v>
      </c>
    </row>
    <row r="50">
      <c r="B50" s="25" t="inlineStr">
        <is>
          <t>Gleiche Rechnung wie auf Blatt „Kaverne &amp; Gassäule“ (Fall voll): von 210 bar unten nach oben integriert, Gebirge 10 °C + 0,03 K/m.</t>
        </is>
      </c>
    </row>
  </sheetData>
  <mergeCells count="1">
    <mergeCell ref="B4:H4"/>
  </mergeCells>
  <conditionalFormatting sqref="B8:E13">
    <cfRule type="expression" priority="1" dxfId="0">
      <formula>NOT(Stand_ok)</formula>
    </cfRule>
  </conditionalFormatting>
  <conditionalFormatting sqref="B25:H49">
    <cfRule type="expression" priority="4" dxfId="0">
      <formula>NOT(Stand_ok)</formula>
    </cfRule>
  </conditionalFormatting>
  <conditionalFormatting sqref="C18:C20">
    <cfRule type="expression" priority="2" dxfId="0">
      <formula>NOT(Stand_ok)</formula>
    </cfRule>
  </conditionalFormatting>
  <conditionalFormatting sqref="E18:F20">
    <cfRule type="expression" priority="3" dxfId="0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/>
  <drawing r:id="rIdZeichnungOrig"/>
</worksheet>
</file>

<file path=xl/worksheets/sheet4.xml><?xml version="1.0" encoding="utf-8"?>
<worksheet xmlns="http://schemas.openxmlformats.org/spreadsheetml/2006/main">
  <sheetPr>
    <tabColor rgb="FF007335"/>
    <outlinePr summaryBelow="1" summaryRight="1"/>
    <pageSetUpPr fitToPage="1"/>
  </sheetPr>
  <dimension ref="A1:I29"/>
  <sheetViews>
    <sheetView showGridLines="0" tabSelected="0" topLeftCell="A3" workbookViewId="0">
      <selection activeCell="E23" sqref="E23"/>
    </sheetView>
  </sheetViews>
  <sheetFormatPr baseColWidth="10" defaultColWidth="9.140625" defaultRowHeight="15"/>
  <cols>
    <col width="2.7109375" customWidth="1" min="1" max="1"/>
    <col width="5.7109375" customWidth="1" min="2" max="2"/>
    <col width="38.7109375" customWidth="1" min="3" max="3"/>
    <col width="34.7109375" customWidth="1" min="4" max="4"/>
    <col width="17.7109375" customWidth="1" min="5" max="5"/>
    <col width="10.7109375" customWidth="1" min="6" max="6"/>
    <col width="20.7109375" customWidth="1" min="7" max="7"/>
    <col width="9.7109375" customWidth="1" min="8" max="31"/>
  </cols>
  <sheetData>
    <row r="1" ht="30" customHeight="1">
      <c r="B1" s="1" t="inlineStr">
        <is>
          <t>Einspeicherung S1 – Anlieferung in dichter Phase: Pumpe</t>
        </is>
      </c>
    </row>
    <row r="2">
      <c r="B2" s="2" t="inlineStr">
        <is>
          <t>Netzübergabe → Messtechnik/Filtration → Pumpe → Bohrlochkopf</t>
        </is>
      </c>
    </row>
    <row r="3">
      <c r="B3" s="34" t="inlineStr">
        <is>
          <t>← zur Übersicht</t>
        </is>
      </c>
    </row>
    <row r="4" ht="140.45" customHeight="1">
      <c r="B4" s="45" t="inlineStr">
        <is>
          <r>
            <rPr>
              <rFont val="Calibri"/>
              <b val="1"/>
              <sz val="10"/>
            </rPr>
            <t>AUSGANGSLAGE:</t>
          </r>
          <r>
            <rPr>
              <rFont val="Calibri"/>
              <sz val="10"/>
            </rPr>
            <t xml:space="preserve">  Das CO₂ kommt dicht (flüssigkeitsähnlich) aus der Fernleitung: 91 bar, 15 °C.
</t>
          </r>
          <r>
            <rPr>
              <rFont val="Calibri"/>
              <b val="1"/>
              <sz val="10"/>
            </rPr>
            <t>ZIEL:</t>
          </r>
          <r>
            <rPr>
              <rFont val="Calibri"/>
              <sz val="10"/>
            </rPr>
            <t xml:space="preserve">  105,4 bar am Bohrlochkopf im Betrieb (100.000 Nm³/h) – strömende Säule, Blatt „Kaverne &amp; Gassäule“, Abschnitt Betrieb. Im Stillstand wären es 107,6 bar: das kalte CO₂ aus der Pumpe (16,6 °C statt Gebirgstemperatur) macht die Säule schwerer, die Reibung (1,6 bar) kostet etwas zurück.
</t>
          </r>
          <r>
            <rPr>
              <rFont val="Calibri"/>
              <b val="1"/>
              <sz val="10"/>
            </rPr>
            <t>WARUM EINE PUMPE?</t>
          </r>
          <r>
            <rPr>
              <rFont val="Calibri"/>
              <sz val="10"/>
            </rPr>
            <t xml:space="preserve">  Das CO₂ ist bereits dicht und kaum kompressibel. Eine Pumpe genügt, ein Verdichter wäre nur für Gas nötig.
</t>
          </r>
          <r>
            <rPr>
              <rFont val="Calibri"/>
              <b val="1"/>
              <sz val="10"/>
            </rPr>
            <t>RECHENWEG:</t>
          </r>
          <r>
            <rPr>
              <rFont val="Calibri"/>
              <sz val="10"/>
            </rPr>
            <t xml:space="preserve">  (1) Zustand am Eintritt → Enthalpie h₁, Entropie s₁.  (2) Idealfall: isentrope Druckerhöhung (Entropie bleibt gleich) → h₂s.  (3) Realfall mit Verlusten über den isentropen Wirkungsgrad: h₂ = h₁ + (h₂s − h₁) / η.  (4) Aus p₂ und h₂ → Austrittstemperatur T₂.  (5) Spezifische Arbeit w = h₂ − h₁, Leistung P = ṁ · w.
</t>
          </r>
          <r>
            <rPr>
              <rFont val="Calibri"/>
              <b val="1"/>
              <sz val="10"/>
            </rPr>
            <t>BEGRIFF:</t>
          </r>
          <r>
            <rPr>
              <rFont val="Calibri"/>
              <sz val="10"/>
            </rPr>
            <t xml:space="preserve">  isentrop = Entropie konstant (Pumpe, Verdichter). Nicht verwechseln mit isenthalp = Enthalpie konstant (Drossel bei der Ausspeicherung).
</t>
          </r>
          <r>
            <rPr>
              <rFont val="Calibri"/>
              <b val="1"/>
              <sz val="10"/>
            </rPr>
            <t>ANNAHMEN:</t>
          </r>
          <r>
            <rPr>
              <rFont val="Calibri"/>
              <sz val="10"/>
            </rPr>
            <t xml:space="preserve">  η = 0,80 (eigene Annahme – Q-016 S. 4 nennt nur eine Glykolpumpe mit 70 %; Herstellerwert einholen); kein Druckverlust in Messtechnik und Filtration; reines CO₂.</t>
          </r>
        </is>
      </c>
      <c r="C4" s="46" t="n"/>
      <c r="D4" s="46" t="n"/>
      <c r="E4" s="46" t="n"/>
      <c r="F4" s="46" t="n"/>
      <c r="G4" s="47" t="n"/>
    </row>
    <row r="5"/>
    <row r="6">
      <c r="B6" s="39" t="inlineStr">
        <is>
          <t>Rechenschritte</t>
        </is>
      </c>
    </row>
    <row r="7">
      <c r="B7" s="37" t="inlineStr">
        <is>
          <t>Nr.</t>
        </is>
      </c>
      <c r="C7" s="37" t="inlineStr">
        <is>
          <t>Rechenschritt</t>
        </is>
      </c>
      <c r="D7" s="37" t="inlineStr">
        <is>
          <t>Formel / Funktion</t>
        </is>
      </c>
      <c r="E7" s="37" t="inlineStr">
        <is>
          <t>Wert</t>
        </is>
      </c>
      <c r="F7" s="37" t="inlineStr">
        <is>
          <t>Einheit</t>
        </is>
      </c>
      <c r="G7" s="37" t="inlineStr">
        <is>
          <t>Art des Werts</t>
        </is>
      </c>
    </row>
    <row r="8">
      <c r="B8" s="33" t="n">
        <v>1</v>
      </c>
      <c r="C8" s="33" t="inlineStr">
        <is>
          <t>Eintrittsdruck</t>
        </is>
      </c>
      <c r="D8" s="33" t="inlineStr">
        <is>
          <t>= Übergabedruck S1</t>
        </is>
      </c>
      <c r="E8" s="6">
        <f>p_S1</f>
        <v/>
      </c>
      <c r="F8" s="33" t="inlineStr">
        <is>
          <t>bar</t>
        </is>
      </c>
      <c r="G8" s="33" t="inlineStr">
        <is>
          <t>aus anderem Blatt</t>
        </is>
      </c>
    </row>
    <row r="9">
      <c r="B9" s="33" t="n">
        <v>2</v>
      </c>
      <c r="C9" s="33" t="inlineStr">
        <is>
          <t>Eintrittstemperatur</t>
        </is>
      </c>
      <c r="D9" s="33" t="inlineStr">
        <is>
          <t>= Übergabetemperatur S1</t>
        </is>
      </c>
      <c r="E9" s="6">
        <f>T_S1</f>
        <v/>
      </c>
      <c r="F9" s="33" t="inlineStr">
        <is>
          <t>°C</t>
        </is>
      </c>
      <c r="G9" s="33" t="inlineStr">
        <is>
          <t>aus anderem Blatt</t>
        </is>
      </c>
    </row>
    <row r="10">
      <c r="B10" s="33" t="n">
        <v>3</v>
      </c>
      <c r="C10" s="33" t="inlineStr">
        <is>
          <t>Enthalpie Eintritt h₁</t>
        </is>
      </c>
      <c r="D10" s="33" t="inlineStr">
        <is>
          <t>CoolProp: H(p₁, T₁)</t>
        </is>
      </c>
      <c r="E10" s="17" t="n">
        <v>231.1882381347587</v>
      </c>
      <c r="F10" s="33" t="inlineStr">
        <is>
          <t>kJ/kg</t>
        </is>
      </c>
      <c r="G10" s="33" t="inlineStr">
        <is>
          <t>CoolProp (fest)</t>
        </is>
      </c>
    </row>
    <row r="11">
      <c r="B11" s="33" t="n">
        <v>4</v>
      </c>
      <c r="C11" s="33" t="inlineStr">
        <is>
          <t>Entropie Eintritt s₁</t>
        </is>
      </c>
      <c r="D11" s="33" t="inlineStr">
        <is>
          <t>CoolProp: S(p₁, T₁)</t>
        </is>
      </c>
      <c r="E11" s="26" t="n">
        <v>1.089033038517513</v>
      </c>
      <c r="F11" s="33" t="inlineStr">
        <is>
          <t>kJ/(kg·K)</t>
        </is>
      </c>
      <c r="G11" s="33" t="inlineStr">
        <is>
          <t>CoolProp (fest)</t>
        </is>
      </c>
    </row>
    <row r="12">
      <c r="B12" s="33" t="n">
        <v>5</v>
      </c>
      <c r="C12" s="33" t="inlineStr">
        <is>
          <t>Austrittsdruck p₂ (= Zieldruck im Betrieb)</t>
        </is>
      </c>
      <c r="D12" s="33" t="inlineStr">
        <is>
          <t>Kaverne &amp; Gassäule: Betrieb, V_n,max</t>
        </is>
      </c>
      <c r="E12" s="6">
        <f>Kopf_betr_S1</f>
        <v/>
      </c>
      <c r="F12" s="33" t="inlineStr">
        <is>
          <t>bar</t>
        </is>
      </c>
      <c r="G12" s="33" t="inlineStr">
        <is>
          <t>aus anderem Blatt</t>
        </is>
      </c>
    </row>
    <row r="13">
      <c r="B13" s="33" t="n">
        <v>6</v>
      </c>
      <c r="C13" s="33" t="inlineStr">
        <is>
          <t>Enthalpie isentrop h₂s</t>
        </is>
      </c>
      <c r="D13" s="33" t="inlineStr">
        <is>
          <t>CoolProp: H(p₂, s = s₁)</t>
        </is>
      </c>
      <c r="E13" s="17" t="n">
        <v>232.8223492752733</v>
      </c>
      <c r="F13" s="33" t="inlineStr">
        <is>
          <t>kJ/kg</t>
        </is>
      </c>
      <c r="G13" s="33" t="inlineStr">
        <is>
          <t>CoolProp (fest)</t>
        </is>
      </c>
    </row>
    <row r="14">
      <c r="B14" s="33" t="n">
        <v>7</v>
      </c>
      <c r="C14" s="33" t="inlineStr">
        <is>
          <t>Isentroper Wirkungsgrad η</t>
        </is>
      </c>
      <c r="D14" s="33" t="inlineStr">
        <is>
          <t>Annahme (Übersicht)</t>
        </is>
      </c>
      <c r="E14" s="24">
        <f>eta</f>
        <v/>
      </c>
      <c r="F14" s="33" t="inlineStr">
        <is>
          <t>–</t>
        </is>
      </c>
      <c r="G14" s="33" t="inlineStr">
        <is>
          <t>aus anderem Blatt</t>
        </is>
      </c>
    </row>
    <row r="15">
      <c r="B15" s="33" t="n">
        <v>8</v>
      </c>
      <c r="C15" s="33" t="inlineStr">
        <is>
          <t>Enthalpie real h₂</t>
        </is>
      </c>
      <c r="D15" s="33" t="inlineStr">
        <is>
          <t>h₂ = h₁ + (h₂s − h₁) / η</t>
        </is>
      </c>
      <c r="E15" s="24">
        <f>Szen1_h1+(Szen1_h2s-Szen1_h1)/eta</f>
        <v/>
      </c>
      <c r="F15" s="33" t="inlineStr">
        <is>
          <t>kJ/kg</t>
        </is>
      </c>
      <c r="G15" s="33" t="inlineStr">
        <is>
          <t>Excel-Formel</t>
        </is>
      </c>
    </row>
    <row r="16">
      <c r="B16" s="33" t="n">
        <v>9</v>
      </c>
      <c r="C16" s="33" t="inlineStr">
        <is>
          <t>Austrittstemperatur T₂</t>
        </is>
      </c>
      <c r="D16" s="33" t="inlineStr">
        <is>
          <t>CoolProp: T(p₂, h₂)</t>
        </is>
      </c>
      <c r="E16" s="17" t="n">
        <v>16.57186183757796</v>
      </c>
      <c r="F16" s="33" t="inlineStr">
        <is>
          <t>°C</t>
        </is>
      </c>
      <c r="G16" s="33" t="inlineStr">
        <is>
          <t>CoolProp (fest)</t>
        </is>
      </c>
    </row>
    <row r="17">
      <c r="B17" s="33" t="n">
        <v>10</v>
      </c>
      <c r="C17" s="33" t="inlineStr">
        <is>
          <t>Phase am Austritt</t>
        </is>
      </c>
      <c r="D17" s="33" t="inlineStr">
        <is>
          <t>CoolProp: Phase(p₂, h₂)</t>
        </is>
      </c>
      <c r="E17" s="27" t="inlineStr">
        <is>
          <t>dicht (flüssig)</t>
        </is>
      </c>
      <c r="F17" s="33" t="inlineStr">
        <is>
          <t>–</t>
        </is>
      </c>
      <c r="G17" s="33" t="inlineStr">
        <is>
          <t>CoolProp (fest)</t>
        </is>
      </c>
    </row>
    <row r="18">
      <c r="B18" s="33" t="n">
        <v>11</v>
      </c>
      <c r="C18" s="33" t="inlineStr">
        <is>
          <t>Spezifische Arbeit w</t>
        </is>
      </c>
      <c r="D18" s="33" t="inlineStr">
        <is>
          <t>w = h₂ − h₁</t>
        </is>
      </c>
      <c r="E18" s="21">
        <f>Szen1_h2-Szen1_h1</f>
        <v/>
      </c>
      <c r="F18" s="33" t="inlineStr">
        <is>
          <t>kJ/kg</t>
        </is>
      </c>
      <c r="G18" s="33" t="inlineStr">
        <is>
          <t>Ergebnis (Formel)</t>
        </is>
      </c>
    </row>
    <row r="19">
      <c r="B19" s="33" t="n">
        <v>12</v>
      </c>
      <c r="C19" s="33" t="inlineStr">
        <is>
          <t>Normdichte CO₂ (0 °C; 1,01325 bar)</t>
        </is>
      </c>
      <c r="D19" s="33" t="inlineStr">
        <is>
          <t>CoolProp: D(p_n, T_n), DIN 1343</t>
        </is>
      </c>
      <c r="E19" s="26" t="n">
        <v>1.97681274147157</v>
      </c>
      <c r="F19" s="33" t="inlineStr">
        <is>
          <t>kg/m³</t>
        </is>
      </c>
      <c r="G19" s="33" t="inlineStr">
        <is>
          <t>CoolProp (fest)</t>
        </is>
      </c>
    </row>
    <row r="20">
      <c r="B20" s="33" t="n">
        <v>13</v>
      </c>
      <c r="C20" s="33" t="inlineStr">
        <is>
          <t>Massenstrom, unterer Fall</t>
        </is>
      </c>
      <c r="D20" s="33" t="inlineStr">
        <is>
          <t>ṁ = V_n,min · ρ_n / 3600</t>
        </is>
      </c>
      <c r="E20" s="24">
        <f>V_min*rho_n/3600</f>
        <v/>
      </c>
      <c r="F20" s="33" t="inlineStr">
        <is>
          <t>kg/s</t>
        </is>
      </c>
      <c r="G20" s="33" t="inlineStr">
        <is>
          <t>Excel-Formel</t>
        </is>
      </c>
    </row>
    <row r="21">
      <c r="B21" s="33" t="n">
        <v>14</v>
      </c>
      <c r="C21" s="33" t="inlineStr">
        <is>
          <t>Massenstrom, oberer Fall</t>
        </is>
      </c>
      <c r="D21" s="33" t="inlineStr">
        <is>
          <t>ṁ = V_n,max · ρ_n / 3600</t>
        </is>
      </c>
      <c r="E21" s="24">
        <f>V_max*rho_n/3600</f>
        <v/>
      </c>
      <c r="F21" s="33" t="inlineStr">
        <is>
          <t>kg/s</t>
        </is>
      </c>
      <c r="G21" s="33" t="inlineStr">
        <is>
          <t>Excel-Formel</t>
        </is>
      </c>
    </row>
    <row r="22">
      <c r="B22" s="33" t="n">
        <v>15</v>
      </c>
      <c r="C22" s="33" t="inlineStr">
        <is>
          <t>Pumpenleistung, unterer Fall</t>
        </is>
      </c>
      <c r="D22" s="33" t="inlineStr">
        <is>
          <t>P = ṁ · w</t>
        </is>
      </c>
      <c r="E22" s="7">
        <f>Szen1_mmin*Szen1_w</f>
        <v/>
      </c>
      <c r="F22" s="33" t="inlineStr">
        <is>
          <t>kW</t>
        </is>
      </c>
      <c r="G22" s="33" t="inlineStr">
        <is>
          <t>Ergebnis (Formel)</t>
        </is>
      </c>
    </row>
    <row r="23">
      <c r="B23" s="33" t="n">
        <v>16</v>
      </c>
      <c r="C23" s="33" t="inlineStr">
        <is>
          <t>Pumpenleistung, oberer Fall</t>
        </is>
      </c>
      <c r="D23" s="33" t="inlineStr">
        <is>
          <t>P = ṁ · w</t>
        </is>
      </c>
      <c r="E23" s="7">
        <f>Szen1_mmax*Szen1_w</f>
        <v/>
      </c>
      <c r="F23" s="33" t="inlineStr">
        <is>
          <t>kW</t>
        </is>
      </c>
      <c r="G23" s="33" t="inlineStr">
        <is>
          <t>Ergebnis (Formel)</t>
        </is>
      </c>
    </row>
    <row r="24">
      <c r="B24" s="25" t="inlineStr">
        <is>
          <t>Wird η auf der Übersicht geändert, rechnen h₂, w und P sofort mit. T₂ kommt aus CoolProp und färbt sich dann rot (veraltet).</t>
        </is>
      </c>
    </row>
    <row r="25"/>
    <row r="26">
      <c r="B26" s="39" t="inlineStr">
        <is>
          <t>Zustandspunkte</t>
        </is>
      </c>
    </row>
    <row r="27">
      <c r="B27" s="37" t="n"/>
      <c r="C27" s="37" t="inlineStr">
        <is>
          <t>Punkt</t>
        </is>
      </c>
      <c r="D27" s="37" t="inlineStr">
        <is>
          <t>p [bar]</t>
        </is>
      </c>
      <c r="E27" s="37" t="inlineStr">
        <is>
          <t>T [°C]</t>
        </is>
      </c>
      <c r="F27" s="37" t="inlineStr">
        <is>
          <t>h [kJ/kg]</t>
        </is>
      </c>
      <c r="G27" s="37" t="inlineStr">
        <is>
          <t>Phase</t>
        </is>
      </c>
    </row>
    <row r="28">
      <c r="B28" s="33" t="n"/>
      <c r="C28" s="38" t="inlineStr">
        <is>
          <t>Netzübergabe / Pumpe ein</t>
        </is>
      </c>
      <c r="D28" s="5" t="n">
        <v>91</v>
      </c>
      <c r="E28" s="17" t="n">
        <v>15</v>
      </c>
      <c r="F28" s="17" t="n">
        <v>231.1882381347587</v>
      </c>
      <c r="G28" s="27" t="inlineStr">
        <is>
          <t>dicht (flüssig)</t>
        </is>
      </c>
      <c r="I28" t="inlineStr">
        <is>
          <t>Die Pumpe hebt den Druck von 91 auf 105,4 bar; die Temperatur steigt nur um 1,6 K. Der ganze Weg liegt über p_krit (73,8 bar) – das CO₂ bleibt dicht. Gesamtbild: Blatt „Phasendiagramm“.</t>
        </is>
      </c>
    </row>
    <row r="29">
      <c r="B29" s="33" t="n"/>
      <c r="C29" s="38" t="inlineStr">
        <is>
          <t>Pumpe aus / Bohrlochkopf</t>
        </is>
      </c>
      <c r="D29" s="5">
        <f>Szen1_p2</f>
        <v/>
      </c>
      <c r="E29" s="17">
        <f>Szen1_T2</f>
        <v/>
      </c>
      <c r="F29" s="17">
        <f>Szen1_h2</f>
        <v/>
      </c>
      <c r="G29" s="27" t="inlineStr">
        <is>
          <t>dicht (flüssig)</t>
        </is>
      </c>
    </row>
  </sheetData>
  <mergeCells count="1">
    <mergeCell ref="B4:G4"/>
  </mergeCells>
  <conditionalFormatting sqref="D28:G29">
    <cfRule type="expression" priority="7" dxfId="0">
      <formula>NOT(Stand_ok)</formula>
    </cfRule>
  </conditionalFormatting>
  <conditionalFormatting sqref="E10:E11">
    <cfRule type="expression" priority="1" dxfId="0">
      <formula>NOT(Stand_ok)</formula>
    </cfRule>
  </conditionalFormatting>
  <conditionalFormatting sqref="E13">
    <cfRule type="expression" priority="3" dxfId="0">
      <formula>NOT(Stand_ok)</formula>
    </cfRule>
    <cfRule type="expression" priority="6" dxfId="30">
      <formula>NOT(Stand_ok)</formula>
    </cfRule>
  </conditionalFormatting>
  <conditionalFormatting sqref="E16:E17">
    <cfRule type="expression" priority="4" dxfId="0">
      <formula>NOT(Stand_ok)</formula>
    </cfRule>
  </conditionalFormatting>
  <conditionalFormatting sqref="E19">
    <cfRule type="expression" priority="6" dxfId="0">
      <formula>NOT(Stand_ok)</formula>
    </cfRule>
  </conditionalFormatting>
  <conditionalFormatting sqref="E16">
    <cfRule type="expression" priority="7" dxfId="30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0476D9"/>
    <outlinePr summaryBelow="1" summaryRight="1"/>
    <pageSetUpPr fitToPage="1"/>
  </sheetPr>
  <dimension ref="A1:I200"/>
  <sheetViews>
    <sheetView showGridLines="0" tabSelected="0" topLeftCell="A3" workbookViewId="0">
      <selection activeCell="S5" sqref="S5"/>
    </sheetView>
  </sheetViews>
  <sheetFormatPr baseColWidth="10" defaultColWidth="9.140625" defaultRowHeight="15"/>
  <cols>
    <col width="2.7109375" customWidth="1" min="1" max="1"/>
    <col width="6.4" customWidth="1" min="2" max="2"/>
    <col width="39.4" customWidth="1" min="3" max="3"/>
    <col width="34.7" customWidth="1" min="4" max="4"/>
    <col width="18.7" customWidth="1" min="5" max="5"/>
    <col width="14.7" customWidth="1" min="6" max="6"/>
    <col width="24.7" customWidth="1" min="7" max="7"/>
    <col width="3.7" customWidth="1" min="8" max="8"/>
    <col width="9.699999999999999" customWidth="1" min="9" max="9"/>
    <col width="9.699999999999999" customWidth="1" min="10" max="10"/>
    <col width="9.699999999999999" customWidth="1" min="11" max="11"/>
    <col width="9.699999999999999" customWidth="1" min="12" max="12"/>
    <col width="9.699999999999999" customWidth="1" min="13" max="13"/>
    <col width="9.699999999999999" customWidth="1" min="14" max="14"/>
    <col width="9.699999999999999" customWidth="1" min="15" max="15"/>
    <col width="9.699999999999999" customWidth="1" min="16" max="16"/>
    <col width="9.699999999999999" customWidth="1" min="17" max="17"/>
    <col width="9.699999999999999" customWidth="1" min="18" max="18"/>
    <col width="9.699999999999999" customWidth="1" min="19" max="19"/>
    <col width="9.699999999999999" customWidth="1" min="20" max="20"/>
    <col width="9.699999999999999" customWidth="1" min="21" max="21"/>
    <col width="9.699999999999999" customWidth="1" min="22" max="22"/>
    <col width="9.699999999999999" customWidth="1" min="23" max="23"/>
    <col width="9.699999999999999" customWidth="1" min="24" max="24"/>
    <col width="9.699999999999999" customWidth="1" min="25" max="25"/>
    <col width="9.699999999999999" customWidth="1" min="26" max="26"/>
    <col width="9.699999999999999" customWidth="1" min="27" max="27"/>
    <col width="9.699999999999999" customWidth="1" min="28" max="28"/>
    <col width="9.699999999999999" customWidth="1" min="29" max="29"/>
    <col width="9.699999999999999" customWidth="1" min="30" max="30"/>
    <col width="9.699999999999999" customWidth="1" min="31" max="31"/>
  </cols>
  <sheetData>
    <row r="1" ht="30" customHeight="1">
      <c r="B1" s="1" t="inlineStr">
        <is>
          <t>Einspeicherung S2 – gasförmige Anlieferung: verdichten, kühlen, pumpen</t>
        </is>
      </c>
    </row>
    <row r="2">
      <c r="B2" s="2" t="inlineStr">
        <is>
          <t>Netzübergabe → Messtechnik/Filtration → Verdichter 1 → Zwischenkühler (40 °C) → Verdichter 2 → Kühler (91 bar, 26 °C) → Pumpe → Bohrlochkopf</t>
        </is>
      </c>
    </row>
    <row r="3">
      <c r="B3" s="34" t="inlineStr">
        <is>
          <t>← zur Übersicht</t>
        </is>
      </c>
    </row>
    <row r="4" ht="150" customHeight="1">
      <c r="B4" s="32" t="inlineStr">
        <is>
          <r>
            <rPr>
              <rFont val="Calibri"/>
              <b val="1"/>
              <sz val="10"/>
            </rPr>
            <t>AUSGANGSLAGE:</t>
          </r>
          <r>
            <rPr>
              <rFont val="Calibri"/>
              <sz val="10"/>
            </rPr>
            <t xml:space="preserve">  Das CO₂ kommt gasförmig an: 30 bar, 15 °C. Ziel: 114,6 bar am Bohrlochkopf im Betrieb (100.000 Nm³/h; Stillstand 107,6 bar – Blatt „Kaverne &amp; Gassäule“).
</t>
          </r>
          <r>
            <rPr>
              <rFont val="Calibri"/>
              <b val="1"/>
              <sz val="10"/>
            </rPr>
            <t>WEG:</t>
          </r>
          <r>
            <rPr>
              <rFont val="Calibri"/>
              <sz val="10"/>
            </rPr>
            <t xml:space="preserve">  Zwei Verdichterstufen 30 → 55 → 91 bar mit Zwischenkühler auf 40 °C; 91 bar liegt über der p_krit (73,8 bar). Der Kühler vor der Pumpe kühlt bei 91 bar auf 26 °C – das CO₂ wird stetig dichter, ohne ein Zweiphasengebiet zu berühren (keine Kondensation, kein Verflüssiger). Die Pumpe saugt einphasig dichtes CO₂ an (792 kg/m³) – bei demselben Druck wie in S1.
</t>
          </r>
          <r>
            <rPr>
              <rFont val="Calibri"/>
              <b val="1"/>
              <sz val="10"/>
            </rPr>
            <t>ZWEI KÜHLER, ZWEI ZWECKE:</t>
          </r>
          <r>
            <rPr>
              <rFont val="Calibri"/>
              <sz val="10"/>
            </rPr>
            <t xml:space="preserve">  Zwischenkühler senkt die Verdichterarbeit und hält Stufe 2 unter 95 °C → 40 °C (Q-017 S. 37; Q-063 Kap. 5.1). Kühler vor der Pumpe so kalt wie das Kühlwasser erlaubt, weit weg von der pseudokritischen Linie (40,5 °C bei 91 bar) → 26 °C = Kühlwasser 20 °C + 6 K (Q-120 Folie 24/32). Herleitung: Blatt „Kühlung“.
</t>
          </r>
          <r>
            <rPr>
              <rFont val="Calibri"/>
              <b val="1"/>
              <sz val="10"/>
            </rPr>
            <t>ANNAHMEN (Übersicht):</t>
          </r>
          <r>
            <rPr>
              <rFont val="Calibri"/>
              <sz val="10"/>
            </rPr>
            <t xml:space="preserve">  Zwischendruck 55 bar (Z ≥ 0,7, Q-017 S. 44) · höchstens 95 °C je Stufe (Q-016 S. 4) · Z &gt; 0,65 am Verdichtereintritt (Siemens Energy) · ρ ≥ 500 kg/m³ an der Pumpe (Q-121 S. 2) · Wirkungsgrade 84 / 82 % (Q-016 S. 4), Pumpe 80 % (eigene Annahme). Quellen mit Fundstelle: Blatt „Annahmen &amp; Begründung“.
</t>
          </r>
          <r>
            <rPr>
              <rFont val="Calibri"/>
              <b val="1"/>
              <sz val="10"/>
            </rPr>
            <t>RECHENWEG:</t>
          </r>
          <r>
            <rPr>
              <rFont val="Calibri"/>
              <sz val="10"/>
            </rPr>
            <t xml:space="preserve">  wie in S1 – Verdichter und Pumpe isentrop + Wirkungsgrad: h_aus = h_ein + (h_s − h_ein) / η. Kühler: abgeführte Wärme q = h_vor − h_nach. Grau = CoolProp-Wert (fest), weiß = Excel-Formel, grün = Ergebnis.</t>
          </r>
        </is>
      </c>
      <c r="C4" s="46" t="n"/>
      <c r="D4" s="46" t="n"/>
      <c r="E4" s="46" t="n"/>
      <c r="F4" s="46" t="n"/>
      <c r="G4" s="47" t="n"/>
    </row>
    <row r="5"/>
    <row r="6">
      <c r="B6" s="39" t="inlineStr">
        <is>
          <t>Rechenschritte</t>
        </is>
      </c>
    </row>
    <row r="7" ht="27.95" customHeight="1">
      <c r="B7" s="37" t="inlineStr">
        <is>
          <t>Nr.</t>
        </is>
      </c>
      <c r="C7" s="37" t="inlineStr">
        <is>
          <t>Rechenschritt</t>
        </is>
      </c>
      <c r="D7" s="37" t="inlineStr">
        <is>
          <t>Formel / Funktion</t>
        </is>
      </c>
      <c r="E7" s="37" t="inlineStr">
        <is>
          <t>Wert</t>
        </is>
      </c>
      <c r="F7" s="37" t="inlineStr">
        <is>
          <t>Einheit</t>
        </is>
      </c>
      <c r="G7" s="37" t="inlineStr">
        <is>
          <t>Art des Werts</t>
        </is>
      </c>
    </row>
    <row r="8" ht="15" customHeight="1">
      <c r="B8" s="30" t="inlineStr">
        <is>
          <t>Verdichter 1. Stufe</t>
        </is>
      </c>
      <c r="C8" s="42" t="n"/>
      <c r="D8" s="42" t="n"/>
      <c r="E8" s="42" t="n"/>
      <c r="F8" s="42" t="n"/>
      <c r="G8" s="43" t="n"/>
    </row>
    <row r="9" ht="15" customHeight="1">
      <c r="B9" s="33" t="n">
        <v>1</v>
      </c>
      <c r="C9" s="33" t="inlineStr">
        <is>
          <t>Eintrittsdruck</t>
        </is>
      </c>
      <c r="D9" s="33" t="inlineStr">
        <is>
          <t>= Übergabe S2</t>
        </is>
      </c>
      <c r="E9" s="6">
        <f>p_S2</f>
        <v/>
      </c>
      <c r="F9" s="33" t="inlineStr">
        <is>
          <t>bar</t>
        </is>
      </c>
      <c r="G9" s="33" t="inlineStr">
        <is>
          <t>aus anderem Blatt</t>
        </is>
      </c>
    </row>
    <row r="10" ht="15" customHeight="1">
      <c r="B10" s="33" t="n">
        <v>2</v>
      </c>
      <c r="C10" s="33" t="inlineStr">
        <is>
          <t>Eintrittstemperatur</t>
        </is>
      </c>
      <c r="D10" s="33" t="inlineStr">
        <is>
          <t>= Übergabe S2</t>
        </is>
      </c>
      <c r="E10" s="6">
        <f>T_S2</f>
        <v/>
      </c>
      <c r="F10" s="33" t="inlineStr">
        <is>
          <t>°C</t>
        </is>
      </c>
      <c r="G10" s="33" t="inlineStr">
        <is>
          <t>aus anderem Blatt</t>
        </is>
      </c>
    </row>
    <row r="11" ht="15" customHeight="1">
      <c r="B11" s="33" t="n">
        <v>3</v>
      </c>
      <c r="C11" s="33" t="inlineStr">
        <is>
          <t>Enthalpie Eintritt</t>
        </is>
      </c>
      <c r="D11" s="33" t="inlineStr">
        <is>
          <t>CoolProp: H(p_ein, T_ein)</t>
        </is>
      </c>
      <c r="E11" s="17" t="n">
        <v>462.3387941882859</v>
      </c>
      <c r="F11" s="33" t="inlineStr">
        <is>
          <t>kJ/kg</t>
        </is>
      </c>
      <c r="G11" s="33" t="inlineStr">
        <is>
          <t>CoolProp (fest)</t>
        </is>
      </c>
    </row>
    <row r="12" ht="15" customHeight="1">
      <c r="B12" s="33" t="n">
        <v>4</v>
      </c>
      <c r="C12" s="33" t="inlineStr">
        <is>
          <t>Zwischendruck</t>
        </is>
      </c>
      <c r="D12" s="33" t="inlineStr">
        <is>
          <t>Annahme (Übersicht), Blatt „Kühlung“</t>
        </is>
      </c>
      <c r="E12" s="6">
        <f>p_zw</f>
        <v/>
      </c>
      <c r="F12" s="33" t="inlineStr">
        <is>
          <t>bar</t>
        </is>
      </c>
      <c r="G12" s="33" t="inlineStr">
        <is>
          <t>aus anderem Blatt</t>
        </is>
      </c>
    </row>
    <row r="13" ht="15" customHeight="1">
      <c r="B13" s="33" t="n">
        <v>5</v>
      </c>
      <c r="C13" s="33" t="inlineStr">
        <is>
          <t>Wirkungsgrad η_V1</t>
        </is>
      </c>
      <c r="D13" s="33" t="inlineStr">
        <is>
          <t>Annahme (Übersicht), Q-016 S. 4</t>
        </is>
      </c>
      <c r="E13" s="24">
        <f>eta_V1</f>
        <v/>
      </c>
      <c r="F13" s="33" t="inlineStr">
        <is>
          <t>–</t>
        </is>
      </c>
      <c r="G13" s="33" t="inlineStr">
        <is>
          <t>aus anderem Blatt</t>
        </is>
      </c>
    </row>
    <row r="14" ht="15" customHeight="1">
      <c r="B14" s="33" t="n">
        <v>6</v>
      </c>
      <c r="C14" s="33" t="inlineStr">
        <is>
          <t>Enthalpie isentrop</t>
        </is>
      </c>
      <c r="D14" s="33" t="inlineStr">
        <is>
          <t>CoolProp: H(p_zw, s_ein)</t>
        </is>
      </c>
      <c r="E14" s="17" t="n">
        <v>490.6952573331939</v>
      </c>
      <c r="F14" s="33" t="inlineStr">
        <is>
          <t>kJ/kg</t>
        </is>
      </c>
      <c r="G14" s="33" t="inlineStr">
        <is>
          <t>CoolProp (fest)</t>
        </is>
      </c>
    </row>
    <row r="15" ht="15" customHeight="1">
      <c r="B15" s="33" t="n">
        <v>7</v>
      </c>
      <c r="C15" s="33" t="inlineStr">
        <is>
          <t>Enthalpie real Austritt</t>
        </is>
      </c>
      <c r="D15" s="33" t="inlineStr">
        <is>
          <t>h = h_ein + (h_s − h_ein) / η_V1</t>
        </is>
      </c>
      <c r="E15" s="24">
        <f>Szen2_h1+(Szen2_h1s-Szen2_h1)/eta_V1</f>
        <v/>
      </c>
      <c r="F15" s="33" t="inlineStr">
        <is>
          <t>kJ/kg</t>
        </is>
      </c>
      <c r="G15" s="33" t="inlineStr">
        <is>
          <t>Excel-Formel</t>
        </is>
      </c>
    </row>
    <row r="16" ht="15" customHeight="1">
      <c r="B16" s="33" t="n">
        <v>8</v>
      </c>
      <c r="C16" s="33" t="inlineStr">
        <is>
          <t>Austrittstemperatur</t>
        </is>
      </c>
      <c r="D16" s="33" t="inlineStr">
        <is>
          <t>CoolProp: T(p_zw, h)</t>
        </is>
      </c>
      <c r="E16" s="5" t="n">
        <v>65.42761478141722</v>
      </c>
      <c r="F16" s="33" t="inlineStr">
        <is>
          <t>°C</t>
        </is>
      </c>
      <c r="G16" s="33" t="inlineStr">
        <is>
          <t>CoolProp (fest)</t>
        </is>
      </c>
    </row>
    <row r="17" ht="40" customHeight="1">
      <c r="B17" s="33" t="n">
        <v>9</v>
      </c>
      <c r="C17" s="33" t="inlineStr">
        <is>
          <t>Prüfung 95-°C-Grenze (Q-016 S. 4)</t>
        </is>
      </c>
      <c r="D17" s="33" t="inlineStr">
        <is>
          <t>T_aus ≤ T_max ?</t>
        </is>
      </c>
      <c r="E17" s="50">
        <f>IF(Szen2_T1a&lt;=T_maxV,"✔ eingehalten","⚠ überschritten")</f>
        <v/>
      </c>
      <c r="F17" s="33" t="inlineStr">
        <is>
          <t>–</t>
        </is>
      </c>
      <c r="G17" s="33" t="inlineStr">
        <is>
          <t>Excel-Formel</t>
        </is>
      </c>
    </row>
    <row r="18" ht="15" customHeight="1">
      <c r="B18" s="33" t="n">
        <v>10</v>
      </c>
      <c r="C18" s="33" t="inlineStr">
        <is>
          <t>Spezifische Arbeit Stufe 1</t>
        </is>
      </c>
      <c r="D18" s="33" t="inlineStr">
        <is>
          <t>w₁ = h_aus − h_ein</t>
        </is>
      </c>
      <c r="E18" s="21">
        <f>Szen2_h1a-Szen2_h1</f>
        <v/>
      </c>
      <c r="F18" s="33" t="inlineStr">
        <is>
          <t>kJ/kg</t>
        </is>
      </c>
      <c r="G18" s="33" t="inlineStr">
        <is>
          <t>Ergebnis (Formel)</t>
        </is>
      </c>
    </row>
    <row r="19" ht="15" customHeight="1">
      <c r="B19" s="30" t="inlineStr">
        <is>
          <t>Zwischenkühler (auf T_ZK = 40 °C)</t>
        </is>
      </c>
      <c r="C19" s="42" t="n"/>
      <c r="D19" s="42" t="n"/>
      <c r="E19" s="42" t="n"/>
      <c r="F19" s="42" t="n"/>
      <c r="G19" s="43" t="n"/>
    </row>
    <row r="20" ht="40" customHeight="1">
      <c r="B20" s="33" t="n">
        <v>11</v>
      </c>
      <c r="C20" s="33" t="inlineStr">
        <is>
          <t>Prüfung: bleibt gasförmig?</t>
        </is>
      </c>
      <c r="D20" s="33" t="inlineStr">
        <is>
          <t>T_ZK &gt; T_krit (31,0 °C) ?</t>
        </is>
      </c>
      <c r="E20" s="50">
        <f>IF(T_ZK&gt;30.978,"✔ gasförmig ("&amp;FIXED(T_ZK-30.978,1)&amp;" K über T_krit)","⚠ unter T_krit – Dampfdruck prüfen")</f>
        <v/>
      </c>
      <c r="F20" s="33" t="inlineStr">
        <is>
          <t>–</t>
        </is>
      </c>
      <c r="G20" s="33" t="inlineStr">
        <is>
          <t>Excel-Formel</t>
        </is>
      </c>
    </row>
    <row r="21" ht="15" customHeight="1">
      <c r="B21" s="33" t="n">
        <v>12</v>
      </c>
      <c r="C21" s="33" t="inlineStr">
        <is>
          <t>Enthalpie nach Zwischenkühler</t>
        </is>
      </c>
      <c r="D21" s="33" t="inlineStr">
        <is>
          <t>CoolProp: H(p_zw, T_ZK)</t>
        </is>
      </c>
      <c r="E21" s="17" t="n">
        <v>459.8045063181442</v>
      </c>
      <c r="F21" s="33" t="inlineStr">
        <is>
          <t>kJ/kg</t>
        </is>
      </c>
      <c r="G21" s="33" t="inlineStr">
        <is>
          <t>CoolProp (fest)</t>
        </is>
      </c>
    </row>
    <row r="22" ht="15" customHeight="1">
      <c r="B22" s="33" t="n">
        <v>13</v>
      </c>
      <c r="C22" s="33" t="inlineStr">
        <is>
          <t>Abgeführte Wärme</t>
        </is>
      </c>
      <c r="D22" s="33" t="inlineStr">
        <is>
          <t>q = h_vor − h_nach</t>
        </is>
      </c>
      <c r="E22" s="24">
        <f>Szen2_h1a-Szen2_hZK</f>
        <v/>
      </c>
      <c r="F22" s="33" t="inlineStr">
        <is>
          <t>kJ/kg</t>
        </is>
      </c>
      <c r="G22" s="33" t="inlineStr">
        <is>
          <t>Excel-Formel</t>
        </is>
      </c>
    </row>
    <row r="23" ht="15" customHeight="1">
      <c r="B23" s="33" t="n">
        <v>14</v>
      </c>
      <c r="C23" s="33" t="inlineStr">
        <is>
          <t>Realgasfaktor Eintritt Stufe 2</t>
        </is>
      </c>
      <c r="D23" s="33" t="inlineStr">
        <is>
          <t>CoolProp: Z(p_zw, T_ZK)</t>
        </is>
      </c>
      <c r="E23" s="51" t="n">
        <v>0.7148114423484014</v>
      </c>
      <c r="F23" s="33" t="inlineStr">
        <is>
          <t>–</t>
        </is>
      </c>
      <c r="G23" s="33" t="inlineStr">
        <is>
          <t>CoolProp (fest)</t>
        </is>
      </c>
    </row>
    <row r="24" ht="40" customHeight="1">
      <c r="B24" s="33" t="n">
        <v>15</v>
      </c>
      <c r="C24" s="33" t="inlineStr">
        <is>
          <t>Prüfung Realgasfaktor (Siemens 0,65; Q-017: 0,7)</t>
        </is>
      </c>
      <c r="D24" s="33" t="inlineStr">
        <is>
          <t>Z &gt; Z_min ?</t>
        </is>
      </c>
      <c r="E24" s="50">
        <f>IF(Szen2_Z2&gt;=0.7,"✔ eingehalten (auch ≥ 0,7 nach Q-017)",IF(Szen2_Z2&gt;Z_min,"✔ über "&amp;FIXED(Z_min,2)&amp;", unter 0,7 (Q-017)","⚠ nicht über "&amp;FIXED(Z_min,2)))</f>
        <v/>
      </c>
      <c r="F24" s="33" t="inlineStr">
        <is>
          <t>–</t>
        </is>
      </c>
      <c r="G24" s="33" t="inlineStr">
        <is>
          <t>Excel-Formel</t>
        </is>
      </c>
    </row>
    <row r="25" ht="15" customHeight="1">
      <c r="B25" s="30" t="inlineStr">
        <is>
          <t>Verdichter 2. Stufe</t>
        </is>
      </c>
      <c r="C25" s="42" t="n"/>
      <c r="D25" s="42" t="n"/>
      <c r="E25" s="42" t="n"/>
      <c r="F25" s="42" t="n"/>
      <c r="G25" s="43" t="n"/>
    </row>
    <row r="26" ht="15" customHeight="1">
      <c r="B26" s="33" t="n">
        <v>16</v>
      </c>
      <c r="C26" s="33" t="inlineStr">
        <is>
          <t>Wirkungsgrad η_V2</t>
        </is>
      </c>
      <c r="D26" s="33" t="inlineStr">
        <is>
          <t>Annahme (Übersicht), Q-016 S. 4</t>
        </is>
      </c>
      <c r="E26" s="24">
        <f>eta_V2</f>
        <v/>
      </c>
      <c r="F26" s="33" t="inlineStr">
        <is>
          <t>–</t>
        </is>
      </c>
      <c r="G26" s="33" t="inlineStr">
        <is>
          <t>aus anderem Blatt</t>
        </is>
      </c>
    </row>
    <row r="27" ht="15" customHeight="1">
      <c r="B27" s="33" t="n">
        <v>17</v>
      </c>
      <c r="C27" s="33" t="inlineStr">
        <is>
          <t>Austrittsdruck</t>
        </is>
      </c>
      <c r="D27" s="33" t="inlineStr">
        <is>
          <t>Annahme (Übersicht)</t>
        </is>
      </c>
      <c r="E27" s="6">
        <f>p_uek</f>
        <v/>
      </c>
      <c r="F27" s="33" t="inlineStr">
        <is>
          <t>bar</t>
        </is>
      </c>
      <c r="G27" s="33" t="inlineStr">
        <is>
          <t>aus anderem Blatt</t>
        </is>
      </c>
    </row>
    <row r="28" ht="15" customHeight="1">
      <c r="B28" s="33" t="n">
        <v>18</v>
      </c>
      <c r="C28" s="33" t="inlineStr">
        <is>
          <t>Enthalpie isentrop</t>
        </is>
      </c>
      <c r="D28" s="33" t="inlineStr">
        <is>
          <t>CoolProp: H(p_ük, s(p_zw, T_ZK))</t>
        </is>
      </c>
      <c r="E28" s="17" t="n">
        <v>482.4024733422226</v>
      </c>
      <c r="F28" s="33" t="inlineStr">
        <is>
          <t>kJ/kg</t>
        </is>
      </c>
      <c r="G28" s="33" t="inlineStr">
        <is>
          <t>CoolProp (fest)</t>
        </is>
      </c>
    </row>
    <row r="29" ht="15" customHeight="1">
      <c r="B29" s="33" t="n">
        <v>19</v>
      </c>
      <c r="C29" s="33" t="inlineStr">
        <is>
          <t>Enthalpie real Austritt</t>
        </is>
      </c>
      <c r="D29" s="33" t="inlineStr">
        <is>
          <t>h = h_ein + (h_s − h_ein) / η_V2</t>
        </is>
      </c>
      <c r="E29" s="24">
        <f>Szen2_hZK+(Szen2_h2s-Szen2_hZK)/eta_V2</f>
        <v/>
      </c>
      <c r="F29" s="33" t="inlineStr">
        <is>
          <t>kJ/kg</t>
        </is>
      </c>
      <c r="G29" s="33" t="inlineStr">
        <is>
          <t>Excel-Formel</t>
        </is>
      </c>
    </row>
    <row r="30" ht="15" customHeight="1">
      <c r="B30" s="33" t="n">
        <v>20</v>
      </c>
      <c r="C30" s="33" t="inlineStr">
        <is>
          <t>Austrittstemperatur</t>
        </is>
      </c>
      <c r="D30" s="33" t="inlineStr">
        <is>
          <t>CoolProp: T(p_ük, h)</t>
        </is>
      </c>
      <c r="E30" s="5" t="n">
        <v>84.14270921757679</v>
      </c>
      <c r="F30" s="33" t="inlineStr">
        <is>
          <t>°C</t>
        </is>
      </c>
      <c r="G30" s="33" t="inlineStr">
        <is>
          <t>CoolProp (fest)</t>
        </is>
      </c>
    </row>
    <row r="31" ht="40" customHeight="1">
      <c r="B31" s="33" t="n">
        <v>21</v>
      </c>
      <c r="C31" s="33" t="inlineStr">
        <is>
          <t>Prüfung 95-°C-Grenze (Q-016 S. 4)</t>
        </is>
      </c>
      <c r="D31" s="33" t="inlineStr">
        <is>
          <t>T_aus ≤ T_max ?</t>
        </is>
      </c>
      <c r="E31" s="50">
        <f>IF(Szen2_T2a&lt;=T_maxV,"✔ eingehalten","⚠ überschritten")</f>
        <v/>
      </c>
      <c r="F31" s="33" t="inlineStr">
        <is>
          <t>–</t>
        </is>
      </c>
      <c r="G31" s="33" t="inlineStr">
        <is>
          <t>Excel-Formel</t>
        </is>
      </c>
    </row>
    <row r="32" ht="15" customHeight="1">
      <c r="B32" s="33" t="n">
        <v>22</v>
      </c>
      <c r="C32" s="33" t="inlineStr">
        <is>
          <t>Spezifische Arbeit Stufe 2</t>
        </is>
      </c>
      <c r="D32" s="33" t="inlineStr">
        <is>
          <t>w₂ = h_aus − h_ein</t>
        </is>
      </c>
      <c r="E32" s="21">
        <f>Szen2_h2a-Szen2_hZK</f>
        <v/>
      </c>
      <c r="F32" s="33" t="inlineStr">
        <is>
          <t>kJ/kg</t>
        </is>
      </c>
      <c r="G32" s="33" t="inlineStr">
        <is>
          <t>Ergebnis (Formel)</t>
        </is>
      </c>
    </row>
    <row r="33" ht="15" customHeight="1">
      <c r="B33" s="30" t="inlineStr">
        <is>
          <t>Kühler vor der Pumpe bei 91 bar (überkritischer Druck – kein Phasenwechsel)</t>
        </is>
      </c>
      <c r="C33" s="42" t="n"/>
      <c r="D33" s="42" t="n"/>
      <c r="E33" s="42" t="n"/>
      <c r="F33" s="42" t="n"/>
      <c r="G33" s="43" t="n"/>
    </row>
    <row r="34" ht="40" customHeight="1">
      <c r="B34" s="33" t="n">
        <v>23</v>
      </c>
      <c r="C34" s="33" t="inlineStr">
        <is>
          <t>Prüfung: über der Phasengrenze?</t>
        </is>
      </c>
      <c r="D34" s="33" t="inlineStr">
        <is>
          <t>p_ük ≥ p_krit (73,8 bar) + 3 bar ?</t>
        </is>
      </c>
      <c r="E34" s="50">
        <f>IF(p_uek&gt;=73.773+3,"✔ "&amp;FIXED(p_uek-73.773,1)&amp;" bar über p_krit – keine Phasengrenze","⚠ Kühler kreuzt die Sättigungslinie")</f>
        <v/>
      </c>
      <c r="F34" s="33" t="inlineStr">
        <is>
          <t>–</t>
        </is>
      </c>
      <c r="G34" s="33" t="inlineStr">
        <is>
          <t>Excel-Formel</t>
        </is>
      </c>
    </row>
    <row r="35" ht="15" customHeight="1">
      <c r="B35" s="33" t="n">
        <v>24</v>
      </c>
      <c r="C35" s="33" t="inlineStr">
        <is>
          <t>Enthalpie nach Kühler</t>
        </is>
      </c>
      <c r="D35" s="33" t="inlineStr">
        <is>
          <t>CoolProp: H(p_ük, T_K)</t>
        </is>
      </c>
      <c r="E35" s="17" t="n">
        <v>262.0471649715691</v>
      </c>
      <c r="F35" s="33" t="inlineStr">
        <is>
          <t>kJ/kg</t>
        </is>
      </c>
      <c r="G35" s="33" t="inlineStr">
        <is>
          <t>CoolProp (fest)</t>
        </is>
      </c>
    </row>
    <row r="36" ht="15" customHeight="1">
      <c r="B36" s="33" t="n">
        <v>25</v>
      </c>
      <c r="C36" s="33" t="inlineStr">
        <is>
          <t>Dichte nach Kühler = Pumpeneintritt</t>
        </is>
      </c>
      <c r="D36" s="33" t="inlineStr">
        <is>
          <t>CoolProp: D(p_ük, T_K)</t>
        </is>
      </c>
      <c r="E36" s="5" t="n">
        <v>791.9167250663442</v>
      </c>
      <c r="F36" s="33" t="inlineStr">
        <is>
          <t>kg/m³</t>
        </is>
      </c>
      <c r="G36" s="33" t="inlineStr">
        <is>
          <t>CoolProp (fest)</t>
        </is>
      </c>
    </row>
    <row r="37" ht="40" customHeight="1">
      <c r="B37" s="33" t="n">
        <v>26</v>
      </c>
      <c r="C37" s="33" t="inlineStr">
        <is>
          <t>Prüfung Dichte (Q-121 S. 2)</t>
        </is>
      </c>
      <c r="D37" s="33" t="inlineStr">
        <is>
          <t>ρ ≥ ρ_min ?</t>
        </is>
      </c>
      <c r="E37" s="50">
        <f>IF(Szen2_rhoP&gt;=rho_min,"✔ pumpbar (≥ "&amp;TEXT(rho_min,"0")&amp;" kg/m³)","⚠ zu dünn für eine Pumpe")</f>
        <v/>
      </c>
      <c r="F37" s="33" t="inlineStr">
        <is>
          <t>–</t>
        </is>
      </c>
      <c r="G37" s="33" t="inlineStr">
        <is>
          <t>Excel-Formel</t>
        </is>
      </c>
    </row>
    <row r="38" ht="15" customHeight="1">
      <c r="B38" s="33" t="n">
        <v>27</v>
      </c>
      <c r="C38" s="33" t="inlineStr">
        <is>
          <t>Abgeführte Wärme</t>
        </is>
      </c>
      <c r="D38" s="33" t="inlineStr">
        <is>
          <t>q = h_vor − h_nach</t>
        </is>
      </c>
      <c r="E38" s="24">
        <f>Szen2_h2a-Szen2_hK</f>
        <v/>
      </c>
      <c r="F38" s="33" t="inlineStr">
        <is>
          <t>kJ/kg</t>
        </is>
      </c>
      <c r="G38" s="33" t="inlineStr">
        <is>
          <t>Excel-Formel</t>
        </is>
      </c>
    </row>
    <row r="39" ht="15" customHeight="1">
      <c r="B39" s="30" t="inlineStr">
        <is>
          <t>Pumpe</t>
        </is>
      </c>
      <c r="C39" s="42" t="n"/>
      <c r="D39" s="42" t="n"/>
      <c r="E39" s="42" t="n"/>
      <c r="F39" s="42" t="n"/>
      <c r="G39" s="43" t="n"/>
    </row>
    <row r="40" ht="15" customHeight="1">
      <c r="B40" s="33" t="n">
        <v>28</v>
      </c>
      <c r="C40" s="33" t="inlineStr">
        <is>
          <t>Austrittsdruck (= Zieldruck im Betrieb)</t>
        </is>
      </c>
      <c r="D40" s="33" t="inlineStr">
        <is>
          <t>Kaverne &amp; Gassäule: Betrieb, V_n,max</t>
        </is>
      </c>
      <c r="E40" s="6">
        <f>Kopf_betr_S2</f>
        <v/>
      </c>
      <c r="F40" s="33" t="inlineStr">
        <is>
          <t>bar</t>
        </is>
      </c>
      <c r="G40" s="33" t="inlineStr">
        <is>
          <t>aus anderem Blatt</t>
        </is>
      </c>
    </row>
    <row r="41" ht="15" customHeight="1">
      <c r="B41" s="33" t="n">
        <v>29</v>
      </c>
      <c r="C41" s="33" t="inlineStr">
        <is>
          <t>Wirkungsgrad η_P</t>
        </is>
      </c>
      <c r="D41" s="33" t="inlineStr">
        <is>
          <t>Annahme (Übersicht)</t>
        </is>
      </c>
      <c r="E41" s="24">
        <f>eta</f>
        <v/>
      </c>
      <c r="F41" s="33" t="inlineStr">
        <is>
          <t>–</t>
        </is>
      </c>
      <c r="G41" s="33" t="inlineStr">
        <is>
          <t>aus anderem Blatt</t>
        </is>
      </c>
    </row>
    <row r="42" ht="15" customHeight="1">
      <c r="B42" s="33" t="n">
        <v>30</v>
      </c>
      <c r="C42" s="33" t="inlineStr">
        <is>
          <t>Enthalpie isentrop bei Kopfdruck</t>
        </is>
      </c>
      <c r="D42" s="33" t="inlineStr">
        <is>
          <t>CoolProp: H(p_Kopf, s(p_ük, T_K))</t>
        </is>
      </c>
      <c r="E42" s="17" t="n">
        <v>265.0051056663243</v>
      </c>
      <c r="F42" s="33" t="inlineStr">
        <is>
          <t>kJ/kg</t>
        </is>
      </c>
      <c r="G42" s="33" t="inlineStr">
        <is>
          <t>CoolProp (fest)</t>
        </is>
      </c>
    </row>
    <row r="43" ht="15" customHeight="1">
      <c r="B43" s="33" t="n">
        <v>31</v>
      </c>
      <c r="C43" s="33" t="inlineStr">
        <is>
          <t>Enthalpie real Austritt</t>
        </is>
      </c>
      <c r="D43" s="33" t="inlineStr">
        <is>
          <t>h = h_ein + (h_s − h_ein) / η_P</t>
        </is>
      </c>
      <c r="E43" s="24">
        <f>Szen2_hK+(Szen2_hPs-Szen2_hK)/eta</f>
        <v/>
      </c>
      <c r="F43" s="33" t="inlineStr">
        <is>
          <t>kJ/kg</t>
        </is>
      </c>
      <c r="G43" s="33" t="inlineStr">
        <is>
          <t>Excel-Formel</t>
        </is>
      </c>
    </row>
    <row r="44" ht="15" customHeight="1">
      <c r="B44" s="33" t="n">
        <v>32</v>
      </c>
      <c r="C44" s="33" t="inlineStr">
        <is>
          <t>Austrittstemperatur</t>
        </is>
      </c>
      <c r="D44" s="33" t="inlineStr">
        <is>
          <t>CoolProp: T(p_Kopf, h)</t>
        </is>
      </c>
      <c r="E44" s="5" t="n">
        <v>29.58976389993643</v>
      </c>
      <c r="F44" s="33" t="inlineStr">
        <is>
          <t>°C</t>
        </is>
      </c>
      <c r="G44" s="33" t="inlineStr">
        <is>
          <t>CoolProp (fest)</t>
        </is>
      </c>
    </row>
    <row r="45" ht="15" customHeight="1">
      <c r="B45" s="33" t="n">
        <v>33</v>
      </c>
      <c r="C45" s="33" t="inlineStr">
        <is>
          <t>Spezifische Arbeit Pumpe</t>
        </is>
      </c>
      <c r="D45" s="33" t="inlineStr">
        <is>
          <t>w_P = h_aus − h_ein</t>
        </is>
      </c>
      <c r="E45" s="21">
        <f>Szen2_hPa-Szen2_hK</f>
        <v/>
      </c>
      <c r="F45" s="33" t="inlineStr">
        <is>
          <t>kJ/kg</t>
        </is>
      </c>
      <c r="G45" s="33" t="inlineStr">
        <is>
          <t>Ergebnis (Formel)</t>
        </is>
      </c>
    </row>
    <row r="46" ht="15" customHeight="1">
      <c r="B46" s="30" t="inlineStr">
        <is>
          <t>Summe S2</t>
        </is>
      </c>
      <c r="C46" s="42" t="n"/>
      <c r="D46" s="42" t="n"/>
      <c r="E46" s="42" t="n"/>
      <c r="F46" s="42" t="n"/>
      <c r="G46" s="43" t="n"/>
    </row>
    <row r="47" ht="15" customHeight="1">
      <c r="B47" s="33" t="n">
        <v>34</v>
      </c>
      <c r="C47" s="33" t="inlineStr">
        <is>
          <t>Spezifische Arbeit gesamt</t>
        </is>
      </c>
      <c r="D47" s="33" t="inlineStr">
        <is>
          <t>w = w₁ + w₂ + w_P</t>
        </is>
      </c>
      <c r="E47" s="21">
        <f>Szen2_w1+Szen2_w2+Szen2_wP</f>
        <v/>
      </c>
      <c r="F47" s="33" t="inlineStr">
        <is>
          <t>kJ/kg</t>
        </is>
      </c>
      <c r="G47" s="33" t="inlineStr">
        <is>
          <t>Ergebnis (Formel)</t>
        </is>
      </c>
    </row>
    <row r="48" ht="15" customHeight="1">
      <c r="B48" s="33" t="n">
        <v>35</v>
      </c>
      <c r="C48" s="33" t="inlineStr">
        <is>
          <t>Abgeführte Wärme gesamt</t>
        </is>
      </c>
      <c r="D48" s="33" t="inlineStr">
        <is>
          <t>q = q_ZK + q_K</t>
        </is>
      </c>
      <c r="E48" s="24">
        <f>Szen2_qZK+Szen2_qK</f>
        <v/>
      </c>
      <c r="F48" s="33" t="inlineStr">
        <is>
          <t>kJ/kg</t>
        </is>
      </c>
      <c r="G48" s="33" t="inlineStr">
        <is>
          <t>Excel-Formel</t>
        </is>
      </c>
    </row>
    <row r="49" ht="15" customHeight="1">
      <c r="B49" s="33" t="n">
        <v>36</v>
      </c>
      <c r="C49" s="33" t="inlineStr">
        <is>
          <t>Antriebsleistung, unterer Fall</t>
        </is>
      </c>
      <c r="D49" s="33" t="inlineStr">
        <is>
          <t>P = ṁ_min · w</t>
        </is>
      </c>
      <c r="E49" s="22">
        <f>Szen1_mmin*Szen2_w_ges</f>
        <v/>
      </c>
      <c r="F49" s="33" t="inlineStr">
        <is>
          <t>kW</t>
        </is>
      </c>
      <c r="G49" s="33" t="inlineStr">
        <is>
          <t>Ergebnis (Formel)</t>
        </is>
      </c>
    </row>
    <row r="50" ht="15" customHeight="1">
      <c r="B50" s="33" t="n">
        <v>37</v>
      </c>
      <c r="C50" s="33" t="inlineStr">
        <is>
          <t>Antriebsleistung, oberer Fall</t>
        </is>
      </c>
      <c r="D50" s="33" t="inlineStr">
        <is>
          <t>P = ṁ_max · w</t>
        </is>
      </c>
      <c r="E50" s="22">
        <f>Szen1_mmax*Szen2_w_ges</f>
        <v/>
      </c>
      <c r="F50" s="33" t="inlineStr">
        <is>
          <t>kW</t>
        </is>
      </c>
      <c r="G50" s="33" t="inlineStr">
        <is>
          <t>Ergebnis (Formel)</t>
        </is>
      </c>
    </row>
    <row r="51" ht="15" customHeight="1">
      <c r="B51" s="33" t="n">
        <v>38</v>
      </c>
      <c r="C51" s="33" t="inlineStr">
        <is>
          <t>Kühlleistung gesamt, oberer Fall</t>
        </is>
      </c>
      <c r="D51" s="33" t="inlineStr">
        <is>
          <t>Q = ṁ_max · q</t>
        </is>
      </c>
      <c r="E51" s="23">
        <f>Szen1_mmax*Szen2_q_ges</f>
        <v/>
      </c>
      <c r="F51" s="33" t="inlineStr">
        <is>
          <t>kW</t>
        </is>
      </c>
      <c r="G51" s="33" t="inlineStr">
        <is>
          <t>Excel-Formel</t>
        </is>
      </c>
    </row>
    <row r="52">
      <c r="B52" s="25" t="inlineStr">
        <is>
          <t>Massenstrom wie in S1 (gleicher Normvolumenstrom). Wird eine Annahme auf der Übersicht geändert, rechnen die weißen Werte mit; graue CoolProp-Werte färben sich rot und müssen mit Prozesskette/03_S2_verdichtung_kuehlung_pumpe_gemisch.py neu gerechnet werden.</t>
        </is>
      </c>
    </row>
    <row r="53"/>
    <row r="54">
      <c r="B54" s="39" t="inlineStr">
        <is>
          <t>Zustandspunkte</t>
        </is>
      </c>
    </row>
    <row r="55" ht="27.95" customHeight="1">
      <c r="C55" s="37" t="inlineStr">
        <is>
          <t>Punkt</t>
        </is>
      </c>
      <c r="D55" s="37" t="inlineStr">
        <is>
          <t>p [bar]</t>
        </is>
      </c>
      <c r="E55" s="37" t="inlineStr">
        <is>
          <t>T [°C]</t>
        </is>
      </c>
      <c r="F55" s="37" t="inlineStr">
        <is>
          <t>h [kJ/kg]</t>
        </is>
      </c>
      <c r="G55" s="37" t="inlineStr">
        <is>
          <t>Phase</t>
        </is>
      </c>
    </row>
    <row r="56" ht="15" customHeight="1">
      <c r="C56" s="33" t="inlineStr">
        <is>
          <t>1 Netzübergabe / Verdichter 1 ein</t>
        </is>
      </c>
      <c r="D56" s="6">
        <f>p_S2</f>
        <v/>
      </c>
      <c r="E56" s="6">
        <f>T_S2</f>
        <v/>
      </c>
      <c r="F56" s="6">
        <f>Szen2_h1</f>
        <v/>
      </c>
      <c r="G56" s="33" t="inlineStr">
        <is>
          <t>gasförmig</t>
        </is>
      </c>
    </row>
    <row r="57" ht="27.95" customHeight="1">
      <c r="C57" s="33" t="inlineStr">
        <is>
          <t>2 Verdichter 1 aus</t>
        </is>
      </c>
      <c r="D57" s="6">
        <f>p_zw</f>
        <v/>
      </c>
      <c r="E57" s="6">
        <f>Szen2_T1a</f>
        <v/>
      </c>
      <c r="F57" s="6">
        <f>Szen2_h1a</f>
        <v/>
      </c>
      <c r="G57" s="33" t="inlineStr">
        <is>
          <t>gasförmig (überkritisch)</t>
        </is>
      </c>
    </row>
    <row r="58" ht="27.95" customHeight="1">
      <c r="C58" s="33" t="inlineStr">
        <is>
          <t>3 Zwischenkühler aus / Verdichter 2 ein</t>
        </is>
      </c>
      <c r="D58" s="6">
        <f>p_zw</f>
        <v/>
      </c>
      <c r="E58" s="6">
        <f>T_ZK</f>
        <v/>
      </c>
      <c r="F58" s="6">
        <f>Szen2_hZK</f>
        <v/>
      </c>
      <c r="G58" s="33" t="inlineStr">
        <is>
          <t>gasförmig (überkritisch)</t>
        </is>
      </c>
    </row>
    <row r="59" ht="15" customHeight="1">
      <c r="C59" s="33" t="inlineStr">
        <is>
          <t>4 Verdichter 2 aus</t>
        </is>
      </c>
      <c r="D59" s="6">
        <f>p_uek</f>
        <v/>
      </c>
      <c r="E59" s="6">
        <f>Szen2_T2a</f>
        <v/>
      </c>
      <c r="F59" s="6">
        <f>Szen2_h2a</f>
        <v/>
      </c>
      <c r="G59" s="33" t="inlineStr">
        <is>
          <t>überkritisch</t>
        </is>
      </c>
    </row>
    <row r="60" ht="15" customHeight="1">
      <c r="C60" s="33" t="inlineStr">
        <is>
          <t>5 Kühler aus / Pumpe ein</t>
        </is>
      </c>
      <c r="D60" s="6">
        <f>p_uek</f>
        <v/>
      </c>
      <c r="E60" s="6">
        <f>T_K</f>
        <v/>
      </c>
      <c r="F60" s="6">
        <f>Szen2_hK</f>
        <v/>
      </c>
      <c r="G60" s="33" t="inlineStr">
        <is>
          <t>dicht (überkritisch)</t>
        </is>
      </c>
    </row>
    <row r="61" ht="15" customHeight="1">
      <c r="C61" s="33" t="inlineStr">
        <is>
          <t>6 Pumpe aus / Bohrlochkopf</t>
        </is>
      </c>
      <c r="D61" s="6">
        <f>Kopf_betr_S2</f>
        <v/>
      </c>
      <c r="E61" s="6">
        <f>Szen2_TPa</f>
        <v/>
      </c>
      <c r="F61" s="6">
        <f>Szen2_hPa</f>
        <v/>
      </c>
      <c r="G61" s="33" t="inlineStr">
        <is>
          <t>dicht (überkritisch)</t>
        </is>
      </c>
    </row>
    <row r="62"/>
    <row r="63">
      <c r="B63" s="39" t="inlineStr">
        <is>
          <t>Warum dieser Weg? – mögliche Pfade im Vergleich</t>
        </is>
      </c>
    </row>
    <row r="64" ht="135" customHeight="1">
      <c r="B64" s="32" t="inlineStr">
        <is>
          <r>
            <rPr>
              <rFont val="Calibri"/>
              <b val="1"/>
              <sz val="10"/>
            </rPr>
            <t>GEWÄHLT – ÜBERKRITISCH KÜHLEN (B):</t>
          </r>
          <r>
            <rPr>
              <rFont val="Calibri"/>
              <sz val="10"/>
            </rPr>
            <t xml:space="preserve">  Zwischenkühler 40 °C bei 55 bar, Kühler und Pumpe bei 91 bar über der kritischen Druck – weder Verdichter noch Pumpe sehen Tropfen oder Gasblasen. Funktioniert mit normalem Kühlwasser (CO₂ bis ca. 40 °C für ρ ≥ 500 kg/m³). Die Pumpe arbeitet bei demselben Druck wie in S1. Arbeit: 65,0 kJ/kg.
</t>
          </r>
          <r>
            <rPr>
              <rFont val="Calibri"/>
              <sz val="10"/>
            </rPr>
            <t xml:space="preserve">A – VERFLÜSSIGEN BEI 60 BAR (bisheriger Basisfall):  nur mit Kühlwasser ≤ 14 °C oder Kältemaschine; mit Kühlwasser 20 °C (CO₂ 26 °C) bliebe das CO₂ gasförmig (Sättigung bei 60 bar: 22,0 °C). Die Pumpe saugt 2,7 bar neben der Sättigungslinie an. 31 % weniger Arbeit, dazu käme die Kältemaschine (nicht gerechnet).
</t>
          </r>
          <r>
            <rPr>
              <rFont val="Calibri"/>
              <b val="1"/>
              <sz val="10"/>
            </rPr>
            <t>C – DURCHVERDICHTEN:</t>
          </r>
          <r>
            <rPr>
              <rFont val="Calibri"/>
              <sz val="10"/>
            </rPr>
            <t xml:space="preserve">  8 % mehr Arbeit, und die zweite Stufe läge mit 93,2 °C nahe an der 95-°C-Grenze.
</t>
          </r>
          <r>
            <rPr>
              <rFont val="Calibri"/>
              <b val="1"/>
              <sz val="10"/>
            </rPr>
            <t>D – TIEFKALT BEI 30 BAR:</t>
          </r>
          <r>
            <rPr>
              <rFont val="Calibri"/>
              <sz val="10"/>
            </rPr>
            <t xml:space="preserve">  möglich ab −5,6 °C (Kältemaschine, wie Schiffstransport) – hier nicht weiter verfolgt. E – PUMPE IM ZWEIPHASENGEBIET:  nicht möglich (Gasblasen).
</t>
          </r>
          <r>
            <rPr>
              <rFont val="Calibri"/>
              <b val="1"/>
              <sz val="10"/>
            </rPr>
            <t>FAZIT:</t>
          </r>
          <r>
            <rPr>
              <rFont val="Calibri"/>
              <sz val="10"/>
            </rPr>
            <t xml:space="preserve">  B ist der Weg ohne Phasengrenze und ohne Kältemaschine – derselbe Weg wie beim Gemisch, eine Anlage für beide Gasqualitäten. Rechnung A–E: Prozesskette/04_phasenpfade_vergleich.py; Kühltemperaturen: Blatt „Kühlung“.</t>
          </r>
        </is>
      </c>
      <c r="C64" s="46" t="n"/>
      <c r="D64" s="46" t="n"/>
      <c r="E64" s="46" t="n"/>
      <c r="F64" s="46" t="n"/>
      <c r="G64" s="47" t="n"/>
    </row>
    <row r="65" ht="27.95" customHeight="1">
      <c r="B65" s="37" t="inlineStr">
        <is>
          <t>Pfad</t>
        </is>
      </c>
      <c r="C65" s="37" t="inlineStr">
        <is>
          <t>Weg</t>
        </is>
      </c>
      <c r="D65" s="37" t="inlineStr">
        <is>
          <t>Zweiphasengebiet</t>
        </is>
      </c>
      <c r="E65" s="37" t="inlineStr">
        <is>
          <t>Kühlwasser höchstens</t>
        </is>
      </c>
      <c r="F65" s="37" t="inlineStr">
        <is>
          <t>spez. Arbeit [kJ/kg]</t>
        </is>
      </c>
      <c r="G65" s="37" t="inlineStr">
        <is>
          <t>Bewertung</t>
        </is>
      </c>
    </row>
    <row r="66" ht="27.95" customHeight="1">
      <c r="B66" s="38" t="inlineStr">
        <is>
          <t>B</t>
        </is>
      </c>
      <c r="C66" s="33" t="inlineStr">
        <is>
          <t>2 Stufen 30 → 55 → 91 bar (ZK 40 °C), Kühler 26 °C, Pumpe</t>
        </is>
      </c>
      <c r="D66" s="33" t="inlineStr">
        <is>
          <t>wird nicht berührt (91 &gt; 73,8 bar)</t>
        </is>
      </c>
      <c r="E66" s="33" t="inlineStr">
        <is>
          <t>≈ 34 °C (CO₂ ≤ 40 °C für ρ ≥ 500 kg/m³)</t>
        </is>
      </c>
      <c r="F66" s="21">
        <f>Szen2_w_ges</f>
        <v/>
      </c>
      <c r="G66" s="33" t="inlineStr">
        <is>
          <t>gewählt</t>
        </is>
      </c>
    </row>
    <row r="67" ht="27.95" customHeight="1">
      <c r="B67" s="38" t="inlineStr">
        <is>
          <t>A</t>
        </is>
      </c>
      <c r="C67" s="33" t="inlineStr">
        <is>
          <t>2 Stufen bis 60 bar, verflüssigen bei 20 °C, Pumpe</t>
        </is>
      </c>
      <c r="D67" s="33" t="inlineStr">
        <is>
          <t>im Verflüssiger; Pumpe 2,7 bar neben der Sättigungslinie</t>
        </is>
      </c>
      <c r="E67" s="33" t="inlineStr">
        <is>
          <t>≈ 14 °C</t>
        </is>
      </c>
      <c r="F67" s="17" t="n">
        <v>44.78069688448002</v>
      </c>
      <c r="G67" s="33" t="inlineStr">
        <is>
          <t>möglich, nur mit Kältemaschine</t>
        </is>
      </c>
    </row>
    <row r="68" ht="27.95" customHeight="1">
      <c r="B68" s="38" t="inlineStr">
        <is>
          <t>C</t>
        </is>
      </c>
      <c r="C68" s="33" t="inlineStr">
        <is>
          <t>2 Stufen 30 → 52 → 114,6 bar, keine Pumpe</t>
        </is>
      </c>
      <c r="D68" s="33" t="inlineStr">
        <is>
          <t>wird nicht berührt</t>
        </is>
      </c>
      <c r="E68" s="33" t="inlineStr">
        <is>
          <t>beliebig</t>
        </is>
      </c>
      <c r="F68" s="17" t="n">
        <v>70.31764274649106</v>
      </c>
      <c r="G68" s="33" t="inlineStr">
        <is>
          <t>Stufe 2 93 °C – teuerste Variante</t>
        </is>
      </c>
    </row>
    <row r="69" ht="27.95" customHeight="1">
      <c r="B69" s="38" t="inlineStr">
        <is>
          <t>D</t>
        </is>
      </c>
      <c r="C69" s="33" t="inlineStr">
        <is>
          <t>bei 30 bar tiefkalt verflüssigen, pumpen</t>
        </is>
      </c>
      <c r="D69" s="33" t="inlineStr">
        <is>
          <t>Verflüssigung unter −5,6 °C</t>
        </is>
      </c>
      <c r="E69" s="33" t="inlineStr">
        <is>
          <t>–</t>
        </is>
      </c>
      <c r="F69" s="33" t="inlineStr">
        <is>
          <t>–</t>
        </is>
      </c>
      <c r="G69" s="33" t="inlineStr">
        <is>
          <t>nur mit Kältemaschine</t>
        </is>
      </c>
    </row>
    <row r="70" ht="27.95" customHeight="1">
      <c r="B70" s="38" t="inlineStr">
        <is>
          <t>E</t>
        </is>
      </c>
      <c r="C70" s="33" t="inlineStr">
        <is>
          <t>Pumpe saugt bei 60 bar / 25–26 °C an</t>
        </is>
      </c>
      <c r="D70" s="33" t="inlineStr">
        <is>
          <t>Pumpeneintritt gasförmig</t>
        </is>
      </c>
      <c r="E70" s="33" t="inlineStr">
        <is>
          <t>–</t>
        </is>
      </c>
      <c r="F70" s="33" t="inlineStr">
        <is>
          <t>–</t>
        </is>
      </c>
      <c r="G70" s="33" t="inlineStr">
        <is>
          <t>nicht möglich</t>
        </is>
      </c>
    </row>
    <row r="71">
      <c r="B71" s="25" t="inlineStr">
        <is>
          <t>A und C: grau = Werte aus 04_phasenpfade_vergleich.py (gleiche Annahmen; A mit 20 °C gerechnet, C mit Zwischenkühlung auf 26 °C). Kühlwasser höchstens = CO₂-Temperatur − 6 K (Q-120 Folie 24).</t>
        </is>
      </c>
    </row>
    <row r="72"/>
    <row r="73">
      <c r="B73" s="39" t="inlineStr">
        <is>
          <t>Diagrammwerte – spezifische Arbeit je Maschine [kJ/kg]</t>
        </is>
      </c>
    </row>
    <row r="74" ht="27.95" customHeight="1">
      <c r="C74" s="37" t="inlineStr">
        <is>
          <t>Weg</t>
        </is>
      </c>
      <c r="D74" s="37" t="inlineStr">
        <is>
          <t>Verdichter 1. Stufe</t>
        </is>
      </c>
      <c r="E74" s="37" t="inlineStr">
        <is>
          <t>Verdichter 2. Stufe</t>
        </is>
      </c>
      <c r="F74" s="37" t="inlineStr">
        <is>
          <t>Pumpe</t>
        </is>
      </c>
    </row>
    <row r="75">
      <c r="C75" s="33" t="inlineStr">
        <is>
          <t>S1: Pumpe</t>
        </is>
      </c>
      <c r="D75" s="24" t="n">
        <v>0</v>
      </c>
      <c r="E75" s="24" t="n">
        <v>0</v>
      </c>
      <c r="F75" s="24">
        <f>Szen1_w</f>
        <v/>
      </c>
    </row>
    <row r="76">
      <c r="C76" s="33" t="inlineStr">
        <is>
          <t>S2 gewählt (B)</t>
        </is>
      </c>
      <c r="D76" s="24">
        <f>Szen2_w1</f>
        <v/>
      </c>
      <c r="E76" s="24">
        <f>Szen2_w2</f>
        <v/>
      </c>
      <c r="F76" s="24">
        <f>Szen2_wP</f>
        <v/>
      </c>
    </row>
    <row r="77">
      <c r="C77" s="33" t="inlineStr">
        <is>
          <t>Alternative A: verflüssigen</t>
        </is>
      </c>
      <c r="D77" s="17" t="n">
        <v>18.76528684376837</v>
      </c>
      <c r="E77" s="17" t="n">
        <v>17.48838813018926</v>
      </c>
      <c r="F77" s="17" t="n">
        <v>8.527021910522393</v>
      </c>
    </row>
    <row r="78">
      <c r="C78" s="33" t="inlineStr">
        <is>
          <t>Alternative C: durchverdichten</t>
        </is>
      </c>
      <c r="D78" s="17" t="n">
        <v>30.44622534087574</v>
      </c>
      <c r="E78" s="17" t="n">
        <v>39.87141740561532</v>
      </c>
      <c r="F78" s="17" t="n">
        <v>0</v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B39:G39"/>
    <mergeCell ref="B8:G8"/>
    <mergeCell ref="B19:G19"/>
    <mergeCell ref="B64:G64"/>
    <mergeCell ref="B33:G33"/>
    <mergeCell ref="B4:G4"/>
    <mergeCell ref="B25:G25"/>
    <mergeCell ref="B46:G46"/>
  </mergeCells>
  <conditionalFormatting sqref="D77:F78">
    <cfRule type="expression" priority="1" dxfId="30">
      <formula>NOT(Stand_ok)</formula>
    </cfRule>
  </conditionalFormatting>
  <conditionalFormatting sqref="E11">
    <cfRule type="expression" priority="2" dxfId="30">
      <formula>NOT(Stand_ok)</formula>
    </cfRule>
  </conditionalFormatting>
  <conditionalFormatting sqref="E14">
    <cfRule type="expression" priority="3" dxfId="30">
      <formula>NOT(Stand_ok)</formula>
    </cfRule>
  </conditionalFormatting>
  <conditionalFormatting sqref="E16">
    <cfRule type="expression" priority="4" dxfId="30">
      <formula>NOT(Stand_ok)</formula>
    </cfRule>
  </conditionalFormatting>
  <conditionalFormatting sqref="E21">
    <cfRule type="expression" priority="5" dxfId="30">
      <formula>NOT(Stand_ok)</formula>
    </cfRule>
  </conditionalFormatting>
  <conditionalFormatting sqref="E23">
    <cfRule type="expression" priority="6" dxfId="30">
      <formula>NOT(Stand_ok)</formula>
    </cfRule>
  </conditionalFormatting>
  <conditionalFormatting sqref="E28">
    <cfRule type="expression" priority="7" dxfId="30">
      <formula>NOT(Stand_ok)</formula>
    </cfRule>
  </conditionalFormatting>
  <conditionalFormatting sqref="E30">
    <cfRule type="expression" priority="8" dxfId="30">
      <formula>NOT(Stand_ok)</formula>
    </cfRule>
  </conditionalFormatting>
  <conditionalFormatting sqref="E35">
    <cfRule type="expression" priority="9" dxfId="30">
      <formula>NOT(Stand_ok)</formula>
    </cfRule>
  </conditionalFormatting>
  <conditionalFormatting sqref="E36">
    <cfRule type="expression" priority="10" dxfId="30">
      <formula>NOT(Stand_ok)</formula>
    </cfRule>
  </conditionalFormatting>
  <conditionalFormatting sqref="E42">
    <cfRule type="expression" priority="11" dxfId="30">
      <formula>NOT(Stand_ok)</formula>
    </cfRule>
  </conditionalFormatting>
  <conditionalFormatting sqref="E44">
    <cfRule type="expression" priority="12" dxfId="30">
      <formula>NOT(Stand_ok)</formula>
    </cfRule>
  </conditionalFormatting>
  <conditionalFormatting sqref="F67">
    <cfRule type="expression" priority="13" dxfId="30">
      <formula>NOT(Stand_ok)</formula>
    </cfRule>
  </conditionalFormatting>
  <conditionalFormatting sqref="F68">
    <cfRule type="expression" priority="14" dxfId="30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/>
  <drawing r:id="rIdZeichnungOrig"/>
</worksheet>
</file>

<file path=xl/worksheets/sheet6.xml><?xml version="1.0" encoding="utf-8"?>
<worksheet xmlns="http://schemas.openxmlformats.org/spreadsheetml/2006/main">
  <sheetPr>
    <tabColor rgb="FF0476D9"/>
    <outlinePr summaryBelow="1" summaryRight="1"/>
    <pageSetUpPr fitToPage="1"/>
  </sheetPr>
  <dimension ref="A1:Q82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7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3" customWidth="1" min="12" max="12"/>
    <col width="14" customWidth="1" min="13" max="13"/>
    <col width="14" customWidth="1" min="14" max="14"/>
  </cols>
  <sheetData>
    <row r="1" ht="30" customHeight="1">
      <c r="B1" s="1" t="inlineStr">
        <is>
          <t>Kühlung – Zwischenkühler 40 °C, Kühler vor der Pumpe 26 °C, Zwischendruck 55 bar</t>
        </is>
      </c>
    </row>
    <row r="2">
      <c r="B2" s="2" t="inlineStr">
        <is>
          <t>Besprechung K. Vosbeck 15.10.2026, Pkt. 2 · Rechnung: Einspeicherung/Begleitstoffe_CO2/Prozesskette/05_kuehlung_begruendung.py · reines CO₂ und Worst-Case-Gemisch nebeneinander</t>
        </is>
      </c>
    </row>
    <row r="3">
      <c r="B3" s="34" t="inlineStr">
        <is>
          <t>← zur Übersicht</t>
        </is>
      </c>
    </row>
    <row r="4" ht="150" customHeight="1">
      <c r="B4" s="32" t="inlineStr">
        <is>
          <r>
            <rPr>
              <rFont val="Calibri"/>
              <b val="1"/>
              <sz val="10"/>
            </rPr>
            <t>ZWEI KÜHLER – ZWEI ZWECKE:</t>
          </r>
          <r>
            <rPr>
              <rFont val="Calibri"/>
              <sz val="10"/>
            </rPr>
            <t xml:space="preserve">  Der Zwischenkühler (zwischen den Verdichterstufen, 55 bar) soll die Verdichterarbeit senken und die zweite Stufe unter 95 °C halten. Der Kühler vor der Pumpe (91 bar) soll das CO₂ so dicht wie möglich machen, damit die Pumpe einphasig und mit wenig Förderhöhe arbeitet. Deshalb zwei verschiedene Temperaturen.
</t>
          </r>
          <r>
            <rPr>
              <rFont val="Calibri"/>
              <b val="1"/>
              <sz val="10"/>
            </rPr>
            <t>ZWISCHENKÜHLER 40 °C:</t>
          </r>
          <r>
            <rPr>
              <rFont val="Calibri"/>
              <sz val="10"/>
            </rPr>
            <t xml:space="preserve">  Q-017 S. 37 (Tab. 3): „Soll-Kühltemperatur CO₂ 40 °C“, S. 61 (Siemens-Konzept, Eingangstemperatur 40 °C); Q-063 Kap. 5.1 (PDF-S. 22): CO₂ „no more than about 40 °C“, Kühlung „between and after compressor stages“. Kälter ist nicht besser: der Realgasfaktor sinkt (Tabelle 3) – bei 26 °C wäre Z beim reinen CO₂ 0,63 und damit unter 0,65 (Siemens).
</t>
          </r>
          <r>
            <rPr>
              <rFont val="Calibri"/>
              <b val="1"/>
              <sz val="10"/>
            </rPr>
            <t>KÜHLER VOR DER PUMPE 26 °C:</t>
          </r>
          <r>
            <rPr>
              <rFont val="Calibri"/>
              <sz val="10"/>
            </rPr>
            <t xml:space="preserve">  Kühlwasser 20 °C + 6 K (Q-120 Folie 24: CO₂ „seldom lower than 6 deg. C warmer than the air or water“). Q-120 Folie 32: für Pumpen auf 27–32 °C oder kälter kühlen, über 38 °C steigt die Förderhöhe stark. Bei 91 bar liegt die pseudokritische Linie (cp-Maximum, steilster Dichteabfall) beim Gemisch bei 32,8 °C, beim reinen CO₂ bei 40,5 °C (Tabelle 1) – 26 °C liegt sicher auf der dichten Seite.
</t>
          </r>
          <r>
            <rPr>
              <rFont val="Calibri"/>
              <b val="1"/>
              <sz val="10"/>
            </rPr>
            <t>ZWISCHENDRUCK 55 bar:</t>
          </r>
          <r>
            <rPr>
              <rFont val="Calibri"/>
              <sz val="10"/>
            </rPr>
            <t xml:space="preserve">  höchster runder Druck, bei dem am Eintritt Stufe 2 (40 °C) Z ≥ 0,7 (Q-017 S. 44) für beide Gasqualitäten gilt; beide Stufen bleiben dann unter 95 °C (Tabelle 2).
</t>
          </r>
          <r>
            <rPr>
              <rFont val="Calibri"/>
              <b val="1"/>
              <sz val="10"/>
            </rPr>
            <t>MIT HERSTELLERN ABSTIMMEN (Messe Hamburg 20.–22.10.2026):</t>
          </r>
          <r>
            <rPr>
              <rFont val="Calibri"/>
              <sz val="10"/>
            </rPr>
            <t xml:space="preserve">  Kühlwassertemperatur am Standort, erreichbare Grädigkeit, Z-Grenze der Laufradauslegung, Pumpenwirkungsgrad und Mindest-Saugdichte.</t>
          </r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7" t="n"/>
    </row>
    <row r="5"/>
    <row r="6">
      <c r="B6" s="39" t="inlineStr">
        <is>
          <t>1) Dichte und Wärmekapazität bei 91 bar (Druck des Kühlers vor der Pumpe)</t>
        </is>
      </c>
    </row>
    <row r="7" ht="42" customHeight="1">
      <c r="B7" s="37" t="inlineStr">
        <is>
          <t>T [°C]</t>
        </is>
      </c>
      <c r="C7" s="37" t="inlineStr">
        <is>
          <t>ρ rein [kg/m³]</t>
        </is>
      </c>
      <c r="D7" s="37" t="inlineStr">
        <is>
          <t>cp rein [kJ/(kg·K)]</t>
        </is>
      </c>
      <c r="E7" s="37" t="inlineStr">
        <is>
          <t>ρ Gemisch [kg/m³]</t>
        </is>
      </c>
      <c r="F7" s="37" t="inlineStr">
        <is>
          <t>cp Gemisch [kJ/(kg·K)]</t>
        </is>
      </c>
    </row>
    <row r="8">
      <c r="B8" s="15" t="n">
        <v>10</v>
      </c>
      <c r="C8" s="15" t="n">
        <v>913.0397489246066</v>
      </c>
      <c r="D8" s="17" t="n">
        <v>2.395488133974612</v>
      </c>
      <c r="E8" s="15" t="n">
        <v>837.8147591542688</v>
      </c>
      <c r="F8" s="17" t="n">
        <v>2.675840664869324</v>
      </c>
    </row>
    <row r="9">
      <c r="B9" s="15" t="n">
        <v>11</v>
      </c>
      <c r="C9" s="15" t="n">
        <v>906.8990627917079</v>
      </c>
      <c r="D9" s="17" t="n">
        <v>2.42042249940332</v>
      </c>
      <c r="E9" s="15" t="n">
        <v>830.1581948466444</v>
      </c>
      <c r="F9" s="17" t="n">
        <v>2.724432484511257</v>
      </c>
    </row>
    <row r="10">
      <c r="B10" s="15" t="n">
        <v>12</v>
      </c>
      <c r="C10" s="15" t="n">
        <v>900.6297727944108</v>
      </c>
      <c r="D10" s="17" t="n">
        <v>2.447030163353658</v>
      </c>
      <c r="E10" s="15" t="n">
        <v>822.2523402462665</v>
      </c>
      <c r="F10" s="17" t="n">
        <v>2.777682165026919</v>
      </c>
    </row>
    <row r="11">
      <c r="B11" s="15" t="n">
        <v>13</v>
      </c>
      <c r="C11" s="15" t="n">
        <v>894.2233483101834</v>
      </c>
      <c r="D11" s="17" t="n">
        <v>2.475502606140185</v>
      </c>
      <c r="E11" s="15" t="n">
        <v>814.0734714576148</v>
      </c>
      <c r="F11" s="17" t="n">
        <v>2.836224110878999</v>
      </c>
    </row>
    <row r="12">
      <c r="B12" s="15" t="n">
        <v>14</v>
      </c>
      <c r="C12" s="15" t="n">
        <v>887.6703040718235</v>
      </c>
      <c r="D12" s="17" t="n">
        <v>2.50606184158355</v>
      </c>
      <c r="E12" s="15" t="n">
        <v>805.594543295702</v>
      </c>
      <c r="F12" s="17" t="n">
        <v>2.900794471938207</v>
      </c>
    </row>
    <row r="13">
      <c r="B13" s="15" t="n">
        <v>15</v>
      </c>
      <c r="C13" s="15" t="n">
        <v>880.9600505759001</v>
      </c>
      <c r="D13" s="17" t="n">
        <v>2.538965021967182</v>
      </c>
      <c r="E13" s="15" t="n">
        <v>796.7846169202014</v>
      </c>
      <c r="F13" s="17" t="n">
        <v>2.972261355290295</v>
      </c>
    </row>
    <row r="14">
      <c r="B14" s="15" t="n">
        <v>16</v>
      </c>
      <c r="C14" s="15" t="n">
        <v>874.0807188921523</v>
      </c>
      <c r="D14" s="17" t="n">
        <v>2.574509519510931</v>
      </c>
      <c r="E14" s="15" t="n">
        <v>787.608122578259</v>
      </c>
      <c r="F14" s="17" t="n">
        <v>3.051672797610686</v>
      </c>
    </row>
    <row r="15">
      <c r="B15" s="15" t="n">
        <v>17</v>
      </c>
      <c r="C15" s="15" t="n">
        <v>867.0189559694653</v>
      </c>
      <c r="D15" s="17" t="n">
        <v>2.613038603743362</v>
      </c>
      <c r="E15" s="15" t="n">
        <v>778.0238659114821</v>
      </c>
      <c r="F15" s="17" t="n">
        <v>3.140332482888681</v>
      </c>
    </row>
    <row r="16">
      <c r="B16" s="15" t="n">
        <v>18</v>
      </c>
      <c r="C16" s="15" t="n">
        <v>859.7596857189008</v>
      </c>
      <c r="D16" s="17" t="n">
        <v>2.654947960625857</v>
      </c>
      <c r="E16" s="15" t="n">
        <v>767.9836338196784</v>
      </c>
      <c r="F16" s="17" t="n">
        <v>3.239916922756325</v>
      </c>
    </row>
    <row r="17">
      <c r="B17" s="15" t="n">
        <v>19</v>
      </c>
      <c r="C17" s="15" t="n">
        <v>852.2858297890316</v>
      </c>
      <c r="D17" s="17" t="n">
        <v>2.700693514473119</v>
      </c>
      <c r="E17" s="15" t="n">
        <v>757.4301845993245</v>
      </c>
      <c r="F17" s="17" t="n">
        <v>3.352651363074483</v>
      </c>
    </row>
    <row r="18">
      <c r="B18" s="15" t="n">
        <v>20</v>
      </c>
      <c r="C18" s="15" t="n">
        <v>844.5779795789957</v>
      </c>
      <c r="D18" s="17" t="n">
        <v>2.750801367085571</v>
      </c>
      <c r="E18" s="15" t="n">
        <v>746.2943213481602</v>
      </c>
      <c r="F18" s="17" t="n">
        <v>3.481563339286704</v>
      </c>
    </row>
    <row r="19">
      <c r="B19" s="15" t="n">
        <v>21</v>
      </c>
      <c r="C19" s="15" t="n">
        <v>836.6140069979341</v>
      </c>
      <c r="D19" s="17" t="n">
        <v>2.805881235418937</v>
      </c>
      <c r="E19" s="15" t="n">
        <v>734.4906654693397</v>
      </c>
      <c r="F19" s="17" t="n">
        <v>3.630829527039048</v>
      </c>
    </row>
    <row r="20">
      <c r="B20" s="15" t="n">
        <v>22</v>
      </c>
      <c r="C20" s="15" t="n">
        <v>828.3685944897298</v>
      </c>
      <c r="D20" s="17" t="n">
        <v>2.866645666283896</v>
      </c>
      <c r="E20" s="15" t="n">
        <v>721.9117111897965</v>
      </c>
      <c r="F20" s="17" t="n">
        <v>3.806218710347985</v>
      </c>
    </row>
    <row r="21">
      <c r="B21" s="15" t="n">
        <v>23</v>
      </c>
      <c r="C21" s="15" t="n">
        <v>819.8126531654683</v>
      </c>
      <c r="D21" s="17" t="n">
        <v>2.933938702415148</v>
      </c>
      <c r="E21" s="15" t="n">
        <v>708.4198329202702</v>
      </c>
      <c r="F21" s="17" t="n">
        <v>4.01560585785887</v>
      </c>
    </row>
    <row r="22">
      <c r="B22" s="15" t="n">
        <v>24</v>
      </c>
      <c r="C22" s="15" t="n">
        <v>810.9125784949766</v>
      </c>
      <c r="D22" s="17" t="n">
        <v>3.00877980764302</v>
      </c>
      <c r="E22" s="15" t="n">
        <v>693.8372597740747</v>
      </c>
      <c r="F22" s="17" t="n">
        <v>4.269487433274316</v>
      </c>
    </row>
    <row r="23">
      <c r="B23" s="15" t="n">
        <v>25</v>
      </c>
      <c r="C23" s="15" t="n">
        <v>801.6292616496098</v>
      </c>
      <c r="D23" s="17" t="n">
        <v>3.092432037809787</v>
      </c>
      <c r="E23" s="15" t="n">
        <v>677.9347657595052</v>
      </c>
      <c r="F23" s="17" t="n">
        <v>4.581377792532281</v>
      </c>
    </row>
    <row r="24">
      <c r="B24" s="52" t="n">
        <v>26</v>
      </c>
      <c r="C24" s="52" t="n">
        <v>791.9167250663442</v>
      </c>
      <c r="D24" s="53" t="n">
        <v>3.186508033523213</v>
      </c>
      <c r="E24" s="52" t="n">
        <v>660.4210536918031</v>
      </c>
      <c r="F24" s="53" t="n">
        <v>4.967915849672451</v>
      </c>
    </row>
    <row r="25">
      <c r="B25" s="15" t="n">
        <v>27</v>
      </c>
      <c r="C25" s="15" t="n">
        <v>781.7201749736008</v>
      </c>
      <c r="D25" s="17" t="n">
        <v>3.293133791483291</v>
      </c>
      <c r="E25" s="15" t="n">
        <v>640.9370533847209</v>
      </c>
      <c r="F25" s="17" t="n">
        <v>5.448208679976924</v>
      </c>
    </row>
    <row r="26">
      <c r="B26" s="15" t="n">
        <v>28</v>
      </c>
      <c r="C26" s="15" t="n">
        <v>770.9731514455088</v>
      </c>
      <c r="D26" s="17" t="n">
        <v>3.415198702057255</v>
      </c>
      <c r="E26" s="15" t="n">
        <v>619.06593532886</v>
      </c>
      <c r="F26" s="17" t="n">
        <v>6.040590542651187</v>
      </c>
    </row>
    <row r="27">
      <c r="B27" s="15" t="n">
        <v>29</v>
      </c>
      <c r="C27" s="15" t="n">
        <v>759.5932971203317</v>
      </c>
      <c r="D27" s="17" t="n">
        <v>3.556731403924534</v>
      </c>
      <c r="E27" s="15" t="n">
        <v>594.3822740091144</v>
      </c>
      <c r="F27" s="17" t="n">
        <v>6.756472301117923</v>
      </c>
    </row>
    <row r="28">
      <c r="B28" s="15" t="n">
        <v>30</v>
      </c>
      <c r="C28" s="15" t="n">
        <v>747.4760483260917</v>
      </c>
      <c r="D28" s="17" t="n">
        <v>3.723455348728494</v>
      </c>
      <c r="E28" s="15" t="n">
        <v>566.5347989255371</v>
      </c>
      <c r="F28" s="17" t="n">
        <v>7.606372530143207</v>
      </c>
    </row>
    <row r="29">
      <c r="B29" s="15" t="n">
        <v>31</v>
      </c>
      <c r="C29" s="15" t="n">
        <v>734.485267950547</v>
      </c>
      <c r="D29" s="17" t="n">
        <v>3.923597808660869</v>
      </c>
      <c r="E29" s="15" t="n">
        <v>535.3758274068099</v>
      </c>
      <c r="F29" s="17" t="n">
        <v>8.542068591659199</v>
      </c>
    </row>
    <row r="30">
      <c r="B30" s="15" t="n">
        <v>32</v>
      </c>
      <c r="C30" s="15" t="n">
        <v>720.439477185478</v>
      </c>
      <c r="D30" s="17" t="n">
        <v>4.169058527380785</v>
      </c>
      <c r="E30" s="15" t="n">
        <v>501.6890562932817</v>
      </c>
      <c r="F30" s="17" t="n">
        <v>9.241730093290576</v>
      </c>
    </row>
    <row r="31">
      <c r="B31" s="15" t="n">
        <v>33</v>
      </c>
      <c r="C31" s="15" t="n">
        <v>705.091870263214</v>
      </c>
      <c r="D31" s="17" t="n">
        <v>4.477111990213777</v>
      </c>
      <c r="E31" s="15" t="n">
        <v>467.7484289314175</v>
      </c>
      <c r="F31" s="17" t="n">
        <v>9.407803437657142</v>
      </c>
    </row>
    <row r="32">
      <c r="B32" s="15" t="n">
        <v>34</v>
      </c>
      <c r="C32" s="15" t="n">
        <v>688.1015818805816</v>
      </c>
      <c r="D32" s="17" t="n">
        <v>4.872982303744687</v>
      </c>
      <c r="E32" s="15" t="n">
        <v>435.8758539768246</v>
      </c>
      <c r="F32" s="17" t="n">
        <v>9.109444801842731</v>
      </c>
    </row>
    <row r="33">
      <c r="B33" s="15" t="n">
        <v>35</v>
      </c>
      <c r="C33" s="15" t="n">
        <v>668.9924331566972</v>
      </c>
      <c r="D33" s="17" t="n">
        <v>5.39395894409409</v>
      </c>
      <c r="E33" s="15" t="n">
        <v>407.6385826136055</v>
      </c>
      <c r="F33" s="17" t="n">
        <v>8.357699777517517</v>
      </c>
    </row>
    <row r="34">
      <c r="B34" s="15" t="n">
        <v>36</v>
      </c>
      <c r="C34" s="15" t="n">
        <v>647.0945589837764</v>
      </c>
      <c r="D34" s="17" t="n">
        <v>6.09562281788838</v>
      </c>
      <c r="E34" s="15" t="n">
        <v>383.771670054625</v>
      </c>
      <c r="F34" s="17" t="n">
        <v>7.448031072834867</v>
      </c>
    </row>
    <row r="35">
      <c r="B35" s="15" t="n">
        <v>37</v>
      </c>
      <c r="C35" s="15" t="n">
        <v>621.4752283863749</v>
      </c>
      <c r="D35" s="17" t="n">
        <v>7.057150094764591</v>
      </c>
      <c r="E35" s="15" t="n">
        <v>363.8804070869565</v>
      </c>
      <c r="F35" s="17" t="n">
        <v>6.608247918293253</v>
      </c>
    </row>
    <row r="36">
      <c r="B36" s="15" t="n">
        <v>38</v>
      </c>
      <c r="C36" s="15" t="n">
        <v>590.9079766189991</v>
      </c>
      <c r="D36" s="17" t="n">
        <v>8.38490003289022</v>
      </c>
      <c r="E36" s="15" t="n">
        <v>347.2126624946891</v>
      </c>
      <c r="F36" s="17" t="n">
        <v>5.898446000215751</v>
      </c>
    </row>
    <row r="37">
      <c r="B37" s="15" t="n">
        <v>39</v>
      </c>
      <c r="C37" s="15" t="n">
        <v>553.9382952530437</v>
      </c>
      <c r="D37" s="17" t="n">
        <v>10.1965109357423</v>
      </c>
      <c r="E37" s="15" t="n">
        <v>333.0761169938239</v>
      </c>
      <c r="F37" s="17" t="n">
        <v>5.31307091259339</v>
      </c>
    </row>
    <row r="38">
      <c r="B38" s="52" t="n">
        <v>40</v>
      </c>
      <c r="C38" s="52" t="n">
        <v>510.3758485131316</v>
      </c>
      <c r="D38" s="53" t="n">
        <v>11.84077312284</v>
      </c>
      <c r="E38" s="52" t="n">
        <v>320.9244214809156</v>
      </c>
      <c r="F38" s="53" t="n">
        <v>4.831856396294861</v>
      </c>
    </row>
    <row r="39">
      <c r="B39" s="15" t="n">
        <v>41</v>
      </c>
      <c r="C39" s="15" t="n">
        <v>465.5651732710515</v>
      </c>
      <c r="D39" s="17" t="n">
        <v>11.93220497281983</v>
      </c>
      <c r="E39" s="15" t="n">
        <v>310.343147233528</v>
      </c>
      <c r="F39" s="17" t="n">
        <v>4.434397169880796</v>
      </c>
    </row>
    <row r="40">
      <c r="B40" s="15" t="n">
        <v>42</v>
      </c>
      <c r="C40" s="15" t="n">
        <v>425.9784871255952</v>
      </c>
      <c r="D40" s="17" t="n">
        <v>10.73281420960925</v>
      </c>
      <c r="E40" s="15" t="n">
        <v>301.0199414278925</v>
      </c>
      <c r="F40" s="17" t="n">
        <v>4.103458887063476</v>
      </c>
    </row>
    <row r="41">
      <c r="B41" s="15" t="n">
        <v>43</v>
      </c>
      <c r="C41" s="15" t="n">
        <v>394.5707108202685</v>
      </c>
      <c r="D41" s="17" t="n">
        <v>8.98136860809314</v>
      </c>
      <c r="E41" s="15" t="n">
        <v>292.7181811386653</v>
      </c>
      <c r="F41" s="17" t="n">
        <v>3.825300822135807</v>
      </c>
    </row>
    <row r="42">
      <c r="B42" s="15" t="n">
        <v>44</v>
      </c>
      <c r="C42" s="15" t="n">
        <v>370.3134706351857</v>
      </c>
      <c r="D42" s="17" t="n">
        <v>7.53906802496361</v>
      </c>
      <c r="E42" s="15" t="n">
        <v>285.2568309829858</v>
      </c>
      <c r="F42" s="17" t="n">
        <v>3.589216305475858</v>
      </c>
    </row>
    <row r="43">
      <c r="B43" s="15" t="n">
        <v>45</v>
      </c>
      <c r="C43" s="15" t="n">
        <v>351.1372339983274</v>
      </c>
      <c r="D43" s="17" t="n">
        <v>6.467942786909436</v>
      </c>
      <c r="E43" s="15" t="n">
        <v>278.4957150998498</v>
      </c>
      <c r="F43" s="17" t="n">
        <v>3.386927051508026</v>
      </c>
    </row>
    <row r="44">
      <c r="B44" s="15" t="n">
        <v>46</v>
      </c>
      <c r="C44" s="15" t="n">
        <v>335.5227256251454</v>
      </c>
      <c r="D44" s="17" t="n">
        <v>5.667709939363561</v>
      </c>
      <c r="E44" s="15" t="n">
        <v>272.3249079148875</v>
      </c>
      <c r="F44" s="17" t="n">
        <v>3.212029970653117</v>
      </c>
    </row>
    <row r="45">
      <c r="B45" s="15" t="n">
        <v>47</v>
      </c>
      <c r="C45" s="15" t="n">
        <v>322.4774411705602</v>
      </c>
      <c r="D45" s="17" t="n">
        <v>5.055820871205901</v>
      </c>
      <c r="E45" s="15" t="n">
        <v>266.6571081910071</v>
      </c>
      <c r="F45" s="17" t="n">
        <v>3.059547903682836</v>
      </c>
    </row>
    <row r="46">
      <c r="B46" s="15" t="n">
        <v>48</v>
      </c>
      <c r="C46" s="15" t="n">
        <v>311.3450357623676</v>
      </c>
      <c r="D46" s="17" t="n">
        <v>4.576782221810402</v>
      </c>
      <c r="E46" s="15" t="n">
        <v>261.4221323071399</v>
      </c>
      <c r="F46" s="17" t="n">
        <v>2.925583183111117</v>
      </c>
    </row>
    <row r="47">
      <c r="B47" s="15" t="n">
        <v>49</v>
      </c>
      <c r="C47" s="15" t="n">
        <v>301.6778325447752</v>
      </c>
      <c r="D47" s="17" t="n">
        <v>4.193613414903491</v>
      </c>
      <c r="E47" s="15" t="n">
        <v>256.5629047189207</v>
      </c>
      <c r="F47" s="17" t="n">
        <v>2.807056821688384</v>
      </c>
    </row>
    <row r="48">
      <c r="B48" s="15" t="n">
        <v>50</v>
      </c>
      <c r="C48" s="15" t="n">
        <v>293.160968491925</v>
      </c>
      <c r="D48" s="17" t="n">
        <v>3.881227874796212</v>
      </c>
      <c r="E48" s="15" t="n">
        <v>252.0325084091949</v>
      </c>
      <c r="F48" s="17" t="n">
        <v>2.701514056530242</v>
      </c>
    </row>
    <row r="49" ht="18" customHeight="1">
      <c r="B49" s="37" t="inlineStr">
        <is>
          <t>Kennwert</t>
        </is>
      </c>
      <c r="C49" s="37" t="inlineStr">
        <is>
          <t>rein</t>
        </is>
      </c>
      <c r="D49" s="37" t="inlineStr"/>
      <c r="E49" s="37" t="inlineStr">
        <is>
          <t>Gemisch</t>
        </is>
      </c>
      <c r="F49" s="37" t="inlineStr"/>
    </row>
    <row r="50" ht="27.95" customHeight="1">
      <c r="B50" s="33" t="inlineStr">
        <is>
          <t>pseudokritisch (cp-Max.) [°C]</t>
        </is>
      </c>
      <c r="C50" s="7" t="n">
        <v>40.50000000000022</v>
      </c>
      <c r="D50" s="33" t="n"/>
      <c r="E50" s="7" t="n">
        <v>32.80000000000011</v>
      </c>
      <c r="F50" s="33" t="n"/>
    </row>
    <row r="51" ht="27.95" customHeight="1">
      <c r="B51" s="33" t="inlineStr">
        <is>
          <t>ρ = 500 kg/m³ bei T [°C]</t>
        </is>
      </c>
      <c r="C51" s="7" t="n">
        <v>40.23154858651601</v>
      </c>
      <c r="D51" s="33" t="n"/>
      <c r="E51" s="7" t="n">
        <v>32.04976502865647</v>
      </c>
      <c r="F51" s="33" t="n"/>
    </row>
    <row r="52">
      <c r="B52" s="25" t="inlineStr">
        <is>
          <t>Fett: 26 °C (Kühler vor der Pumpe) und 40 °C (Zwischenkühler). Graue Werte: CoolProp, gerechnet in 05_kuehlung_begruendung.py.</t>
        </is>
      </c>
    </row>
    <row r="53"/>
    <row r="54">
      <c r="B54" s="39" t="inlineStr">
        <is>
          <t>2) Wahl des Zwischendrucks (Zwischenkühler 40 °C, Stufe 1 ab 30 bar / 15 °C, Stufe 2 bis 91 bar)</t>
        </is>
      </c>
    </row>
    <row r="55">
      <c r="C55" s="39" t="inlineStr">
        <is>
          <t>reines CO₂</t>
        </is>
      </c>
      <c r="H55" s="39" t="inlineStr">
        <is>
          <t>Worst-Case-Gemisch</t>
        </is>
      </c>
    </row>
    <row r="56" ht="42" customHeight="1">
      <c r="B56" s="37" t="inlineStr">
        <is>
          <t>p_zw [bar]</t>
        </is>
      </c>
      <c r="C56" s="37" t="inlineStr">
        <is>
          <t>T Stufe 1 aus [°C]</t>
        </is>
      </c>
      <c r="D56" s="37" t="inlineStr">
        <is>
          <t>T Stufe 2 aus [°C]</t>
        </is>
      </c>
      <c r="E56" s="37" t="inlineStr">
        <is>
          <t>Z Eintritt Stufe 2</t>
        </is>
      </c>
      <c r="F56" s="37" t="inlineStr">
        <is>
          <t>w Verdichter [kJ/kg]</t>
        </is>
      </c>
      <c r="H56" s="37" t="inlineStr">
        <is>
          <t>T Stufe 1 aus [°C]</t>
        </is>
      </c>
      <c r="I56" s="37" t="inlineStr">
        <is>
          <t>T Stufe 2 aus [°C]</t>
        </is>
      </c>
      <c r="J56" s="37" t="inlineStr">
        <is>
          <t>Z Eintritt Stufe 2</t>
        </is>
      </c>
      <c r="K56" s="37" t="inlineStr">
        <is>
          <t>w Verdichter [kJ/kg]</t>
        </is>
      </c>
      <c r="M56" s="37" t="inlineStr">
        <is>
          <t>beide Stufen ≤ T_max?</t>
        </is>
      </c>
      <c r="N56" s="37" t="inlineStr">
        <is>
          <t>Z ≥ 0,7 (rein und Gemisch)?</t>
        </is>
      </c>
    </row>
    <row r="57">
      <c r="B57" s="15" t="n">
        <v>45</v>
      </c>
      <c r="C57" s="5" t="n">
        <v>48.07117874786957</v>
      </c>
      <c r="D57" s="5" t="n">
        <v>103.7403191092862</v>
      </c>
      <c r="E57" s="51" t="n">
        <v>0.7782536341993421</v>
      </c>
      <c r="F57" s="5" t="n">
        <v>64.90249767627193</v>
      </c>
      <c r="H57" s="5" t="n">
        <v>48.386985823136</v>
      </c>
      <c r="I57" s="5" t="n">
        <v>104.3838863367002</v>
      </c>
      <c r="J57" s="51" t="n">
        <v>0.7965638880467006</v>
      </c>
      <c r="K57" s="5" t="n">
        <v>67.90234045814054</v>
      </c>
      <c r="M57" s="19">
        <f>IF(MAX(C57:D57,H57:I57)&lt;=T_maxV,"✔ ja","✘ nein")</f>
        <v/>
      </c>
      <c r="N57" s="19">
        <f>IF(MIN(E57,J57)&gt;=Z_lit,"✔ ja","✘ nein")</f>
        <v/>
      </c>
    </row>
    <row r="58">
      <c r="B58" s="15" t="n">
        <v>50</v>
      </c>
      <c r="C58" s="5" t="n">
        <v>57.10272017421391</v>
      </c>
      <c r="D58" s="5" t="n">
        <v>93.41485187768865</v>
      </c>
      <c r="E58" s="51" t="n">
        <v>0.747569438223893</v>
      </c>
      <c r="F58" s="5" t="n">
        <v>62.75656219681423</v>
      </c>
      <c r="H58" s="5" t="n">
        <v>57.49998447408973</v>
      </c>
      <c r="I58" s="5" t="n">
        <v>94.00527899155486</v>
      </c>
      <c r="J58" s="51" t="n">
        <v>0.7695737104319318</v>
      </c>
      <c r="K58" s="5" t="n">
        <v>65.82367801837222</v>
      </c>
      <c r="M58" s="19">
        <f>IF(MAX(C58:D58,H58:I58)&lt;=T_maxV,"✔ ja","✘ nein")</f>
        <v/>
      </c>
      <c r="N58" s="19">
        <f>IF(MIN(E58,J58)&gt;=Z_lit,"✔ ja","✘ nein")</f>
        <v/>
      </c>
    </row>
    <row r="59">
      <c r="B59" s="52" t="n">
        <v>55</v>
      </c>
      <c r="C59" s="54" t="n">
        <v>65.42761478141722</v>
      </c>
      <c r="D59" s="54" t="n">
        <v>84.14270921757679</v>
      </c>
      <c r="E59" s="55" t="n">
        <v>0.7148114423484014</v>
      </c>
      <c r="F59" s="54" t="n">
        <v>61.31619059095596</v>
      </c>
      <c r="H59" s="54" t="n">
        <v>65.89908918557421</v>
      </c>
      <c r="I59" s="54" t="n">
        <v>84.71342690350491</v>
      </c>
      <c r="J59" s="55" t="n">
        <v>0.7412474284395405</v>
      </c>
      <c r="K59" s="54" t="n">
        <v>64.45601013824842</v>
      </c>
      <c r="M59" s="19">
        <f>IF(MAX(C59:D59,H59:I59)&lt;=T_maxV,"✔ ja","✘ nein")</f>
        <v/>
      </c>
      <c r="N59" s="19">
        <f>IF(MIN(E59,J59)&gt;=Z_lit,"✔ ja","✘ nein")</f>
        <v/>
      </c>
    </row>
    <row r="60">
      <c r="B60" s="15" t="n">
        <v>60</v>
      </c>
      <c r="C60" s="5" t="n">
        <v>73.15539245907911</v>
      </c>
      <c r="D60" s="5" t="n">
        <v>75.74805838852853</v>
      </c>
      <c r="E60" s="51" t="n">
        <v>0.6794673070008671</v>
      </c>
      <c r="F60" s="5" t="n">
        <v>60.46043678499711</v>
      </c>
      <c r="H60" s="5" t="n">
        <v>73.69576965366616</v>
      </c>
      <c r="I60" s="5" t="n">
        <v>76.33010916248122</v>
      </c>
      <c r="J60" s="51" t="n">
        <v>0.7113684251552708</v>
      </c>
      <c r="K60" s="5" t="n">
        <v>63.67471221511323</v>
      </c>
      <c r="M60" s="19">
        <f>IF(MAX(C60:D60,H60:I60)&lt;=T_maxV,"✔ ja","✘ nein")</f>
        <v/>
      </c>
      <c r="N60" s="19">
        <f>IF(MIN(E60,J60)&gt;=Z_lit,"✔ ja","✘ nein")</f>
        <v/>
      </c>
    </row>
    <row r="61"/>
    <row r="62">
      <c r="B62" s="33" t="inlineStr">
        <is>
          <t>Literaturrichtwert Z (Q-017 S. 37 / S. 44):</t>
        </is>
      </c>
      <c r="C62" s="42" t="n"/>
      <c r="D62" s="43" t="n"/>
      <c r="E62" s="16" t="n">
        <v>0.7</v>
      </c>
      <c r="F62" s="25" t="inlineStr">
        <is>
          <t>– darf zum Vergleich geändert werden (Hersteller: 0,65)</t>
        </is>
      </c>
    </row>
    <row r="63">
      <c r="B63" s="25" t="inlineStr">
        <is>
          <t>Gewählt 55 bar (fett): höchster runder Druck, der beide Prüfungen besteht. Mit 50 bar läge Stufe 2 bei 93–94 °C (knapp unter 95 °C), mit 60 bar wäre Z beim reinen CO₂ unter 0,7.</t>
        </is>
      </c>
    </row>
    <row r="64"/>
    <row r="65">
      <c r="B65" s="39" t="inlineStr">
        <is>
          <t>3) Temperatur nach dem Zwischenkühler (Zwischendruck 55 bar)</t>
        </is>
      </c>
    </row>
    <row r="66">
      <c r="C66" s="39" t="inlineStr">
        <is>
          <t>reines CO₂</t>
        </is>
      </c>
      <c r="H66" s="39" t="inlineStr">
        <is>
          <t>Worst-Case-Gemisch</t>
        </is>
      </c>
    </row>
    <row r="67" ht="42" customHeight="1">
      <c r="B67" s="37" t="inlineStr">
        <is>
          <t>T_ZK [°C]</t>
        </is>
      </c>
      <c r="C67" s="37" t="inlineStr">
        <is>
          <t>Z Eintritt Stufe 2</t>
        </is>
      </c>
      <c r="D67" s="37" t="inlineStr">
        <is>
          <t>T Stufe 2 aus [°C]</t>
        </is>
      </c>
      <c r="E67" s="37" t="inlineStr">
        <is>
          <t>w Verdichter [kJ/kg]</t>
        </is>
      </c>
      <c r="F67" s="37" t="inlineStr">
        <is>
          <t>q Zwischenkühler [kJ/kg]</t>
        </is>
      </c>
      <c r="H67" s="37" t="inlineStr">
        <is>
          <t>Z Eintritt Stufe 2</t>
        </is>
      </c>
      <c r="I67" s="37" t="inlineStr">
        <is>
          <t>T Stufe 2 aus [°C]</t>
        </is>
      </c>
      <c r="J67" s="37" t="inlineStr">
        <is>
          <t>w Verdichter [kJ/kg]</t>
        </is>
      </c>
      <c r="K67" s="37" t="inlineStr">
        <is>
          <t>q Zwischenkühler [kJ/kg]</t>
        </is>
      </c>
      <c r="M67" s="37" t="inlineStr">
        <is>
          <t>Z &gt; Z_min (0,65)?</t>
        </is>
      </c>
      <c r="N67" s="37" t="inlineStr">
        <is>
          <t>Z ≥ 0,7?</t>
        </is>
      </c>
    </row>
    <row r="68">
      <c r="B68" s="15" t="n">
        <v>20</v>
      </c>
      <c r="C68" s="51" t="n">
        <v>0.5742749194708469</v>
      </c>
      <c r="D68" s="5" t="n">
        <v>58.8577742429984</v>
      </c>
      <c r="E68" s="5" t="n">
        <v>54.57624006750223</v>
      </c>
      <c r="F68" s="5" t="n">
        <v>78.61829891703081</v>
      </c>
      <c r="H68" s="51" t="n">
        <v>0.6324632277979488</v>
      </c>
      <c r="I68" s="5" t="n">
        <v>60.5431607539075</v>
      </c>
      <c r="J68" s="5" t="n">
        <v>58.65708669622398</v>
      </c>
      <c r="K68" s="5" t="n">
        <v>71.36754727169551</v>
      </c>
      <c r="M68" s="19">
        <f>IF(MIN(C68,H68)&gt;Z_min,"✔ ja","✘ nein")</f>
        <v/>
      </c>
      <c r="N68" s="19">
        <f>IF(MIN(C68,H68)&gt;=Z_lit,"✔ ja","✘ nein")</f>
        <v/>
      </c>
    </row>
    <row r="69">
      <c r="B69" s="15" t="n">
        <v>26</v>
      </c>
      <c r="C69" s="51" t="n">
        <v>0.6323398087280765</v>
      </c>
      <c r="D69" s="5" t="n">
        <v>67.10383171663818</v>
      </c>
      <c r="E69" s="5" t="n">
        <v>57.10343554873833</v>
      </c>
      <c r="F69" s="5" t="n">
        <v>62.5958054444647</v>
      </c>
      <c r="H69" s="51" t="n">
        <v>0.6738029801063857</v>
      </c>
      <c r="I69" s="5" t="n">
        <v>68.11168739230095</v>
      </c>
      <c r="J69" s="5" t="n">
        <v>60.66194632929381</v>
      </c>
      <c r="K69" s="5" t="n">
        <v>58.91280439362635</v>
      </c>
      <c r="M69" s="19">
        <f>IF(MIN(C69,H69)&gt;Z_min,"✔ ja","✘ nein")</f>
        <v/>
      </c>
      <c r="N69" s="19">
        <f>IF(MIN(C69,H69)&gt;=Z_lit,"✔ ja","✘ nein")</f>
        <v/>
      </c>
    </row>
    <row r="70">
      <c r="B70" s="15" t="n">
        <v>30</v>
      </c>
      <c r="C70" s="51" t="n">
        <v>0.6608229331106465</v>
      </c>
      <c r="D70" s="5" t="n">
        <v>72.15742923386972</v>
      </c>
      <c r="E70" s="5" t="n">
        <v>58.45911390769066</v>
      </c>
      <c r="F70" s="5" t="n">
        <v>54.11291762652951</v>
      </c>
      <c r="H70" s="51" t="n">
        <v>0.6962346293748348</v>
      </c>
      <c r="I70" s="5" t="n">
        <v>72.9622633663335</v>
      </c>
      <c r="J70" s="5" t="n">
        <v>61.84060109960171</v>
      </c>
      <c r="K70" s="5" t="n">
        <v>51.6190864151115</v>
      </c>
      <c r="M70" s="19">
        <f>IF(MIN(C70,H70)&gt;Z_min,"✔ ja","✘ nein")</f>
        <v/>
      </c>
      <c r="N70" s="19">
        <f>IF(MIN(C70,H70)&gt;=Z_lit,"✔ ja","✘ nein")</f>
        <v/>
      </c>
    </row>
    <row r="71">
      <c r="B71" s="15" t="n">
        <v>35</v>
      </c>
      <c r="C71" s="51" t="n">
        <v>0.6901788964828222</v>
      </c>
      <c r="D71" s="5" t="n">
        <v>78.23329627967792</v>
      </c>
      <c r="E71" s="5" t="n">
        <v>59.95939496947801</v>
      </c>
      <c r="F71" s="5" t="n">
        <v>44.75659460742281</v>
      </c>
      <c r="H71" s="51" t="n">
        <v>0.7203730293540083</v>
      </c>
      <c r="I71" s="5" t="n">
        <v>78.89034006291809</v>
      </c>
      <c r="J71" s="5" t="n">
        <v>63.19659039233409</v>
      </c>
      <c r="K71" s="5" t="n">
        <v>43.22581342830881</v>
      </c>
      <c r="M71" s="19">
        <f>IF(MIN(C71,H71)&gt;Z_min,"✔ ja","✘ nein")</f>
        <v/>
      </c>
      <c r="N71" s="19">
        <f>IF(MIN(C71,H71)&gt;=Z_lit,"✔ ja","✘ nein")</f>
        <v/>
      </c>
    </row>
    <row r="72">
      <c r="B72" s="52" t="n">
        <v>40</v>
      </c>
      <c r="C72" s="55" t="n">
        <v>0.7148114423484014</v>
      </c>
      <c r="D72" s="54" t="n">
        <v>84.14270921757679</v>
      </c>
      <c r="E72" s="54" t="n">
        <v>61.31619059095596</v>
      </c>
      <c r="F72" s="54" t="n">
        <v>36.29198209027032</v>
      </c>
      <c r="H72" s="55" t="n">
        <v>0.7412474284395405</v>
      </c>
      <c r="I72" s="54" t="n">
        <v>84.71342690350491</v>
      </c>
      <c r="J72" s="54" t="n">
        <v>64.45601013824842</v>
      </c>
      <c r="K72" s="54" t="n">
        <v>35.41034920823688</v>
      </c>
      <c r="M72" s="19">
        <f>IF(MIN(C72,H72)&gt;Z_min,"✔ ja","✘ nein")</f>
        <v/>
      </c>
      <c r="N72" s="19">
        <f>IF(MIN(C72,H72)&gt;=Z_lit,"✔ ja","✘ nein")</f>
        <v/>
      </c>
    </row>
    <row r="73">
      <c r="B73" s="15" t="n">
        <v>45</v>
      </c>
      <c r="C73" s="51" t="n">
        <v>0.7360359899259548</v>
      </c>
      <c r="D73" s="5" t="n">
        <v>89.94214827970376</v>
      </c>
      <c r="E73" s="5" t="n">
        <v>62.57150631802182</v>
      </c>
      <c r="F73" s="5" t="n">
        <v>28.43709428802373</v>
      </c>
      <c r="H73" s="51" t="n">
        <v>0.7595970302639479</v>
      </c>
      <c r="I73" s="5" t="n">
        <v>90.46108676120565</v>
      </c>
      <c r="J73" s="5" t="n">
        <v>65.64179576860977</v>
      </c>
      <c r="K73" s="5" t="n">
        <v>28.02134847888084</v>
      </c>
      <c r="M73" s="19">
        <f>IF(MIN(C73,H73)&gt;Z_min,"✔ ja","✘ nein")</f>
        <v/>
      </c>
      <c r="N73" s="19">
        <f>IF(MIN(C73,H73)&gt;=Z_lit,"✔ ja","✘ nein")</f>
        <v/>
      </c>
    </row>
    <row r="74">
      <c r="B74" s="25" t="inlineStr">
        <is>
          <t>Tiefer kühlen spart Arbeit, senkt aber Z: unter ca. 35 °C (rein) bzw. 30 °C (Gemisch) fällt Z unter 0,7, bei 20–26 °C unter 0,65. 40 °C ist der Quellenwert (Q-017, Q-063) und hält beide Grenzen mit Abstand ein.</t>
        </is>
      </c>
    </row>
    <row r="75"/>
    <row r="76">
      <c r="B76" s="39" t="inlineStr">
        <is>
          <t>4) Kühlwasser wärmer oder kälter: Wirkung auf Pumpeneintritt und Zieldruck im Betrieb (S2, 100.000 Nm³/h)</t>
        </is>
      </c>
      <c r="P76" s="25" t="inlineStr">
        <is>
          <t>Hilfswerte Diagramm</t>
        </is>
      </c>
    </row>
    <row r="77">
      <c r="C77" s="39" t="inlineStr">
        <is>
          <t>reines CO₂</t>
        </is>
      </c>
      <c r="H77" s="39" t="inlineStr">
        <is>
          <t>Worst-Case-Gemisch</t>
        </is>
      </c>
      <c r="P77" t="n">
        <v>20</v>
      </c>
      <c r="Q77">
        <f>Z_min</f>
        <v/>
      </c>
    </row>
    <row r="78" ht="42" customHeight="1">
      <c r="B78" s="37" t="inlineStr">
        <is>
          <t>T_KW [°C]</t>
        </is>
      </c>
      <c r="C78" s="37" t="inlineStr">
        <is>
          <t>T_K = T_KW + 6 K [°C]</t>
        </is>
      </c>
      <c r="D78" s="37" t="inlineStr">
        <is>
          <t>ρ Pumpeneintritt [kg/m³]</t>
        </is>
      </c>
      <c r="E78" s="37" t="inlineStr">
        <is>
          <t>Zieldruck Kopf [bar]</t>
        </is>
      </c>
      <c r="F78" s="37" t="inlineStr">
        <is>
          <t>w Pumpe [kJ/kg]</t>
        </is>
      </c>
      <c r="H78" s="37" t="inlineStr">
        <is>
          <t>ρ Pumpeneintritt [kg/m³]</t>
        </is>
      </c>
      <c r="I78" s="37" t="inlineStr">
        <is>
          <t>Zieldruck Kopf [bar]</t>
        </is>
      </c>
      <c r="J78" s="37" t="inlineStr">
        <is>
          <t>T Kopf [°C]</t>
        </is>
      </c>
      <c r="K78" s="37" t="inlineStr">
        <is>
          <t>w Pumpe [kJ/kg]</t>
        </is>
      </c>
      <c r="P78" t="n">
        <v>45</v>
      </c>
      <c r="Q78">
        <f>Z_min</f>
        <v/>
      </c>
    </row>
    <row r="79">
      <c r="B79" s="15" t="n">
        <v>15</v>
      </c>
      <c r="C79" s="15" t="n">
        <v>21</v>
      </c>
      <c r="D79" s="15" t="n">
        <v>836.6140069979341</v>
      </c>
      <c r="E79" s="5" t="n">
        <v>110.0964972697667</v>
      </c>
      <c r="F79" s="17" t="n">
        <v>2.837725056256659</v>
      </c>
      <c r="H79" s="15" t="n">
        <v>734.4906654693397</v>
      </c>
      <c r="I79" s="5" t="n">
        <v>120.3950029574115</v>
      </c>
      <c r="J79" s="5" t="n">
        <v>26.25828964001937</v>
      </c>
      <c r="K79" s="17" t="n">
        <v>4.928609133941791</v>
      </c>
      <c r="P79" t="n">
        <v>20</v>
      </c>
      <c r="Q79">
        <f>Z_lit</f>
        <v/>
      </c>
    </row>
    <row r="80">
      <c r="B80" s="52" t="n">
        <v>20</v>
      </c>
      <c r="C80" s="52" t="n">
        <v>26</v>
      </c>
      <c r="D80" s="52" t="n">
        <v>791.9167250663442</v>
      </c>
      <c r="E80" s="54" t="n">
        <v>114.6341589872628</v>
      </c>
      <c r="F80" s="53" t="n">
        <v>3.697425868443872</v>
      </c>
      <c r="H80" s="52" t="n">
        <v>660.4210536918031</v>
      </c>
      <c r="I80" s="54" t="n">
        <v>127.2718032176663</v>
      </c>
      <c r="J80" s="54" t="n">
        <v>34.40649477199338</v>
      </c>
      <c r="K80" s="53" t="n">
        <v>6.674233240659305</v>
      </c>
      <c r="P80" t="n">
        <v>45</v>
      </c>
      <c r="Q80">
        <f>Z_lit</f>
        <v/>
      </c>
    </row>
    <row r="81">
      <c r="B81" s="15" t="n">
        <v>25</v>
      </c>
      <c r="C81" s="15" t="n">
        <v>31</v>
      </c>
      <c r="D81" s="15" t="n">
        <v>734.485267950547</v>
      </c>
      <c r="E81" s="5" t="n">
        <v>120.2204821554021</v>
      </c>
      <c r="F81" s="17" t="n">
        <v>4.895698704448478</v>
      </c>
      <c r="H81" s="15" t="n">
        <v>535.3758274068099</v>
      </c>
      <c r="I81" s="5" t="n">
        <v>138.3591661212128</v>
      </c>
      <c r="J81" s="5" t="n">
        <v>46.93892467756802</v>
      </c>
      <c r="K81" s="17" t="n">
        <v>10.35338207894159</v>
      </c>
    </row>
    <row r="82">
      <c r="B82" s="25" t="inlineStr">
        <is>
          <t>Wärmeres Kühlwasser macht das CO₂ an der Pumpe dünner und die Säule im Bohrloch leichter: beim Gemisch steigt der nötige Kopfdruck von 120,4 bar (15 °C) auf 138,4 bar (25 °C), die Pumpenarbeit verdoppelt sich. Die Kühlwassertemperatur am Standort ist deshalb eine Auslegungsgröße – mit Hersteller/Standort klären.</t>
        </is>
      </c>
    </row>
  </sheetData>
  <mergeCells count="2">
    <mergeCell ref="B4:N4"/>
    <mergeCell ref="B62:D62"/>
  </mergeCells>
  <conditionalFormatting sqref="B8:F48">
    <cfRule type="expression" priority="1" dxfId="30">
      <formula>NOT(Stand_ok)</formula>
    </cfRule>
  </conditionalFormatting>
  <conditionalFormatting sqref="C50:E51">
    <cfRule type="expression" priority="2" dxfId="30">
      <formula>NOT(Stand_ok)</formula>
    </cfRule>
  </conditionalFormatting>
  <conditionalFormatting sqref="B57:K60">
    <cfRule type="expression" priority="3" dxfId="30">
      <formula>NOT(Stand_ok)</formula>
    </cfRule>
  </conditionalFormatting>
  <conditionalFormatting sqref="B68:K73">
    <cfRule type="expression" priority="4" dxfId="30">
      <formula>NOT(Stand_ok)</formula>
    </cfRule>
  </conditionalFormatting>
  <conditionalFormatting sqref="B79:K81">
    <cfRule type="expression" priority="5" dxfId="30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0476D9"/>
    <outlinePr summaryBelow="1" summaryRight="1"/>
    <pageSetUpPr fitToPage="1"/>
  </sheetPr>
  <dimension ref="A1:L58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7" customWidth="1" min="1" max="1"/>
    <col width="40" customWidth="1" min="2" max="2"/>
    <col width="10" customWidth="1" min="3" max="3"/>
    <col width="10" customWidth="1" min="4" max="4"/>
    <col width="12" customWidth="1" min="5" max="5"/>
    <col width="24" customWidth="1" min="6" max="6"/>
    <col width="14" customWidth="1" min="7" max="7"/>
    <col width="14" customWidth="1" min="8" max="8"/>
    <col width="14" customWidth="1" min="9" max="9"/>
    <col width="3" customWidth="1" min="10" max="10"/>
    <col width="14" customWidth="1" min="11" max="11"/>
    <col width="14" customWidth="1" min="12" max="12"/>
  </cols>
  <sheetData>
    <row r="1" ht="30" customHeight="1">
      <c r="B1" s="1" t="inlineStr">
        <is>
          <t>Massenströme – ein Massenstrom, viele Volumenströme</t>
        </is>
      </c>
    </row>
    <row r="2">
      <c r="B2" s="2" t="inlineStr">
        <is>
          <t>Besprechung K. Vosbeck 15.10.2026, Pkt. 4 · Rechnung: Einspeicherung/Begleitstoffe_CO2/Prozesskette/06_massenstrom_volumenstroeme.py</t>
        </is>
      </c>
    </row>
    <row r="3">
      <c r="B3" s="34" t="inlineStr">
        <is>
          <t>← zur Übersicht</t>
        </is>
      </c>
    </row>
    <row r="4" ht="66" customHeight="1">
      <c r="B4" s="32" t="inlineStr">
        <is>
          <r>
            <rPr>
              <rFont val="Calibri"/>
              <b val="1"/>
              <sz val="10"/>
            </rPr>
            <t>GRUNDSATZ:</t>
          </r>
          <r>
            <rPr>
              <rFont val="Calibri"/>
              <sz val="10"/>
            </rPr>
            <t xml:space="preserve">  Die Volumenströme der verschiedenen Phasen dürfen nicht gleichgesetzt werden – verknüpft wird über einen Massenstrom, der entlang der ganzen Kette gleich bleibt (keine Abzweigung, kein Speicher).
</t>
          </r>
          <r>
            <rPr>
              <rFont val="Calibri"/>
              <b val="1"/>
              <sz val="10"/>
            </rPr>
            <t>RECHENWEG:</t>
          </r>
          <r>
            <rPr>
              <rFont val="Calibri"/>
              <sz val="10"/>
            </rPr>
            <t xml:space="preserve">  ṁ = V_n · ρ_n / 3600 mit dem Normvolumenstrom V_n (0 °C, 1,01325 bar, DIN 1343). An jedem Zustandspunkt ist der tatsächliche Volumenstrom V̇ = ṁ / ρ(p, T) · 3600 in m³/h.
</t>
          </r>
          <r>
            <rPr>
              <rFont val="Calibri"/>
              <b val="1"/>
              <sz val="10"/>
            </rPr>
            <t>FOLGE:</t>
          </r>
          <r>
            <rPr>
              <rFont val="Calibri"/>
              <sz val="10"/>
            </rPr>
            <t xml:space="preserve">  Bei gleichem ṁ fördert Verdichter 1 rund 12-mal so viel Volumen wie die Pumpe (2.888 gegenüber 250 m³/h bei 100.000 Nm³/h). Maschinen und Rohre werden am Zustand ausgelegt, nicht am Normvolumenstrom (Nm³/h ≠ m³/h).</t>
          </r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7" t="n"/>
    </row>
    <row r="5"/>
    <row r="6">
      <c r="B6" s="39" t="inlineStr">
        <is>
          <t>1) Massenstrom aus dem Normvolumenstrom</t>
        </is>
      </c>
    </row>
    <row r="7" ht="20" customHeight="1">
      <c r="B7" s="37" t="inlineStr">
        <is>
          <t>Größe</t>
        </is>
      </c>
      <c r="C7" s="37" t="inlineStr">
        <is>
          <t>unterer Fall</t>
        </is>
      </c>
      <c r="D7" s="37" t="inlineStr">
        <is>
          <t>oberer Fall</t>
        </is>
      </c>
      <c r="E7" s="37" t="inlineStr">
        <is>
          <t>Einheit</t>
        </is>
      </c>
    </row>
    <row r="8">
      <c r="B8" s="33" t="inlineStr">
        <is>
          <t>Normvolumenstrom V_n</t>
        </is>
      </c>
      <c r="C8" s="23">
        <f>V_min</f>
        <v/>
      </c>
      <c r="D8" s="23">
        <f>V_max</f>
        <v/>
      </c>
      <c r="E8" s="33" t="inlineStr">
        <is>
          <t>Nm³/h</t>
        </is>
      </c>
    </row>
    <row r="9">
      <c r="B9" s="33" t="inlineStr">
        <is>
          <t>Normdichte ρ_n (CoolProp, DIN 1343)</t>
        </is>
      </c>
      <c r="C9" s="56">
        <f>rho_n</f>
        <v/>
      </c>
      <c r="D9" s="56">
        <f>rho_n</f>
        <v/>
      </c>
      <c r="E9" s="33" t="inlineStr">
        <is>
          <t>kg/m³</t>
        </is>
      </c>
    </row>
    <row r="10">
      <c r="B10" s="33" t="inlineStr">
        <is>
          <t>Massenstrom ṁ = V_n · ρ_n / 3600</t>
        </is>
      </c>
      <c r="C10" s="21">
        <f>Szen1_mmin</f>
        <v/>
      </c>
      <c r="D10" s="21">
        <f>Szen1_mmax</f>
        <v/>
      </c>
      <c r="E10" s="33" t="inlineStr">
        <is>
          <t>kg/s</t>
        </is>
      </c>
    </row>
    <row r="11">
      <c r="B11" s="33" t="inlineStr">
        <is>
          <t>Massenstrom</t>
        </is>
      </c>
      <c r="C11" s="6">
        <f>C10*3.6</f>
        <v/>
      </c>
      <c r="D11" s="6">
        <f>D10*3.6</f>
        <v/>
      </c>
      <c r="E11" s="33" t="inlineStr">
        <is>
          <t>t/h</t>
        </is>
      </c>
    </row>
    <row r="12">
      <c r="B12" s="33" t="inlineStr">
        <is>
          <t>Massenstrom</t>
        </is>
      </c>
      <c r="C12" s="23">
        <f>C10*86.4</f>
        <v/>
      </c>
      <c r="D12" s="23">
        <f>D10*86.4</f>
        <v/>
      </c>
      <c r="E12" s="33" t="inlineStr">
        <is>
          <t>t/d</t>
        </is>
      </c>
    </row>
    <row r="13"/>
    <row r="14"/>
    <row r="15">
      <c r="B15" s="39" t="inlineStr">
        <is>
          <t>2) Volumenströme an den Zustandspunkten – reines CO₂ (diese Mappe; ṁ aus Tabelle 1)</t>
        </is>
      </c>
    </row>
    <row r="16" ht="42" customHeight="1">
      <c r="B16" s="37" t="inlineStr">
        <is>
          <t>Zustandspunkt</t>
        </is>
      </c>
      <c r="C16" s="37" t="inlineStr">
        <is>
          <t>p [bar]</t>
        </is>
      </c>
      <c r="D16" s="37" t="inlineStr">
        <is>
          <t>T [°C]</t>
        </is>
      </c>
      <c r="E16" s="37" t="inlineStr">
        <is>
          <t>ρ [kg/m³]</t>
        </is>
      </c>
      <c r="F16" s="37" t="inlineStr">
        <is>
          <t>Phase</t>
        </is>
      </c>
      <c r="G16" s="37" t="inlineStr">
        <is>
          <t>V̇ bei 50.000 Nm³/h [m³/h]</t>
        </is>
      </c>
      <c r="H16" s="37" t="inlineStr">
        <is>
          <t>V̇ bei 100.000 Nm³/h [m³/h]</t>
        </is>
      </c>
      <c r="I16" s="37" t="inlineStr">
        <is>
          <t>Vielfaches des Pumpeneintritts</t>
        </is>
      </c>
    </row>
    <row r="17">
      <c r="B17" s="30" t="inlineStr">
        <is>
          <t>S2 – gasförmige Anlieferung</t>
        </is>
      </c>
      <c r="C17" s="42" t="n"/>
      <c r="D17" s="42" t="n"/>
      <c r="E17" s="42" t="n"/>
      <c r="F17" s="42" t="n"/>
      <c r="G17" s="42" t="n"/>
      <c r="H17" s="42" t="n"/>
      <c r="I17" s="43" t="n"/>
    </row>
    <row r="18">
      <c r="B18" s="33" t="inlineStr">
        <is>
          <t>Netzübergabe S2 = Verdichter 1 ein</t>
        </is>
      </c>
      <c r="C18" s="5" t="n">
        <v>30</v>
      </c>
      <c r="D18" s="5" t="n">
        <v>15</v>
      </c>
      <c r="E18" s="5" t="n">
        <v>68.4443507734823</v>
      </c>
      <c r="F18" s="33" t="inlineStr">
        <is>
          <t>gasförmig</t>
        </is>
      </c>
      <c r="G18" s="23">
        <f>$C$10/E18*3600</f>
        <v/>
      </c>
      <c r="H18" s="22">
        <f>$D$10/E18*3600</f>
        <v/>
      </c>
      <c r="I18" s="6">
        <f>H18/$H$22</f>
        <v/>
      </c>
    </row>
    <row r="19">
      <c r="B19" s="33" t="inlineStr">
        <is>
          <t>Verdichter 1 aus</t>
        </is>
      </c>
      <c r="C19" s="5" t="n">
        <v>55</v>
      </c>
      <c r="D19" s="5" t="n">
        <v>65.42761478141722</v>
      </c>
      <c r="E19" s="5" t="n">
        <v>107.4088821663625</v>
      </c>
      <c r="F19" s="33" t="inlineStr">
        <is>
          <t>überkritisch (gasähnlich)</t>
        </is>
      </c>
      <c r="G19" s="23">
        <f>$C$10/E19*3600</f>
        <v/>
      </c>
      <c r="H19" s="22">
        <f>$D$10/E19*3600</f>
        <v/>
      </c>
      <c r="I19" s="6">
        <f>H19/$H$22</f>
        <v/>
      </c>
    </row>
    <row r="20">
      <c r="B20" s="33" t="inlineStr">
        <is>
          <t>Zwischenkühler aus = Verdichter 2 ein</t>
        </is>
      </c>
      <c r="C20" s="5" t="n">
        <v>55</v>
      </c>
      <c r="D20" s="5" t="n">
        <v>40</v>
      </c>
      <c r="E20" s="5" t="n">
        <v>130.0563353503907</v>
      </c>
      <c r="F20" s="33" t="inlineStr">
        <is>
          <t>überkritisch (gasähnlich)</t>
        </is>
      </c>
      <c r="G20" s="23">
        <f>$C$10/E20*3600</f>
        <v/>
      </c>
      <c r="H20" s="22">
        <f>$D$10/E20*3600</f>
        <v/>
      </c>
      <c r="I20" s="6">
        <f>H20/$H$22</f>
        <v/>
      </c>
    </row>
    <row r="21">
      <c r="B21" s="33" t="inlineStr">
        <is>
          <t>Verdichter 2 aus</t>
        </is>
      </c>
      <c r="C21" s="5" t="n">
        <v>91</v>
      </c>
      <c r="D21" s="5" t="n">
        <v>84.14270921757679</v>
      </c>
      <c r="E21" s="5" t="n">
        <v>186.0122997975169</v>
      </c>
      <c r="F21" s="33" t="inlineStr">
        <is>
          <t>überkritisch</t>
        </is>
      </c>
      <c r="G21" s="23">
        <f>$C$10/E21*3600</f>
        <v/>
      </c>
      <c r="H21" s="22">
        <f>$D$10/E21*3600</f>
        <v/>
      </c>
      <c r="I21" s="6">
        <f>H21/$H$22</f>
        <v/>
      </c>
    </row>
    <row r="22">
      <c r="B22" s="33" t="inlineStr">
        <is>
          <t>Kühler aus = Pumpe ein</t>
        </is>
      </c>
      <c r="C22" s="5" t="n">
        <v>91</v>
      </c>
      <c r="D22" s="5" t="n">
        <v>26</v>
      </c>
      <c r="E22" s="5" t="n">
        <v>791.9167250663442</v>
      </c>
      <c r="F22" s="33" t="inlineStr">
        <is>
          <t>dicht (überkritisch)</t>
        </is>
      </c>
      <c r="G22" s="23">
        <f>$C$10/E22*3600</f>
        <v/>
      </c>
      <c r="H22" s="22">
        <f>$D$10/E22*3600</f>
        <v/>
      </c>
      <c r="I22" s="6">
        <f>H22/$H$22</f>
        <v/>
      </c>
    </row>
    <row r="23">
      <c r="B23" s="33" t="inlineStr">
        <is>
          <t>Pumpe aus = Bohrlochkopf</t>
        </is>
      </c>
      <c r="C23" s="5" t="n">
        <v>114.6341589872628</v>
      </c>
      <c r="D23" s="5" t="n">
        <v>29.58976389993643</v>
      </c>
      <c r="E23" s="5" t="n">
        <v>803.6415320696234</v>
      </c>
      <c r="F23" s="33" t="inlineStr">
        <is>
          <t>dicht (überkritisch)</t>
        </is>
      </c>
      <c r="G23" s="23">
        <f>$C$10/E23*3600</f>
        <v/>
      </c>
      <c r="H23" s="22">
        <f>$D$10/E23*3600</f>
        <v/>
      </c>
      <c r="I23" s="6">
        <f>H23/$H$22</f>
        <v/>
      </c>
    </row>
    <row r="24">
      <c r="B24" s="33" t="inlineStr">
        <is>
          <t>LCCS (Kaverne voll)</t>
        </is>
      </c>
      <c r="C24" s="5" t="n">
        <v>210</v>
      </c>
      <c r="D24" s="5" t="n">
        <v>40.71835330057093</v>
      </c>
      <c r="E24" s="5" t="n">
        <v>845.1567061980433</v>
      </c>
      <c r="F24" s="33" t="inlineStr">
        <is>
          <t>überkritisch</t>
        </is>
      </c>
      <c r="G24" s="23">
        <f>$C$10/E24*3600</f>
        <v/>
      </c>
      <c r="H24" s="22">
        <f>$D$10/E24*3600</f>
        <v/>
      </c>
      <c r="I24" s="6">
        <f>H24/$H$22</f>
        <v/>
      </c>
    </row>
    <row r="25">
      <c r="B25" s="30" t="inlineStr">
        <is>
          <t>S1 – dichte Anlieferung</t>
        </is>
      </c>
      <c r="C25" s="42" t="n"/>
      <c r="D25" s="42" t="n"/>
      <c r="E25" s="42" t="n"/>
      <c r="F25" s="42" t="n"/>
      <c r="G25" s="42" t="n"/>
      <c r="H25" s="42" t="n"/>
      <c r="I25" s="43" t="n"/>
    </row>
    <row r="26">
      <c r="B26" s="33" t="inlineStr">
        <is>
          <t>Netzübergabe S1</t>
        </is>
      </c>
      <c r="C26" s="5" t="n">
        <v>91</v>
      </c>
      <c r="D26" s="5" t="n">
        <v>15</v>
      </c>
      <c r="E26" s="5" t="n">
        <v>880.9600505759001</v>
      </c>
      <c r="F26" s="33" t="inlineStr">
        <is>
          <t>dicht (überkritisch)</t>
        </is>
      </c>
      <c r="G26" s="23">
        <f>$C$10/E26*3600</f>
        <v/>
      </c>
      <c r="H26" s="22">
        <f>$D$10/E26*3600</f>
        <v/>
      </c>
      <c r="I26" s="6">
        <f>H26/$H$22</f>
        <v/>
      </c>
    </row>
    <row r="27">
      <c r="B27" s="33" t="inlineStr">
        <is>
          <t>Pumpe aus = Bohrlochkopf</t>
        </is>
      </c>
      <c r="C27" s="5" t="n">
        <v>105.4411023087268</v>
      </c>
      <c r="D27" s="5" t="n">
        <v>16.57186183757796</v>
      </c>
      <c r="E27" s="5" t="n">
        <v>885.389707780545</v>
      </c>
      <c r="F27" s="33" t="inlineStr">
        <is>
          <t>dicht (überkritisch)</t>
        </is>
      </c>
      <c r="G27" s="23">
        <f>$C$10/E27*3600</f>
        <v/>
      </c>
      <c r="H27" s="22">
        <f>$D$10/E27*3600</f>
        <v/>
      </c>
      <c r="I27" s="6">
        <f>H27/$H$22</f>
        <v/>
      </c>
    </row>
    <row r="28">
      <c r="B28" s="33" t="inlineStr">
        <is>
          <t>LCCS (Kaverne voll)</t>
        </is>
      </c>
      <c r="C28" s="5" t="n">
        <v>210</v>
      </c>
      <c r="D28" s="5" t="n">
        <v>25.57424145386437</v>
      </c>
      <c r="E28" s="5" t="n">
        <v>917.9392998774811</v>
      </c>
      <c r="F28" s="33" t="inlineStr">
        <is>
          <t>dicht (überkritisch)</t>
        </is>
      </c>
      <c r="G28" s="23">
        <f>$C$10/E28*3600</f>
        <v/>
      </c>
      <c r="H28" s="22">
        <f>$D$10/E28*3600</f>
        <v/>
      </c>
      <c r="I28" s="6">
        <f>H28/$H$22</f>
        <v/>
      </c>
    </row>
    <row r="29"/>
    <row r="30"/>
    <row r="31">
      <c r="B31" s="39" t="inlineStr">
        <is>
          <t>3) Zum Vergleich: Worst-Case-Gemisch (eigener Massenstrom, da andere Normdichte)</t>
        </is>
      </c>
    </row>
    <row r="32" ht="42" customHeight="1">
      <c r="B32" s="37" t="inlineStr">
        <is>
          <t>Zustandspunkt</t>
        </is>
      </c>
      <c r="C32" s="37" t="inlineStr">
        <is>
          <t>p [bar]</t>
        </is>
      </c>
      <c r="D32" s="37" t="inlineStr">
        <is>
          <t>T [°C]</t>
        </is>
      </c>
      <c r="E32" s="37" t="inlineStr">
        <is>
          <t>ρ [kg/m³]</t>
        </is>
      </c>
      <c r="F32" s="37" t="inlineStr">
        <is>
          <t>Phase</t>
        </is>
      </c>
      <c r="G32" s="37" t="inlineStr">
        <is>
          <t>V̇ bei 50.000 Nm³/h [m³/h]</t>
        </is>
      </c>
      <c r="H32" s="37" t="inlineStr">
        <is>
          <t>V̇ bei 100.000 Nm³/h [m³/h]</t>
        </is>
      </c>
      <c r="I32" s="37" t="inlineStr">
        <is>
          <t>Vielfaches des Pumpeneintritts</t>
        </is>
      </c>
      <c r="K32" s="37" t="inlineStr">
        <is>
          <t>ṁ unten [kg/s]</t>
        </is>
      </c>
      <c r="L32" s="37" t="inlineStr">
        <is>
          <t>ṁ oben [kg/s]</t>
        </is>
      </c>
    </row>
    <row r="33">
      <c r="B33" s="30" t="inlineStr">
        <is>
          <t>S2 – gasförmige Anlieferung</t>
        </is>
      </c>
      <c r="C33" s="42" t="n"/>
      <c r="D33" s="42" t="n"/>
      <c r="E33" s="42" t="n"/>
      <c r="F33" s="42" t="n"/>
      <c r="G33" s="42" t="n"/>
      <c r="H33" s="42" t="n"/>
      <c r="I33" s="43" t="n"/>
      <c r="K33" s="17" t="n">
        <v>26.86506942209809</v>
      </c>
      <c r="L33" s="17" t="n">
        <v>53.73013884419618</v>
      </c>
    </row>
    <row r="34">
      <c r="B34" s="33" t="inlineStr">
        <is>
          <t>Netzübergabe S2 = Verdichter 1 ein</t>
        </is>
      </c>
      <c r="C34" s="5" t="n">
        <v>30</v>
      </c>
      <c r="D34" s="5" t="n">
        <v>15</v>
      </c>
      <c r="E34" s="5" t="n">
        <v>65.76192809402214</v>
      </c>
      <c r="F34" s="33" t="inlineStr">
        <is>
          <t>gasförmig</t>
        </is>
      </c>
      <c r="G34" s="23">
        <f>$K$33/E34*3600</f>
        <v/>
      </c>
      <c r="H34" s="22">
        <f>$L$33/E34*3600</f>
        <v/>
      </c>
      <c r="I34" s="6">
        <f>H34/$H$38</f>
        <v/>
      </c>
    </row>
    <row r="35">
      <c r="B35" s="33" t="inlineStr">
        <is>
          <t>Verdichter 1 aus</t>
        </is>
      </c>
      <c r="C35" s="5" t="n">
        <v>55</v>
      </c>
      <c r="D35" s="5" t="n">
        <v>65.89908918557421</v>
      </c>
      <c r="E35" s="5" t="n">
        <v>102.7564406666362</v>
      </c>
      <c r="F35" s="33" t="inlineStr">
        <is>
          <t>gasförmig</t>
        </is>
      </c>
      <c r="G35" s="23">
        <f>$K$33/E35*3600</f>
        <v/>
      </c>
      <c r="H35" s="22">
        <f>$L$33/E35*3600</f>
        <v/>
      </c>
      <c r="I35" s="6">
        <f>H35/$H$38</f>
        <v/>
      </c>
    </row>
    <row r="36">
      <c r="B36" s="33" t="inlineStr">
        <is>
          <t>Zwischenkühler aus = Verdichter 2 ein</t>
        </is>
      </c>
      <c r="C36" s="5" t="n">
        <v>55</v>
      </c>
      <c r="D36" s="5" t="n">
        <v>40</v>
      </c>
      <c r="E36" s="5" t="n">
        <v>122.7679103075167</v>
      </c>
      <c r="F36" s="33" t="inlineStr">
        <is>
          <t>gasförmig</t>
        </is>
      </c>
      <c r="G36" s="23">
        <f>$K$33/E36*3600</f>
        <v/>
      </c>
      <c r="H36" s="22">
        <f>$L$33/E36*3600</f>
        <v/>
      </c>
      <c r="I36" s="6">
        <f>H36/$H$38</f>
        <v/>
      </c>
    </row>
    <row r="37">
      <c r="B37" s="33" t="inlineStr">
        <is>
          <t>Verdichter 2 aus</t>
        </is>
      </c>
      <c r="C37" s="5" t="n">
        <v>91</v>
      </c>
      <c r="D37" s="5" t="n">
        <v>84.71342690350491</v>
      </c>
      <c r="E37" s="5" t="n">
        <v>175.0561427495532</v>
      </c>
      <c r="F37" s="33" t="inlineStr">
        <is>
          <t>gasförmig</t>
        </is>
      </c>
      <c r="G37" s="23">
        <f>$K$33/E37*3600</f>
        <v/>
      </c>
      <c r="H37" s="22">
        <f>$L$33/E37*3600</f>
        <v/>
      </c>
      <c r="I37" s="6">
        <f>H37/$H$38</f>
        <v/>
      </c>
    </row>
    <row r="38">
      <c r="B38" s="33" t="inlineStr">
        <is>
          <t>Kühler aus = Pumpe ein</t>
        </is>
      </c>
      <c r="C38" s="5" t="n">
        <v>91</v>
      </c>
      <c r="D38" s="5" t="n">
        <v>26</v>
      </c>
      <c r="E38" s="5" t="n">
        <v>660.4210536918031</v>
      </c>
      <c r="F38" s="33" t="inlineStr">
        <is>
          <t>dicht (flüssig)</t>
        </is>
      </c>
      <c r="G38" s="23">
        <f>$K$33/E38*3600</f>
        <v/>
      </c>
      <c r="H38" s="22">
        <f>$L$33/E38*3600</f>
        <v/>
      </c>
      <c r="I38" s="6">
        <f>H38/$H$38</f>
        <v/>
      </c>
    </row>
    <row r="39">
      <c r="B39" s="33" t="inlineStr">
        <is>
          <t>Pumpe aus = Bohrlochkopf</t>
        </is>
      </c>
      <c r="C39" s="5" t="n">
        <v>127.2718032176663</v>
      </c>
      <c r="D39" s="5" t="n">
        <v>34.40649477199338</v>
      </c>
      <c r="E39" s="5" t="n">
        <v>691.9746297829873</v>
      </c>
      <c r="F39" s="33" t="inlineStr">
        <is>
          <t>dicht (flüssig)</t>
        </is>
      </c>
      <c r="G39" s="23">
        <f>$K$33/E39*3600</f>
        <v/>
      </c>
      <c r="H39" s="22">
        <f>$L$33/E39*3600</f>
        <v/>
      </c>
      <c r="I39" s="6">
        <f>H39/$H$38</f>
        <v/>
      </c>
    </row>
    <row r="40">
      <c r="B40" s="33" t="inlineStr">
        <is>
          <t>LCCS (Kaverne voll)</t>
        </is>
      </c>
      <c r="C40" s="5" t="n">
        <v>210</v>
      </c>
      <c r="D40" s="5" t="n">
        <v>48.11519660575867</v>
      </c>
      <c r="E40" s="5" t="n">
        <v>744.0480058919592</v>
      </c>
      <c r="F40" s="33" t="inlineStr">
        <is>
          <t>dicht (flüssig)</t>
        </is>
      </c>
      <c r="G40" s="23">
        <f>$K$33/E40*3600</f>
        <v/>
      </c>
      <c r="H40" s="22">
        <f>$L$33/E40*3600</f>
        <v/>
      </c>
      <c r="I40" s="6">
        <f>H40/$H$38</f>
        <v/>
      </c>
    </row>
    <row r="41">
      <c r="B41" s="30" t="inlineStr">
        <is>
          <t>S1 – dichte Anlieferung</t>
        </is>
      </c>
      <c r="C41" s="42" t="n"/>
      <c r="D41" s="42" t="n"/>
      <c r="E41" s="42" t="n"/>
      <c r="F41" s="42" t="n"/>
      <c r="G41" s="42" t="n"/>
      <c r="H41" s="42" t="n"/>
      <c r="I41" s="43" t="n"/>
    </row>
    <row r="42">
      <c r="B42" s="33" t="inlineStr">
        <is>
          <t>Netzübergabe S1</t>
        </is>
      </c>
      <c r="C42" s="5" t="n">
        <v>91</v>
      </c>
      <c r="D42" s="5" t="n">
        <v>15</v>
      </c>
      <c r="E42" s="5" t="n">
        <v>796.7846169202014</v>
      </c>
      <c r="F42" s="33" t="inlineStr">
        <is>
          <t>dicht (flüssig)</t>
        </is>
      </c>
      <c r="G42" s="23">
        <f>$K$33/E42*3600</f>
        <v/>
      </c>
      <c r="H42" s="22">
        <f>$L$33/E42*3600</f>
        <v/>
      </c>
      <c r="I42" s="6">
        <f>H42/$H$38</f>
        <v/>
      </c>
    </row>
    <row r="43">
      <c r="B43" s="33" t="inlineStr">
        <is>
          <t>Pumpe aus = Bohrlochkopf</t>
        </is>
      </c>
      <c r="C43" s="5" t="n">
        <v>114.273800177097</v>
      </c>
      <c r="D43" s="5" t="n">
        <v>18.30573505665217</v>
      </c>
      <c r="E43" s="5" t="n">
        <v>807.3370831889272</v>
      </c>
      <c r="F43" s="33" t="inlineStr">
        <is>
          <t>dicht (flüssig)</t>
        </is>
      </c>
      <c r="G43" s="23">
        <f>$K$33/E43*3600</f>
        <v/>
      </c>
      <c r="H43" s="22">
        <f>$L$33/E43*3600</f>
        <v/>
      </c>
      <c r="I43" s="6">
        <f>H43/$H$38</f>
        <v/>
      </c>
    </row>
    <row r="44">
      <c r="B44" s="33" t="inlineStr">
        <is>
          <t>LCCS (Kaverne voll)</t>
        </is>
      </c>
      <c r="C44" s="5" t="n">
        <v>210</v>
      </c>
      <c r="D44" s="5" t="n">
        <v>28.78955369701979</v>
      </c>
      <c r="E44" s="5" t="n">
        <v>846.4170506558789</v>
      </c>
      <c r="F44" s="33" t="inlineStr">
        <is>
          <t>dicht (flüssig)</t>
        </is>
      </c>
      <c r="G44" s="23">
        <f>$K$33/E44*3600</f>
        <v/>
      </c>
      <c r="H44" s="22">
        <f>$L$33/E44*3600</f>
        <v/>
      </c>
      <c r="I44" s="6">
        <f>H44/$H$38</f>
        <v/>
      </c>
    </row>
    <row r="45">
      <c r="B45" s="25" t="inlineStr">
        <is>
          <t>Graue Zustandswerte aus 06_massenstrom_volumenstroeme.py (Betrieb bei 100.000 Nm³/h: Kopfdruck und LCCS-Temperatur aus der strömenden Säule). V̇ und Vielfaches rechnen live mit dem Massenstrom.</t>
        </is>
      </c>
    </row>
    <row r="46"/>
    <row r="47"/>
    <row r="48">
      <c r="B48" s="25" t="inlineStr">
        <is>
          <t>Hilfswerte Diagramm (V̇ bei 100.000 Nm³/h)</t>
        </is>
      </c>
      <c r="C48" t="inlineStr">
        <is>
          <t>reines CO₂</t>
        </is>
      </c>
      <c r="D48" t="inlineStr">
        <is>
          <t>Worst-Case-Gemisch</t>
        </is>
      </c>
    </row>
    <row r="49">
      <c r="B49" t="inlineStr">
        <is>
          <t>S2: Netzübergabe S2 = Verdichter 1 ein</t>
        </is>
      </c>
      <c r="C49">
        <f>H18</f>
        <v/>
      </c>
      <c r="D49">
        <f>H34</f>
        <v/>
      </c>
    </row>
    <row r="50">
      <c r="B50" t="inlineStr">
        <is>
          <t>S2: Verdichter 1 aus</t>
        </is>
      </c>
      <c r="C50">
        <f>H19</f>
        <v/>
      </c>
      <c r="D50">
        <f>H35</f>
        <v/>
      </c>
    </row>
    <row r="51">
      <c r="B51" t="inlineStr">
        <is>
          <t>S2: Zwischenkühler aus = Verdichter 2 ein</t>
        </is>
      </c>
      <c r="C51">
        <f>H20</f>
        <v/>
      </c>
      <c r="D51">
        <f>H36</f>
        <v/>
      </c>
    </row>
    <row r="52">
      <c r="B52" t="inlineStr">
        <is>
          <t>S2: Verdichter 2 aus</t>
        </is>
      </c>
      <c r="C52">
        <f>H21</f>
        <v/>
      </c>
      <c r="D52">
        <f>H37</f>
        <v/>
      </c>
    </row>
    <row r="53">
      <c r="B53" t="inlineStr">
        <is>
          <t>S2: Kühler aus = Pumpe ein</t>
        </is>
      </c>
      <c r="C53">
        <f>H22</f>
        <v/>
      </c>
      <c r="D53">
        <f>H38</f>
        <v/>
      </c>
    </row>
    <row r="54">
      <c r="B54" t="inlineStr">
        <is>
          <t>S2: Pumpe aus = Bohrlochkopf</t>
        </is>
      </c>
      <c r="C54">
        <f>H23</f>
        <v/>
      </c>
      <c r="D54">
        <f>H39</f>
        <v/>
      </c>
    </row>
    <row r="55">
      <c r="B55" t="inlineStr">
        <is>
          <t>S2: LCCS (Kaverne voll)</t>
        </is>
      </c>
      <c r="C55">
        <f>H24</f>
        <v/>
      </c>
      <c r="D55">
        <f>H40</f>
        <v/>
      </c>
    </row>
    <row r="56">
      <c r="B56" t="inlineStr">
        <is>
          <t>S1: Netzübergabe S1</t>
        </is>
      </c>
      <c r="C56">
        <f>H26</f>
        <v/>
      </c>
      <c r="D56">
        <f>H42</f>
        <v/>
      </c>
    </row>
    <row r="57">
      <c r="B57" t="inlineStr">
        <is>
          <t>S1: Pumpe aus = Bohrlochkopf</t>
        </is>
      </c>
      <c r="C57">
        <f>H27</f>
        <v/>
      </c>
      <c r="D57">
        <f>H43</f>
        <v/>
      </c>
    </row>
    <row r="58">
      <c r="B58" t="inlineStr">
        <is>
          <t>S1: LCCS (Kaverne voll)</t>
        </is>
      </c>
      <c r="C58">
        <f>H28</f>
        <v/>
      </c>
      <c r="D58">
        <f>H44</f>
        <v/>
      </c>
    </row>
  </sheetData>
  <mergeCells count="5">
    <mergeCell ref="B4:L4"/>
    <mergeCell ref="B33:I33"/>
    <mergeCell ref="B25:I25"/>
    <mergeCell ref="B41:I41"/>
    <mergeCell ref="B17:I17"/>
  </mergeCells>
  <conditionalFormatting sqref="C17:E28">
    <cfRule type="expression" priority="1" dxfId="30">
      <formula>NOT(Stand_ok)</formula>
    </cfRule>
  </conditionalFormatting>
  <conditionalFormatting sqref="C33:E44">
    <cfRule type="expression" priority="2" dxfId="30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EE7203"/>
    <outlinePr summaryBelow="1" summaryRight="1"/>
    <pageSetUpPr fitToPage="1"/>
  </sheetPr>
  <dimension ref="A1:Q72"/>
  <sheetViews>
    <sheetView showGridLines="0" tabSelected="0" topLeftCell="A36" workbookViewId="0">
      <selection activeCell="V19" sqref="V19"/>
    </sheetView>
  </sheetViews>
  <sheetFormatPr baseColWidth="10" defaultColWidth="9.140625" defaultRowHeight="15"/>
  <cols>
    <col width="2.7109375" customWidth="1" min="1" max="1"/>
    <col width="9.7109375" customWidth="1" min="2" max="31"/>
  </cols>
  <sheetData>
    <row r="1" ht="30" customHeight="1">
      <c r="B1" s="1" t="inlineStr">
        <is>
          <t>Phasendiagramm – Prozesspfade der Einspeicherung und Betriebsfenster von Bohrloch und Kaverne</t>
        </is>
      </c>
    </row>
    <row r="2">
      <c r="B2" s="2" t="inlineStr">
        <is>
          <t>Reines CO₂ · Stoffdaten CoolProp (Span &amp; Wagner 1996) · Sublimations- und Schmelzlinie nach Span &amp; Wagner (1996)</t>
        </is>
      </c>
    </row>
    <row r="3">
      <c r="B3" s="34" t="inlineStr">
        <is>
          <t>← zur Übersicht</t>
        </is>
      </c>
    </row>
    <row r="4">
      <c r="B4" s="39" t="inlineStr">
        <is>
          <t>Diagramm 1 – Einspeicherung: von der Netzübergabe bis zum Bohrlochkopf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 ht="64.45" customHeight="1">
      <c r="B36" s="32" t="inlineStr">
        <is>
          <r>
            <rPr>
              <rFont val="Calibri"/>
              <b val="1"/>
              <sz val="10"/>
            </rPr>
            <t>DIAGRAMM 1:</t>
          </r>
          <r>
            <rPr>
              <rFont val="Calibri"/>
              <sz val="10"/>
            </rPr>
            <t xml:space="preserve">  Farbflächen = Phasengebiete von reinem CO₂. Grüne Linie = S1 (nur Pumpe, bleibt dicht). Blaue Linie = S2 (2 Verdichterstufen 30 → 55 → 91 bar mit Zwischenkühler 40 °C, Kühler bei 91 bar auf 26 °C, Pumpe) – überkritisch gekühlt, ohne die Sättigungslinie zu kreuzen. Hellblau gepunktet = Vergleich A: verflüssigen bei 60 bar / 20 °C (nur mit Kühlwasser ≤ 14 °C). Violett gestrichelt = Vergleich Durchverdichten (2 Stufen bis 114,6 bar).
</t>
          </r>
          <r>
            <rPr>
              <rFont val="Calibri"/>
              <b val="1"/>
              <sz val="10"/>
            </rPr>
            <t>ENDPUNKT:</t>
          </r>
          <r>
            <rPr>
              <rFont val="Calibri"/>
              <sz val="10"/>
            </rPr>
            <t xml:space="preserve">  Die Pfade enden am Bohrlochkopf im Betrieb (100.000 Nm³/h): S1 bei 105,4 bar, S2 bei 114,6 bar (Stillstand 107,6 bar). Diagramm 2 zeigt Bohrloch und Kaverne – nur im Stillstand.</t>
          </r>
        </is>
      </c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7" t="n"/>
    </row>
    <row r="37"/>
    <row r="38"/>
    <row r="39">
      <c r="B39" s="39" t="inlineStr">
        <is>
          <t>Diagramm 2 – Bohrloch und Kaverne im Stillstand: Betriebsfenster (nur Stillstand, 3 Füllstände nach Q-028)</t>
        </is>
      </c>
    </row>
    <row r="40" ht="36" customHeight="1">
      <c r="B40" s="40" t="inlineStr">
        <is>
          <t>NUR STILLSTAND:  Die Gassäulen gelten für ruhendes CO₂ mit Gebirgstemperatur und für die drei Füllstände nach Q-028 (Buzogany &amp; Kruck 2022, Fig. 3: voll, Grenzfall, leer). Was Injektion und Ausspeicherung für das Fenster bedeuten (Reibungsdruckverlust im Strang, Wärmeaustausch mit dem Gebirge, Erwärmung bzw. Abkühlung in der Kaverne, Drosselung beim Ausspeichern), ist hier NICHT dargestellt.</t>
        </is>
      </c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9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 ht="158.45" customHeight="1">
      <c r="B72" s="32" t="inlineStr">
        <is>
          <r>
            <rPr>
              <rFont val="Calibri"/>
              <b val="1"/>
              <sz val="10"/>
            </rPr>
            <t>DIAGRAMM 2:</t>
          </r>
          <r>
            <rPr>
              <rFont val="Calibri"/>
              <sz val="10"/>
            </rPr>
            <t xml:space="preserve">  Jede gestrichelte Linie ist eine Gassäule – ein Füllstand der Kaverne im Stillstand. Sie läuft vom Bohrlochkopf (grauer Balken, 0 m, 10 °C) bis zur Kaverne (dunkelblauer Balken, 1200 m, 46 °C). Jeder Punkt auf der Linie ist eine Teufe: oben kalt und niedriger Druck, unten warm und hoher Druck.
</t>
          </r>
          <r>
            <rPr>
              <rFont val="Calibri"/>
              <b val="1"/>
              <sz val="10"/>
            </rPr>
            <t>BETRIEBSFENSTER IM STILLSTAND:</t>
          </r>
          <r>
            <rPr>
              <rFont val="Calibri"/>
              <sz val="10"/>
            </rPr>
            <t xml:space="preserve">  Der Bereich zwischen der Linie „voll“ (oben) und der Linie „leer“ (unten), links begrenzt durch den Kopf-Balken und rechts durch den Kavernen-Balken. Jeder Zwischen-Füllstand ergibt eine eigene Linie in diesem Band (Beispiel: Grenzfall). Die Kaverne selbst liegt nur auf dem dunkelblauen Balken – der Bereich dazwischen ist das Bohrloch.
</t>
          </r>
          <r>
            <rPr>
              <rFont val="Calibri"/>
              <b val="1"/>
              <sz val="10"/>
            </rPr>
            <t>WICHTIG BEI LEERER KAVERNE:</t>
          </r>
          <r>
            <rPr>
              <rFont val="Calibri"/>
              <sz val="10"/>
            </rPr>
            <t xml:space="preserve">  70 bar unten ergeben oben nur 45,0 bar – das ist genau der Dampfdruck von CO₂ bei 10 °C. Das obere Bohrloch (0–236 m) liegt dann im Mehrphasengebiet. Erst ab ca. 171,7 bar Kavernendruck (Grenzfall) bleibt das ganze Bohrloch überkritisch bzw. dicht.
</t>
          </r>
          <r>
            <rPr>
              <rFont val="Calibri"/>
              <b val="1"/>
              <sz val="10"/>
            </rPr>
            <t>KAVERNE SELBST:</t>
          </r>
          <r>
            <rPr>
              <rFont val="Calibri"/>
              <sz val="10"/>
            </rPr>
            <t xml:space="preserve">  Bei 46 °C liegt sie immer über T_krit. Über 73,8 bar ist das CO₂ überkritisch, bei 70 bar (knapp darunter) gasförmig. Beim Ein- und Ausspeichern weicht die Temperatur ab – Kavernenzyklus in der Kaverne-Mappe.
</t>
          </r>
          <r>
            <rPr>
              <rFont val="Calibri"/>
              <b val="1"/>
              <sz val="10"/>
            </rPr>
            <t>STILLSTAND VS. BETRIEB:</t>
          </r>
          <r>
            <rPr>
              <rFont val="Calibri"/>
              <sz val="10"/>
            </rPr>
            <t xml:space="preserve">  Die Gassäulen sind mit Gebirgstemperatur gerechnet (Kopf 10 °C) und gelten nur, solange nichts fließt. Beim Einspeichern kommt das CO₂ wärmer aus der Pumpe (S1 16,6 °C, S2 29,6 °C) – Zieldrücke im Betrieb: Blatt „Kaverne &amp; Gassäule“ unten; Kopfdruckfenster über den ganzen Zyklus: Kaverne-Mappe.</t>
          </r>
        </is>
      </c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7" t="n"/>
    </row>
  </sheetData>
  <mergeCells count="3">
    <mergeCell ref="B40:Q40"/>
    <mergeCell ref="B72:Q72"/>
    <mergeCell ref="B36:Q36"/>
  </mergeCells>
  <hyperlinks>
    <hyperlink ref="B3" location="'Übersicht'!A1" display="← zur Übersicht"/>
  </hyperlinks>
  <pageMargins left="0.4" right="0.4" top="0.5" bottom="0.5" header="0.3" footer="0.3"/>
  <pageSetup orientation="landscape" paperSize="9" fitToHeight="0"/>
  <drawing r:id="rIdZeichnungOrig"/>
</worksheet>
</file>

<file path=xl/worksheets/sheet9.xml><?xml version="1.0" encoding="utf-8"?>
<worksheet xmlns="http://schemas.openxmlformats.org/spreadsheetml/2006/main">
  <sheetPr>
    <tabColor rgb="FF7F6000"/>
    <outlinePr summaryBelow="1" summaryRight="1"/>
    <pageSetUpPr fitToPage="1"/>
  </sheetPr>
  <dimension ref="A1:K46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7" customWidth="1" min="1" max="1"/>
    <col width="5" customWidth="1" min="2" max="2"/>
    <col width="34" customWidth="1" min="3" max="3"/>
    <col width="10" customWidth="1" min="4" max="4"/>
    <col width="12" customWidth="1" min="5" max="5"/>
    <col width="8" customWidth="1" min="6" max="6"/>
    <col width="20" customWidth="1" min="7" max="7"/>
    <col width="24" customWidth="1" min="8" max="8"/>
    <col width="78" customWidth="1" min="9" max="9"/>
    <col width="24" customWidth="1" min="10" max="10"/>
    <col width="17" customWidth="1" min="11" max="11"/>
  </cols>
  <sheetData>
    <row r="1" ht="30" customHeight="1">
      <c r="B1" s="1" t="inlineStr">
        <is>
          <t>Annahmen &amp; Begründung – woher jede Zahl kommt</t>
        </is>
      </c>
    </row>
    <row r="2">
      <c r="B2" s="2" t="inlineStr">
        <is>
          <t>Stand 15.10.2026 (nach der Besprechung mit K. Vosbeck) · reines CO₂ · gleiche Annahmen wie im Python-Code (Einspeicherung/Begleitstoffe_CO2/Grundlagen/einspeicherung_bausteine.py, Kaverne/Grundlagen/kaverne_bausteine.py)</t>
        </is>
      </c>
    </row>
    <row r="3">
      <c r="B3" s="34" t="inlineStr">
        <is>
          <t>← zur Übersicht</t>
        </is>
      </c>
    </row>
    <row r="4" ht="78" customHeight="1">
      <c r="B4" s="32" t="inlineStr">
        <is>
          <r>
            <rPr>
              <rFont val="Calibri"/>
              <b val="1"/>
              <sz val="10"/>
            </rPr>
            <t>SO IST DIE TABELLE AUFGEBAUT:</t>
          </r>
          <r>
            <rPr>
              <rFont val="Calibri"/>
              <sz val="10"/>
            </rPr>
            <t xml:space="preserve">  Jede Annahme mit Wert, Quelle (ID wie in der Quellen- und Wissensmatrix, Blatt „Quellen“) und Fundstelle (Seite S., Folie, Tabelle oder Kapitel) – damit jede Zahl nachgelesen werden kann. „Begründung“ sagt, was in der Quelle steht und warum der Wert so gewählt ist. „Code“ nennt die Konstante im Python-Code mit demselben Wert.
</t>
          </r>
          <r>
            <rPr>
              <rFont val="Calibri"/>
              <b val="1"/>
              <sz val="10"/>
            </rPr>
            <t>WERTE:</t>
          </r>
          <r>
            <rPr>
              <rFont val="Calibri"/>
              <sz val="10"/>
            </rPr>
            <t xml:space="preserve">  weiß = verknüpft mit der Übersicht (ändert sich mit), grau = fester Wert im Code. Geändert wird nur auf der Übersicht.
</t>
          </r>
          <r>
            <rPr>
              <rFont val="Calibri"/>
              <b val="1"/>
              <sz val="10"/>
            </rPr>
            <t>STATUS:</t>
          </r>
          <r>
            <rPr>
              <rFont val="Calibri"/>
              <sz val="10"/>
            </rPr>
            <t xml:space="preserve">  ✔ belegt = steht so in der Quelle · ◐ abgeleitet = aus Quellen hergeleitet · ○ eigene Annahme · ? = noch zu klären (Quelle offen bzw. mit Hersteller bestätigen, Messe Hamburg 20.–22.10.2026).</t>
          </r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7" t="n"/>
    </row>
    <row r="5"/>
    <row r="6" ht="30" customHeight="1">
      <c r="B6" s="37" t="inlineStr">
        <is>
          <t>Nr.</t>
        </is>
      </c>
      <c r="C6" s="37" t="inlineStr">
        <is>
          <t>Größe</t>
        </is>
      </c>
      <c r="D6" s="37" t="inlineStr">
        <is>
          <t>Symbol</t>
        </is>
      </c>
      <c r="E6" s="37" t="inlineStr">
        <is>
          <t>Wert</t>
        </is>
      </c>
      <c r="F6" s="37" t="inlineStr">
        <is>
          <t>Einheit</t>
        </is>
      </c>
      <c r="G6" s="37" t="inlineStr">
        <is>
          <t>Quelle</t>
        </is>
      </c>
      <c r="H6" s="37" t="inlineStr">
        <is>
          <t>Fundstelle</t>
        </is>
      </c>
      <c r="I6" s="37" t="inlineStr">
        <is>
          <t>Inhalt der Quelle / Begründung</t>
        </is>
      </c>
      <c r="J6" s="37" t="inlineStr">
        <is>
          <t>Code</t>
        </is>
      </c>
      <c r="K6" s="37" t="inlineStr">
        <is>
          <t>Status</t>
        </is>
      </c>
    </row>
    <row r="7" ht="18" customHeight="1">
      <c r="B7" s="30" t="inlineStr">
        <is>
          <t>A  Anlieferung (Netzübergabe)</t>
        </is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3" t="n"/>
    </row>
    <row r="8" ht="27.95" customHeight="1">
      <c r="B8" s="33" t="n">
        <v>1</v>
      </c>
      <c r="C8" s="33" t="inlineStr">
        <is>
          <t>Übergabedruck S1 (dicht)</t>
        </is>
      </c>
      <c r="D8" s="33" t="inlineStr">
        <is>
          <t>p_S1</t>
        </is>
      </c>
      <c r="E8" s="57">
        <f>p_S1</f>
        <v/>
      </c>
      <c r="F8" s="33" t="inlineStr">
        <is>
          <t>bar</t>
        </is>
      </c>
      <c r="G8" s="33" t="inlineStr">
        <is>
          <t>OGE</t>
        </is>
      </c>
      <c r="H8" s="33" t="inlineStr">
        <is>
          <t>Notizen 16.09.2026, Pkt. 6</t>
        </is>
      </c>
      <c r="I8" s="33" t="inlineStr">
        <is>
          <t>mind. 91 bar (vorher 85 bar), Worst Case mit Begleitstoffen. Beim Gemisch 8,8 bar über der Cricondenbar (82,2 bar) → dichte, einphasige Übergabe.</t>
        </is>
      </c>
      <c r="J8" s="33" t="inlineStr">
        <is>
          <t>eb.p_S1</t>
        </is>
      </c>
      <c r="K8" s="58" t="inlineStr">
        <is>
          <t>✔ belegt</t>
        </is>
      </c>
    </row>
    <row r="9" ht="27.95" customHeight="1">
      <c r="B9" s="33" t="n">
        <v>2</v>
      </c>
      <c r="C9" s="33" t="inlineStr">
        <is>
          <t>Übergabetemperatur S1</t>
        </is>
      </c>
      <c r="D9" s="33" t="inlineStr">
        <is>
          <t>T_S1</t>
        </is>
      </c>
      <c r="E9" s="59">
        <f>T_S1</f>
        <v/>
      </c>
      <c r="F9" s="33" t="inlineStr">
        <is>
          <t>°C</t>
        </is>
      </c>
      <c r="G9" s="33" t="inlineStr">
        <is>
          <t>eigene Annahme</t>
        </is>
      </c>
      <c r="H9" s="33" t="inlineStr">
        <is>
          <t>–</t>
        </is>
      </c>
      <c r="I9" s="33" t="inlineStr">
        <is>
          <t>Medientemperatur der erdverlegten Fernleitung (nicht Gebirgstemperatur) – mit OGE abzustimmen.</t>
        </is>
      </c>
      <c r="J9" s="33" t="inlineStr">
        <is>
          <t>eb.T_S1</t>
        </is>
      </c>
      <c r="K9" s="60" t="inlineStr">
        <is>
          <t>○ eigene Annahme</t>
        </is>
      </c>
    </row>
    <row r="10" ht="27.95" customHeight="1">
      <c r="B10" s="33" t="n">
        <v>3</v>
      </c>
      <c r="C10" s="33" t="inlineStr">
        <is>
          <t>Übergabedruck S2 (gasförmig)</t>
        </is>
      </c>
      <c r="D10" s="33" t="inlineStr">
        <is>
          <t>p_S2</t>
        </is>
      </c>
      <c r="E10" s="57">
        <f>p_S2</f>
        <v/>
      </c>
      <c r="F10" s="33" t="inlineStr">
        <is>
          <t>bar</t>
        </is>
      </c>
      <c r="G10" s="33" t="inlineStr">
        <is>
          <t>Vorarbeit</t>
        </is>
      </c>
      <c r="H10" s="33" t="inlineStr">
        <is>
          <t>–</t>
        </is>
      </c>
      <c r="I10" s="33" t="inlineStr">
        <is>
          <t>aus der eigenen Vorarbeit; alte Annahmentabelle nennt ISO 27913 (Q-040) – dort noch nicht ausgewertet.</t>
        </is>
      </c>
      <c r="J10" s="33" t="inlineStr">
        <is>
          <t>eb.p_S2</t>
        </is>
      </c>
      <c r="K10" s="61" t="inlineStr">
        <is>
          <t>? Quelle offen</t>
        </is>
      </c>
    </row>
    <row r="11" ht="27.95" customHeight="1">
      <c r="B11" s="33" t="n">
        <v>4</v>
      </c>
      <c r="C11" s="33" t="inlineStr">
        <is>
          <t>Übergabetemperatur S2</t>
        </is>
      </c>
      <c r="D11" s="33" t="inlineStr">
        <is>
          <t>T_S2</t>
        </is>
      </c>
      <c r="E11" s="59">
        <f>T_S2</f>
        <v/>
      </c>
      <c r="F11" s="33" t="inlineStr">
        <is>
          <t>°C</t>
        </is>
      </c>
      <c r="G11" s="33" t="inlineStr">
        <is>
          <t>eigene Annahme</t>
        </is>
      </c>
      <c r="H11" s="33" t="inlineStr">
        <is>
          <t>–</t>
        </is>
      </c>
      <c r="I11" s="33" t="inlineStr">
        <is>
          <t>Medientemperatur wie S1.</t>
        </is>
      </c>
      <c r="J11" s="33" t="inlineStr">
        <is>
          <t>eb.T_S2</t>
        </is>
      </c>
      <c r="K11" s="60" t="inlineStr">
        <is>
          <t>○ eigene Annahme</t>
        </is>
      </c>
    </row>
    <row r="12" ht="18" customHeight="1">
      <c r="B12" s="30" t="inlineStr">
        <is>
          <t>B  Verdichtung S2 (2 Stufen 30 → 55 → 91 bar)</t>
        </is>
      </c>
      <c r="C12" s="42" t="n"/>
      <c r="D12" s="42" t="n"/>
      <c r="E12" s="42" t="n"/>
      <c r="F12" s="42" t="n"/>
      <c r="G12" s="42" t="n"/>
      <c r="H12" s="42" t="n"/>
      <c r="I12" s="42" t="n"/>
      <c r="J12" s="42" t="n"/>
      <c r="K12" s="43" t="n"/>
    </row>
    <row r="13" ht="54" customHeight="1">
      <c r="B13" s="33" t="n">
        <v>5</v>
      </c>
      <c r="C13" s="33" t="inlineStr">
        <is>
          <t>Zwischendruck</t>
        </is>
      </c>
      <c r="D13" s="33" t="inlineStr">
        <is>
          <t>p_zw</t>
        </is>
      </c>
      <c r="E13" s="57">
        <f>p_zw</f>
        <v/>
      </c>
      <c r="F13" s="33" t="inlineStr">
        <is>
          <t>bar</t>
        </is>
      </c>
      <c r="G13" s="33" t="inlineStr">
        <is>
          <t>eigene Herleitung (Q-017, Q-016)</t>
        </is>
      </c>
      <c r="H13" s="33" t="inlineStr">
        <is>
          <t>Blatt „Kühlung“, Tabelle 2</t>
        </is>
      </c>
      <c r="I13" s="33" t="inlineStr">
        <is>
          <t>höchster runder Zwischendruck, bei dem am Eintritt Stufe 2 (40 °C) Z ≥ 0,7 für reines CO₂ UND Gemisch gilt (rein 0,715, Gemisch 0,741). Beide Stufen bleiben dann unter 95 °C (Stufe 2: rein 84,1 °C, Gemisch 84,7 °C). Mit 50 bar läge Stufe 2 bei 93–94 °C, mit 60 bar wäre Z beim reinen CO₂ &lt; 0,7.</t>
        </is>
      </c>
      <c r="J13" s="33" t="inlineStr">
        <is>
          <t>eb.P_ZW</t>
        </is>
      </c>
      <c r="K13" s="60" t="inlineStr">
        <is>
          <t>◐ abgeleitet</t>
        </is>
      </c>
    </row>
    <row r="14" ht="40.5" customHeight="1">
      <c r="B14" s="33" t="n">
        <v>6</v>
      </c>
      <c r="C14" s="33" t="inlineStr">
        <is>
          <t>Druck nach Verdichtung = Kühldruck = Pumpeneintritt</t>
        </is>
      </c>
      <c r="D14" s="33" t="inlineStr">
        <is>
          <t>p_ük</t>
        </is>
      </c>
      <c r="E14" s="57">
        <f>p_uek</f>
        <v/>
      </c>
      <c r="F14" s="33" t="inlineStr">
        <is>
          <t>bar</t>
        </is>
      </c>
      <c r="G14" s="33" t="inlineStr">
        <is>
          <t>eigene Festlegung</t>
        </is>
      </c>
      <c r="H14" s="33" t="inlineStr">
        <is>
          <t>Span &amp; Wagner 1996 (p_krit 73,8 bar)</t>
        </is>
      </c>
      <c r="I14" s="33" t="inlineStr">
        <is>
          <t>über der Cricondenbar des Gemischs (82,2 bar) + 3 bar Unsicherheit bzw. über p_krit (73,8 bar): der Kühler kreuzt kein Zweiphasengebiet. = Übergabedruck S1 → eine Pumpenbauart für S1 und S2.</t>
        </is>
      </c>
      <c r="J14" s="33" t="inlineStr">
        <is>
          <t>eb.P_UEK</t>
        </is>
      </c>
      <c r="K14" s="60" t="inlineStr">
        <is>
          <t>◐ abgeleitet</t>
        </is>
      </c>
    </row>
    <row r="15" ht="27.95" customHeight="1">
      <c r="B15" s="33" t="n">
        <v>7</v>
      </c>
      <c r="C15" s="33" t="inlineStr">
        <is>
          <t>Höchste Austrittstemperatur je Stufe</t>
        </is>
      </c>
      <c r="D15" s="33" t="inlineStr">
        <is>
          <t>T_max</t>
        </is>
      </c>
      <c r="E15" s="59">
        <f>T_maxV</f>
        <v/>
      </c>
      <c r="F15" s="33" t="inlineStr">
        <is>
          <t>°C</t>
        </is>
      </c>
      <c r="G15" s="33" t="inlineStr">
        <is>
          <t>Q-016</t>
        </is>
      </c>
      <c r="H15" s="33" t="inlineStr">
        <is>
          <t>S. 4, Kap. 2.3 (dort Lit. [24])</t>
        </is>
      </c>
      <c r="I15" s="33" t="inlineStr">
        <is>
          <t>„… might not be higher than the assumed value of 95 °C“ – legt die Zahl der Stufen fest.</t>
        </is>
      </c>
      <c r="J15" s="33" t="inlineStr">
        <is>
          <t>eb.T_MAX_STUFE</t>
        </is>
      </c>
      <c r="K15" s="58" t="inlineStr">
        <is>
          <t>✔ belegt</t>
        </is>
      </c>
    </row>
    <row r="16" ht="27.95" customHeight="1">
      <c r="B16" s="33" t="n">
        <v>8</v>
      </c>
      <c r="C16" s="33" t="inlineStr">
        <is>
          <t>Isentroper Wirkungsgrad Stufe 1</t>
        </is>
      </c>
      <c r="D16" s="33" t="inlineStr">
        <is>
          <t>η_V1</t>
        </is>
      </c>
      <c r="E16" s="59">
        <f>eta_V1</f>
        <v/>
      </c>
      <c r="F16" s="33" t="inlineStr">
        <is>
          <t>–</t>
        </is>
      </c>
      <c r="G16" s="33" t="inlineStr">
        <is>
          <t>Q-016</t>
        </is>
      </c>
      <c r="H16" s="33" t="inlineStr">
        <is>
          <t>S. 4, Kap. 2.3</t>
        </is>
      </c>
      <c r="I16" s="33" t="inlineStr">
        <is>
          <t>„efficiency of compressors … for the first stage is 84 %“</t>
        </is>
      </c>
      <c r="J16" s="33" t="inlineStr">
        <is>
          <t>eb.eta_V1</t>
        </is>
      </c>
      <c r="K16" s="58" t="inlineStr">
        <is>
          <t>✔ belegt</t>
        </is>
      </c>
    </row>
    <row r="17" ht="27.95" customHeight="1">
      <c r="B17" s="33" t="n">
        <v>9</v>
      </c>
      <c r="C17" s="33" t="inlineStr">
        <is>
          <t>Isentroper Wirkungsgrad Stufe 2</t>
        </is>
      </c>
      <c r="D17" s="33" t="inlineStr">
        <is>
          <t>η_V2</t>
        </is>
      </c>
      <c r="E17" s="59">
        <f>eta_V2</f>
        <v/>
      </c>
      <c r="F17" s="33" t="inlineStr">
        <is>
          <t>–</t>
        </is>
      </c>
      <c r="G17" s="33" t="inlineStr">
        <is>
          <t>Q-016</t>
        </is>
      </c>
      <c r="H17" s="33" t="inlineStr">
        <is>
          <t>S. 4, Kap. 2.3</t>
        </is>
      </c>
      <c r="I17" s="33" t="inlineStr">
        <is>
          <t>„… for subsequent stages, it is successively reduced by 2 %“ → 82 %</t>
        </is>
      </c>
      <c r="J17" s="33" t="inlineStr">
        <is>
          <t>eb.eta_V2</t>
        </is>
      </c>
      <c r="K17" s="58" t="inlineStr">
        <is>
          <t>✔ belegt</t>
        </is>
      </c>
    </row>
    <row r="18" ht="27.95" customHeight="1">
      <c r="B18" s="33" t="n">
        <v>10</v>
      </c>
      <c r="C18" s="33" t="inlineStr">
        <is>
          <t>Realgasfaktor am Stufeneintritt mindestens (Hersteller)</t>
        </is>
      </c>
      <c r="D18" s="33" t="inlineStr">
        <is>
          <t>Z_min</t>
        </is>
      </c>
      <c r="E18" s="59">
        <f>Z_min</f>
        <v/>
      </c>
      <c r="F18" s="33" t="inlineStr">
        <is>
          <t>–</t>
        </is>
      </c>
      <c r="G18" s="33" t="inlineStr">
        <is>
          <t>Siemens Energy</t>
        </is>
      </c>
      <c r="H18" s="33" t="inlineStr">
        <is>
          <t>E-Mail-Auskunft 08/2026</t>
        </is>
      </c>
      <c r="I18" s="33" t="inlineStr">
        <is>
          <t>„Damit die Berechnung der Laufräder in unseren Berechnungsprogrammen zuverlässig ausgeführt wird, bleiben wir bei einem Z-Wert von &gt; 0,65.“ Gilt nur für Verdichter, nicht für die Pumpe.</t>
        </is>
      </c>
      <c r="J18" s="33" t="inlineStr">
        <is>
          <t>eb.Z_MIN</t>
        </is>
      </c>
      <c r="K18" s="58" t="inlineStr">
        <is>
          <t>✔ persönliche Mitteilung</t>
        </is>
      </c>
    </row>
    <row r="19" ht="27.95" customHeight="1">
      <c r="B19" s="33" t="n">
        <v>11</v>
      </c>
      <c r="C19" s="33" t="inlineStr">
        <is>
          <t>Realgasfaktor Literaturrichtwert</t>
        </is>
      </c>
      <c r="D19" s="33" t="inlineStr">
        <is>
          <t>Z</t>
        </is>
      </c>
      <c r="E19" s="62" t="n">
        <v>0.7</v>
      </c>
      <c r="F19" s="33" t="inlineStr">
        <is>
          <t>–</t>
        </is>
      </c>
      <c r="G19" s="33" t="inlineStr">
        <is>
          <t>Q-017</t>
        </is>
      </c>
      <c r="H19" s="33" t="inlineStr">
        <is>
          <t>S. 37 (Tab. 3: Z_min 0,7); S. 44</t>
        </is>
      </c>
      <c r="I19" s="33" t="inlineStr">
        <is>
          <t>„Als Grenzwert des Z-Faktors wird durch verschiedenste Hersteller 0,7 angegeben.“ Bei kleinerem Z steigen die Grenzschichtverluste (S. 44). Grundlage für den Zwischendruck.</t>
        </is>
      </c>
      <c r="J19" s="33" t="inlineStr">
        <is>
          <t>eb.Z_Q017</t>
        </is>
      </c>
      <c r="K19" s="58" t="inlineStr">
        <is>
          <t>✔ belegt</t>
        </is>
      </c>
    </row>
    <row r="20" ht="18" customHeight="1">
      <c r="B20" s="30" t="inlineStr">
        <is>
          <t>C  Kühlung – zwei Kühler, zwei Zwecke</t>
        </is>
      </c>
      <c r="C20" s="42" t="n"/>
      <c r="D20" s="42" t="n"/>
      <c r="E20" s="42" t="n"/>
      <c r="F20" s="42" t="n"/>
      <c r="G20" s="42" t="n"/>
      <c r="H20" s="42" t="n"/>
      <c r="I20" s="42" t="n"/>
      <c r="J20" s="42" t="n"/>
      <c r="K20" s="43" t="n"/>
    </row>
    <row r="21" ht="54" customHeight="1">
      <c r="B21" s="33" t="n">
        <v>12</v>
      </c>
      <c r="C21" s="33" t="inlineStr">
        <is>
          <t>CO₂ nach dem Zwischenkühler</t>
        </is>
      </c>
      <c r="D21" s="33" t="inlineStr">
        <is>
          <t>T_ZK</t>
        </is>
      </c>
      <c r="E21" s="59">
        <f>T_ZK</f>
        <v/>
      </c>
      <c r="F21" s="33" t="inlineStr">
        <is>
          <t>°C</t>
        </is>
      </c>
      <c r="G21" s="33" t="inlineStr">
        <is>
          <t>Q-017; Q-063</t>
        </is>
      </c>
      <c r="H21" s="33" t="inlineStr">
        <is>
          <t>Q-017 S. 37 (Tab. 3), S. 61; Q-063 Kap. 5.1 (PDF-S. 22)</t>
        </is>
      </c>
      <c r="I21" s="33" t="inlineStr">
        <is>
          <t>Q-017: „Soll-Kühltemperatur CO₂ 40 °C“ (Auslegung Kingsnorth), S. 61 Siemens-Konzept „Eingangstemperatur 40 °C“. Q-063: CO₂ „no more than about 40 °C. Cooling is therefore required between and after compressor stages“. Zweck: Verdichterarbeit senken, Stufe 2 &lt; 95 °C. Kälter ist nicht besser: Z sinkt (Q-017 S. 44) – bei 26 °C wäre Z = 0,63 (rein) &lt; 0,65.</t>
        </is>
      </c>
      <c r="J21" s="33" t="inlineStr">
        <is>
          <t>eb.T_ZK</t>
        </is>
      </c>
      <c r="K21" s="58" t="inlineStr">
        <is>
          <t>✔ belegt</t>
        </is>
      </c>
    </row>
    <row r="22" ht="27.95" customHeight="1">
      <c r="B22" s="33" t="n">
        <v>13</v>
      </c>
      <c r="C22" s="33" t="inlineStr">
        <is>
          <t>nicht übernommen: Kühlung auf 20 °C</t>
        </is>
      </c>
      <c r="D22" s="33" t="inlineStr">
        <is>
          <t>–</t>
        </is>
      </c>
      <c r="E22" s="62" t="n">
        <v>20</v>
      </c>
      <c r="F22" s="33" t="inlineStr">
        <is>
          <t>°C</t>
        </is>
      </c>
      <c r="G22" s="33" t="inlineStr">
        <is>
          <t>Q-016</t>
        </is>
      </c>
      <c r="H22" s="33" t="inlineStr">
        <is>
          <t>S. 9 und S. 14</t>
        </is>
      </c>
      <c r="I22" s="33" t="inlineStr">
        <is>
          <t>Die 20 °C dienen in Q-016 der Wasserabscheidung vor der TEG-Trocknung (nasses CO₂ direkt aus der Abscheidung) – das CO₂ aus dem Netz ist bereits trocken. Deshalb nicht übertragbar.</t>
        </is>
      </c>
      <c r="J22" s="33" t="inlineStr">
        <is>
          <t>–</t>
        </is>
      </c>
      <c r="K22" s="33" t="inlineStr">
        <is>
          <t>– nicht übertragbar</t>
        </is>
      </c>
    </row>
    <row r="23" ht="27.95" customHeight="1">
      <c r="B23" s="33" t="n">
        <v>14</v>
      </c>
      <c r="C23" s="33" t="inlineStr">
        <is>
          <t>Kühlwasser (Auslegung)</t>
        </is>
      </c>
      <c r="D23" s="33" t="inlineStr">
        <is>
          <t>T_KW</t>
        </is>
      </c>
      <c r="E23" s="59">
        <f>T_KW</f>
        <v/>
      </c>
      <c r="F23" s="33" t="inlineStr">
        <is>
          <t>°C</t>
        </is>
      </c>
      <c r="G23" s="33" t="inlineStr">
        <is>
          <t>eigene Annahme</t>
        </is>
      </c>
      <c r="H23" s="33" t="inlineStr">
        <is>
          <t>–</t>
        </is>
      </c>
      <c r="I23" s="33" t="inlineStr">
        <is>
          <t>Standortwert, mit Hersteller/Standort zu bestätigen (Messe Hamburg 20.–22.10.2026). Wirkung von 15 und 25 °C: Blatt „Kühlung“, Tabelle 4.</t>
        </is>
      </c>
      <c r="J23" s="33" t="inlineStr">
        <is>
          <t>eb.T_KW</t>
        </is>
      </c>
      <c r="K23" s="61" t="inlineStr">
        <is>
          <t>? bestätigen</t>
        </is>
      </c>
    </row>
    <row r="24" ht="27.95" customHeight="1">
      <c r="B24" s="33" t="n">
        <v>15</v>
      </c>
      <c r="C24" s="33" t="inlineStr">
        <is>
          <t>Temperaturabstand Kühler (Grädigkeit)</t>
        </is>
      </c>
      <c r="D24" s="33" t="inlineStr">
        <is>
          <t>ΔT</t>
        </is>
      </c>
      <c r="E24" s="62" t="n">
        <v>6</v>
      </c>
      <c r="F24" s="33" t="inlineStr">
        <is>
          <t>K</t>
        </is>
      </c>
      <c r="G24" s="33" t="inlineStr">
        <is>
          <t>Q-120</t>
        </is>
      </c>
      <c r="H24" s="33" t="inlineStr">
        <is>
          <t>Folie 24</t>
        </is>
      </c>
      <c r="I24" s="33" t="inlineStr">
        <is>
          <t>„Final CO₂ temperature is seldom lower than 6 deg. C (11 deg F) warmer than the air or water.“</t>
        </is>
      </c>
      <c r="J24" s="33" t="inlineStr">
        <is>
          <t>eb.DT_KUEHLER</t>
        </is>
      </c>
      <c r="K24" s="58" t="inlineStr">
        <is>
          <t>✔ belegt</t>
        </is>
      </c>
    </row>
    <row r="25" ht="54" customHeight="1">
      <c r="B25" s="33" t="n">
        <v>16</v>
      </c>
      <c r="C25" s="33" t="inlineStr">
        <is>
          <t>CO₂ nach dem Kühler vor der Pumpe</t>
        </is>
      </c>
      <c r="D25" s="33" t="inlineStr">
        <is>
          <t>T_K</t>
        </is>
      </c>
      <c r="E25" s="59">
        <f>T_K</f>
        <v/>
      </c>
      <c r="F25" s="33" t="inlineStr">
        <is>
          <t>°C</t>
        </is>
      </c>
      <c r="G25" s="33" t="inlineStr">
        <is>
          <t>Q-120; Q-121</t>
        </is>
      </c>
      <c r="H25" s="33" t="inlineStr">
        <is>
          <t>Q-120 Folie 32; Q-121 S. 2–3</t>
        </is>
      </c>
      <c r="I25" s="33" t="inlineStr">
        <is>
          <t>T_K = T_KW + ΔT = 26 °C. Q-120: für Pumpen „cool to 80 to 90 °F (27 to 32 °C) if at all practical to maximize density“, über 38 °C deutlich mehr Förderhöhe. Q-121: Wirkungsgrad sinkt mit steigender Saugtemperatur. 26 °C liegt unter der pseudokritischen Linie bei 91 bar (Gemisch 32,8 °C, rein 40,5 °C).</t>
        </is>
      </c>
      <c r="J25" s="33" t="inlineStr">
        <is>
          <t>eb.T_K</t>
        </is>
      </c>
      <c r="K25" s="58" t="inlineStr">
        <is>
          <t>✔ belegt</t>
        </is>
      </c>
    </row>
    <row r="26" ht="18" customHeight="1">
      <c r="B26" s="30" t="inlineStr">
        <is>
          <t>D  Pumpe</t>
        </is>
      </c>
      <c r="C26" s="42" t="n"/>
      <c r="D26" s="42" t="n"/>
      <c r="E26" s="42" t="n"/>
      <c r="F26" s="42" t="n"/>
      <c r="G26" s="42" t="n"/>
      <c r="H26" s="42" t="n"/>
      <c r="I26" s="42" t="n"/>
      <c r="J26" s="42" t="n"/>
      <c r="K26" s="43" t="n"/>
    </row>
    <row r="27" ht="27.95" customHeight="1">
      <c r="B27" s="33" t="n">
        <v>17</v>
      </c>
      <c r="C27" s="33" t="inlineStr">
        <is>
          <t>Isentroper Wirkungsgrad Pumpe</t>
        </is>
      </c>
      <c r="D27" s="33" t="inlineStr">
        <is>
          <t>η_P</t>
        </is>
      </c>
      <c r="E27" s="59">
        <f>eta</f>
        <v/>
      </c>
      <c r="F27" s="33" t="inlineStr">
        <is>
          <t>–</t>
        </is>
      </c>
      <c r="G27" s="33" t="inlineStr">
        <is>
          <t>eigene Annahme</t>
        </is>
      </c>
      <c r="H27" s="33" t="inlineStr">
        <is>
          <t>Q-016 S. 4 (nur Glykolpumpe 70 %)</t>
        </is>
      </c>
      <c r="I27" s="33" t="inlineStr">
        <is>
          <t>keine Quelle für CO₂-Pumpen – Herstellerwert einholen (Messe Hamburg 20.–22.10.2026).</t>
        </is>
      </c>
      <c r="J27" s="33" t="inlineStr">
        <is>
          <t>eb.eta_P</t>
        </is>
      </c>
      <c r="K27" s="61" t="inlineStr">
        <is>
          <t>? Hersteller fragen</t>
        </is>
      </c>
    </row>
    <row r="28" ht="27.95" customHeight="1">
      <c r="B28" s="33" t="n">
        <v>18</v>
      </c>
      <c r="C28" s="33" t="inlineStr">
        <is>
          <t>Mindestdichte am Pumpeneintritt</t>
        </is>
      </c>
      <c r="D28" s="33" t="inlineStr">
        <is>
          <t>ρ_min</t>
        </is>
      </c>
      <c r="E28" s="57">
        <f>rho_min</f>
        <v/>
      </c>
      <c r="F28" s="33" t="inlineStr">
        <is>
          <t>kg/m³</t>
        </is>
      </c>
      <c r="G28" s="33" t="inlineStr">
        <is>
          <t>Q-121; Q-001</t>
        </is>
      </c>
      <c r="H28" s="33" t="inlineStr">
        <is>
          <t>Q-121 S. 2; Q-001 Kap. 5.2</t>
        </is>
      </c>
      <c r="I28" s="33" t="inlineStr">
        <is>
          <t>„The value of the minimum operating density, between 500 and 400 kg/m³, depends on rotor-dynamics of the pump“ → 500 kg/m³ (oberer, sicherer Wert).</t>
        </is>
      </c>
      <c r="J28" s="33" t="inlineStr">
        <is>
          <t>eb.RHO_MIN</t>
        </is>
      </c>
      <c r="K28" s="58" t="inlineStr">
        <is>
          <t>✔ belegt</t>
        </is>
      </c>
    </row>
    <row r="29" ht="18" customHeight="1">
      <c r="B29" s="30" t="inlineStr">
        <is>
          <t>E  Durchsatz</t>
        </is>
      </c>
      <c r="C29" s="42" t="n"/>
      <c r="D29" s="42" t="n"/>
      <c r="E29" s="42" t="n"/>
      <c r="F29" s="42" t="n"/>
      <c r="G29" s="42" t="n"/>
      <c r="H29" s="42" t="n"/>
      <c r="I29" s="42" t="n"/>
      <c r="J29" s="42" t="n"/>
      <c r="K29" s="43" t="n"/>
    </row>
    <row r="30" ht="27.95" customHeight="1">
      <c r="B30" s="33" t="n">
        <v>19</v>
      </c>
      <c r="C30" s="33" t="inlineStr">
        <is>
          <t>Normvolumenstrom unterer / oberer Fall</t>
        </is>
      </c>
      <c r="D30" s="33" t="inlineStr">
        <is>
          <t>V_n</t>
        </is>
      </c>
      <c r="E30" s="63" t="inlineStr">
        <is>
          <t>50.000 / 100.000</t>
        </is>
      </c>
      <c r="F30" s="33" t="inlineStr">
        <is>
          <t>Nm³/h</t>
        </is>
      </c>
      <c r="G30" s="33" t="inlineStr">
        <is>
          <t>Abstimmung M. Wall (Uniper)</t>
        </is>
      </c>
      <c r="H30" s="33" t="inlineStr">
        <is>
          <t>–</t>
        </is>
      </c>
      <c r="I30" s="33" t="inlineStr">
        <is>
          <t>Bandbreite der Anlage. Zieldruck der Pumpe wird bei 100.000 Nm³/h ausgelegt (höchste Reibung).</t>
        </is>
      </c>
      <c r="J30" s="33" t="inlineStr">
        <is>
          <t>eb.V_NORM_MIN / V_NORM_MAX</t>
        </is>
      </c>
      <c r="K30" s="58" t="inlineStr">
        <is>
          <t>✔ abgestimmt</t>
        </is>
      </c>
    </row>
    <row r="31" ht="27.95" customHeight="1">
      <c r="B31" s="33" t="n">
        <v>20</v>
      </c>
      <c r="C31" s="33" t="inlineStr">
        <is>
          <t>Normzustand</t>
        </is>
      </c>
      <c r="D31" s="33" t="inlineStr">
        <is>
          <t>p_n, T_n</t>
        </is>
      </c>
      <c r="E31" s="63" t="inlineStr">
        <is>
          <t>1,01325 bar / 0 °C</t>
        </is>
      </c>
      <c r="F31" s="33" t="inlineStr">
        <is>
          <t>–</t>
        </is>
      </c>
      <c r="G31" s="33" t="inlineStr">
        <is>
          <t>DIN 1343</t>
        </is>
      </c>
      <c r="H31" s="33" t="inlineStr">
        <is>
          <t>–</t>
        </is>
      </c>
      <c r="I31" s="33" t="inlineStr">
        <is>
          <t>Normdichte aus CoolProp: Gemisch 1,934 kg/m³, rein 1,977 kg/m³ → gleicher Normvolumenstrom ergibt beim Gemisch 2 % weniger Masse.</t>
        </is>
      </c>
      <c r="J31" s="33" t="inlineStr">
        <is>
          <t>stoff.rho_norm()</t>
        </is>
      </c>
      <c r="K31" s="58" t="inlineStr">
        <is>
          <t>✔ belegt</t>
        </is>
      </c>
    </row>
    <row r="32" ht="18" customHeight="1">
      <c r="B32" s="30" t="inlineStr">
        <is>
          <t>F  Kaverne und Bohrloch</t>
        </is>
      </c>
      <c r="C32" s="42" t="n"/>
      <c r="D32" s="42" t="n"/>
      <c r="E32" s="42" t="n"/>
      <c r="F32" s="42" t="n"/>
      <c r="G32" s="42" t="n"/>
      <c r="H32" s="42" t="n"/>
      <c r="I32" s="42" t="n"/>
      <c r="J32" s="42" t="n"/>
      <c r="K32" s="43" t="n"/>
    </row>
    <row r="33" ht="27.95" customHeight="1">
      <c r="B33" s="33" t="n">
        <v>21</v>
      </c>
      <c r="C33" s="33" t="inlineStr">
        <is>
          <t>Teufe LCCS (Referenzkaverne)</t>
        </is>
      </c>
      <c r="D33" s="33" t="inlineStr">
        <is>
          <t>z</t>
        </is>
      </c>
      <c r="E33" s="57">
        <f>z_V1</f>
        <v/>
      </c>
      <c r="F33" s="33" t="inlineStr">
        <is>
          <t>m</t>
        </is>
      </c>
      <c r="G33" s="33" t="inlineStr">
        <is>
          <t>Q-030</t>
        </is>
      </c>
      <c r="H33" s="33" t="inlineStr">
        <is>
          <t>Tab. 1, Option 2</t>
        </is>
      </c>
      <c r="I33" s="33" t="inlineStr">
        <is>
          <t>Uniper-Bestandskaverne; mit M. Wall abgestimmt.</t>
        </is>
      </c>
      <c r="J33" s="33" t="inlineStr">
        <is>
          <t>eb.TEUFE</t>
        </is>
      </c>
      <c r="K33" s="58" t="inlineStr">
        <is>
          <t>✔ belegt</t>
        </is>
      </c>
    </row>
    <row r="34" ht="40.5" customHeight="1">
      <c r="B34" s="33" t="n">
        <v>22</v>
      </c>
      <c r="C34" s="33" t="inlineStr">
        <is>
          <t>Flache Kaverne</t>
        </is>
      </c>
      <c r="D34" s="33" t="inlineStr">
        <is>
          <t>–</t>
        </is>
      </c>
      <c r="E34" s="63" t="inlineStr">
        <is>
          <t>entfällt</t>
        </is>
      </c>
      <c r="F34" s="33" t="inlineStr">
        <is>
          <t>–</t>
        </is>
      </c>
      <c r="G34" s="33" t="inlineStr">
        <is>
          <t>Q-030</t>
        </is>
      </c>
      <c r="H34" s="33" t="inlineStr">
        <is>
          <t>S. 17 (Kap. 1.2.1.2)</t>
        </is>
      </c>
      <c r="I34" s="33" t="inlineStr">
        <is>
          <t>DBI verwirft die flache Option selbst: „almost immediate phase transition into liquid in the cavern, respectively, at the wellhead“. Festgelegt in der Besprechung mit K. Vosbeck (15.10.2026).</t>
        </is>
      </c>
      <c r="J34" s="33" t="inlineStr">
        <is>
          <t>kb.KAVERNEN = (TIEF,)</t>
        </is>
      </c>
      <c r="K34" s="58" t="inlineStr">
        <is>
          <t>✔ belegt</t>
        </is>
      </c>
    </row>
    <row r="35" ht="27.95" customHeight="1">
      <c r="B35" s="33" t="n">
        <v>23</v>
      </c>
      <c r="C35" s="33" t="inlineStr">
        <is>
          <t>Gebirgstemperatur Oberfläche / Gradient</t>
        </is>
      </c>
      <c r="D35" s="33" t="inlineStr">
        <is>
          <t>T₀ / grad T</t>
        </is>
      </c>
      <c r="E35" s="63" t="inlineStr">
        <is>
          <t>10 °C / 0,03 K/m</t>
        </is>
      </c>
      <c r="F35" s="33" t="inlineStr">
        <is>
          <t>–</t>
        </is>
      </c>
      <c r="G35" s="33" t="inlineStr">
        <is>
          <t>Q-028</t>
        </is>
      </c>
      <c r="H35" s="33" t="inlineStr">
        <is>
          <t>Kap. 3 (S. 5), Fig. 3</t>
        </is>
      </c>
      <c r="I35" s="33" t="inlineStr">
        <is>
          <t>„surface temperature of 10 °C (50 °F) and a temperature gradient of 0.03 K/m“</t>
        </is>
      </c>
      <c r="J35" s="33" t="inlineStr">
        <is>
          <t>eb.T_OBERFLAECHE, eb.GRADIENT</t>
        </is>
      </c>
      <c r="K35" s="58" t="inlineStr">
        <is>
          <t>✔ belegt</t>
        </is>
      </c>
    </row>
    <row r="36" ht="27.95" customHeight="1">
      <c r="B36" s="33" t="n">
        <v>24</v>
      </c>
      <c r="C36" s="33" t="inlineStr">
        <is>
          <t>Maximaldruck an der LCCS</t>
        </is>
      </c>
      <c r="D36" s="33" t="inlineStr">
        <is>
          <t>p_max</t>
        </is>
      </c>
      <c r="E36" s="57">
        <f>pmax_V1</f>
        <v/>
      </c>
      <c r="F36" s="33" t="inlineStr">
        <is>
          <t>bar</t>
        </is>
      </c>
      <c r="G36" s="33" t="inlineStr">
        <is>
          <t>M. Wall; Q-028; Q-030</t>
        </is>
      </c>
      <c r="H36" s="33" t="inlineStr">
        <is>
          <t>Q-028 Tab. 1 (200 bar); Q-030 Tab. 1 (240 bar)</t>
        </is>
      </c>
      <c r="I36" s="33" t="inlineStr">
        <is>
          <t>Zwischenwert der beiden Quellen, Vorgabe M. Wall (Uniper).</t>
        </is>
      </c>
      <c r="J36" s="33" t="inlineStr">
        <is>
          <t>eb.P_MAX_LCCS</t>
        </is>
      </c>
      <c r="K36" s="58" t="inlineStr">
        <is>
          <t>✔ abgestimmt</t>
        </is>
      </c>
    </row>
    <row r="37" ht="27.95" customHeight="1">
      <c r="B37" s="33" t="n">
        <v>25</v>
      </c>
      <c r="C37" s="33" t="inlineStr">
        <is>
          <t>Minimaldruck an der LCCS</t>
        </is>
      </c>
      <c r="D37" s="33" t="inlineStr">
        <is>
          <t>p_min</t>
        </is>
      </c>
      <c r="E37" s="57">
        <f>pmin_V1</f>
        <v/>
      </c>
      <c r="F37" s="33" t="inlineStr">
        <is>
          <t>bar</t>
        </is>
      </c>
      <c r="G37" s="33" t="inlineStr">
        <is>
          <t>Q-028</t>
        </is>
      </c>
      <c r="H37" s="33" t="inlineStr">
        <is>
          <t>Tab. 1</t>
        </is>
      </c>
      <c r="I37" s="33" t="inlineStr">
        <is>
          <t>geomechanisches Minimum.</t>
        </is>
      </c>
      <c r="J37" s="33" t="inlineStr">
        <is>
          <t>eb.P_MIN_LCCS</t>
        </is>
      </c>
      <c r="K37" s="58" t="inlineStr">
        <is>
          <t>✔ belegt</t>
        </is>
      </c>
    </row>
    <row r="38" ht="27.95" customHeight="1">
      <c r="B38" s="33" t="n">
        <v>26</v>
      </c>
      <c r="C38" s="33" t="inlineStr">
        <is>
          <t>Förderstrang (Innendurchmesser)</t>
        </is>
      </c>
      <c r="D38" s="33" t="inlineStr">
        <is>
          <t>D_i</t>
        </is>
      </c>
      <c r="E38" s="62" t="n">
        <v>198.8</v>
      </c>
      <c r="F38" s="33" t="inlineStr">
        <is>
          <t>mm</t>
        </is>
      </c>
      <c r="G38" s="33" t="inlineStr">
        <is>
          <t>Q-030</t>
        </is>
      </c>
      <c r="H38" s="33" t="inlineStr">
        <is>
          <t>Tab. 1; Kap. 1.2.1 (S. 12)</t>
        </is>
      </c>
      <c r="I38" s="33" t="inlineStr">
        <is>
          <t>8 5/8" 36# J55 im 11 ¾"-LCCS („possible tubing sizes 8 5/8” and 5 ½”“).</t>
        </is>
      </c>
      <c r="J38" s="33" t="inlineStr">
        <is>
          <t>kb.D_STRANG</t>
        </is>
      </c>
      <c r="K38" s="58" t="inlineStr">
        <is>
          <t>✔ belegt</t>
        </is>
      </c>
    </row>
    <row r="39" ht="27.95" customHeight="1">
      <c r="B39" s="33" t="n">
        <v>27</v>
      </c>
      <c r="C39" s="33" t="inlineStr">
        <is>
          <t>Rohrreibungszahl (Darcy)</t>
        </is>
      </c>
      <c r="D39" s="33" t="inlineStr">
        <is>
          <t>f</t>
        </is>
      </c>
      <c r="E39" s="62" t="n">
        <v>0.016</v>
      </c>
      <c r="F39" s="33" t="inlineStr">
        <is>
          <t>–</t>
        </is>
      </c>
      <c r="G39" s="33" t="inlineStr">
        <is>
          <t>Q-003</t>
        </is>
      </c>
      <c r="H39" s="33" t="inlineStr">
        <is>
          <t>Kap. 6.2</t>
        </is>
      </c>
      <c r="I39" s="33" t="inlineStr">
        <is>
          <t>0,015–0,017 für neues Stahlrohr – Mittelwert.</t>
        </is>
      </c>
      <c r="J39" s="33" t="inlineStr">
        <is>
          <t>kb.F_DARCY</t>
        </is>
      </c>
      <c r="K39" s="58" t="inlineStr">
        <is>
          <t>✔ belegt</t>
        </is>
      </c>
    </row>
    <row r="40" ht="40.5" customHeight="1">
      <c r="B40" s="33" t="n">
        <v>28</v>
      </c>
      <c r="C40" s="33" t="inlineStr">
        <is>
          <t>Strömung im Strang beim Einspeisen</t>
        </is>
      </c>
      <c r="D40" s="33" t="inlineStr">
        <is>
          <t>–</t>
        </is>
      </c>
      <c r="E40" s="63" t="inlineStr">
        <is>
          <t>adiabat</t>
        </is>
      </c>
      <c r="F40" s="33" t="inlineStr">
        <is>
          <t>–</t>
        </is>
      </c>
      <c r="G40" s="33" t="inlineStr">
        <is>
          <t>Besprechung K. Vosbeck 15.10.2026</t>
        </is>
      </c>
      <c r="H40" s="33" t="inlineStr">
        <is>
          <t>–</t>
        </is>
      </c>
      <c r="I40" s="33" t="inlineStr">
        <is>
          <t>schnelle Förderung, kein Wärmeaustausch mit dem Gebirge: h + g·z = konst., Kopftemperatur = Pumpenaustritt. Grenze: homogen, einphasig – genauer nur mit Mehrphasen-Bohrlochmodell (Q-028 S. 11).</t>
        </is>
      </c>
      <c r="J40" s="33" t="inlineStr">
        <is>
          <t>kb.strang()</t>
        </is>
      </c>
      <c r="K40" s="60" t="inlineStr">
        <is>
          <t>◐ Modellannahme</t>
        </is>
      </c>
    </row>
    <row r="41" ht="40.5" customHeight="1">
      <c r="B41" s="33" t="n">
        <v>29</v>
      </c>
      <c r="C41" s="33" t="inlineStr">
        <is>
          <t>Stillstandsdauer zwischen den Phasen</t>
        </is>
      </c>
      <c r="D41" s="33" t="inlineStr">
        <is>
          <t>t_still</t>
        </is>
      </c>
      <c r="E41" s="62" t="n">
        <v>21.67</v>
      </c>
      <c r="F41" s="33" t="inlineStr">
        <is>
          <t>d</t>
        </is>
      </c>
      <c r="G41" s="33" t="inlineStr">
        <is>
          <t>Q-028</t>
        </is>
      </c>
      <c r="H41" s="33" t="inlineStr">
        <is>
          <t>S. 10 (Kap. 4)</t>
        </is>
      </c>
      <c r="I41" s="33" t="inlineStr">
        <is>
          <t>Betriebsszenario der Simulation in Q-028: „Standstill phase (21.67 d)“ nach Aus- und nach Einspeisen. Gleiche Begründung wie in der Quelle; an dieser Simulation ist auch der Wärmeübergang UA kalibriert. Vergleich „kontinuierlich (0 d)“ in der Kaverne-Mappe.</t>
        </is>
      </c>
      <c r="J41" s="33" t="inlineStr">
        <is>
          <t>kb.T_STILLSTAND</t>
        </is>
      </c>
      <c r="K41" s="58" t="inlineStr">
        <is>
          <t>✔ belegt</t>
        </is>
      </c>
    </row>
    <row r="42" ht="18" customHeight="1">
      <c r="B42" s="30" t="inlineStr">
        <is>
          <t>G  Stoffdaten</t>
        </is>
      </c>
      <c r="C42" s="42" t="n"/>
      <c r="D42" s="42" t="n"/>
      <c r="E42" s="42" t="n"/>
      <c r="F42" s="42" t="n"/>
      <c r="G42" s="42" t="n"/>
      <c r="H42" s="42" t="n"/>
      <c r="I42" s="42" t="n"/>
      <c r="J42" s="42" t="n"/>
      <c r="K42" s="43" t="n"/>
    </row>
    <row r="43" ht="27.95" customHeight="1">
      <c r="B43" s="33" t="n">
        <v>30</v>
      </c>
      <c r="C43" s="33" t="inlineStr">
        <is>
          <t>Unsicherheit der Phasengrenze</t>
        </is>
      </c>
      <c r="D43" s="33" t="inlineStr">
        <is>
          <t>U_PG</t>
        </is>
      </c>
      <c r="E43" s="62" t="n">
        <v>3</v>
      </c>
      <c r="F43" s="33" t="inlineStr">
        <is>
          <t>bar</t>
        </is>
      </c>
      <c r="G43" s="33" t="inlineStr">
        <is>
          <t>Dokumentation Stoffmodelle</t>
        </is>
      </c>
      <c r="H43" s="33" t="inlineStr">
        <is>
          <t>Kap. 9</t>
        </is>
      </c>
      <c r="I43" s="33" t="inlineStr">
        <is>
          <t>Modellstreuung 1 bar + Modellfehler 1–3 % (Vergleich GERG-2008, Peng-Robinson, SRK in thermopack).</t>
        </is>
      </c>
      <c r="J43" s="33" t="inlineStr">
        <is>
          <t>eb.U_PG</t>
        </is>
      </c>
      <c r="K43" s="60" t="inlineStr">
        <is>
          <t>◐ abgeleitet</t>
        </is>
      </c>
    </row>
    <row r="44" ht="40.5" customHeight="1">
      <c r="B44" s="33" t="n">
        <v>31</v>
      </c>
      <c r="C44" s="33" t="inlineStr">
        <is>
          <t>Zustandsgleichungen</t>
        </is>
      </c>
      <c r="D44" s="33" t="inlineStr">
        <is>
          <t>–</t>
        </is>
      </c>
      <c r="E44" s="63" t="inlineStr">
        <is>
          <t>Span &amp; Wagner / GERG-2008</t>
        </is>
      </c>
      <c r="F44" s="33" t="inlineStr">
        <is>
          <t>–</t>
        </is>
      </c>
      <c r="G44" s="33" t="inlineStr">
        <is>
          <t>Span &amp; Wagner 1996; Kunz &amp; Wagner 2012; Gernert &amp; Span 2016</t>
        </is>
      </c>
      <c r="H44" s="33" t="inlineStr">
        <is>
          <t>–</t>
        </is>
      </c>
      <c r="I44" s="33" t="inlineStr">
        <is>
          <t>über CoolProp 8.0.0 (Bell et al. 2014); Gemisch mit Mehrfluid-Helmholtz-Modell.</t>
        </is>
      </c>
      <c r="J44" s="33" t="inlineStr">
        <is>
          <t>gemisch_worstcase.py</t>
        </is>
      </c>
      <c r="K44" s="58" t="inlineStr">
        <is>
          <t>✔ belegt</t>
        </is>
      </c>
    </row>
    <row r="45"/>
    <row r="46">
      <c r="B46" s="25" t="inlineStr">
        <is>
          <t>Seitenzahlen = gedruckte Seitenzahl der Quelle (bei Q-063 PDF-Seite). Wörtliche Zitate in „…“; ohne Anführungszeichen sinngemäß. Herleitungen mit Zahlen: Blätter „Kühlung“ und „Massenströme“.</t>
        </is>
      </c>
    </row>
  </sheetData>
  <mergeCells count="8">
    <mergeCell ref="B32:K32"/>
    <mergeCell ref="B4:K4"/>
    <mergeCell ref="B26:K26"/>
    <mergeCell ref="B12:K12"/>
    <mergeCell ref="B7:K7"/>
    <mergeCell ref="B29:K29"/>
    <mergeCell ref="B20:K20"/>
    <mergeCell ref="B42:K42"/>
  </mergeCells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FFA6A6A6"/>
    <outlinePr summaryBelow="1" summaryRight="1"/>
    <pageSetUpPr fitToPage="1"/>
  </sheetPr>
  <dimension ref="A1:D23"/>
  <sheetViews>
    <sheetView showGridLines="0" tabSelected="0" workbookViewId="0">
      <selection activeCell="A1" sqref="A1"/>
    </sheetView>
  </sheetViews>
  <sheetFormatPr baseColWidth="10" defaultColWidth="9.140625" defaultRowHeight="15"/>
  <cols>
    <col width="2.7109375" customWidth="1" min="1" max="1"/>
    <col width="16.7109375" customWidth="1" min="2" max="2"/>
    <col width="70.7109375" customWidth="1" min="3" max="3"/>
    <col width="60.7109375" customWidth="1" min="4" max="4"/>
  </cols>
  <sheetData>
    <row r="1" ht="30" customHeight="1">
      <c r="B1" s="1" t="inlineStr">
        <is>
          <t>Quellen</t>
        </is>
      </c>
    </row>
    <row r="2">
      <c r="B2" s="2" t="inlineStr">
        <is>
          <t>Herkunft der Annahmen und Stoffdaten dieser Mappe (IDs wie in der Quellen- und Wissensmatrix). Fundstellen je Annahme: Blatt „Annahmen &amp; Begründung“.</t>
        </is>
      </c>
    </row>
    <row r="3">
      <c r="B3" s="34" t="inlineStr">
        <is>
          <t>← zur Übersicht</t>
        </is>
      </c>
    </row>
    <row r="4">
      <c r="B4" s="37" t="inlineStr">
        <is>
          <t>ID</t>
        </is>
      </c>
      <c r="C4" s="37" t="inlineStr">
        <is>
          <t>Quelle</t>
        </is>
      </c>
      <c r="D4" s="37" t="inlineStr">
        <is>
          <t>Verwendet für</t>
        </is>
      </c>
    </row>
    <row r="5" ht="45" customHeight="1">
      <c r="B5" s="38" t="inlineStr">
        <is>
          <t>Q-001</t>
        </is>
      </c>
      <c r="C5" s="33" t="inlineStr">
        <is>
          <t>DVGW (2024): C 260 (A) – Properties of Carbon Dioxide and Carbon Dioxide Streams. Entwurf.</t>
        </is>
      </c>
      <c r="D5" s="33" t="inlineStr">
        <is>
          <t>Kritischer Punkt, Stoffeigenschaften CO₂</t>
        </is>
      </c>
    </row>
    <row r="6" ht="45" customHeight="1">
      <c r="B6" s="38" t="inlineStr">
        <is>
          <t>Q-016</t>
        </is>
      </c>
      <c r="C6" s="33" t="inlineStr">
        <is>
          <t>Bielka, P.; Kuczyński, S.; Nagy, S.: CO₂ Compression and Dehydration for Transport and Geological Storage.</t>
        </is>
      </c>
      <c r="D6" s="33" t="inlineStr">
        <is>
          <t>Wirkungsgrade Verdichter 84 % (Stufe 1) / 82 % (Stufe 2) und höchstens 95 °C je Stufe (S. 4, Kap. 2.3). Nicht übernommen: Kühlung auf 20 °C (S. 9, S. 14) – dient dort der Wasserabscheidung vor der TEG-Trocknung; Glykolpumpe 70 % (S. 4) nicht auf die CO₂-Pumpe übertragbar.</t>
        </is>
      </c>
    </row>
    <row r="7" ht="45" customHeight="1">
      <c r="B7" s="38" t="inlineStr">
        <is>
          <t>Q-028</t>
        </is>
      </c>
      <c r="C7" s="33" t="inlineStr">
        <is>
          <t>Buzogany, R.; Kruck, O. (2022): CO₂ – Storage in Salt Caverns: Thermodynamic Analysis and Challenges. SMRI Fall 2022.</t>
        </is>
      </c>
      <c r="D7" s="33" t="inlineStr">
        <is>
          <t>Oberflächentemperatur 10 °C, Gradient 0,03 K/m (Kap. 3, S. 5), Minimaldruck 70 bar (Tab. 1), Darstellung Gassäule (Fig. 3), Stillstand 21,67 d (S. 10), Grenze des homogenen Bohrlochmodells (S. 11)</t>
        </is>
      </c>
    </row>
    <row r="8" ht="45" customHeight="1">
      <c r="B8" s="38" t="inlineStr">
        <is>
          <t>Q-029</t>
        </is>
      </c>
      <c r="C8" s="33" t="inlineStr">
        <is>
          <t>DBI für Uniper: CCUS-P2 – CO₂-Storage for CCU/S, Phase 2 – Detailing Study, Final Report V08.</t>
        </is>
      </c>
      <c r="D8" s="33" t="inlineStr">
        <is>
          <t>Offener Punkt: gewählte Option 1 ist die tiefe Kaverne (1400 m, 260 bar)</t>
        </is>
      </c>
    </row>
    <row r="9" ht="45" customHeight="1">
      <c r="B9" s="38" t="inlineStr">
        <is>
          <t>Q-030</t>
        </is>
      </c>
      <c r="C9" s="33" t="inlineStr">
        <is>
          <t>DBI für Uniper: CCUS-P1 – CO₂-Storage for CCU/S, Phase 1 – Initial Concept Study, Final Report.</t>
        </is>
      </c>
      <c r="D9" s="33" t="inlineStr">
        <is>
          <t>Tab. 1: Teufe 1200 m (Option 2), Anhalt für p_max (240 bar), Förderstrang 8 5/8" (Kap. 1.2.1); S. 17: flache Option verworfen (fast sofort Flüssigphase) → keine Kaverne V2</t>
        </is>
      </c>
    </row>
    <row r="10" ht="45" customHeight="1">
      <c r="B10" s="38" t="inlineStr">
        <is>
          <t>Q-038</t>
        </is>
      </c>
      <c r="C10" s="33" t="inlineStr">
        <is>
          <t>Baumgärtel, L.; Körner, F.; Leuger, B.; Zapf, D. (2023): Energiespeicherung in Salzkavernen. Poster, Tag der Energieforschung, LU Hannover.</t>
        </is>
      </c>
      <c r="D10" s="33" t="inlineStr">
        <is>
          <t>Zu prüfen: alte Annahmentabelle leitet daraus p_max ≈ 85 % des lithostatischen Drucks ab – in der Matrix nur Geometriedaten erfasst</t>
        </is>
      </c>
    </row>
    <row r="11" ht="45" customHeight="1">
      <c r="B11" s="38" t="inlineStr">
        <is>
          <t>Q-040</t>
        </is>
      </c>
      <c r="C11" s="33" t="inlineStr">
        <is>
          <t>DIN EN ISO 27913: Abscheidung, Transport und geologische Speicherung von CO₂ – Rohrleitungstransportsysteme (dt. Fassung 2025).</t>
        </is>
      </c>
      <c r="D11" s="33" t="inlineStr">
        <is>
          <t>Zu prüfen: alte Annahmentabelle nennt Q-040 für die gasförmige Anlieferung mit 30 bar – Norm in der Matrix noch nicht ausgewertet</t>
        </is>
      </c>
    </row>
    <row r="12" ht="45" customHeight="1">
      <c r="B12" s="38" t="inlineStr">
        <is>
          <t>OGE</t>
        </is>
      </c>
      <c r="C12" s="33" t="inlineStr">
        <is>
          <t>Gesprächsnotiz Austausch OGE / Uniper, 16.09.2026 (Notizen S. Maxara).</t>
        </is>
      </c>
      <c r="D12" s="33" t="inlineStr">
        <is>
          <t>Übergabedruck S1 mind. 91 bar; Durchsatz-Bandbreite (mit M. Wall)</t>
        </is>
      </c>
    </row>
    <row r="13" ht="45" customHeight="1">
      <c r="B13" s="38" t="inlineStr">
        <is>
          <t>—</t>
        </is>
      </c>
      <c r="C13" s="33" t="inlineStr">
        <is>
          <t>Span, R.; Wagner, W. (1996): A New Equation of State for Carbon Dioxide Covering the Fluid Region from the Triple-Point Temperature to 1100 K at Pressures up to 800 MPa. J. Phys. Chem. Ref. Data 25(6), 1509–1596.</t>
        </is>
      </c>
      <c r="D13" s="33" t="inlineStr">
        <is>
          <t>Zustandsgleichung CO₂ (über CoolProp); Sublimations- und Schmelzdruck</t>
        </is>
      </c>
    </row>
    <row r="14" ht="45" customHeight="1">
      <c r="B14" s="38" t="inlineStr">
        <is>
          <t>—</t>
        </is>
      </c>
      <c r="C14" s="33" t="inlineStr">
        <is>
          <t>Bell, I. H.; Wronski, J.; Quoilin, S.; Lemort, V. (2014): Pure and Pseudo-pure Fluid Thermophysical Property Evaluation and the Open-Source Thermophysical Property Library CoolProp. Ind. Eng. Chem. Res. 53(6), 2498–2508.</t>
        </is>
      </c>
      <c r="D14" s="33" t="inlineStr">
        <is>
          <t>Stoffdatenbibliothek CoolProp, Version 8.0.0</t>
        </is>
      </c>
    </row>
    <row r="15" ht="45" customHeight="1">
      <c r="B15" s="38" t="inlineStr">
        <is>
          <t>Vorarbeit</t>
        </is>
      </c>
      <c r="C15" s="33" t="inlineStr">
        <is>
          <t>Python-Skripte der eigenen Vorarbeit (ObertageAnlageRechner: gaspfad_vergleich.py, pfadentscheidung.py).</t>
        </is>
      </c>
      <c r="D15" s="33" t="inlineStr">
        <is>
          <t>Nur noch der Übergabedruck S2 (30 bar) stammt aus der Vorarbeit – Quelle zu prüfen. Frühere Annahmen (Verflüssigung, Kühlung auf 20 °C) sind ersetzt.</t>
        </is>
      </c>
    </row>
    <row r="16" ht="45" customHeight="1">
      <c r="B16" s="38" t="inlineStr">
        <is>
          <t>Q-003</t>
        </is>
      </c>
      <c r="C16" s="33" t="inlineStr">
        <is>
          <t>IfG Institut für Gebirgsmechanik; UGS GmbH; CTU Prag (2022): Energiespeicherung in Salzkavernen mit superkritischem CO₂ – ESsCO₂. Abschlussbericht, FKZ 03ET6154.</t>
        </is>
      </c>
      <c r="D16" s="33" t="inlineStr">
        <is>
          <t>Kap. 6.2: Rohrreibungszahl (Darcy) 0,015–0,017 für neues Stahlrohr → f = 0,016 im Förderstrang (Zieldruck im Betrieb)</t>
        </is>
      </c>
    </row>
    <row r="17" ht="45" customHeight="1">
      <c r="B17" s="38" t="inlineStr">
        <is>
          <t>Q-017</t>
        </is>
      </c>
      <c r="C17" s="33" t="inlineStr">
        <is>
          <t>Wloka, M. (2010): Untersuchung der notwendigen Anlagentechnik zur Verdichtung und Speicherung von CO₂. Diplomarbeit, TFH Georg Agricola Bochum (Beispiel Kingsnorth).</t>
        </is>
      </c>
      <c r="D17" s="33" t="inlineStr">
        <is>
          <t>S. 37 (Tab. 3): Soll-Kühltemperatur CO₂ 40 °C und Z_min 0,7 → Zwischenkühler 40 °C; S. 44: „Als Grenzwert des Z-Faktors wird durch verschiedenste Hersteller 0,7 angegeben“ → Zwischendruck 55 bar; S. 61: Siemens-Konzept Eingangstemperatur 40 °C</t>
        </is>
      </c>
    </row>
    <row r="18" ht="45" customHeight="1">
      <c r="B18" s="38" t="inlineStr">
        <is>
          <t>Q-063</t>
        </is>
      </c>
      <c r="C18" s="33" t="inlineStr">
        <is>
          <t>E.ON UK / DECC (ca. 2011): Kingsnorth Carbon Dioxide Capture and Storage Demonstration Project – Key Knowledge Reference Book.</t>
        </is>
      </c>
      <c r="D18" s="33" t="inlineStr">
        <is>
          <t>Kap. 5.1 (PDF-S. 22): CO₂ „no more than about 40 °C“, Kühlung zwischen und nach den Verdichterstufen → T_ZK = 40 °C; Kap. 6 (PDF-S. 33): dichte Phase über 40 °C möglicherweise instabil</t>
        </is>
      </c>
    </row>
    <row r="19" ht="45" customHeight="1">
      <c r="B19" s="38" t="inlineStr">
        <is>
          <t>Vosbeck</t>
        </is>
      </c>
      <c r="C19" s="33" t="inlineStr">
        <is>
          <t>Besprechung mit Katrin Vosbeck (Uniper, Kavernen), 15.10.2026 (Notizen S. Maxara, Journal).</t>
        </is>
      </c>
      <c r="D19" s="33" t="inlineStr">
        <is>
          <t>nur tiefe Kaverne; Förderstrang adiabat; Zieldruck im Betrieb (Regelung über den Kopfdruck); zwei Kühler mit verschiedenem Zweck; Volumenströme über einen Massenstrom verknüpfen</t>
        </is>
      </c>
    </row>
    <row r="20" ht="45" customHeight="1">
      <c r="B20" s="38" t="inlineStr">
        <is>
          <t>Q-120</t>
        </is>
      </c>
      <c r="C20" s="33" t="inlineStr">
        <is>
          <t>Adams, R. (Sulzer Pumps); Miller, H. (Dresser-Rand) (2011): Pumping &amp; Compression of CO₂ – A Tutorial. Turbomachinery &amp; Pump Symposia, Texas A&amp;M University.</t>
        </is>
      </c>
      <c r="D20" s="33" t="inlineStr">
        <is>
          <t>Folie 24: CO₂ nach dem Kühler selten kälter als Kühlmittel + 6 K → 26 °C; Folie 32: für Pumpen auf 27–32 °C oder kälter kühlen</t>
        </is>
      </c>
    </row>
    <row r="21" ht="45" customHeight="1">
      <c r="B21" s="38" t="inlineStr">
        <is>
          <t>Q-121</t>
        </is>
      </c>
      <c r="C21" s="33" t="inlineStr">
        <is>
          <t>Bergamini, L.; del Vescovo, C.; Milone, F. (GE Oil &amp; Gas) (2011): Centrifugal Pumps for CO₂ Applications. Proc. 27th International Pump Users Symposium, Houston.</t>
        </is>
      </c>
      <c r="D21" s="33" t="inlineStr">
        <is>
          <t>S. 2: Mindestdichte am Pumpeneintritt 400–500 kg/m³ → ρ_min = 500 kg/m³</t>
        </is>
      </c>
    </row>
    <row r="22" ht="45" customHeight="1">
      <c r="B22" s="38" t="inlineStr">
        <is>
          <t>Siemens</t>
        </is>
      </c>
      <c r="C22" s="33" t="inlineStr">
        <is>
          <t>Siemens Energy (Duisburg): E-Mail-Auskunft zur Auslegung von CO₂-Verdichtern, 08/2026 (persönliche Mitteilung).</t>
        </is>
      </c>
      <c r="D22" s="33" t="inlineStr">
        <is>
          <t>Z_min = 0,65 am Verdichtereintritt (Grenze der Laufradberechnung); nur Verdichter</t>
        </is>
      </c>
    </row>
    <row r="23" ht="45" customHeight="1">
      <c r="B23" s="38" t="inlineStr">
        <is>
          <t>Doku</t>
        </is>
      </c>
      <c r="C23" s="33" t="inlineStr">
        <is>
          <t>Dokumentation_Stoffmodelle_Validierung.docx (eigene Arbeit).</t>
        </is>
      </c>
      <c r="D23" s="33" t="inlineStr">
        <is>
          <t>Unsicherheit der Phasengrenze ±3 bar (Kap. 9)</t>
        </is>
      </c>
    </row>
  </sheetData>
  <hyperlinks>
    <hyperlink ref="B3" location="'Übersicht'!A1" display="← zur Übersicht"/>
  </hyperlinks>
  <pageMargins left="0.4" right="0.4" top="0.5" bottom="0.5" header="0.3" footer="0.3"/>
  <pageSetup orientation="landscape" paperSize="9" fitToHeight="0"/>
</worksheet>
</file>

<file path=xl/worksheets/sheet11.xml><?xml version="1.0" encoding="utf-8"?>
<worksheet xmlns="http://schemas.openxmlformats.org/spreadsheetml/2006/main">
  <sheetPr>
    <tabColor rgb="FFD9D9D9"/>
    <outlinePr summaryBelow="1" summaryRight="1"/>
    <pageSetUpPr fitToPage="1"/>
  </sheetPr>
  <dimension ref="A1:L375"/>
  <sheetViews>
    <sheetView showGridLines="0" tabSelected="0" workbookViewId="0">
      <selection activeCell="A1" sqref="A1"/>
    </sheetView>
  </sheetViews>
  <sheetFormatPr baseColWidth="10" defaultColWidth="9.140625" defaultRowHeight="15"/>
  <cols>
    <col width="2.7109375" customWidth="1" min="1" max="1"/>
    <col width="12.7109375" customWidth="1" min="2" max="7"/>
    <col width="2.7109375" customWidth="1" min="8" max="8"/>
    <col width="34.7109375" customWidth="1" min="9" max="9"/>
    <col width="12.7109375" customWidth="1" min="10" max="12"/>
  </cols>
  <sheetData>
    <row r="1" ht="30" customHeight="1">
      <c r="B1" s="1" t="inlineStr">
        <is>
          <t>Diagrammdaten – Hilfstabellen (nicht ändern)</t>
        </is>
      </c>
    </row>
    <row r="2">
      <c r="B2" s="2" t="inlineStr">
        <is>
          <t>Grundlage für das Phasendiagramm. Farbflächen: gestapelte Druckbereiche je Temperatur. Linien: Punkte mit T, p und Position im Diagramm.</t>
        </is>
      </c>
    </row>
    <row r="3">
      <c r="B3" s="34" t="inlineStr">
        <is>
          <t>← zur Übersicht</t>
        </is>
      </c>
    </row>
    <row r="4">
      <c r="B4" s="33" t="inlineStr">
        <is>
          <t>T_min [°C]</t>
        </is>
      </c>
      <c r="C4" s="6" t="n">
        <v>-80</v>
      </c>
      <c r="D4" s="36" t="inlineStr">
        <is>
          <t>Position im Diagramm = (T − T_min) / Schritt + 1  (die Farbflächen haben eine Kategorie je 0,5 K)</t>
        </is>
      </c>
    </row>
    <row r="5">
      <c r="B5" s="33" t="inlineStr">
        <is>
          <t>Schritt [K]</t>
        </is>
      </c>
      <c r="C5" s="6" t="n">
        <v>0.5</v>
      </c>
    </row>
    <row r="6"/>
    <row r="7" ht="25.5" customHeight="1">
      <c r="B7" s="37" t="inlineStr">
        <is>
          <t>T [°C]</t>
        </is>
      </c>
      <c r="C7" s="37" t="inlineStr">
        <is>
          <t>Achsenbeschriftung</t>
        </is>
      </c>
      <c r="D7" s="37" t="inlineStr">
        <is>
          <t>gasförmig [bar]</t>
        </is>
      </c>
      <c r="E7" s="37" t="inlineStr">
        <is>
          <t>flüssig [bar]</t>
        </is>
      </c>
      <c r="F7" s="37" t="inlineStr">
        <is>
          <t>überkritisch [bar]</t>
        </is>
      </c>
      <c r="G7" s="37" t="inlineStr">
        <is>
          <t>fest [bar]</t>
        </is>
      </c>
      <c r="I7" s="37" t="inlineStr">
        <is>
          <t>Linie / Punkt</t>
        </is>
      </c>
      <c r="J7" s="37" t="inlineStr">
        <is>
          <t>T [°C]</t>
        </is>
      </c>
      <c r="K7" s="37" t="inlineStr">
        <is>
          <t>p [bar]</t>
        </is>
      </c>
      <c r="L7" s="37" t="inlineStr">
        <is>
          <t>Position</t>
        </is>
      </c>
    </row>
    <row r="8">
      <c r="B8" t="n">
        <v>-80</v>
      </c>
      <c r="C8">
        <f>IF(MOD(B8,20)=0,TEXT(B8,"0"),"")</f>
        <v/>
      </c>
      <c r="D8" t="n">
        <v>0.8924</v>
      </c>
      <c r="E8" t="n">
        <v>0</v>
      </c>
      <c r="F8" t="n">
        <v>0</v>
      </c>
      <c r="G8" t="n">
        <v>249.1076</v>
      </c>
      <c r="I8" s="38" t="inlineStr">
        <is>
          <t>Sättigungslinie</t>
        </is>
      </c>
      <c r="J8" t="n">
        <v>-56.558</v>
      </c>
      <c r="K8" t="n">
        <v>5.1796</v>
      </c>
      <c r="L8">
        <f>(J8-Diagramm_Tmin)/Diagramm_dT+1</f>
        <v/>
      </c>
    </row>
    <row r="9">
      <c r="B9" t="n">
        <v>-79.5</v>
      </c>
      <c r="C9">
        <f>IF(MOD(B9,20)=0,TEXT(B9,"0"),"")</f>
        <v/>
      </c>
      <c r="D9" t="n">
        <v>0.9303</v>
      </c>
      <c r="E9" t="n">
        <v>0</v>
      </c>
      <c r="F9" t="n">
        <v>0</v>
      </c>
      <c r="G9" t="n">
        <v>249.0697</v>
      </c>
      <c r="J9" t="n">
        <v>-55.2894</v>
      </c>
      <c r="K9" t="n">
        <v>5.4714</v>
      </c>
      <c r="L9">
        <f>(J9-Diagramm_Tmin)/Diagramm_dT+1</f>
        <v/>
      </c>
    </row>
    <row r="10">
      <c r="B10" t="n">
        <v>-79</v>
      </c>
      <c r="C10">
        <f>IF(MOD(B10,20)=0,TEXT(B10,"0"),"")</f>
        <v/>
      </c>
      <c r="D10" t="n">
        <v>0.9696</v>
      </c>
      <c r="E10" t="n">
        <v>0</v>
      </c>
      <c r="F10" t="n">
        <v>0</v>
      </c>
      <c r="G10" t="n">
        <v>249.0304</v>
      </c>
      <c r="J10" t="n">
        <v>-54.0207</v>
      </c>
      <c r="K10" t="n">
        <v>5.7754</v>
      </c>
      <c r="L10">
        <f>(J10-Diagramm_Tmin)/Diagramm_dT+1</f>
        <v/>
      </c>
    </row>
    <row r="11">
      <c r="B11" t="n">
        <v>-78.5</v>
      </c>
      <c r="C11">
        <f>IF(MOD(B11,20)=0,TEXT(B11,"0"),"")</f>
        <v/>
      </c>
      <c r="D11" t="n">
        <v>1.0103</v>
      </c>
      <c r="E11" t="n">
        <v>0</v>
      </c>
      <c r="F11" t="n">
        <v>0</v>
      </c>
      <c r="G11" t="n">
        <v>248.9897</v>
      </c>
      <c r="J11" t="n">
        <v>-52.7521</v>
      </c>
      <c r="K11" t="n">
        <v>6.092</v>
      </c>
      <c r="L11">
        <f>(J11-Diagramm_Tmin)/Diagramm_dT+1</f>
        <v/>
      </c>
    </row>
    <row r="12">
      <c r="B12" t="n">
        <v>-78</v>
      </c>
      <c r="C12">
        <f>IF(MOD(B12,20)=0,TEXT(B12,"0"),"")</f>
        <v/>
      </c>
      <c r="D12" t="n">
        <v>1.0526</v>
      </c>
      <c r="E12" t="n">
        <v>0</v>
      </c>
      <c r="F12" t="n">
        <v>0</v>
      </c>
      <c r="G12" t="n">
        <v>248.9474</v>
      </c>
      <c r="J12" t="n">
        <v>-51.4834</v>
      </c>
      <c r="K12" t="n">
        <v>6.4214</v>
      </c>
      <c r="L12">
        <f>(J12-Diagramm_Tmin)/Diagramm_dT+1</f>
        <v/>
      </c>
    </row>
    <row r="13">
      <c r="B13" t="n">
        <v>-77.5</v>
      </c>
      <c r="C13">
        <f>IF(MOD(B13,20)=0,TEXT(B13,"0"),"")</f>
        <v/>
      </c>
      <c r="D13" t="n">
        <v>1.0964</v>
      </c>
      <c r="E13" t="n">
        <v>0</v>
      </c>
      <c r="F13" t="n">
        <v>0</v>
      </c>
      <c r="G13" t="n">
        <v>248.9036</v>
      </c>
      <c r="J13" t="n">
        <v>-50.2148</v>
      </c>
      <c r="K13" t="n">
        <v>6.7641</v>
      </c>
      <c r="L13">
        <f>(J13-Diagramm_Tmin)/Diagramm_dT+1</f>
        <v/>
      </c>
    </row>
    <row r="14">
      <c r="B14" t="n">
        <v>-77</v>
      </c>
      <c r="C14">
        <f>IF(MOD(B14,20)=0,TEXT(B14,"0"),"")</f>
        <v/>
      </c>
      <c r="D14" t="n">
        <v>1.1418</v>
      </c>
      <c r="E14" t="n">
        <v>0</v>
      </c>
      <c r="F14" t="n">
        <v>0</v>
      </c>
      <c r="G14" t="n">
        <v>248.8582</v>
      </c>
      <c r="J14" t="n">
        <v>-48.9462</v>
      </c>
      <c r="K14" t="n">
        <v>7.1203</v>
      </c>
      <c r="L14">
        <f>(J14-Diagramm_Tmin)/Diagramm_dT+1</f>
        <v/>
      </c>
    </row>
    <row r="15">
      <c r="B15" t="n">
        <v>-76.5</v>
      </c>
      <c r="C15">
        <f>IF(MOD(B15,20)=0,TEXT(B15,"0"),"")</f>
        <v/>
      </c>
      <c r="D15" t="n">
        <v>1.1888</v>
      </c>
      <c r="E15" t="n">
        <v>0</v>
      </c>
      <c r="F15" t="n">
        <v>0</v>
      </c>
      <c r="G15" t="n">
        <v>248.8112</v>
      </c>
      <c r="J15" t="n">
        <v>-47.6775</v>
      </c>
      <c r="K15" t="n">
        <v>7.4903</v>
      </c>
      <c r="L15">
        <f>(J15-Diagramm_Tmin)/Diagramm_dT+1</f>
        <v/>
      </c>
    </row>
    <row r="16">
      <c r="B16" t="n">
        <v>-76</v>
      </c>
      <c r="C16">
        <f>IF(MOD(B16,20)=0,TEXT(B16,"0"),"")</f>
        <v/>
      </c>
      <c r="D16" t="n">
        <v>1.2375</v>
      </c>
      <c r="E16" t="n">
        <v>0</v>
      </c>
      <c r="F16" t="n">
        <v>0</v>
      </c>
      <c r="G16" t="n">
        <v>248.7625</v>
      </c>
      <c r="J16" t="n">
        <v>-46.4089</v>
      </c>
      <c r="K16" t="n">
        <v>7.8746</v>
      </c>
      <c r="L16">
        <f>(J16-Diagramm_Tmin)/Diagramm_dT+1</f>
        <v/>
      </c>
    </row>
    <row r="17">
      <c r="B17" t="n">
        <v>-75.5</v>
      </c>
      <c r="C17">
        <f>IF(MOD(B17,20)=0,TEXT(B17,"0"),"")</f>
        <v/>
      </c>
      <c r="D17" t="n">
        <v>1.288</v>
      </c>
      <c r="E17" t="n">
        <v>0</v>
      </c>
      <c r="F17" t="n">
        <v>0</v>
      </c>
      <c r="G17" t="n">
        <v>248.712</v>
      </c>
      <c r="J17" t="n">
        <v>-45.1402</v>
      </c>
      <c r="K17" t="n">
        <v>8.273400000000001</v>
      </c>
      <c r="L17">
        <f>(J17-Diagramm_Tmin)/Diagramm_dT+1</f>
        <v/>
      </c>
    </row>
    <row r="18">
      <c r="B18" t="n">
        <v>-75</v>
      </c>
      <c r="C18">
        <f>IF(MOD(B18,20)=0,TEXT(B18,"0"),"")</f>
        <v/>
      </c>
      <c r="D18" t="n">
        <v>1.3403</v>
      </c>
      <c r="E18" t="n">
        <v>0</v>
      </c>
      <c r="F18" t="n">
        <v>0</v>
      </c>
      <c r="G18" t="n">
        <v>248.6597</v>
      </c>
      <c r="J18" t="n">
        <v>-43.8716</v>
      </c>
      <c r="K18" t="n">
        <v>8.686999999999999</v>
      </c>
      <c r="L18">
        <f>(J18-Diagramm_Tmin)/Diagramm_dT+1</f>
        <v/>
      </c>
    </row>
    <row r="19">
      <c r="B19" t="n">
        <v>-74.5</v>
      </c>
      <c r="C19">
        <f>IF(MOD(B19,20)=0,TEXT(B19,"0"),"")</f>
        <v/>
      </c>
      <c r="D19" t="n">
        <v>1.3944</v>
      </c>
      <c r="E19" t="n">
        <v>0</v>
      </c>
      <c r="F19" t="n">
        <v>0</v>
      </c>
      <c r="G19" t="n">
        <v>248.6056</v>
      </c>
      <c r="J19" t="n">
        <v>-42.603</v>
      </c>
      <c r="K19" t="n">
        <v>9.1159</v>
      </c>
      <c r="L19">
        <f>(J19-Diagramm_Tmin)/Diagramm_dT+1</f>
        <v/>
      </c>
    </row>
    <row r="20">
      <c r="B20" t="n">
        <v>-74</v>
      </c>
      <c r="C20">
        <f>IF(MOD(B20,20)=0,TEXT(B20,"0"),"")</f>
        <v/>
      </c>
      <c r="D20" t="n">
        <v>1.4505</v>
      </c>
      <c r="E20" t="n">
        <v>0</v>
      </c>
      <c r="F20" t="n">
        <v>0</v>
      </c>
      <c r="G20" t="n">
        <v>248.5495</v>
      </c>
      <c r="J20" t="n">
        <v>-41.3343</v>
      </c>
      <c r="K20" t="n">
        <v>9.5604</v>
      </c>
      <c r="L20">
        <f>(J20-Diagramm_Tmin)/Diagramm_dT+1</f>
        <v/>
      </c>
    </row>
    <row r="21">
      <c r="B21" t="n">
        <v>-73.5</v>
      </c>
      <c r="C21">
        <f>IF(MOD(B21,20)=0,TEXT(B21,"0"),"")</f>
        <v/>
      </c>
      <c r="D21" t="n">
        <v>1.5085</v>
      </c>
      <c r="E21" t="n">
        <v>0</v>
      </c>
      <c r="F21" t="n">
        <v>0</v>
      </c>
      <c r="G21" t="n">
        <v>248.4915</v>
      </c>
      <c r="J21" t="n">
        <v>-40.0657</v>
      </c>
      <c r="K21" t="n">
        <v>10.0207</v>
      </c>
      <c r="L21">
        <f>(J21-Diagramm_Tmin)/Diagramm_dT+1</f>
        <v/>
      </c>
    </row>
    <row r="22">
      <c r="B22" t="n">
        <v>-73</v>
      </c>
      <c r="C22">
        <f>IF(MOD(B22,20)=0,TEXT(B22,"0"),"")</f>
        <v/>
      </c>
      <c r="D22" t="n">
        <v>1.5686</v>
      </c>
      <c r="E22" t="n">
        <v>0</v>
      </c>
      <c r="F22" t="n">
        <v>0</v>
      </c>
      <c r="G22" t="n">
        <v>248.4314</v>
      </c>
      <c r="J22" t="n">
        <v>-38.797</v>
      </c>
      <c r="K22" t="n">
        <v>10.4973</v>
      </c>
      <c r="L22">
        <f>(J22-Diagramm_Tmin)/Diagramm_dT+1</f>
        <v/>
      </c>
    </row>
    <row r="23">
      <c r="B23" t="n">
        <v>-72.5</v>
      </c>
      <c r="C23">
        <f>IF(MOD(B23,20)=0,TEXT(B23,"0"),"")</f>
        <v/>
      </c>
      <c r="D23" t="n">
        <v>1.6308</v>
      </c>
      <c r="E23" t="n">
        <v>0</v>
      </c>
      <c r="F23" t="n">
        <v>0</v>
      </c>
      <c r="G23" t="n">
        <v>248.3692</v>
      </c>
      <c r="J23" t="n">
        <v>-37.5284</v>
      </c>
      <c r="K23" t="n">
        <v>10.9904</v>
      </c>
      <c r="L23">
        <f>(J23-Diagramm_Tmin)/Diagramm_dT+1</f>
        <v/>
      </c>
    </row>
    <row r="24">
      <c r="B24" t="n">
        <v>-72</v>
      </c>
      <c r="C24">
        <f>IF(MOD(B24,20)=0,TEXT(B24,"0"),"")</f>
        <v/>
      </c>
      <c r="D24" t="n">
        <v>1.6951</v>
      </c>
      <c r="E24" t="n">
        <v>0</v>
      </c>
      <c r="F24" t="n">
        <v>0</v>
      </c>
      <c r="G24" t="n">
        <v>248.3049</v>
      </c>
      <c r="J24" t="n">
        <v>-36.2598</v>
      </c>
      <c r="K24" t="n">
        <v>11.5005</v>
      </c>
      <c r="L24">
        <f>(J24-Diagramm_Tmin)/Diagramm_dT+1</f>
        <v/>
      </c>
    </row>
    <row r="25">
      <c r="B25" t="n">
        <v>-71.5</v>
      </c>
      <c r="C25">
        <f>IF(MOD(B25,20)=0,TEXT(B25,"0"),"")</f>
        <v/>
      </c>
      <c r="D25" t="n">
        <v>1.7617</v>
      </c>
      <c r="E25" t="n">
        <v>0</v>
      </c>
      <c r="F25" t="n">
        <v>0</v>
      </c>
      <c r="G25" t="n">
        <v>248.2383</v>
      </c>
      <c r="J25" t="n">
        <v>-34.9911</v>
      </c>
      <c r="K25" t="n">
        <v>12.0279</v>
      </c>
      <c r="L25">
        <f>(J25-Diagramm_Tmin)/Diagramm_dT+1</f>
        <v/>
      </c>
    </row>
    <row r="26">
      <c r="B26" t="n">
        <v>-71</v>
      </c>
      <c r="C26">
        <f>IF(MOD(B26,20)=0,TEXT(B26,"0"),"")</f>
        <v/>
      </c>
      <c r="D26" t="n">
        <v>1.8305</v>
      </c>
      <c r="E26" t="n">
        <v>0</v>
      </c>
      <c r="F26" t="n">
        <v>0</v>
      </c>
      <c r="G26" t="n">
        <v>248.1695</v>
      </c>
      <c r="J26" t="n">
        <v>-33.7225</v>
      </c>
      <c r="K26" t="n">
        <v>12.573</v>
      </c>
      <c r="L26">
        <f>(J26-Diagramm_Tmin)/Diagramm_dT+1</f>
        <v/>
      </c>
    </row>
    <row r="27">
      <c r="B27" t="n">
        <v>-70.5</v>
      </c>
      <c r="C27">
        <f>IF(MOD(B27,20)=0,TEXT(B27,"0"),"")</f>
        <v/>
      </c>
      <c r="D27" t="n">
        <v>1.9017</v>
      </c>
      <c r="E27" t="n">
        <v>0</v>
      </c>
      <c r="F27" t="n">
        <v>0</v>
      </c>
      <c r="G27" t="n">
        <v>248.0983</v>
      </c>
      <c r="J27" t="n">
        <v>-32.4538</v>
      </c>
      <c r="K27" t="n">
        <v>13.1361</v>
      </c>
      <c r="L27">
        <f>(J27-Diagramm_Tmin)/Diagramm_dT+1</f>
        <v/>
      </c>
    </row>
    <row r="28">
      <c r="B28" t="n">
        <v>-70</v>
      </c>
      <c r="C28">
        <f>IF(MOD(B28,20)=0,TEXT(B28,"0"),"")</f>
        <v/>
      </c>
      <c r="D28" t="n">
        <v>1.9754</v>
      </c>
      <c r="E28" t="n">
        <v>0</v>
      </c>
      <c r="F28" t="n">
        <v>0</v>
      </c>
      <c r="G28" t="n">
        <v>248.0246</v>
      </c>
      <c r="J28" t="n">
        <v>-31.1852</v>
      </c>
      <c r="K28" t="n">
        <v>13.7175</v>
      </c>
      <c r="L28">
        <f>(J28-Diagramm_Tmin)/Diagramm_dT+1</f>
        <v/>
      </c>
    </row>
    <row r="29">
      <c r="B29" t="n">
        <v>-69.5</v>
      </c>
      <c r="C29">
        <f>IF(MOD(B29,20)=0,TEXT(B29,"0"),"")</f>
        <v/>
      </c>
      <c r="D29" t="n">
        <v>2.0516</v>
      </c>
      <c r="E29" t="n">
        <v>0</v>
      </c>
      <c r="F29" t="n">
        <v>0</v>
      </c>
      <c r="G29" t="n">
        <v>247.9484</v>
      </c>
      <c r="J29" t="n">
        <v>-29.9165</v>
      </c>
      <c r="K29" t="n">
        <v>14.3177</v>
      </c>
      <c r="L29">
        <f>(J29-Diagramm_Tmin)/Diagramm_dT+1</f>
        <v/>
      </c>
    </row>
    <row r="30">
      <c r="B30" t="n">
        <v>-69</v>
      </c>
      <c r="C30">
        <f>IF(MOD(B30,20)=0,TEXT(B30,"0"),"")</f>
        <v/>
      </c>
      <c r="D30" t="n">
        <v>2.1303</v>
      </c>
      <c r="E30" t="n">
        <v>0</v>
      </c>
      <c r="F30" t="n">
        <v>0</v>
      </c>
      <c r="G30" t="n">
        <v>247.8697</v>
      </c>
      <c r="J30" t="n">
        <v>-28.6479</v>
      </c>
      <c r="K30" t="n">
        <v>14.9369</v>
      </c>
      <c r="L30">
        <f>(J30-Diagramm_Tmin)/Diagramm_dT+1</f>
        <v/>
      </c>
    </row>
    <row r="31">
      <c r="B31" t="n">
        <v>-68.5</v>
      </c>
      <c r="C31">
        <f>IF(MOD(B31,20)=0,TEXT(B31,"0"),"")</f>
        <v/>
      </c>
      <c r="D31" t="n">
        <v>2.2117</v>
      </c>
      <c r="E31" t="n">
        <v>0</v>
      </c>
      <c r="F31" t="n">
        <v>0</v>
      </c>
      <c r="G31" t="n">
        <v>247.7883</v>
      </c>
      <c r="J31" t="n">
        <v>-27.3793</v>
      </c>
      <c r="K31" t="n">
        <v>15.5757</v>
      </c>
      <c r="L31">
        <f>(J31-Diagramm_Tmin)/Diagramm_dT+1</f>
        <v/>
      </c>
    </row>
    <row r="32">
      <c r="B32" t="n">
        <v>-68</v>
      </c>
      <c r="C32">
        <f>IF(MOD(B32,20)=0,TEXT(B32,"0"),"")</f>
        <v/>
      </c>
      <c r="D32" t="n">
        <v>2.2958</v>
      </c>
      <c r="E32" t="n">
        <v>0</v>
      </c>
      <c r="F32" t="n">
        <v>0</v>
      </c>
      <c r="G32" t="n">
        <v>247.7042</v>
      </c>
      <c r="J32" t="n">
        <v>-26.1106</v>
      </c>
      <c r="K32" t="n">
        <v>16.2343</v>
      </c>
      <c r="L32">
        <f>(J32-Diagramm_Tmin)/Diagramm_dT+1</f>
        <v/>
      </c>
    </row>
    <row r="33">
      <c r="B33" t="n">
        <v>-67.5</v>
      </c>
      <c r="C33">
        <f>IF(MOD(B33,20)=0,TEXT(B33,"0"),"")</f>
        <v/>
      </c>
      <c r="D33" t="n">
        <v>2.3828</v>
      </c>
      <c r="E33" t="n">
        <v>0</v>
      </c>
      <c r="F33" t="n">
        <v>0</v>
      </c>
      <c r="G33" t="n">
        <v>247.6172</v>
      </c>
      <c r="J33" t="n">
        <v>-24.842</v>
      </c>
      <c r="K33" t="n">
        <v>16.913</v>
      </c>
      <c r="L33">
        <f>(J33-Diagramm_Tmin)/Diagramm_dT+1</f>
        <v/>
      </c>
    </row>
    <row r="34">
      <c r="B34" t="n">
        <v>-67</v>
      </c>
      <c r="C34">
        <f>IF(MOD(B34,20)=0,TEXT(B34,"0"),"")</f>
        <v/>
      </c>
      <c r="D34" t="n">
        <v>2.4726</v>
      </c>
      <c r="E34" t="n">
        <v>0</v>
      </c>
      <c r="F34" t="n">
        <v>0</v>
      </c>
      <c r="G34" t="n">
        <v>247.5274</v>
      </c>
      <c r="J34" t="n">
        <v>-23.5733</v>
      </c>
      <c r="K34" t="n">
        <v>17.6124</v>
      </c>
      <c r="L34">
        <f>(J34-Diagramm_Tmin)/Diagramm_dT+1</f>
        <v/>
      </c>
    </row>
    <row r="35">
      <c r="B35" t="n">
        <v>-66.5</v>
      </c>
      <c r="C35">
        <f>IF(MOD(B35,20)=0,TEXT(B35,"0"),"")</f>
        <v/>
      </c>
      <c r="D35" t="n">
        <v>2.5654</v>
      </c>
      <c r="E35" t="n">
        <v>0</v>
      </c>
      <c r="F35" t="n">
        <v>0</v>
      </c>
      <c r="G35" t="n">
        <v>247.4346</v>
      </c>
      <c r="J35" t="n">
        <v>-22.3047</v>
      </c>
      <c r="K35" t="n">
        <v>18.3328</v>
      </c>
      <c r="L35">
        <f>(J35-Diagramm_Tmin)/Diagramm_dT+1</f>
        <v/>
      </c>
    </row>
    <row r="36">
      <c r="B36" t="n">
        <v>-66</v>
      </c>
      <c r="C36">
        <f>IF(MOD(B36,20)=0,TEXT(B36,"0"),"")</f>
        <v/>
      </c>
      <c r="D36" t="n">
        <v>2.6613</v>
      </c>
      <c r="E36" t="n">
        <v>0</v>
      </c>
      <c r="F36" t="n">
        <v>0</v>
      </c>
      <c r="G36" t="n">
        <v>247.3387</v>
      </c>
      <c r="J36" t="n">
        <v>-21.0361</v>
      </c>
      <c r="K36" t="n">
        <v>19.0745</v>
      </c>
      <c r="L36">
        <f>(J36-Diagramm_Tmin)/Diagramm_dT+1</f>
        <v/>
      </c>
    </row>
    <row r="37">
      <c r="B37" t="n">
        <v>-65.5</v>
      </c>
      <c r="C37">
        <f>IF(MOD(B37,20)=0,TEXT(B37,"0"),"")</f>
        <v/>
      </c>
      <c r="D37" t="n">
        <v>2.7604</v>
      </c>
      <c r="E37" t="n">
        <v>0</v>
      </c>
      <c r="F37" t="n">
        <v>0</v>
      </c>
      <c r="G37" t="n">
        <v>247.2396</v>
      </c>
      <c r="J37" t="n">
        <v>-19.7674</v>
      </c>
      <c r="K37" t="n">
        <v>19.8379</v>
      </c>
      <c r="L37">
        <f>(J37-Diagramm_Tmin)/Diagramm_dT+1</f>
        <v/>
      </c>
    </row>
    <row r="38">
      <c r="B38" t="n">
        <v>-65</v>
      </c>
      <c r="C38">
        <f>IF(MOD(B38,20)=0,TEXT(B38,"0"),"")</f>
        <v/>
      </c>
      <c r="D38" t="n">
        <v>2.8627</v>
      </c>
      <c r="E38" t="n">
        <v>0</v>
      </c>
      <c r="F38" t="n">
        <v>0</v>
      </c>
      <c r="G38" t="n">
        <v>247.1373</v>
      </c>
      <c r="J38" t="n">
        <v>-18.4988</v>
      </c>
      <c r="K38" t="n">
        <v>20.6234</v>
      </c>
      <c r="L38">
        <f>(J38-Diagramm_Tmin)/Diagramm_dT+1</f>
        <v/>
      </c>
    </row>
    <row r="39">
      <c r="B39" t="n">
        <v>-64.5</v>
      </c>
      <c r="C39">
        <f>IF(MOD(B39,20)=0,TEXT(B39,"0"),"")</f>
        <v/>
      </c>
      <c r="D39" t="n">
        <v>2.9683</v>
      </c>
      <c r="E39" t="n">
        <v>0</v>
      </c>
      <c r="F39" t="n">
        <v>0</v>
      </c>
      <c r="G39" t="n">
        <v>247.0317</v>
      </c>
      <c r="J39" t="n">
        <v>-17.2301</v>
      </c>
      <c r="K39" t="n">
        <v>21.4315</v>
      </c>
      <c r="L39">
        <f>(J39-Diagramm_Tmin)/Diagramm_dT+1</f>
        <v/>
      </c>
    </row>
    <row r="40">
      <c r="B40" t="n">
        <v>-64</v>
      </c>
      <c r="C40">
        <f>IF(MOD(B40,20)=0,TEXT(B40,"0"),"")</f>
        <v/>
      </c>
      <c r="D40" t="n">
        <v>3.0774</v>
      </c>
      <c r="E40" t="n">
        <v>0</v>
      </c>
      <c r="F40" t="n">
        <v>0</v>
      </c>
      <c r="G40" t="n">
        <v>246.9226</v>
      </c>
      <c r="J40" t="n">
        <v>-15.9615</v>
      </c>
      <c r="K40" t="n">
        <v>22.2625</v>
      </c>
      <c r="L40">
        <f>(J40-Diagramm_Tmin)/Diagramm_dT+1</f>
        <v/>
      </c>
    </row>
    <row r="41">
      <c r="B41" t="n">
        <v>-63.5</v>
      </c>
      <c r="C41">
        <f>IF(MOD(B41,20)=0,TEXT(B41,"0"),"")</f>
        <v/>
      </c>
      <c r="D41" t="n">
        <v>3.19</v>
      </c>
      <c r="E41" t="n">
        <v>0</v>
      </c>
      <c r="F41" t="n">
        <v>0</v>
      </c>
      <c r="G41" t="n">
        <v>246.81</v>
      </c>
      <c r="J41" t="n">
        <v>-14.6929</v>
      </c>
      <c r="K41" t="n">
        <v>23.1169</v>
      </c>
      <c r="L41">
        <f>(J41-Diagramm_Tmin)/Diagramm_dT+1</f>
        <v/>
      </c>
    </row>
    <row r="42">
      <c r="B42" t="n">
        <v>-63</v>
      </c>
      <c r="C42">
        <f>IF(MOD(B42,20)=0,TEXT(B42,"0"),"")</f>
        <v/>
      </c>
      <c r="D42" t="n">
        <v>3.3062</v>
      </c>
      <c r="E42" t="n">
        <v>0</v>
      </c>
      <c r="F42" t="n">
        <v>0</v>
      </c>
      <c r="G42" t="n">
        <v>246.6938</v>
      </c>
      <c r="J42" t="n">
        <v>-13.4242</v>
      </c>
      <c r="K42" t="n">
        <v>23.995</v>
      </c>
      <c r="L42">
        <f>(J42-Diagramm_Tmin)/Diagramm_dT+1</f>
        <v/>
      </c>
    </row>
    <row r="43">
      <c r="B43" t="n">
        <v>-62.5</v>
      </c>
      <c r="C43">
        <f>IF(MOD(B43,20)=0,TEXT(B43,"0"),"")</f>
        <v/>
      </c>
      <c r="D43" t="n">
        <v>3.4262</v>
      </c>
      <c r="E43" t="n">
        <v>0</v>
      </c>
      <c r="F43" t="n">
        <v>0</v>
      </c>
      <c r="G43" t="n">
        <v>246.5738</v>
      </c>
      <c r="J43" t="n">
        <v>-12.1556</v>
      </c>
      <c r="K43" t="n">
        <v>24.8972</v>
      </c>
      <c r="L43">
        <f>(J43-Diagramm_Tmin)/Diagramm_dT+1</f>
        <v/>
      </c>
    </row>
    <row r="44">
      <c r="B44" t="n">
        <v>-62</v>
      </c>
      <c r="C44">
        <f>IF(MOD(B44,20)=0,TEXT(B44,"0"),"")</f>
        <v/>
      </c>
      <c r="D44" t="n">
        <v>3.5501</v>
      </c>
      <c r="E44" t="n">
        <v>0</v>
      </c>
      <c r="F44" t="n">
        <v>0</v>
      </c>
      <c r="G44" t="n">
        <v>246.4499</v>
      </c>
      <c r="J44" t="n">
        <v>-10.8869</v>
      </c>
      <c r="K44" t="n">
        <v>25.824</v>
      </c>
      <c r="L44">
        <f>(J44-Diagramm_Tmin)/Diagramm_dT+1</f>
        <v/>
      </c>
    </row>
    <row r="45">
      <c r="B45" t="n">
        <v>-61.5</v>
      </c>
      <c r="C45">
        <f>IF(MOD(B45,20)=0,TEXT(B45,"0"),"")</f>
        <v/>
      </c>
      <c r="D45" t="n">
        <v>3.6779</v>
      </c>
      <c r="E45" t="n">
        <v>0</v>
      </c>
      <c r="F45" t="n">
        <v>0</v>
      </c>
      <c r="G45" t="n">
        <v>246.3221</v>
      </c>
      <c r="J45" t="n">
        <v>-9.6183</v>
      </c>
      <c r="K45" t="n">
        <v>26.7758</v>
      </c>
      <c r="L45">
        <f>(J45-Diagramm_Tmin)/Diagramm_dT+1</f>
        <v/>
      </c>
    </row>
    <row r="46">
      <c r="B46" t="n">
        <v>-61</v>
      </c>
      <c r="C46">
        <f>IF(MOD(B46,20)=0,TEXT(B46,"0"),"")</f>
        <v/>
      </c>
      <c r="D46" t="n">
        <v>3.8098</v>
      </c>
      <c r="E46" t="n">
        <v>0</v>
      </c>
      <c r="F46" t="n">
        <v>0</v>
      </c>
      <c r="G46" t="n">
        <v>246.1902</v>
      </c>
      <c r="J46" t="n">
        <v>-8.3497</v>
      </c>
      <c r="K46" t="n">
        <v>27.753</v>
      </c>
      <c r="L46">
        <f>(J46-Diagramm_Tmin)/Diagramm_dT+1</f>
        <v/>
      </c>
    </row>
    <row r="47">
      <c r="B47" t="n">
        <v>-60.5</v>
      </c>
      <c r="C47">
        <f>IF(MOD(B47,20)=0,TEXT(B47,"0"),"")</f>
        <v/>
      </c>
      <c r="D47" t="n">
        <v>3.9458</v>
      </c>
      <c r="E47" t="n">
        <v>0</v>
      </c>
      <c r="F47" t="n">
        <v>0</v>
      </c>
      <c r="G47" t="n">
        <v>246.0542</v>
      </c>
      <c r="J47" t="n">
        <v>-7.081</v>
      </c>
      <c r="K47" t="n">
        <v>28.7561</v>
      </c>
      <c r="L47">
        <f>(J47-Diagramm_Tmin)/Diagramm_dT+1</f>
        <v/>
      </c>
    </row>
    <row r="48">
      <c r="B48" t="n">
        <v>-60</v>
      </c>
      <c r="C48">
        <f>IF(MOD(B48,20)=0,TEXT(B48,"0"),"")</f>
        <v/>
      </c>
      <c r="D48" t="n">
        <v>4.0862</v>
      </c>
      <c r="E48" t="n">
        <v>0</v>
      </c>
      <c r="F48" t="n">
        <v>0</v>
      </c>
      <c r="G48" t="n">
        <v>245.9138</v>
      </c>
      <c r="J48" t="n">
        <v>-5.8124</v>
      </c>
      <c r="K48" t="n">
        <v>29.7855</v>
      </c>
      <c r="L48">
        <f>(J48-Diagramm_Tmin)/Diagramm_dT+1</f>
        <v/>
      </c>
    </row>
    <row r="49">
      <c r="B49" t="n">
        <v>-59.5</v>
      </c>
      <c r="C49">
        <f>IF(MOD(B49,20)=0,TEXT(B49,"0"),"")</f>
        <v/>
      </c>
      <c r="D49" t="n">
        <v>4.231</v>
      </c>
      <c r="E49" t="n">
        <v>0</v>
      </c>
      <c r="F49" t="n">
        <v>0</v>
      </c>
      <c r="G49" t="n">
        <v>245.769</v>
      </c>
      <c r="J49" t="n">
        <v>-4.5437</v>
      </c>
      <c r="K49" t="n">
        <v>30.8417</v>
      </c>
      <c r="L49">
        <f>(J49-Diagramm_Tmin)/Diagramm_dT+1</f>
        <v/>
      </c>
    </row>
    <row r="50">
      <c r="B50" t="n">
        <v>-59</v>
      </c>
      <c r="C50">
        <f>IF(MOD(B50,20)=0,TEXT(B50,"0"),"")</f>
        <v/>
      </c>
      <c r="D50" t="n">
        <v>4.3803</v>
      </c>
      <c r="E50" t="n">
        <v>0</v>
      </c>
      <c r="F50" t="n">
        <v>0</v>
      </c>
      <c r="G50" t="n">
        <v>245.6197</v>
      </c>
      <c r="J50" t="n">
        <v>-3.2751</v>
      </c>
      <c r="K50" t="n">
        <v>31.9251</v>
      </c>
      <c r="L50">
        <f>(J50-Diagramm_Tmin)/Diagramm_dT+1</f>
        <v/>
      </c>
    </row>
    <row r="51">
      <c r="B51" t="n">
        <v>-58.5</v>
      </c>
      <c r="C51">
        <f>IF(MOD(B51,20)=0,TEXT(B51,"0"),"")</f>
        <v/>
      </c>
      <c r="D51" t="n">
        <v>4.5343</v>
      </c>
      <c r="E51" t="n">
        <v>0</v>
      </c>
      <c r="F51" t="n">
        <v>0</v>
      </c>
      <c r="G51" t="n">
        <v>245.4657</v>
      </c>
      <c r="J51" t="n">
        <v>-2.0065</v>
      </c>
      <c r="K51" t="n">
        <v>33.0363</v>
      </c>
      <c r="L51">
        <f>(J51-Diagramm_Tmin)/Diagramm_dT+1</f>
        <v/>
      </c>
    </row>
    <row r="52">
      <c r="B52" t="n">
        <v>-58</v>
      </c>
      <c r="C52">
        <f>IF(MOD(B52,20)=0,TEXT(B52,"0"),"")</f>
        <v/>
      </c>
      <c r="D52" t="n">
        <v>4.6932</v>
      </c>
      <c r="E52" t="n">
        <v>0</v>
      </c>
      <c r="F52" t="n">
        <v>0</v>
      </c>
      <c r="G52" t="n">
        <v>245.3068</v>
      </c>
      <c r="J52" t="n">
        <v>-0.7378</v>
      </c>
      <c r="K52" t="n">
        <v>34.1756</v>
      </c>
      <c r="L52">
        <f>(J52-Diagramm_Tmin)/Diagramm_dT+1</f>
        <v/>
      </c>
    </row>
    <row r="53">
      <c r="B53" t="n">
        <v>-57.5</v>
      </c>
      <c r="C53">
        <f>IF(MOD(B53,20)=0,TEXT(B53,"0"),"")</f>
        <v/>
      </c>
      <c r="D53" t="n">
        <v>4.857</v>
      </c>
      <c r="E53" t="n">
        <v>0</v>
      </c>
      <c r="F53" t="n">
        <v>0</v>
      </c>
      <c r="G53" t="n">
        <v>245.143</v>
      </c>
      <c r="J53" t="n">
        <v>0.5308</v>
      </c>
      <c r="K53" t="n">
        <v>35.3437</v>
      </c>
      <c r="L53">
        <f>(J53-Diagramm_Tmin)/Diagramm_dT+1</f>
        <v/>
      </c>
    </row>
    <row r="54">
      <c r="B54" t="n">
        <v>-57</v>
      </c>
      <c r="C54">
        <f>IF(MOD(B54,20)=0,TEXT(B54,"0"),"")</f>
        <v/>
      </c>
      <c r="D54" t="n">
        <v>5.0259</v>
      </c>
      <c r="E54" t="n">
        <v>0</v>
      </c>
      <c r="F54" t="n">
        <v>0</v>
      </c>
      <c r="G54" t="n">
        <v>244.9741</v>
      </c>
      <c r="J54" t="n">
        <v>1.7995</v>
      </c>
      <c r="K54" t="n">
        <v>36.5409</v>
      </c>
      <c r="L54">
        <f>(J54-Diagramm_Tmin)/Diagramm_dT+1</f>
        <v/>
      </c>
    </row>
    <row r="55">
      <c r="B55" t="n">
        <v>-56.5</v>
      </c>
      <c r="C55">
        <f>IF(MOD(B55,20)=0,TEXT(B55,"0"),"")</f>
        <v/>
      </c>
      <c r="D55" t="n">
        <v>5.1927</v>
      </c>
      <c r="E55" t="n">
        <v>2.7001</v>
      </c>
      <c r="F55" t="n">
        <v>0</v>
      </c>
      <c r="G55" t="n">
        <v>242.1072</v>
      </c>
      <c r="J55" t="n">
        <v>3.0681</v>
      </c>
      <c r="K55" t="n">
        <v>37.7679</v>
      </c>
      <c r="L55">
        <f>(J55-Diagramm_Tmin)/Diagramm_dT+1</f>
        <v/>
      </c>
    </row>
    <row r="56">
      <c r="B56" t="n">
        <v>-56</v>
      </c>
      <c r="C56">
        <f>IF(MOD(B56,20)=0,TEXT(B56,"0"),"")</f>
        <v/>
      </c>
      <c r="D56" t="n">
        <v>5.3065</v>
      </c>
      <c r="E56" t="n">
        <v>26.0389</v>
      </c>
      <c r="F56" t="n">
        <v>0</v>
      </c>
      <c r="G56" t="n">
        <v>218.6546</v>
      </c>
      <c r="J56" t="n">
        <v>4.3367</v>
      </c>
      <c r="K56" t="n">
        <v>39.0251</v>
      </c>
      <c r="L56">
        <f>(J56-Diagramm_Tmin)/Diagramm_dT+1</f>
        <v/>
      </c>
    </row>
    <row r="57">
      <c r="B57" t="n">
        <v>-55.5</v>
      </c>
      <c r="C57">
        <f>IF(MOD(B57,20)=0,TEXT(B57,"0"),"")</f>
        <v/>
      </c>
      <c r="D57" t="n">
        <v>5.4221</v>
      </c>
      <c r="E57" t="n">
        <v>49.4893</v>
      </c>
      <c r="F57" t="n">
        <v>0</v>
      </c>
      <c r="G57" t="n">
        <v>195.0886</v>
      </c>
      <c r="J57" t="n">
        <v>5.6054</v>
      </c>
      <c r="K57" t="n">
        <v>40.3132</v>
      </c>
      <c r="L57">
        <f>(J57-Diagramm_Tmin)/Diagramm_dT+1</f>
        <v/>
      </c>
    </row>
    <row r="58">
      <c r="B58" t="n">
        <v>-55</v>
      </c>
      <c r="C58">
        <f>IF(MOD(B58,20)=0,TEXT(B58,"0"),"")</f>
        <v/>
      </c>
      <c r="D58" t="n">
        <v>5.5397</v>
      </c>
      <c r="E58" t="n">
        <v>73.05119999999999</v>
      </c>
      <c r="F58" t="n">
        <v>0</v>
      </c>
      <c r="G58" t="n">
        <v>171.4091</v>
      </c>
      <c r="J58" t="n">
        <v>6.874</v>
      </c>
      <c r="K58" t="n">
        <v>41.6327</v>
      </c>
      <c r="L58">
        <f>(J58-Diagramm_Tmin)/Diagramm_dT+1</f>
        <v/>
      </c>
    </row>
    <row r="59">
      <c r="B59" t="n">
        <v>-54.5</v>
      </c>
      <c r="C59">
        <f>IF(MOD(B59,20)=0,TEXT(B59,"0"),"")</f>
        <v/>
      </c>
      <c r="D59" t="n">
        <v>5.6591</v>
      </c>
      <c r="E59" t="n">
        <v>96.7248</v>
      </c>
      <c r="F59" t="n">
        <v>0</v>
      </c>
      <c r="G59" t="n">
        <v>147.6161</v>
      </c>
      <c r="J59" t="n">
        <v>8.1427</v>
      </c>
      <c r="K59" t="n">
        <v>42.9842</v>
      </c>
      <c r="L59">
        <f>(J59-Diagramm_Tmin)/Diagramm_dT+1</f>
        <v/>
      </c>
    </row>
    <row r="60">
      <c r="B60" t="n">
        <v>-54</v>
      </c>
      <c r="C60">
        <f>IF(MOD(B60,20)=0,TEXT(B60,"0"),"")</f>
        <v/>
      </c>
      <c r="D60" t="n">
        <v>5.7805</v>
      </c>
      <c r="E60" t="n">
        <v>120.5099</v>
      </c>
      <c r="F60" t="n">
        <v>0</v>
      </c>
      <c r="G60" t="n">
        <v>123.7097</v>
      </c>
      <c r="J60" t="n">
        <v>9.411300000000001</v>
      </c>
      <c r="K60" t="n">
        <v>44.3683</v>
      </c>
      <c r="L60">
        <f>(J60-Diagramm_Tmin)/Diagramm_dT+1</f>
        <v/>
      </c>
    </row>
    <row r="61">
      <c r="B61" t="n">
        <v>-53.5</v>
      </c>
      <c r="C61">
        <f>IF(MOD(B61,20)=0,TEXT(B61,"0"),"")</f>
        <v/>
      </c>
      <c r="D61" t="n">
        <v>5.9038</v>
      </c>
      <c r="E61" t="n">
        <v>144.4065</v>
      </c>
      <c r="F61" t="n">
        <v>0</v>
      </c>
      <c r="G61" t="n">
        <v>99.6897</v>
      </c>
      <c r="J61" t="n">
        <v>10.68</v>
      </c>
      <c r="K61" t="n">
        <v>45.7857</v>
      </c>
      <c r="L61">
        <f>(J61-Diagramm_Tmin)/Diagramm_dT+1</f>
        <v/>
      </c>
    </row>
    <row r="62">
      <c r="B62" t="n">
        <v>-53</v>
      </c>
      <c r="C62">
        <f>IF(MOD(B62,20)=0,TEXT(B62,"0"),"")</f>
        <v/>
      </c>
      <c r="D62" t="n">
        <v>6.0291</v>
      </c>
      <c r="E62" t="n">
        <v>168.4146</v>
      </c>
      <c r="F62" t="n">
        <v>0</v>
      </c>
      <c r="G62" t="n">
        <v>75.55629999999999</v>
      </c>
      <c r="J62" t="n">
        <v>11.9486</v>
      </c>
      <c r="K62" t="n">
        <v>47.2371</v>
      </c>
      <c r="L62">
        <f>(J62-Diagramm_Tmin)/Diagramm_dT+1</f>
        <v/>
      </c>
    </row>
    <row r="63">
      <c r="B63" t="n">
        <v>-52.5</v>
      </c>
      <c r="C63">
        <f>IF(MOD(B63,20)=0,TEXT(B63,"0"),"")</f>
        <v/>
      </c>
      <c r="D63" t="n">
        <v>6.1564</v>
      </c>
      <c r="E63" t="n">
        <v>192.5341</v>
      </c>
      <c r="F63" t="n">
        <v>0</v>
      </c>
      <c r="G63" t="n">
        <v>51.3095</v>
      </c>
      <c r="J63" t="n">
        <v>13.2172</v>
      </c>
      <c r="K63" t="n">
        <v>48.7231</v>
      </c>
      <c r="L63">
        <f>(J63-Diagramm_Tmin)/Diagramm_dT+1</f>
        <v/>
      </c>
    </row>
    <row r="64">
      <c r="B64" t="n">
        <v>-52</v>
      </c>
      <c r="C64">
        <f>IF(MOD(B64,20)=0,TEXT(B64,"0"),"")</f>
        <v/>
      </c>
      <c r="D64" t="n">
        <v>6.2857</v>
      </c>
      <c r="E64" t="n">
        <v>216.7652</v>
      </c>
      <c r="F64" t="n">
        <v>0</v>
      </c>
      <c r="G64" t="n">
        <v>26.9491</v>
      </c>
      <c r="J64" t="n">
        <v>14.4859</v>
      </c>
      <c r="K64" t="n">
        <v>50.2446</v>
      </c>
      <c r="L64">
        <f>(J64-Diagramm_Tmin)/Diagramm_dT+1</f>
        <v/>
      </c>
    </row>
    <row r="65">
      <c r="B65" t="n">
        <v>-51.5</v>
      </c>
      <c r="C65">
        <f>IF(MOD(B65,20)=0,TEXT(B65,"0"),"")</f>
        <v/>
      </c>
      <c r="D65" t="n">
        <v>6.417</v>
      </c>
      <c r="E65" t="n">
        <v>241.1077</v>
      </c>
      <c r="F65" t="n">
        <v>0</v>
      </c>
      <c r="G65" t="n">
        <v>2.4753</v>
      </c>
      <c r="J65" t="n">
        <v>15.7545</v>
      </c>
      <c r="K65" t="n">
        <v>51.8023</v>
      </c>
      <c r="L65">
        <f>(J65-Diagramm_Tmin)/Diagramm_dT+1</f>
        <v/>
      </c>
    </row>
    <row r="66">
      <c r="B66" t="n">
        <v>-51</v>
      </c>
      <c r="C66">
        <f>IF(MOD(B66,20)=0,TEXT(B66,"0"),"")</f>
        <v/>
      </c>
      <c r="D66" t="n">
        <v>6.5504</v>
      </c>
      <c r="E66" t="n">
        <v>243.4496</v>
      </c>
      <c r="F66" t="n">
        <v>0</v>
      </c>
      <c r="G66" t="n">
        <v>0</v>
      </c>
      <c r="J66" t="n">
        <v>17.0232</v>
      </c>
      <c r="K66" t="n">
        <v>53.3972</v>
      </c>
      <c r="L66">
        <f>(J66-Diagramm_Tmin)/Diagramm_dT+1</f>
        <v/>
      </c>
    </row>
    <row r="67">
      <c r="B67" t="n">
        <v>-50.5</v>
      </c>
      <c r="C67">
        <f>IF(MOD(B67,20)=0,TEXT(B67,"0"),"")</f>
        <v/>
      </c>
      <c r="D67" t="n">
        <v>6.6859</v>
      </c>
      <c r="E67" t="n">
        <v>243.3141</v>
      </c>
      <c r="F67" t="n">
        <v>0</v>
      </c>
      <c r="G67" t="n">
        <v>0</v>
      </c>
      <c r="J67" t="n">
        <v>18.2918</v>
      </c>
      <c r="K67" t="n">
        <v>55.03</v>
      </c>
      <c r="L67">
        <f>(J67-Diagramm_Tmin)/Diagramm_dT+1</f>
        <v/>
      </c>
    </row>
    <row r="68">
      <c r="B68" t="n">
        <v>-50</v>
      </c>
      <c r="C68">
        <f>IF(MOD(B68,20)=0,TEXT(B68,"0"),"")</f>
        <v/>
      </c>
      <c r="D68" t="n">
        <v>6.8234</v>
      </c>
      <c r="E68" t="n">
        <v>243.1766</v>
      </c>
      <c r="F68" t="n">
        <v>0</v>
      </c>
      <c r="G68" t="n">
        <v>0</v>
      </c>
      <c r="J68" t="n">
        <v>19.5604</v>
      </c>
      <c r="K68" t="n">
        <v>56.7019</v>
      </c>
      <c r="L68">
        <f>(J68-Diagramm_Tmin)/Diagramm_dT+1</f>
        <v/>
      </c>
    </row>
    <row r="69">
      <c r="B69" t="n">
        <v>-49.5</v>
      </c>
      <c r="C69">
        <f>IF(MOD(B69,20)=0,TEXT(B69,"0"),"")</f>
        <v/>
      </c>
      <c r="D69" t="n">
        <v>6.9631</v>
      </c>
      <c r="E69" t="n">
        <v>243.0369</v>
      </c>
      <c r="F69" t="n">
        <v>0</v>
      </c>
      <c r="G69" t="n">
        <v>0</v>
      </c>
      <c r="J69" t="n">
        <v>20.8291</v>
      </c>
      <c r="K69" t="n">
        <v>58.414</v>
      </c>
      <c r="L69">
        <f>(J69-Diagramm_Tmin)/Diagramm_dT+1</f>
        <v/>
      </c>
    </row>
    <row r="70">
      <c r="B70" t="n">
        <v>-49</v>
      </c>
      <c r="C70">
        <f>IF(MOD(B70,20)=0,TEXT(B70,"0"),"")</f>
        <v/>
      </c>
      <c r="D70" t="n">
        <v>7.1049</v>
      </c>
      <c r="E70" t="n">
        <v>242.8951</v>
      </c>
      <c r="F70" t="n">
        <v>0</v>
      </c>
      <c r="G70" t="n">
        <v>0</v>
      </c>
      <c r="J70" t="n">
        <v>22.0977</v>
      </c>
      <c r="K70" t="n">
        <v>60.1674</v>
      </c>
      <c r="L70">
        <f>(J70-Diagramm_Tmin)/Diagramm_dT+1</f>
        <v/>
      </c>
    </row>
    <row r="71">
      <c r="B71" t="n">
        <v>-48.5</v>
      </c>
      <c r="C71">
        <f>IF(MOD(B71,20)=0,TEXT(B71,"0"),"")</f>
        <v/>
      </c>
      <c r="D71" t="n">
        <v>7.2488</v>
      </c>
      <c r="E71" t="n">
        <v>242.7512</v>
      </c>
      <c r="F71" t="n">
        <v>0</v>
      </c>
      <c r="G71" t="n">
        <v>0</v>
      </c>
      <c r="J71" t="n">
        <v>23.3664</v>
      </c>
      <c r="K71" t="n">
        <v>61.9637</v>
      </c>
      <c r="L71">
        <f>(J71-Diagramm_Tmin)/Diagramm_dT+1</f>
        <v/>
      </c>
    </row>
    <row r="72">
      <c r="B72" t="n">
        <v>-48</v>
      </c>
      <c r="C72">
        <f>IF(MOD(B72,20)=0,TEXT(B72,"0"),"")</f>
        <v/>
      </c>
      <c r="D72" t="n">
        <v>7.3949</v>
      </c>
      <c r="E72" t="n">
        <v>242.6051</v>
      </c>
      <c r="F72" t="n">
        <v>0</v>
      </c>
      <c r="G72" t="n">
        <v>0</v>
      </c>
      <c r="J72" t="n">
        <v>24.635</v>
      </c>
      <c r="K72" t="n">
        <v>63.8044</v>
      </c>
      <c r="L72">
        <f>(J72-Diagramm_Tmin)/Diagramm_dT+1</f>
        <v/>
      </c>
    </row>
    <row r="73">
      <c r="B73" t="n">
        <v>-47.5</v>
      </c>
      <c r="C73">
        <f>IF(MOD(B73,20)=0,TEXT(B73,"0"),"")</f>
        <v/>
      </c>
      <c r="D73" t="n">
        <v>7.5432</v>
      </c>
      <c r="E73" t="n">
        <v>242.4568</v>
      </c>
      <c r="F73" t="n">
        <v>0</v>
      </c>
      <c r="G73" t="n">
        <v>0</v>
      </c>
      <c r="J73" t="n">
        <v>25.9036</v>
      </c>
      <c r="K73" t="n">
        <v>65.6915</v>
      </c>
      <c r="L73">
        <f>(J73-Diagramm_Tmin)/Diagramm_dT+1</f>
        <v/>
      </c>
    </row>
    <row r="74">
      <c r="B74" t="n">
        <v>-47</v>
      </c>
      <c r="C74">
        <f>IF(MOD(B74,20)=0,TEXT(B74,"0"),"")</f>
        <v/>
      </c>
      <c r="D74" t="n">
        <v>7.6937</v>
      </c>
      <c r="E74" t="n">
        <v>242.3063</v>
      </c>
      <c r="F74" t="n">
        <v>0</v>
      </c>
      <c r="G74" t="n">
        <v>0</v>
      </c>
      <c r="J74" t="n">
        <v>27.1723</v>
      </c>
      <c r="K74" t="n">
        <v>67.62730000000001</v>
      </c>
      <c r="L74">
        <f>(J74-Diagramm_Tmin)/Diagramm_dT+1</f>
        <v/>
      </c>
    </row>
    <row r="75">
      <c r="B75" t="n">
        <v>-46.5</v>
      </c>
      <c r="C75">
        <f>IF(MOD(B75,20)=0,TEXT(B75,"0"),"")</f>
        <v/>
      </c>
      <c r="D75" t="n">
        <v>7.8465</v>
      </c>
      <c r="E75" t="n">
        <v>242.1535</v>
      </c>
      <c r="F75" t="n">
        <v>0</v>
      </c>
      <c r="G75" t="n">
        <v>0</v>
      </c>
      <c r="J75" t="n">
        <v>28.4409</v>
      </c>
      <c r="K75" t="n">
        <v>69.6152</v>
      </c>
      <c r="L75">
        <f>(J75-Diagramm_Tmin)/Diagramm_dT+1</f>
        <v/>
      </c>
    </row>
    <row r="76">
      <c r="B76" t="n">
        <v>-46</v>
      </c>
      <c r="C76">
        <f>IF(MOD(B76,20)=0,TEXT(B76,"0"),"")</f>
        <v/>
      </c>
      <c r="D76" t="n">
        <v>8.0015</v>
      </c>
      <c r="E76" t="n">
        <v>241.9985</v>
      </c>
      <c r="F76" t="n">
        <v>0</v>
      </c>
      <c r="G76" t="n">
        <v>0</v>
      </c>
      <c r="J76" t="n">
        <v>29.7096</v>
      </c>
      <c r="K76" t="n">
        <v>71.65989999999999</v>
      </c>
      <c r="L76">
        <f>(J76-Diagramm_Tmin)/Diagramm_dT+1</f>
        <v/>
      </c>
    </row>
    <row r="77">
      <c r="B77" t="n">
        <v>-45.5</v>
      </c>
      <c r="C77">
        <f>IF(MOD(B77,20)=0,TEXT(B77,"0"),"")</f>
        <v/>
      </c>
      <c r="D77" t="n">
        <v>8.158799999999999</v>
      </c>
      <c r="E77" t="n">
        <v>241.8412</v>
      </c>
      <c r="F77" t="n">
        <v>0</v>
      </c>
      <c r="G77" t="n">
        <v>0</v>
      </c>
      <c r="J77" t="n">
        <v>30.9782</v>
      </c>
      <c r="K77" t="n">
        <v>73.773</v>
      </c>
      <c r="L77">
        <f>(J77-Diagramm_Tmin)/Diagramm_dT+1</f>
        <v/>
      </c>
    </row>
    <row r="78">
      <c r="B78" t="n">
        <v>-45</v>
      </c>
      <c r="C78">
        <f>IF(MOD(B78,20)=0,TEXT(B78,"0"),"")</f>
        <v/>
      </c>
      <c r="D78" t="n">
        <v>8.3184</v>
      </c>
      <c r="E78" t="n">
        <v>241.6816</v>
      </c>
      <c r="F78" t="n">
        <v>0</v>
      </c>
      <c r="G78" t="n">
        <v>0</v>
      </c>
    </row>
    <row r="79">
      <c r="B79" t="n">
        <v>-44.5</v>
      </c>
      <c r="C79">
        <f>IF(MOD(B79,20)=0,TEXT(B79,"0"),"")</f>
        <v/>
      </c>
      <c r="D79" t="n">
        <v>8.4803</v>
      </c>
      <c r="E79" t="n">
        <v>241.5197</v>
      </c>
      <c r="F79" t="n">
        <v>0</v>
      </c>
      <c r="G79" t="n">
        <v>0</v>
      </c>
      <c r="I79" s="38" t="inlineStr">
        <is>
          <t>Sublimationslinie</t>
        </is>
      </c>
      <c r="J79" t="n">
        <v>-80</v>
      </c>
      <c r="K79" t="n">
        <v>0.8924</v>
      </c>
      <c r="L79">
        <f>(J79-Diagramm_Tmin)/Diagramm_dT+1</f>
        <v/>
      </c>
    </row>
    <row r="80">
      <c r="B80" t="n">
        <v>-44</v>
      </c>
      <c r="C80">
        <f>IF(MOD(B80,20)=0,TEXT(B80,"0"),"")</f>
        <v/>
      </c>
      <c r="D80" t="n">
        <v>8.644500000000001</v>
      </c>
      <c r="E80" t="n">
        <v>241.3555</v>
      </c>
      <c r="F80" t="n">
        <v>0</v>
      </c>
      <c r="G80" t="n">
        <v>0</v>
      </c>
      <c r="J80" t="n">
        <v>-79.0232</v>
      </c>
      <c r="K80" t="n">
        <v>0.9677</v>
      </c>
      <c r="L80">
        <f>(J80-Diagramm_Tmin)/Diagramm_dT+1</f>
        <v/>
      </c>
    </row>
    <row r="81">
      <c r="B81" t="n">
        <v>-43.5</v>
      </c>
      <c r="C81">
        <f>IF(MOD(B81,20)=0,TEXT(B81,"0"),"")</f>
        <v/>
      </c>
      <c r="D81" t="n">
        <v>8.8111</v>
      </c>
      <c r="E81" t="n">
        <v>241.1889</v>
      </c>
      <c r="F81" t="n">
        <v>0</v>
      </c>
      <c r="G81" t="n">
        <v>0</v>
      </c>
      <c r="J81" t="n">
        <v>-78.04649999999999</v>
      </c>
      <c r="K81" t="n">
        <v>1.0486</v>
      </c>
      <c r="L81">
        <f>(J81-Diagramm_Tmin)/Diagramm_dT+1</f>
        <v/>
      </c>
    </row>
    <row r="82">
      <c r="B82" t="n">
        <v>-43</v>
      </c>
      <c r="C82">
        <f>IF(MOD(B82,20)=0,TEXT(B82,"0"),"")</f>
        <v/>
      </c>
      <c r="D82" t="n">
        <v>8.98</v>
      </c>
      <c r="E82" t="n">
        <v>241.02</v>
      </c>
      <c r="F82" t="n">
        <v>0</v>
      </c>
      <c r="G82" t="n">
        <v>0</v>
      </c>
      <c r="J82" t="n">
        <v>-77.0697</v>
      </c>
      <c r="K82" t="n">
        <v>1.1353</v>
      </c>
      <c r="L82">
        <f>(J82-Diagramm_Tmin)/Diagramm_dT+1</f>
        <v/>
      </c>
    </row>
    <row r="83">
      <c r="B83" t="n">
        <v>-42.5</v>
      </c>
      <c r="C83">
        <f>IF(MOD(B83,20)=0,TEXT(B83,"0"),"")</f>
        <v/>
      </c>
      <c r="D83" t="n">
        <v>9.151400000000001</v>
      </c>
      <c r="E83" t="n">
        <v>240.8486</v>
      </c>
      <c r="F83" t="n">
        <v>0</v>
      </c>
      <c r="G83" t="n">
        <v>0</v>
      </c>
      <c r="J83" t="n">
        <v>-76.093</v>
      </c>
      <c r="K83" t="n">
        <v>1.2283</v>
      </c>
      <c r="L83">
        <f>(J83-Diagramm_Tmin)/Diagramm_dT+1</f>
        <v/>
      </c>
    </row>
    <row r="84">
      <c r="B84" t="n">
        <v>-42</v>
      </c>
      <c r="C84">
        <f>IF(MOD(B84,20)=0,TEXT(B84,"0"),"")</f>
        <v/>
      </c>
      <c r="D84" t="n">
        <v>9.325200000000001</v>
      </c>
      <c r="E84" t="n">
        <v>240.6748</v>
      </c>
      <c r="F84" t="n">
        <v>0</v>
      </c>
      <c r="G84" t="n">
        <v>0</v>
      </c>
      <c r="J84" t="n">
        <v>-75.11620000000001</v>
      </c>
      <c r="K84" t="n">
        <v>1.328</v>
      </c>
      <c r="L84">
        <f>(J84-Diagramm_Tmin)/Diagramm_dT+1</f>
        <v/>
      </c>
    </row>
    <row r="85">
      <c r="B85" t="n">
        <v>-41.5</v>
      </c>
      <c r="C85">
        <f>IF(MOD(B85,20)=0,TEXT(B85,"0"),"")</f>
        <v/>
      </c>
      <c r="D85" t="n">
        <v>9.5014</v>
      </c>
      <c r="E85" t="n">
        <v>240.4986</v>
      </c>
      <c r="F85" t="n">
        <v>0</v>
      </c>
      <c r="G85" t="n">
        <v>0</v>
      </c>
      <c r="J85" t="n">
        <v>-74.1395</v>
      </c>
      <c r="K85" t="n">
        <v>1.4346</v>
      </c>
      <c r="L85">
        <f>(J85-Diagramm_Tmin)/Diagramm_dT+1</f>
        <v/>
      </c>
    </row>
    <row r="86">
      <c r="B86" t="n">
        <v>-41</v>
      </c>
      <c r="C86">
        <f>IF(MOD(B86,20)=0,TEXT(B86,"0"),"")</f>
        <v/>
      </c>
      <c r="D86" t="n">
        <v>9.680099999999999</v>
      </c>
      <c r="E86" t="n">
        <v>240.3199</v>
      </c>
      <c r="F86" t="n">
        <v>0</v>
      </c>
      <c r="G86" t="n">
        <v>0</v>
      </c>
      <c r="J86" t="n">
        <v>-73.1627</v>
      </c>
      <c r="K86" t="n">
        <v>1.5488</v>
      </c>
      <c r="L86">
        <f>(J86-Diagramm_Tmin)/Diagramm_dT+1</f>
        <v/>
      </c>
    </row>
    <row r="87">
      <c r="B87" t="n">
        <v>-40.5</v>
      </c>
      <c r="C87">
        <f>IF(MOD(B87,20)=0,TEXT(B87,"0"),"")</f>
        <v/>
      </c>
      <c r="D87" t="n">
        <v>9.8613</v>
      </c>
      <c r="E87" t="n">
        <v>240.1387</v>
      </c>
      <c r="F87" t="n">
        <v>0</v>
      </c>
      <c r="G87" t="n">
        <v>0</v>
      </c>
      <c r="J87" t="n">
        <v>-72.18600000000001</v>
      </c>
      <c r="K87" t="n">
        <v>1.6709</v>
      </c>
      <c r="L87">
        <f>(J87-Diagramm_Tmin)/Diagramm_dT+1</f>
        <v/>
      </c>
    </row>
    <row r="88">
      <c r="B88" t="n">
        <v>-40</v>
      </c>
      <c r="C88">
        <f>IF(MOD(B88,20)=0,TEXT(B88,"0"),"")</f>
        <v/>
      </c>
      <c r="D88" t="n">
        <v>10.045</v>
      </c>
      <c r="E88" t="n">
        <v>239.955</v>
      </c>
      <c r="F88" t="n">
        <v>0</v>
      </c>
      <c r="G88" t="n">
        <v>0</v>
      </c>
      <c r="J88" t="n">
        <v>-71.2092</v>
      </c>
      <c r="K88" t="n">
        <v>1.8014</v>
      </c>
      <c r="L88">
        <f>(J88-Diagramm_Tmin)/Diagramm_dT+1</f>
        <v/>
      </c>
    </row>
    <row r="89">
      <c r="B89" t="n">
        <v>-39.5</v>
      </c>
      <c r="C89">
        <f>IF(MOD(B89,20)=0,TEXT(B89,"0"),"")</f>
        <v/>
      </c>
      <c r="D89" t="n">
        <v>10.2312</v>
      </c>
      <c r="E89" t="n">
        <v>239.7688</v>
      </c>
      <c r="F89" t="n">
        <v>0</v>
      </c>
      <c r="G89" t="n">
        <v>0</v>
      </c>
      <c r="J89" t="n">
        <v>-70.2325</v>
      </c>
      <c r="K89" t="n">
        <v>1.9408</v>
      </c>
      <c r="L89">
        <f>(J89-Diagramm_Tmin)/Diagramm_dT+1</f>
        <v/>
      </c>
    </row>
    <row r="90">
      <c r="B90" t="n">
        <v>-39</v>
      </c>
      <c r="C90">
        <f>IF(MOD(B90,20)=0,TEXT(B90,"0"),"")</f>
        <v/>
      </c>
      <c r="D90" t="n">
        <v>10.4199</v>
      </c>
      <c r="E90" t="n">
        <v>239.5801</v>
      </c>
      <c r="F90" t="n">
        <v>0</v>
      </c>
      <c r="G90" t="n">
        <v>0</v>
      </c>
      <c r="J90" t="n">
        <v>-69.2557</v>
      </c>
      <c r="K90" t="n">
        <v>2.0897</v>
      </c>
      <c r="L90">
        <f>(J90-Diagramm_Tmin)/Diagramm_dT+1</f>
        <v/>
      </c>
    </row>
    <row r="91">
      <c r="B91" t="n">
        <v>-38.5</v>
      </c>
      <c r="C91">
        <f>IF(MOD(B91,20)=0,TEXT(B91,"0"),"")</f>
        <v/>
      </c>
      <c r="D91" t="n">
        <v>10.6112</v>
      </c>
      <c r="E91" t="n">
        <v>239.3888</v>
      </c>
      <c r="F91" t="n">
        <v>0</v>
      </c>
      <c r="G91" t="n">
        <v>0</v>
      </c>
      <c r="J91" t="n">
        <v>-68.279</v>
      </c>
      <c r="K91" t="n">
        <v>2.2485</v>
      </c>
      <c r="L91">
        <f>(J91-Diagramm_Tmin)/Diagramm_dT+1</f>
        <v/>
      </c>
    </row>
    <row r="92">
      <c r="B92" t="n">
        <v>-38</v>
      </c>
      <c r="C92">
        <f>IF(MOD(B92,20)=0,TEXT(B92,"0"),"")</f>
        <v/>
      </c>
      <c r="D92" t="n">
        <v>10.8051</v>
      </c>
      <c r="E92" t="n">
        <v>239.1949</v>
      </c>
      <c r="F92" t="n">
        <v>0</v>
      </c>
      <c r="G92" t="n">
        <v>0</v>
      </c>
      <c r="J92" t="n">
        <v>-67.3022</v>
      </c>
      <c r="K92" t="n">
        <v>2.418</v>
      </c>
      <c r="L92">
        <f>(J92-Diagramm_Tmin)/Diagramm_dT+1</f>
        <v/>
      </c>
    </row>
    <row r="93">
      <c r="B93" t="n">
        <v>-37.5</v>
      </c>
      <c r="C93">
        <f>IF(MOD(B93,20)=0,TEXT(B93,"0"),"")</f>
        <v/>
      </c>
      <c r="D93" t="n">
        <v>11.0017</v>
      </c>
      <c r="E93" t="n">
        <v>238.9983</v>
      </c>
      <c r="F93" t="n">
        <v>0</v>
      </c>
      <c r="G93" t="n">
        <v>0</v>
      </c>
      <c r="J93" t="n">
        <v>-66.32550000000001</v>
      </c>
      <c r="K93" t="n">
        <v>2.5985</v>
      </c>
      <c r="L93">
        <f>(J93-Diagramm_Tmin)/Diagramm_dT+1</f>
        <v/>
      </c>
    </row>
    <row r="94">
      <c r="B94" t="n">
        <v>-37</v>
      </c>
      <c r="C94">
        <f>IF(MOD(B94,20)=0,TEXT(B94,"0"),"")</f>
        <v/>
      </c>
      <c r="D94" t="n">
        <v>11.2008</v>
      </c>
      <c r="E94" t="n">
        <v>238.7992</v>
      </c>
      <c r="F94" t="n">
        <v>0</v>
      </c>
      <c r="G94" t="n">
        <v>0</v>
      </c>
      <c r="J94" t="n">
        <v>-65.34869999999999</v>
      </c>
      <c r="K94" t="n">
        <v>2.791</v>
      </c>
      <c r="L94">
        <f>(J94-Diagramm_Tmin)/Diagramm_dT+1</f>
        <v/>
      </c>
    </row>
    <row r="95">
      <c r="B95" t="n">
        <v>-36.5</v>
      </c>
      <c r="C95">
        <f>IF(MOD(B95,20)=0,TEXT(B95,"0"),"")</f>
        <v/>
      </c>
      <c r="D95" t="n">
        <v>11.4026</v>
      </c>
      <c r="E95" t="n">
        <v>238.5974</v>
      </c>
      <c r="F95" t="n">
        <v>0</v>
      </c>
      <c r="G95" t="n">
        <v>0</v>
      </c>
      <c r="J95" t="n">
        <v>-64.372</v>
      </c>
      <c r="K95" t="n">
        <v>2.9959</v>
      </c>
      <c r="L95">
        <f>(J95-Diagramm_Tmin)/Diagramm_dT+1</f>
        <v/>
      </c>
    </row>
    <row r="96">
      <c r="B96" t="n">
        <v>-36</v>
      </c>
      <c r="C96">
        <f>IF(MOD(B96,20)=0,TEXT(B96,"0"),"")</f>
        <v/>
      </c>
      <c r="D96" t="n">
        <v>11.6071</v>
      </c>
      <c r="E96" t="n">
        <v>238.3929</v>
      </c>
      <c r="F96" t="n">
        <v>0</v>
      </c>
      <c r="G96" t="n">
        <v>0</v>
      </c>
      <c r="J96" t="n">
        <v>-63.3952</v>
      </c>
      <c r="K96" t="n">
        <v>3.214</v>
      </c>
      <c r="L96">
        <f>(J96-Diagramm_Tmin)/Diagramm_dT+1</f>
        <v/>
      </c>
    </row>
    <row r="97">
      <c r="B97" t="n">
        <v>-35.5</v>
      </c>
      <c r="C97">
        <f>IF(MOD(B97,20)=0,TEXT(B97,"0"),"")</f>
        <v/>
      </c>
      <c r="D97" t="n">
        <v>11.8143</v>
      </c>
      <c r="E97" t="n">
        <v>238.1857</v>
      </c>
      <c r="F97" t="n">
        <v>0</v>
      </c>
      <c r="G97" t="n">
        <v>0</v>
      </c>
      <c r="J97" t="n">
        <v>-62.4185</v>
      </c>
      <c r="K97" t="n">
        <v>3.4462</v>
      </c>
      <c r="L97">
        <f>(J97-Diagramm_Tmin)/Diagramm_dT+1</f>
        <v/>
      </c>
    </row>
    <row r="98">
      <c r="B98" t="n">
        <v>-35</v>
      </c>
      <c r="C98">
        <f>IF(MOD(B98,20)=0,TEXT(B98,"0"),"")</f>
        <v/>
      </c>
      <c r="D98" t="n">
        <v>12.0242</v>
      </c>
      <c r="E98" t="n">
        <v>237.9758</v>
      </c>
      <c r="F98" t="n">
        <v>0</v>
      </c>
      <c r="G98" t="n">
        <v>0</v>
      </c>
      <c r="J98" t="n">
        <v>-61.4417</v>
      </c>
      <c r="K98" t="n">
        <v>3.693</v>
      </c>
      <c r="L98">
        <f>(J98-Diagramm_Tmin)/Diagramm_dT+1</f>
        <v/>
      </c>
    </row>
    <row r="99">
      <c r="B99" t="n">
        <v>-34.5</v>
      </c>
      <c r="C99">
        <f>IF(MOD(B99,20)=0,TEXT(B99,"0"),"")</f>
        <v/>
      </c>
      <c r="D99" t="n">
        <v>12.2368</v>
      </c>
      <c r="E99" t="n">
        <v>237.7632</v>
      </c>
      <c r="F99" t="n">
        <v>0</v>
      </c>
      <c r="G99" t="n">
        <v>0</v>
      </c>
      <c r="J99" t="n">
        <v>-60.465</v>
      </c>
      <c r="K99" t="n">
        <v>3.9555</v>
      </c>
      <c r="L99">
        <f>(J99-Diagramm_Tmin)/Diagramm_dT+1</f>
        <v/>
      </c>
    </row>
    <row r="100">
      <c r="B100" t="n">
        <v>-34</v>
      </c>
      <c r="C100">
        <f>IF(MOD(B100,20)=0,TEXT(B100,"0"),"")</f>
        <v/>
      </c>
      <c r="D100" t="n">
        <v>12.4522</v>
      </c>
      <c r="E100" t="n">
        <v>237.5478</v>
      </c>
      <c r="F100" t="n">
        <v>0</v>
      </c>
      <c r="G100" t="n">
        <v>0</v>
      </c>
      <c r="J100" t="n">
        <v>-59.4882</v>
      </c>
      <c r="K100" t="n">
        <v>4.2344</v>
      </c>
      <c r="L100">
        <f>(J100-Diagramm_Tmin)/Diagramm_dT+1</f>
        <v/>
      </c>
    </row>
    <row r="101">
      <c r="B101" t="n">
        <v>-33.5</v>
      </c>
      <c r="C101">
        <f>IF(MOD(B101,20)=0,TEXT(B101,"0"),"")</f>
        <v/>
      </c>
      <c r="D101" t="n">
        <v>12.6704</v>
      </c>
      <c r="E101" t="n">
        <v>237.3296</v>
      </c>
      <c r="F101" t="n">
        <v>0</v>
      </c>
      <c r="G101" t="n">
        <v>0</v>
      </c>
      <c r="J101" t="n">
        <v>-58.5115</v>
      </c>
      <c r="K101" t="n">
        <v>4.5308</v>
      </c>
      <c r="L101">
        <f>(J101-Diagramm_Tmin)/Diagramm_dT+1</f>
        <v/>
      </c>
    </row>
    <row r="102">
      <c r="B102" t="n">
        <v>-33</v>
      </c>
      <c r="C102">
        <f>IF(MOD(B102,20)=0,TEXT(B102,"0"),"")</f>
        <v/>
      </c>
      <c r="D102" t="n">
        <v>12.8914</v>
      </c>
      <c r="E102" t="n">
        <v>237.1086</v>
      </c>
      <c r="F102" t="n">
        <v>0</v>
      </c>
      <c r="G102" t="n">
        <v>0</v>
      </c>
      <c r="J102" t="n">
        <v>-57.5347</v>
      </c>
      <c r="K102" t="n">
        <v>4.8455</v>
      </c>
      <c r="L102">
        <f>(J102-Diagramm_Tmin)/Diagramm_dT+1</f>
        <v/>
      </c>
    </row>
    <row r="103">
      <c r="B103" t="n">
        <v>-32.5</v>
      </c>
      <c r="C103">
        <f>IF(MOD(B103,20)=0,TEXT(B103,"0"),"")</f>
        <v/>
      </c>
      <c r="D103" t="n">
        <v>13.1153</v>
      </c>
      <c r="E103" t="n">
        <v>236.8847</v>
      </c>
      <c r="F103" t="n">
        <v>0</v>
      </c>
      <c r="G103" t="n">
        <v>0</v>
      </c>
      <c r="J103" t="n">
        <v>-56.558</v>
      </c>
      <c r="K103" t="n">
        <v>5.1796</v>
      </c>
      <c r="L103">
        <f>(J103-Diagramm_Tmin)/Diagramm_dT+1</f>
        <v/>
      </c>
    </row>
    <row r="104">
      <c r="B104" t="n">
        <v>-32</v>
      </c>
      <c r="C104">
        <f>IF(MOD(B104,20)=0,TEXT(B104,"0"),"")</f>
        <v/>
      </c>
      <c r="D104" t="n">
        <v>13.3419</v>
      </c>
      <c r="E104" t="n">
        <v>236.6581</v>
      </c>
      <c r="F104" t="n">
        <v>0</v>
      </c>
      <c r="G104" t="n">
        <v>0</v>
      </c>
    </row>
    <row r="105">
      <c r="B105" t="n">
        <v>-31.5</v>
      </c>
      <c r="C105">
        <f>IF(MOD(B105,20)=0,TEXT(B105,"0"),"")</f>
        <v/>
      </c>
      <c r="D105" t="n">
        <v>13.5715</v>
      </c>
      <c r="E105" t="n">
        <v>236.4285</v>
      </c>
      <c r="F105" t="n">
        <v>0</v>
      </c>
      <c r="G105" t="n">
        <v>0</v>
      </c>
      <c r="I105" s="38" t="inlineStr">
        <is>
          <t>Schmelzlinie</t>
        </is>
      </c>
      <c r="J105" t="n">
        <v>-56.558</v>
      </c>
      <c r="K105" t="n">
        <v>5.1796</v>
      </c>
      <c r="L105">
        <f>(J105-Diagramm_Tmin)/Diagramm_dT+1</f>
        <v/>
      </c>
    </row>
    <row r="106">
      <c r="B106" t="n">
        <v>-31</v>
      </c>
      <c r="C106">
        <f>IF(MOD(B106,20)=0,TEXT(B106,"0"),"")</f>
        <v/>
      </c>
      <c r="D106" t="n">
        <v>13.8039</v>
      </c>
      <c r="E106" t="n">
        <v>236.1961</v>
      </c>
      <c r="F106" t="n">
        <v>0</v>
      </c>
      <c r="G106" t="n">
        <v>0</v>
      </c>
      <c r="J106" t="n">
        <v>-56.1931</v>
      </c>
      <c r="K106" t="n">
        <v>22.274</v>
      </c>
      <c r="L106">
        <f>(J106-Diagramm_Tmin)/Diagramm_dT+1</f>
        <v/>
      </c>
    </row>
    <row r="107">
      <c r="B107" t="n">
        <v>-30.5</v>
      </c>
      <c r="C107">
        <f>IF(MOD(B107,20)=0,TEXT(B107,"0"),"")</f>
        <v/>
      </c>
      <c r="D107" t="n">
        <v>14.0393</v>
      </c>
      <c r="E107" t="n">
        <v>235.9607</v>
      </c>
      <c r="F107" t="n">
        <v>0</v>
      </c>
      <c r="G107" t="n">
        <v>0</v>
      </c>
      <c r="J107" t="n">
        <v>-55.8282</v>
      </c>
      <c r="K107" t="n">
        <v>39.4288</v>
      </c>
      <c r="L107">
        <f>(J107-Diagramm_Tmin)/Diagramm_dT+1</f>
        <v/>
      </c>
    </row>
    <row r="108">
      <c r="B108" t="n">
        <v>-30</v>
      </c>
      <c r="C108">
        <f>IF(MOD(B108,20)=0,TEXT(B108,"0"),"")</f>
        <v/>
      </c>
      <c r="D108" t="n">
        <v>14.2776</v>
      </c>
      <c r="E108" t="n">
        <v>235.7224</v>
      </c>
      <c r="F108" t="n">
        <v>0</v>
      </c>
      <c r="G108" t="n">
        <v>0</v>
      </c>
      <c r="J108" t="n">
        <v>-55.4633</v>
      </c>
      <c r="K108" t="n">
        <v>56.644</v>
      </c>
      <c r="L108">
        <f>(J108-Diagramm_Tmin)/Diagramm_dT+1</f>
        <v/>
      </c>
    </row>
    <row r="109">
      <c r="B109" t="n">
        <v>-29.5</v>
      </c>
      <c r="C109">
        <f>IF(MOD(B109,20)=0,TEXT(B109,"0"),"")</f>
        <v/>
      </c>
      <c r="D109" t="n">
        <v>14.5189</v>
      </c>
      <c r="E109" t="n">
        <v>235.4811</v>
      </c>
      <c r="F109" t="n">
        <v>0</v>
      </c>
      <c r="G109" t="n">
        <v>0</v>
      </c>
      <c r="J109" t="n">
        <v>-55.0984</v>
      </c>
      <c r="K109" t="n">
        <v>73.91970000000001</v>
      </c>
      <c r="L109">
        <f>(J109-Diagramm_Tmin)/Diagramm_dT+1</f>
        <v/>
      </c>
    </row>
    <row r="110">
      <c r="B110" t="n">
        <v>-29</v>
      </c>
      <c r="C110">
        <f>IF(MOD(B110,20)=0,TEXT(B110,"0"),"")</f>
        <v/>
      </c>
      <c r="D110" t="n">
        <v>14.7631</v>
      </c>
      <c r="E110" t="n">
        <v>235.2369</v>
      </c>
      <c r="F110" t="n">
        <v>0</v>
      </c>
      <c r="G110" t="n">
        <v>0</v>
      </c>
      <c r="J110" t="n">
        <v>-54.7336</v>
      </c>
      <c r="K110" t="n">
        <v>91.2557</v>
      </c>
      <c r="L110">
        <f>(J110-Diagramm_Tmin)/Diagramm_dT+1</f>
        <v/>
      </c>
    </row>
    <row r="111">
      <c r="B111" t="n">
        <v>-28.5</v>
      </c>
      <c r="C111">
        <f>IF(MOD(B111,20)=0,TEXT(B111,"0"),"")</f>
        <v/>
      </c>
      <c r="D111" t="n">
        <v>15.0104</v>
      </c>
      <c r="E111" t="n">
        <v>234.9896</v>
      </c>
      <c r="F111" t="n">
        <v>0</v>
      </c>
      <c r="G111" t="n">
        <v>0</v>
      </c>
      <c r="J111" t="n">
        <v>-54.3687</v>
      </c>
      <c r="K111" t="n">
        <v>108.6523</v>
      </c>
      <c r="L111">
        <f>(J111-Diagramm_Tmin)/Diagramm_dT+1</f>
        <v/>
      </c>
    </row>
    <row r="112">
      <c r="B112" t="n">
        <v>-28</v>
      </c>
      <c r="C112">
        <f>IF(MOD(B112,20)=0,TEXT(B112,"0"),"")</f>
        <v/>
      </c>
      <c r="D112" t="n">
        <v>15.2607</v>
      </c>
      <c r="E112" t="n">
        <v>234.7393</v>
      </c>
      <c r="F112" t="n">
        <v>0</v>
      </c>
      <c r="G112" t="n">
        <v>0</v>
      </c>
      <c r="J112" t="n">
        <v>-54.0038</v>
      </c>
      <c r="K112" t="n">
        <v>126.1092</v>
      </c>
      <c r="L112">
        <f>(J112-Diagramm_Tmin)/Diagramm_dT+1</f>
        <v/>
      </c>
    </row>
    <row r="113">
      <c r="B113" t="n">
        <v>-27.5</v>
      </c>
      <c r="C113">
        <f>IF(MOD(B113,20)=0,TEXT(B113,"0"),"")</f>
        <v/>
      </c>
      <c r="D113" t="n">
        <v>15.514</v>
      </c>
      <c r="E113" t="n">
        <v>234.486</v>
      </c>
      <c r="F113" t="n">
        <v>0</v>
      </c>
      <c r="G113" t="n">
        <v>0</v>
      </c>
      <c r="J113" t="n">
        <v>-53.6389</v>
      </c>
      <c r="K113" t="n">
        <v>143.6266</v>
      </c>
      <c r="L113">
        <f>(J113-Diagramm_Tmin)/Diagramm_dT+1</f>
        <v/>
      </c>
    </row>
    <row r="114">
      <c r="B114" t="n">
        <v>-27</v>
      </c>
      <c r="C114">
        <f>IF(MOD(B114,20)=0,TEXT(B114,"0"),"")</f>
        <v/>
      </c>
      <c r="D114" t="n">
        <v>15.7705</v>
      </c>
      <c r="E114" t="n">
        <v>234.2295</v>
      </c>
      <c r="F114" t="n">
        <v>0</v>
      </c>
      <c r="G114" t="n">
        <v>0</v>
      </c>
      <c r="J114" t="n">
        <v>-53.274</v>
      </c>
      <c r="K114" t="n">
        <v>161.2044</v>
      </c>
      <c r="L114">
        <f>(J114-Diagramm_Tmin)/Diagramm_dT+1</f>
        <v/>
      </c>
    </row>
    <row r="115">
      <c r="B115" t="n">
        <v>-26.5</v>
      </c>
      <c r="C115">
        <f>IF(MOD(B115,20)=0,TEXT(B115,"0"),"")</f>
        <v/>
      </c>
      <c r="D115" t="n">
        <v>16.03</v>
      </c>
      <c r="E115" t="n">
        <v>233.97</v>
      </c>
      <c r="F115" t="n">
        <v>0</v>
      </c>
      <c r="G115" t="n">
        <v>0</v>
      </c>
      <c r="J115" t="n">
        <v>-52.9091</v>
      </c>
      <c r="K115" t="n">
        <v>178.8427</v>
      </c>
      <c r="L115">
        <f>(J115-Diagramm_Tmin)/Diagramm_dT+1</f>
        <v/>
      </c>
    </row>
    <row r="116">
      <c r="B116" t="n">
        <v>-26</v>
      </c>
      <c r="C116">
        <f>IF(MOD(B116,20)=0,TEXT(B116,"0"),"")</f>
        <v/>
      </c>
      <c r="D116" t="n">
        <v>16.2926</v>
      </c>
      <c r="E116" t="n">
        <v>233.7074</v>
      </c>
      <c r="F116" t="n">
        <v>0</v>
      </c>
      <c r="G116" t="n">
        <v>0</v>
      </c>
      <c r="J116" t="n">
        <v>-52.5442</v>
      </c>
      <c r="K116" t="n">
        <v>196.5413</v>
      </c>
      <c r="L116">
        <f>(J116-Diagramm_Tmin)/Diagramm_dT+1</f>
        <v/>
      </c>
    </row>
    <row r="117">
      <c r="B117" t="n">
        <v>-25.5</v>
      </c>
      <c r="C117">
        <f>IF(MOD(B117,20)=0,TEXT(B117,"0"),"")</f>
        <v/>
      </c>
      <c r="D117" t="n">
        <v>16.5584</v>
      </c>
      <c r="E117" t="n">
        <v>233.4416</v>
      </c>
      <c r="F117" t="n">
        <v>0</v>
      </c>
      <c r="G117" t="n">
        <v>0</v>
      </c>
      <c r="J117" t="n">
        <v>-52.1793</v>
      </c>
      <c r="K117" t="n">
        <v>214.3005</v>
      </c>
      <c r="L117">
        <f>(J117-Diagramm_Tmin)/Diagramm_dT+1</f>
        <v/>
      </c>
    </row>
    <row r="118">
      <c r="B118" t="n">
        <v>-25</v>
      </c>
      <c r="C118">
        <f>IF(MOD(B118,20)=0,TEXT(B118,"0"),"")</f>
        <v/>
      </c>
      <c r="D118" t="n">
        <v>16.8274</v>
      </c>
      <c r="E118" t="n">
        <v>233.1726</v>
      </c>
      <c r="F118" t="n">
        <v>0</v>
      </c>
      <c r="G118" t="n">
        <v>0</v>
      </c>
      <c r="J118" t="n">
        <v>-51.8144</v>
      </c>
      <c r="K118" t="n">
        <v>232.12</v>
      </c>
      <c r="L118">
        <f>(J118-Diagramm_Tmin)/Diagramm_dT+1</f>
        <v/>
      </c>
    </row>
    <row r="119">
      <c r="B119" t="n">
        <v>-24.5</v>
      </c>
      <c r="C119">
        <f>IF(MOD(B119,20)=0,TEXT(B119,"0"),"")</f>
        <v/>
      </c>
      <c r="D119" t="n">
        <v>17.0995</v>
      </c>
      <c r="E119" t="n">
        <v>232.9005</v>
      </c>
      <c r="F119" t="n">
        <v>0</v>
      </c>
      <c r="G119" t="n">
        <v>0</v>
      </c>
      <c r="J119" t="n">
        <v>-51.4496</v>
      </c>
      <c r="K119" t="n">
        <v>250</v>
      </c>
      <c r="L119">
        <f>(J119-Diagramm_Tmin)/Diagramm_dT+1</f>
        <v/>
      </c>
    </row>
    <row r="120">
      <c r="B120" t="n">
        <v>-24</v>
      </c>
      <c r="C120">
        <f>IF(MOD(B120,20)=0,TEXT(B120,"0"),"")</f>
        <v/>
      </c>
      <c r="D120" t="n">
        <v>17.3749</v>
      </c>
      <c r="E120" t="n">
        <v>232.6251</v>
      </c>
      <c r="F120" t="n">
        <v>0</v>
      </c>
      <c r="G120" t="n">
        <v>0</v>
      </c>
    </row>
    <row r="121">
      <c r="B121" t="n">
        <v>-23.5</v>
      </c>
      <c r="C121">
        <f>IF(MOD(B121,20)=0,TEXT(B121,"0"),"")</f>
        <v/>
      </c>
      <c r="D121" t="n">
        <v>17.6535</v>
      </c>
      <c r="E121" t="n">
        <v>232.3465</v>
      </c>
      <c r="F121" t="n">
        <v>0</v>
      </c>
      <c r="G121" t="n">
        <v>0</v>
      </c>
      <c r="I121" s="38" t="inlineStr">
        <is>
          <t>Tripelpunkt</t>
        </is>
      </c>
      <c r="J121" t="n">
        <v>-56.558</v>
      </c>
      <c r="K121" t="n">
        <v>5.1796</v>
      </c>
      <c r="L121">
        <f>(J121-Diagramm_Tmin)/Diagramm_dT+1</f>
        <v/>
      </c>
    </row>
    <row r="122">
      <c r="B122" t="n">
        <v>-23</v>
      </c>
      <c r="C122">
        <f>IF(MOD(B122,20)=0,TEXT(B122,"0"),"")</f>
        <v/>
      </c>
      <c r="D122" t="n">
        <v>17.9353</v>
      </c>
      <c r="E122" t="n">
        <v>232.0647</v>
      </c>
      <c r="F122" t="n">
        <v>0</v>
      </c>
      <c r="G122" t="n">
        <v>0</v>
      </c>
    </row>
    <row r="123">
      <c r="B123" t="n">
        <v>-22.5</v>
      </c>
      <c r="C123">
        <f>IF(MOD(B123,20)=0,TEXT(B123,"0"),"")</f>
        <v/>
      </c>
      <c r="D123" t="n">
        <v>18.2205</v>
      </c>
      <c r="E123" t="n">
        <v>231.7795</v>
      </c>
      <c r="F123" t="n">
        <v>0</v>
      </c>
      <c r="G123" t="n">
        <v>0</v>
      </c>
      <c r="I123" s="38" t="inlineStr">
        <is>
          <t>Kritischer Punkt</t>
        </is>
      </c>
      <c r="J123" t="n">
        <v>30.9782</v>
      </c>
      <c r="K123" t="n">
        <v>73.773</v>
      </c>
      <c r="L123">
        <f>(J123-Diagramm_Tmin)/Diagramm_dT+1</f>
        <v/>
      </c>
    </row>
    <row r="124">
      <c r="B124" t="n">
        <v>-22</v>
      </c>
      <c r="C124">
        <f>IF(MOD(B124,20)=0,TEXT(B124,"0"),"")</f>
        <v/>
      </c>
      <c r="D124" t="n">
        <v>18.5089</v>
      </c>
      <c r="E124" t="n">
        <v>231.4911</v>
      </c>
      <c r="F124" t="n">
        <v>0</v>
      </c>
      <c r="G124" t="n">
        <v>0</v>
      </c>
    </row>
    <row r="125">
      <c r="B125" t="n">
        <v>-21.5</v>
      </c>
      <c r="C125">
        <f>IF(MOD(B125,20)=0,TEXT(B125,"0"),"")</f>
        <v/>
      </c>
      <c r="D125" t="n">
        <v>18.8007</v>
      </c>
      <c r="E125" t="n">
        <v>231.1993</v>
      </c>
      <c r="F125" t="n">
        <v>0</v>
      </c>
      <c r="G125" t="n">
        <v>0</v>
      </c>
      <c r="I125" s="38" t="inlineStr">
        <is>
          <t>S1: Pumpe</t>
        </is>
      </c>
      <c r="J125">
        <f>Szen1_T1</f>
        <v/>
      </c>
      <c r="K125">
        <f>Szen1_p1</f>
        <v/>
      </c>
      <c r="L125">
        <f>(J125-Diagramm_Tmin)/Diagramm_dT+1</f>
        <v/>
      </c>
    </row>
    <row r="126">
      <c r="B126" t="n">
        <v>-21</v>
      </c>
      <c r="C126">
        <f>IF(MOD(B126,20)=0,TEXT(B126,"0"),"")</f>
        <v/>
      </c>
      <c r="D126" t="n">
        <v>19.0959</v>
      </c>
      <c r="E126" t="n">
        <v>230.9041</v>
      </c>
      <c r="F126" t="n">
        <v>0</v>
      </c>
      <c r="G126" t="n">
        <v>0</v>
      </c>
      <c r="J126">
        <f>Szen1_T2</f>
        <v/>
      </c>
      <c r="K126">
        <f>Szen1_p2</f>
        <v/>
      </c>
      <c r="L126">
        <f>(J126-Diagramm_Tmin)/Diagramm_dT+1</f>
        <v/>
      </c>
    </row>
    <row r="127">
      <c r="B127" t="n">
        <v>-20.5</v>
      </c>
      <c r="C127">
        <f>IF(MOD(B127,20)=0,TEXT(B127,"0"),"")</f>
        <v/>
      </c>
      <c r="D127" t="n">
        <v>19.3944</v>
      </c>
      <c r="E127" t="n">
        <v>230.6056</v>
      </c>
      <c r="F127" t="n">
        <v>0</v>
      </c>
      <c r="G127" t="n">
        <v>0</v>
      </c>
    </row>
    <row r="128">
      <c r="B128" t="n">
        <v>-20</v>
      </c>
      <c r="C128">
        <f>IF(MOD(B128,20)=0,TEXT(B128,"0"),"")</f>
        <v/>
      </c>
      <c r="D128" t="n">
        <v>19.6963</v>
      </c>
      <c r="E128" t="n">
        <v>230.3037</v>
      </c>
      <c r="F128" t="n">
        <v>0</v>
      </c>
      <c r="G128" t="n">
        <v>0</v>
      </c>
      <c r="I128" s="38" t="inlineStr">
        <is>
          <t>S2: verdichten → überkritisch kühlen → pumpen</t>
        </is>
      </c>
      <c r="J128" s="64">
        <f>T_S2</f>
        <v/>
      </c>
      <c r="K128" s="64">
        <f>p_S2</f>
        <v/>
      </c>
      <c r="L128">
        <f>(J128-Diagramm_Tmin)/Diagramm_dT+1</f>
        <v/>
      </c>
    </row>
    <row r="129">
      <c r="B129" t="n">
        <v>-19.5</v>
      </c>
      <c r="C129">
        <f>IF(MOD(B129,20)=0,TEXT(B129,"0"),"")</f>
        <v/>
      </c>
      <c r="D129" t="n">
        <v>20.0016</v>
      </c>
      <c r="E129" t="n">
        <v>229.9984</v>
      </c>
      <c r="F129" t="n">
        <v>0</v>
      </c>
      <c r="G129" t="n">
        <v>0</v>
      </c>
      <c r="J129" s="64">
        <f>Szen2_T1a</f>
        <v/>
      </c>
      <c r="K129" s="64">
        <f>p_zw</f>
        <v/>
      </c>
      <c r="L129">
        <f>(J129-Diagramm_Tmin)/Diagramm_dT+1</f>
        <v/>
      </c>
    </row>
    <row r="130">
      <c r="B130" t="n">
        <v>-19</v>
      </c>
      <c r="C130">
        <f>IF(MOD(B130,20)=0,TEXT(B130,"0"),"")</f>
        <v/>
      </c>
      <c r="D130" t="n">
        <v>20.3104</v>
      </c>
      <c r="E130" t="n">
        <v>229.6896</v>
      </c>
      <c r="F130" t="n">
        <v>0</v>
      </c>
      <c r="G130" t="n">
        <v>0</v>
      </c>
      <c r="J130" s="64">
        <f>T_ZK</f>
        <v/>
      </c>
      <c r="K130" s="64">
        <f>p_zw</f>
        <v/>
      </c>
      <c r="L130">
        <f>(J130-Diagramm_Tmin)/Diagramm_dT+1</f>
        <v/>
      </c>
    </row>
    <row r="131">
      <c r="B131" t="n">
        <v>-18.5</v>
      </c>
      <c r="C131">
        <f>IF(MOD(B131,20)=0,TEXT(B131,"0"),"")</f>
        <v/>
      </c>
      <c r="D131" t="n">
        <v>20.6227</v>
      </c>
      <c r="E131" t="n">
        <v>229.3773</v>
      </c>
      <c r="F131" t="n">
        <v>0</v>
      </c>
      <c r="G131" t="n">
        <v>0</v>
      </c>
      <c r="J131" s="64">
        <f>Szen2_T2a</f>
        <v/>
      </c>
      <c r="K131" s="64">
        <f>p_uek</f>
        <v/>
      </c>
      <c r="L131">
        <f>(J131-Diagramm_Tmin)/Diagramm_dT+1</f>
        <v/>
      </c>
    </row>
    <row r="132">
      <c r="B132" t="n">
        <v>-18</v>
      </c>
      <c r="C132">
        <f>IF(MOD(B132,20)=0,TEXT(B132,"0"),"")</f>
        <v/>
      </c>
      <c r="D132" t="n">
        <v>20.9384</v>
      </c>
      <c r="E132" t="n">
        <v>229.0616</v>
      </c>
      <c r="F132" t="n">
        <v>0</v>
      </c>
      <c r="G132" t="n">
        <v>0</v>
      </c>
      <c r="J132" s="64">
        <f>T_K</f>
        <v/>
      </c>
      <c r="K132" s="64">
        <f>p_uek</f>
        <v/>
      </c>
      <c r="L132">
        <f>(J132-Diagramm_Tmin)/Diagramm_dT+1</f>
        <v/>
      </c>
    </row>
    <row r="133">
      <c r="B133" t="n">
        <v>-17.5</v>
      </c>
      <c r="C133">
        <f>IF(MOD(B133,20)=0,TEXT(B133,"0"),"")</f>
        <v/>
      </c>
      <c r="D133" t="n">
        <v>21.2577</v>
      </c>
      <c r="E133" t="n">
        <v>228.7423</v>
      </c>
      <c r="F133" t="n">
        <v>0</v>
      </c>
      <c r="G133" t="n">
        <v>0</v>
      </c>
      <c r="I133" s="38" t="n"/>
      <c r="J133" s="64">
        <f>Szen2_TPa</f>
        <v/>
      </c>
      <c r="K133" s="64">
        <f>Kopf_betr_S2</f>
        <v/>
      </c>
      <c r="L133">
        <f>(J133-Diagramm_Tmin)/Diagramm_dT+1</f>
        <v/>
      </c>
    </row>
    <row r="134">
      <c r="B134" t="n">
        <v>-17</v>
      </c>
      <c r="C134">
        <f>IF(MOD(B134,20)=0,TEXT(B134,"0"),"")</f>
        <v/>
      </c>
      <c r="D134" t="n">
        <v>21.5806</v>
      </c>
      <c r="E134" t="n">
        <v>228.4194</v>
      </c>
      <c r="F134" t="n">
        <v>0</v>
      </c>
      <c r="G134" t="n">
        <v>0</v>
      </c>
    </row>
    <row r="135">
      <c r="B135" t="n">
        <v>-16.5</v>
      </c>
      <c r="C135">
        <f>IF(MOD(B135,20)=0,TEXT(B135,"0"),"")</f>
        <v/>
      </c>
      <c r="D135" t="n">
        <v>21.907</v>
      </c>
      <c r="E135" t="n">
        <v>228.093</v>
      </c>
      <c r="F135" t="n">
        <v>0</v>
      </c>
      <c r="G135" t="n">
        <v>0</v>
      </c>
    </row>
    <row r="136">
      <c r="B136" t="n">
        <v>-16</v>
      </c>
      <c r="C136">
        <f>IF(MOD(B136,20)=0,TEXT(B136,"0"),"")</f>
        <v/>
      </c>
      <c r="D136" t="n">
        <v>22.237</v>
      </c>
      <c r="E136" t="n">
        <v>227.763</v>
      </c>
      <c r="F136" t="n">
        <v>0</v>
      </c>
      <c r="G136" t="n">
        <v>0</v>
      </c>
    </row>
    <row r="137">
      <c r="B137" t="n">
        <v>-15.5</v>
      </c>
      <c r="C137">
        <f>IF(MOD(B137,20)=0,TEXT(B137,"0"),"")</f>
        <v/>
      </c>
      <c r="D137" t="n">
        <v>22.5706</v>
      </c>
      <c r="E137" t="n">
        <v>227.4294</v>
      </c>
      <c r="F137" t="n">
        <v>0</v>
      </c>
      <c r="G137" t="n">
        <v>0</v>
      </c>
    </row>
    <row r="138">
      <c r="B138" t="n">
        <v>-15</v>
      </c>
      <c r="C138">
        <f>IF(MOD(B138,20)=0,TEXT(B138,"0"),"")</f>
        <v/>
      </c>
      <c r="D138" t="n">
        <v>22.9079</v>
      </c>
      <c r="E138" t="n">
        <v>227.0921</v>
      </c>
      <c r="F138" t="n">
        <v>0</v>
      </c>
      <c r="G138" t="n">
        <v>0</v>
      </c>
      <c r="I138" s="38" t="inlineStr">
        <is>
          <t>Vergleich: Durchverdichten (2 Stufen) – Werte aus 04_phasenpfade_vergleich.py</t>
        </is>
      </c>
      <c r="J138" t="n">
        <v>15</v>
      </c>
      <c r="K138" t="n">
        <v>30</v>
      </c>
      <c r="L138">
        <f>(J138-Diagramm_Tmin)/Diagramm_dT+1</f>
        <v/>
      </c>
    </row>
    <row r="139">
      <c r="B139" t="n">
        <v>-14.5</v>
      </c>
      <c r="C139">
        <f>IF(MOD(B139,20)=0,TEXT(B139,"0"),"")</f>
        <v/>
      </c>
      <c r="D139" t="n">
        <v>23.2488</v>
      </c>
      <c r="E139" t="n">
        <v>226.7512</v>
      </c>
      <c r="F139" t="n">
        <v>0</v>
      </c>
      <c r="G139" t="n">
        <v>0</v>
      </c>
      <c r="J139" t="n">
        <v>60.51070302856749</v>
      </c>
      <c r="K139" t="n">
        <v>52</v>
      </c>
      <c r="L139">
        <f>(J139-Diagramm_Tmin)/Diagramm_dT+1</f>
        <v/>
      </c>
    </row>
    <row r="140">
      <c r="B140" t="n">
        <v>-14</v>
      </c>
      <c r="C140">
        <f>IF(MOD(B140,20)=0,TEXT(B140,"0"),"")</f>
        <v/>
      </c>
      <c r="D140" t="n">
        <v>23.5935</v>
      </c>
      <c r="E140" t="n">
        <v>226.4065</v>
      </c>
      <c r="F140" t="n">
        <v>0</v>
      </c>
      <c r="G140" t="n">
        <v>0</v>
      </c>
      <c r="J140" t="n">
        <v>26</v>
      </c>
      <c r="K140" t="n">
        <v>52</v>
      </c>
      <c r="L140">
        <f>(J140-Diagramm_Tmin)/Diagramm_dT+1</f>
        <v/>
      </c>
    </row>
    <row r="141">
      <c r="B141" t="n">
        <v>-13.5</v>
      </c>
      <c r="C141">
        <f>IF(MOD(B141,20)=0,TEXT(B141,"0"),"")</f>
        <v/>
      </c>
      <c r="D141" t="n">
        <v>23.9418</v>
      </c>
      <c r="E141" t="n">
        <v>226.0582</v>
      </c>
      <c r="F141" t="n">
        <v>0</v>
      </c>
      <c r="G141" t="n">
        <v>0</v>
      </c>
      <c r="J141" t="n">
        <v>93.19819207927878</v>
      </c>
      <c r="K141" t="n">
        <v>114.6341589872628</v>
      </c>
      <c r="L141">
        <f>(J141-Diagramm_Tmin)/Diagramm_dT+1</f>
        <v/>
      </c>
    </row>
    <row r="142">
      <c r="B142" t="n">
        <v>-13</v>
      </c>
      <c r="C142">
        <f>IF(MOD(B142,20)=0,TEXT(B142,"0"),"")</f>
        <v/>
      </c>
      <c r="D142" t="n">
        <v>24.294</v>
      </c>
      <c r="E142" t="n">
        <v>225.706</v>
      </c>
      <c r="F142" t="n">
        <v>0</v>
      </c>
      <c r="G142" t="n">
        <v>0</v>
      </c>
      <c r="J142" t="n">
        <v>29.58976389993643</v>
      </c>
      <c r="K142" t="n">
        <v>114.6341589872628</v>
      </c>
      <c r="L142">
        <f>(J142-Diagramm_Tmin)/Diagramm_dT+1</f>
        <v/>
      </c>
    </row>
    <row r="143">
      <c r="B143" t="n">
        <v>-12.5</v>
      </c>
      <c r="C143">
        <f>IF(MOD(B143,20)=0,TEXT(B143,"0"),"")</f>
        <v/>
      </c>
      <c r="D143" t="n">
        <v>24.6498</v>
      </c>
      <c r="E143" t="n">
        <v>225.3502</v>
      </c>
      <c r="F143" t="n">
        <v>0</v>
      </c>
      <c r="G143" t="n">
        <v>0</v>
      </c>
    </row>
    <row r="144">
      <c r="B144" t="n">
        <v>-12</v>
      </c>
      <c r="C144">
        <f>IF(MOD(B144,20)=0,TEXT(B144,"0"),"")</f>
        <v/>
      </c>
      <c r="D144" t="n">
        <v>25.0095</v>
      </c>
      <c r="E144" t="n">
        <v>224.9905</v>
      </c>
      <c r="F144" t="n">
        <v>0</v>
      </c>
      <c r="G144" t="n">
        <v>0</v>
      </c>
      <c r="I144" s="38" t="inlineStr">
        <is>
          <t>Beschriftung Phasengebiete E</t>
        </is>
      </c>
      <c r="J144" t="n">
        <v>-71</v>
      </c>
      <c r="K144" t="n">
        <v>70</v>
      </c>
      <c r="L144">
        <f>(J144-Diagramm_Tmin)/Diagramm_dT+1</f>
        <v/>
      </c>
    </row>
    <row r="145">
      <c r="B145" t="n">
        <v>-11.5</v>
      </c>
      <c r="C145">
        <f>IF(MOD(B145,20)=0,TEXT(B145,"0"),"")</f>
        <v/>
      </c>
      <c r="D145" t="n">
        <v>25.373</v>
      </c>
      <c r="E145" t="n">
        <v>224.627</v>
      </c>
      <c r="F145" t="n">
        <v>0</v>
      </c>
      <c r="G145" t="n">
        <v>0</v>
      </c>
      <c r="J145" t="n">
        <v>-30</v>
      </c>
      <c r="K145" t="n">
        <v>105</v>
      </c>
      <c r="L145">
        <f>(J145-Diagramm_Tmin)/Diagramm_dT+1</f>
        <v/>
      </c>
    </row>
    <row r="146">
      <c r="B146" t="n">
        <v>-11</v>
      </c>
      <c r="C146">
        <f>IF(MOD(B146,20)=0,TEXT(B146,"0"),"")</f>
        <v/>
      </c>
      <c r="D146" t="n">
        <v>25.7404</v>
      </c>
      <c r="E146" t="n">
        <v>224.2596</v>
      </c>
      <c r="F146" t="n">
        <v>0</v>
      </c>
      <c r="G146" t="n">
        <v>0</v>
      </c>
      <c r="J146" t="n">
        <v>72</v>
      </c>
      <c r="K146" t="n">
        <v>12</v>
      </c>
      <c r="L146">
        <f>(J146-Diagramm_Tmin)/Diagramm_dT+1</f>
        <v/>
      </c>
    </row>
    <row r="147">
      <c r="B147" t="n">
        <v>-10.5</v>
      </c>
      <c r="C147">
        <f>IF(MOD(B147,20)=0,TEXT(B147,"0"),"")</f>
        <v/>
      </c>
      <c r="D147" t="n">
        <v>26.1116</v>
      </c>
      <c r="E147" t="n">
        <v>223.8884</v>
      </c>
      <c r="F147" t="n">
        <v>0</v>
      </c>
      <c r="G147" t="n">
        <v>0</v>
      </c>
      <c r="J147" t="n">
        <v>85</v>
      </c>
      <c r="K147" t="n">
        <v>120</v>
      </c>
      <c r="L147">
        <f>(J147-Diagramm_Tmin)/Diagramm_dT+1</f>
        <v/>
      </c>
    </row>
    <row r="148">
      <c r="B148" t="n">
        <v>-10</v>
      </c>
      <c r="C148">
        <f>IF(MOD(B148,20)=0,TEXT(B148,"0"),"")</f>
        <v/>
      </c>
      <c r="D148" t="n">
        <v>26.4868</v>
      </c>
      <c r="E148" t="n">
        <v>223.5132</v>
      </c>
      <c r="F148" t="n">
        <v>0</v>
      </c>
      <c r="G148" t="n">
        <v>0</v>
      </c>
    </row>
    <row r="149">
      <c r="B149" t="n">
        <v>-9.5</v>
      </c>
      <c r="C149">
        <f>IF(MOD(B149,20)=0,TEXT(B149,"0"),"")</f>
        <v/>
      </c>
      <c r="D149" t="n">
        <v>26.8658</v>
      </c>
      <c r="E149" t="n">
        <v>223.1342</v>
      </c>
      <c r="F149" t="n">
        <v>0</v>
      </c>
      <c r="G149" t="n">
        <v>0</v>
      </c>
      <c r="I149" s="38" t="inlineStr">
        <is>
          <t>Beschriftung Punkte E</t>
        </is>
      </c>
      <c r="J149" t="n">
        <v>1</v>
      </c>
      <c r="K149" t="n">
        <v>91</v>
      </c>
      <c r="L149">
        <f>(J149-Diagramm_Tmin)/Diagramm_dT+1</f>
        <v/>
      </c>
    </row>
    <row r="150">
      <c r="B150" t="n">
        <v>-9</v>
      </c>
      <c r="C150">
        <f>IF(MOD(B150,20)=0,TEXT(B150,"0"),"")</f>
        <v/>
      </c>
      <c r="D150" t="n">
        <v>27.2489</v>
      </c>
      <c r="E150" t="n">
        <v>222.7511</v>
      </c>
      <c r="F150" t="n">
        <v>0</v>
      </c>
      <c r="G150" t="n">
        <v>0</v>
      </c>
      <c r="J150" t="n">
        <v>15</v>
      </c>
      <c r="K150" t="n">
        <v>25</v>
      </c>
      <c r="L150">
        <f>(J150-Diagramm_Tmin)/Diagramm_dT+1</f>
        <v/>
      </c>
    </row>
    <row r="151">
      <c r="B151" t="n">
        <v>-8.5</v>
      </c>
      <c r="C151">
        <f>IF(MOD(B151,20)=0,TEXT(B151,"0"),"")</f>
        <v/>
      </c>
      <c r="D151" t="n">
        <v>27.6359</v>
      </c>
      <c r="E151" t="n">
        <v>222.3641</v>
      </c>
      <c r="F151" t="n">
        <v>0</v>
      </c>
      <c r="G151" t="n">
        <v>0</v>
      </c>
      <c r="J151">
        <f>Szen2_T2a+11</f>
        <v/>
      </c>
      <c r="K151" t="n">
        <v>86</v>
      </c>
      <c r="L151">
        <f>(J151-Diagramm_Tmin)/Diagramm_dT+1</f>
        <v/>
      </c>
    </row>
    <row r="152">
      <c r="B152" t="n">
        <v>-8</v>
      </c>
      <c r="C152">
        <f>IF(MOD(B152,20)=0,TEXT(B152,"0"),"")</f>
        <v/>
      </c>
      <c r="D152" t="n">
        <v>28.0269</v>
      </c>
      <c r="E152" t="n">
        <v>221.9731</v>
      </c>
      <c r="F152" t="n">
        <v>0</v>
      </c>
      <c r="G152" t="n">
        <v>0</v>
      </c>
      <c r="J152" t="n">
        <v>48</v>
      </c>
      <c r="K152" t="n">
        <v>95</v>
      </c>
      <c r="L152">
        <f>(J152-Diagramm_Tmin)/Diagramm_dT+1</f>
        <v/>
      </c>
    </row>
    <row r="153">
      <c r="B153" t="n">
        <v>-7.5</v>
      </c>
      <c r="C153">
        <f>IF(MOD(B153,20)=0,TEXT(B153,"0"),"")</f>
        <v/>
      </c>
      <c r="D153" t="n">
        <v>28.4219</v>
      </c>
      <c r="E153" t="n">
        <v>221.5781</v>
      </c>
      <c r="F153" t="n">
        <v>0</v>
      </c>
      <c r="G153" t="n">
        <v>0</v>
      </c>
      <c r="J153" t="n">
        <v>23</v>
      </c>
      <c r="K153">
        <f>Kopf_betr_S2+6</f>
        <v/>
      </c>
      <c r="L153">
        <f>(J153-Diagramm_Tmin)/Diagramm_dT+1</f>
        <v/>
      </c>
    </row>
    <row r="154">
      <c r="B154" t="n">
        <v>-7</v>
      </c>
      <c r="C154">
        <f>IF(MOD(B154,20)=0,TEXT(B154,"0"),"")</f>
        <v/>
      </c>
      <c r="D154" t="n">
        <v>28.8211</v>
      </c>
      <c r="E154" t="n">
        <v>221.1789</v>
      </c>
      <c r="F154" t="n">
        <v>0</v>
      </c>
      <c r="G154" t="n">
        <v>0</v>
      </c>
      <c r="J154">
        <f>Szen2_T1a+10</f>
        <v/>
      </c>
      <c r="K154" t="n">
        <v>45</v>
      </c>
      <c r="L154">
        <f>(J154-Diagramm_Tmin)/Diagramm_dT+1</f>
        <v/>
      </c>
    </row>
    <row r="155">
      <c r="B155" t="n">
        <v>-6.5</v>
      </c>
      <c r="C155">
        <f>IF(MOD(B155,20)=0,TEXT(B155,"0"),"")</f>
        <v/>
      </c>
      <c r="D155" t="n">
        <v>29.2243</v>
      </c>
      <c r="E155" t="n">
        <v>220.7757</v>
      </c>
      <c r="F155" t="n">
        <v>0</v>
      </c>
      <c r="G155" t="n">
        <v>0</v>
      </c>
      <c r="J155" t="n">
        <v>42</v>
      </c>
      <c r="K155" t="n">
        <v>49</v>
      </c>
      <c r="L155">
        <f>(J155-Diagramm_Tmin)/Diagramm_dT+1</f>
        <v/>
      </c>
    </row>
    <row r="156">
      <c r="B156" t="n">
        <v>-6</v>
      </c>
      <c r="C156">
        <f>IF(MOD(B156,20)=0,TEXT(B156,"0"),"")</f>
        <v/>
      </c>
      <c r="D156" t="n">
        <v>29.6316</v>
      </c>
      <c r="E156" t="n">
        <v>220.3684</v>
      </c>
      <c r="F156" t="n">
        <v>0</v>
      </c>
      <c r="G156" t="n">
        <v>0</v>
      </c>
      <c r="J156" t="n">
        <v>97</v>
      </c>
      <c r="K156" t="n">
        <v>103</v>
      </c>
      <c r="L156">
        <f>(J156-Diagramm_Tmin)/Diagramm_dT+1</f>
        <v/>
      </c>
    </row>
    <row r="157">
      <c r="B157" t="n">
        <v>-5.5</v>
      </c>
      <c r="C157">
        <f>IF(MOD(B157,20)=0,TEXT(B157,"0"),"")</f>
        <v/>
      </c>
      <c r="D157" t="n">
        <v>30.0431</v>
      </c>
      <c r="E157" t="n">
        <v>219.9569</v>
      </c>
      <c r="F157" t="n">
        <v>0</v>
      </c>
      <c r="G157" t="n">
        <v>0</v>
      </c>
    </row>
    <row r="158">
      <c r="B158" t="n">
        <v>-5</v>
      </c>
      <c r="C158">
        <f>IF(MOD(B158,20)=0,TEXT(B158,"0"),"")</f>
        <v/>
      </c>
      <c r="D158" t="n">
        <v>30.4588</v>
      </c>
      <c r="E158" t="n">
        <v>219.5412</v>
      </c>
      <c r="F158" t="n">
        <v>0</v>
      </c>
      <c r="G158" t="n">
        <v>0</v>
      </c>
      <c r="I158" s="38" t="inlineStr">
        <is>
          <t>Gassäule Kaverne voll (210 bar unten)</t>
        </is>
      </c>
      <c r="J158">
        <f>'Kaverne &amp; Gassäule'!$C$49</f>
        <v/>
      </c>
      <c r="K158">
        <f>'Kaverne &amp; Gassäule'!$D$49</f>
        <v/>
      </c>
      <c r="L158">
        <f>(J158-Diagramm_Tmin)/Diagramm_dT+1</f>
        <v/>
      </c>
    </row>
    <row r="159">
      <c r="B159" t="n">
        <v>-4.5</v>
      </c>
      <c r="C159">
        <f>IF(MOD(B159,20)=0,TEXT(B159,"0"),"")</f>
        <v/>
      </c>
      <c r="D159" t="n">
        <v>30.8786</v>
      </c>
      <c r="E159" t="n">
        <v>219.1214</v>
      </c>
      <c r="F159" t="n">
        <v>0</v>
      </c>
      <c r="G159" t="n">
        <v>0</v>
      </c>
      <c r="J159">
        <f>'Kaverne &amp; Gassäule'!$C$50</f>
        <v/>
      </c>
      <c r="K159">
        <f>'Kaverne &amp; Gassäule'!$D$50</f>
        <v/>
      </c>
      <c r="L159">
        <f>(J159-Diagramm_Tmin)/Diagramm_dT+1</f>
        <v/>
      </c>
    </row>
    <row r="160">
      <c r="B160" t="n">
        <v>-4</v>
      </c>
      <c r="C160">
        <f>IF(MOD(B160,20)=0,TEXT(B160,"0"),"")</f>
        <v/>
      </c>
      <c r="D160" t="n">
        <v>31.3027</v>
      </c>
      <c r="E160" t="n">
        <v>218.6973</v>
      </c>
      <c r="F160" t="n">
        <v>0</v>
      </c>
      <c r="G160" t="n">
        <v>0</v>
      </c>
      <c r="J160">
        <f>'Kaverne &amp; Gassäule'!$C$51</f>
        <v/>
      </c>
      <c r="K160">
        <f>'Kaverne &amp; Gassäule'!$D$51</f>
        <v/>
      </c>
      <c r="L160">
        <f>(J160-Diagramm_Tmin)/Diagramm_dT+1</f>
        <v/>
      </c>
    </row>
    <row r="161">
      <c r="B161" t="n">
        <v>-3.5</v>
      </c>
      <c r="C161">
        <f>IF(MOD(B161,20)=0,TEXT(B161,"0"),"")</f>
        <v/>
      </c>
      <c r="D161" t="n">
        <v>31.7311</v>
      </c>
      <c r="E161" t="n">
        <v>218.2689</v>
      </c>
      <c r="F161" t="n">
        <v>0</v>
      </c>
      <c r="G161" t="n">
        <v>0</v>
      </c>
      <c r="J161">
        <f>'Kaverne &amp; Gassäule'!$C$52</f>
        <v/>
      </c>
      <c r="K161">
        <f>'Kaverne &amp; Gassäule'!$D$52</f>
        <v/>
      </c>
      <c r="L161">
        <f>(J161-Diagramm_Tmin)/Diagramm_dT+1</f>
        <v/>
      </c>
    </row>
    <row r="162">
      <c r="B162" t="n">
        <v>-3</v>
      </c>
      <c r="C162">
        <f>IF(MOD(B162,20)=0,TEXT(B162,"0"),"")</f>
        <v/>
      </c>
      <c r="D162" t="n">
        <v>32.1637</v>
      </c>
      <c r="E162" t="n">
        <v>217.8363</v>
      </c>
      <c r="F162" t="n">
        <v>0</v>
      </c>
      <c r="G162" t="n">
        <v>0</v>
      </c>
      <c r="J162">
        <f>'Kaverne &amp; Gassäule'!$C$53</f>
        <v/>
      </c>
      <c r="K162">
        <f>'Kaverne &amp; Gassäule'!$D$53</f>
        <v/>
      </c>
      <c r="L162">
        <f>(J162-Diagramm_Tmin)/Diagramm_dT+1</f>
        <v/>
      </c>
    </row>
    <row r="163">
      <c r="B163" t="n">
        <v>-2.5</v>
      </c>
      <c r="C163">
        <f>IF(MOD(B163,20)=0,TEXT(B163,"0"),"")</f>
        <v/>
      </c>
      <c r="D163" t="n">
        <v>32.6007</v>
      </c>
      <c r="E163" t="n">
        <v>217.3993</v>
      </c>
      <c r="F163" t="n">
        <v>0</v>
      </c>
      <c r="G163" t="n">
        <v>0</v>
      </c>
      <c r="J163">
        <f>'Kaverne &amp; Gassäule'!$C$54</f>
        <v/>
      </c>
      <c r="K163">
        <f>'Kaverne &amp; Gassäule'!$D$54</f>
        <v/>
      </c>
      <c r="L163">
        <f>(J163-Diagramm_Tmin)/Diagramm_dT+1</f>
        <v/>
      </c>
    </row>
    <row r="164">
      <c r="B164" t="n">
        <v>-2</v>
      </c>
      <c r="C164">
        <f>IF(MOD(B164,20)=0,TEXT(B164,"0"),"")</f>
        <v/>
      </c>
      <c r="D164" t="n">
        <v>33.042</v>
      </c>
      <c r="E164" t="n">
        <v>216.958</v>
      </c>
      <c r="F164" t="n">
        <v>0</v>
      </c>
      <c r="G164" t="n">
        <v>0</v>
      </c>
      <c r="J164">
        <f>'Kaverne &amp; Gassäule'!$C$55</f>
        <v/>
      </c>
      <c r="K164">
        <f>'Kaverne &amp; Gassäule'!$D$55</f>
        <v/>
      </c>
      <c r="L164">
        <f>(J164-Diagramm_Tmin)/Diagramm_dT+1</f>
        <v/>
      </c>
    </row>
    <row r="165">
      <c r="B165" t="n">
        <v>-1.5</v>
      </c>
      <c r="C165">
        <f>IF(MOD(B165,20)=0,TEXT(B165,"0"),"")</f>
        <v/>
      </c>
      <c r="D165" t="n">
        <v>33.4877</v>
      </c>
      <c r="E165" t="n">
        <v>216.5123</v>
      </c>
      <c r="F165" t="n">
        <v>0</v>
      </c>
      <c r="G165" t="n">
        <v>0</v>
      </c>
      <c r="J165">
        <f>'Kaverne &amp; Gassäule'!$C$56</f>
        <v/>
      </c>
      <c r="K165">
        <f>'Kaverne &amp; Gassäule'!$D$56</f>
        <v/>
      </c>
      <c r="L165">
        <f>(J165-Diagramm_Tmin)/Diagramm_dT+1</f>
        <v/>
      </c>
    </row>
    <row r="166">
      <c r="B166" t="n">
        <v>-1</v>
      </c>
      <c r="C166">
        <f>IF(MOD(B166,20)=0,TEXT(B166,"0"),"")</f>
        <v/>
      </c>
      <c r="D166" t="n">
        <v>33.9378</v>
      </c>
      <c r="E166" t="n">
        <v>216.0622</v>
      </c>
      <c r="F166" t="n">
        <v>0</v>
      </c>
      <c r="G166" t="n">
        <v>0</v>
      </c>
      <c r="J166">
        <f>'Kaverne &amp; Gassäule'!$C$57</f>
        <v/>
      </c>
      <c r="K166">
        <f>'Kaverne &amp; Gassäule'!$D$57</f>
        <v/>
      </c>
      <c r="L166">
        <f>(J166-Diagramm_Tmin)/Diagramm_dT+1</f>
        <v/>
      </c>
    </row>
    <row r="167">
      <c r="B167" t="n">
        <v>-0.5</v>
      </c>
      <c r="C167">
        <f>IF(MOD(B167,20)=0,TEXT(B167,"0"),"")</f>
        <v/>
      </c>
      <c r="D167" t="n">
        <v>34.3924</v>
      </c>
      <c r="E167" t="n">
        <v>215.6076</v>
      </c>
      <c r="F167" t="n">
        <v>0</v>
      </c>
      <c r="G167" t="n">
        <v>0</v>
      </c>
      <c r="J167">
        <f>'Kaverne &amp; Gassäule'!$C$58</f>
        <v/>
      </c>
      <c r="K167">
        <f>'Kaverne &amp; Gassäule'!$D$58</f>
        <v/>
      </c>
      <c r="L167">
        <f>(J167-Diagramm_Tmin)/Diagramm_dT+1</f>
        <v/>
      </c>
    </row>
    <row r="168">
      <c r="B168" t="n">
        <v>0</v>
      </c>
      <c r="C168">
        <f>IF(MOD(B168,20)=0,TEXT(B168,"0"),"")</f>
        <v/>
      </c>
      <c r="D168" t="n">
        <v>34.8514</v>
      </c>
      <c r="E168" t="n">
        <v>215.1486</v>
      </c>
      <c r="F168" t="n">
        <v>0</v>
      </c>
      <c r="G168" t="n">
        <v>0</v>
      </c>
      <c r="J168">
        <f>'Kaverne &amp; Gassäule'!$C$59</f>
        <v/>
      </c>
      <c r="K168">
        <f>'Kaverne &amp; Gassäule'!$D$59</f>
        <v/>
      </c>
      <c r="L168">
        <f>(J168-Diagramm_Tmin)/Diagramm_dT+1</f>
        <v/>
      </c>
    </row>
    <row r="169">
      <c r="B169" t="n">
        <v>0.5</v>
      </c>
      <c r="C169">
        <f>IF(MOD(B169,20)=0,TEXT(B169,"0"),"")</f>
        <v/>
      </c>
      <c r="D169" t="n">
        <v>35.3149</v>
      </c>
      <c r="E169" t="n">
        <v>214.6851</v>
      </c>
      <c r="F169" t="n">
        <v>0</v>
      </c>
      <c r="G169" t="n">
        <v>0</v>
      </c>
      <c r="J169">
        <f>'Kaverne &amp; Gassäule'!$C$60</f>
        <v/>
      </c>
      <c r="K169">
        <f>'Kaverne &amp; Gassäule'!$D$60</f>
        <v/>
      </c>
      <c r="L169">
        <f>(J169-Diagramm_Tmin)/Diagramm_dT+1</f>
        <v/>
      </c>
    </row>
    <row r="170">
      <c r="B170" t="n">
        <v>1</v>
      </c>
      <c r="C170">
        <f>IF(MOD(B170,20)=0,TEXT(B170,"0"),"")</f>
        <v/>
      </c>
      <c r="D170" t="n">
        <v>35.783</v>
      </c>
      <c r="E170" t="n">
        <v>214.217</v>
      </c>
      <c r="F170" t="n">
        <v>0</v>
      </c>
      <c r="G170" t="n">
        <v>0</v>
      </c>
      <c r="J170">
        <f>'Kaverne &amp; Gassäule'!$C$61</f>
        <v/>
      </c>
      <c r="K170">
        <f>'Kaverne &amp; Gassäule'!$D$61</f>
        <v/>
      </c>
      <c r="L170">
        <f>(J170-Diagramm_Tmin)/Diagramm_dT+1</f>
        <v/>
      </c>
    </row>
    <row r="171">
      <c r="B171" t="n">
        <v>1.5</v>
      </c>
      <c r="C171">
        <f>IF(MOD(B171,20)=0,TEXT(B171,"0"),"")</f>
        <v/>
      </c>
      <c r="D171" t="n">
        <v>36.2556</v>
      </c>
      <c r="E171" t="n">
        <v>213.7444</v>
      </c>
      <c r="F171" t="n">
        <v>0</v>
      </c>
      <c r="G171" t="n">
        <v>0</v>
      </c>
      <c r="J171">
        <f>'Kaverne &amp; Gassäule'!$C$62</f>
        <v/>
      </c>
      <c r="K171">
        <f>'Kaverne &amp; Gassäule'!$D$62</f>
        <v/>
      </c>
      <c r="L171">
        <f>(J171-Diagramm_Tmin)/Diagramm_dT+1</f>
        <v/>
      </c>
    </row>
    <row r="172">
      <c r="B172" t="n">
        <v>2</v>
      </c>
      <c r="C172">
        <f>IF(MOD(B172,20)=0,TEXT(B172,"0"),"")</f>
        <v/>
      </c>
      <c r="D172" t="n">
        <v>36.7329</v>
      </c>
      <c r="E172" t="n">
        <v>213.2671</v>
      </c>
      <c r="F172" t="n">
        <v>0</v>
      </c>
      <c r="G172" t="n">
        <v>0</v>
      </c>
      <c r="J172">
        <f>'Kaverne &amp; Gassäule'!$C$63</f>
        <v/>
      </c>
      <c r="K172">
        <f>'Kaverne &amp; Gassäule'!$D$63</f>
        <v/>
      </c>
      <c r="L172">
        <f>(J172-Diagramm_Tmin)/Diagramm_dT+1</f>
        <v/>
      </c>
    </row>
    <row r="173">
      <c r="B173" t="n">
        <v>2.5</v>
      </c>
      <c r="C173">
        <f>IF(MOD(B173,20)=0,TEXT(B173,"0"),"")</f>
        <v/>
      </c>
      <c r="D173" t="n">
        <v>37.2147</v>
      </c>
      <c r="E173" t="n">
        <v>212.7853</v>
      </c>
      <c r="F173" t="n">
        <v>0</v>
      </c>
      <c r="G173" t="n">
        <v>0</v>
      </c>
      <c r="J173">
        <f>'Kaverne &amp; Gassäule'!$C$64</f>
        <v/>
      </c>
      <c r="K173">
        <f>'Kaverne &amp; Gassäule'!$D$64</f>
        <v/>
      </c>
      <c r="L173">
        <f>(J173-Diagramm_Tmin)/Diagramm_dT+1</f>
        <v/>
      </c>
    </row>
    <row r="174">
      <c r="B174" t="n">
        <v>3</v>
      </c>
      <c r="C174">
        <f>IF(MOD(B174,20)=0,TEXT(B174,"0"),"")</f>
        <v/>
      </c>
      <c r="D174" t="n">
        <v>37.7012</v>
      </c>
      <c r="E174" t="n">
        <v>212.2988</v>
      </c>
      <c r="F174" t="n">
        <v>0</v>
      </c>
      <c r="G174" t="n">
        <v>0</v>
      </c>
      <c r="J174">
        <f>'Kaverne &amp; Gassäule'!$C$65</f>
        <v/>
      </c>
      <c r="K174">
        <f>'Kaverne &amp; Gassäule'!$D$65</f>
        <v/>
      </c>
      <c r="L174">
        <f>(J174-Diagramm_Tmin)/Diagramm_dT+1</f>
        <v/>
      </c>
    </row>
    <row r="175">
      <c r="B175" t="n">
        <v>3.5</v>
      </c>
      <c r="C175">
        <f>IF(MOD(B175,20)=0,TEXT(B175,"0"),"")</f>
        <v/>
      </c>
      <c r="D175" t="n">
        <v>38.1925</v>
      </c>
      <c r="E175" t="n">
        <v>211.8075</v>
      </c>
      <c r="F175" t="n">
        <v>0</v>
      </c>
      <c r="G175" t="n">
        <v>0</v>
      </c>
      <c r="J175">
        <f>'Kaverne &amp; Gassäule'!$C$66</f>
        <v/>
      </c>
      <c r="K175">
        <f>'Kaverne &amp; Gassäule'!$D$66</f>
        <v/>
      </c>
      <c r="L175">
        <f>(J175-Diagramm_Tmin)/Diagramm_dT+1</f>
        <v/>
      </c>
    </row>
    <row r="176">
      <c r="B176" t="n">
        <v>4</v>
      </c>
      <c r="C176">
        <f>IF(MOD(B176,20)=0,TEXT(B176,"0"),"")</f>
        <v/>
      </c>
      <c r="D176" t="n">
        <v>38.6884</v>
      </c>
      <c r="E176" t="n">
        <v>211.3116</v>
      </c>
      <c r="F176" t="n">
        <v>0</v>
      </c>
      <c r="G176" t="n">
        <v>0</v>
      </c>
      <c r="J176">
        <f>'Kaverne &amp; Gassäule'!$C$67</f>
        <v/>
      </c>
      <c r="K176">
        <f>'Kaverne &amp; Gassäule'!$D$67</f>
        <v/>
      </c>
      <c r="L176">
        <f>(J176-Diagramm_Tmin)/Diagramm_dT+1</f>
        <v/>
      </c>
    </row>
    <row r="177">
      <c r="B177" t="n">
        <v>4.5</v>
      </c>
      <c r="C177">
        <f>IF(MOD(B177,20)=0,TEXT(B177,"0"),"")</f>
        <v/>
      </c>
      <c r="D177" t="n">
        <v>39.1891</v>
      </c>
      <c r="E177" t="n">
        <v>210.8109</v>
      </c>
      <c r="F177" t="n">
        <v>0</v>
      </c>
      <c r="G177" t="n">
        <v>0</v>
      </c>
      <c r="J177">
        <f>'Kaverne &amp; Gassäule'!$C$68</f>
        <v/>
      </c>
      <c r="K177">
        <f>'Kaverne &amp; Gassäule'!$D$68</f>
        <v/>
      </c>
      <c r="L177">
        <f>(J177-Diagramm_Tmin)/Diagramm_dT+1</f>
        <v/>
      </c>
    </row>
    <row r="178">
      <c r="B178" t="n">
        <v>5</v>
      </c>
      <c r="C178">
        <f>IF(MOD(B178,20)=0,TEXT(B178,"0"),"")</f>
        <v/>
      </c>
      <c r="D178" t="n">
        <v>39.6947</v>
      </c>
      <c r="E178" t="n">
        <v>210.3053</v>
      </c>
      <c r="F178" t="n">
        <v>0</v>
      </c>
      <c r="G178" t="n">
        <v>0</v>
      </c>
      <c r="J178">
        <f>'Kaverne &amp; Gassäule'!$C$69</f>
        <v/>
      </c>
      <c r="K178">
        <f>'Kaverne &amp; Gassäule'!$D$69</f>
        <v/>
      </c>
      <c r="L178">
        <f>(J178-Diagramm_Tmin)/Diagramm_dT+1</f>
        <v/>
      </c>
    </row>
    <row r="179">
      <c r="B179" t="n">
        <v>5.5</v>
      </c>
      <c r="C179">
        <f>IF(MOD(B179,20)=0,TEXT(B179,"0"),"")</f>
        <v/>
      </c>
      <c r="D179" t="n">
        <v>40.205</v>
      </c>
      <c r="E179" t="n">
        <v>209.795</v>
      </c>
      <c r="F179" t="n">
        <v>0</v>
      </c>
      <c r="G179" t="n">
        <v>0</v>
      </c>
      <c r="J179">
        <f>'Kaverne &amp; Gassäule'!$C$70</f>
        <v/>
      </c>
      <c r="K179">
        <f>'Kaverne &amp; Gassäule'!$D$70</f>
        <v/>
      </c>
      <c r="L179">
        <f>(J179-Diagramm_Tmin)/Diagramm_dT+1</f>
        <v/>
      </c>
    </row>
    <row r="180">
      <c r="B180" t="n">
        <v>6</v>
      </c>
      <c r="C180">
        <f>IF(MOD(B180,20)=0,TEXT(B180,"0"),"")</f>
        <v/>
      </c>
      <c r="D180" t="n">
        <v>40.7202</v>
      </c>
      <c r="E180" t="n">
        <v>209.2798</v>
      </c>
      <c r="F180" t="n">
        <v>0</v>
      </c>
      <c r="G180" t="n">
        <v>0</v>
      </c>
      <c r="J180">
        <f>'Kaverne &amp; Gassäule'!$C$71</f>
        <v/>
      </c>
      <c r="K180">
        <f>'Kaverne &amp; Gassäule'!$D$71</f>
        <v/>
      </c>
      <c r="L180">
        <f>(J180-Diagramm_Tmin)/Diagramm_dT+1</f>
        <v/>
      </c>
    </row>
    <row r="181">
      <c r="B181" t="n">
        <v>6.5</v>
      </c>
      <c r="C181">
        <f>IF(MOD(B181,20)=0,TEXT(B181,"0"),"")</f>
        <v/>
      </c>
      <c r="D181" t="n">
        <v>41.2404</v>
      </c>
      <c r="E181" t="n">
        <v>208.7596</v>
      </c>
      <c r="F181" t="n">
        <v>0</v>
      </c>
      <c r="G181" t="n">
        <v>0</v>
      </c>
      <c r="J181">
        <f>'Kaverne &amp; Gassäule'!$C$72</f>
        <v/>
      </c>
      <c r="K181">
        <f>'Kaverne &amp; Gassäule'!$D$72</f>
        <v/>
      </c>
      <c r="L181">
        <f>(J181-Diagramm_Tmin)/Diagramm_dT+1</f>
        <v/>
      </c>
    </row>
    <row r="182">
      <c r="B182" t="n">
        <v>7</v>
      </c>
      <c r="C182">
        <f>IF(MOD(B182,20)=0,TEXT(B182,"0"),"")</f>
        <v/>
      </c>
      <c r="D182" t="n">
        <v>41.7654</v>
      </c>
      <c r="E182" t="n">
        <v>208.2346</v>
      </c>
      <c r="F182" t="n">
        <v>0</v>
      </c>
      <c r="G182" t="n">
        <v>0</v>
      </c>
      <c r="J182">
        <f>'Kaverne &amp; Gassäule'!$C$73</f>
        <v/>
      </c>
      <c r="K182">
        <f>'Kaverne &amp; Gassäule'!$D$73</f>
        <v/>
      </c>
      <c r="L182">
        <f>(J182-Diagramm_Tmin)/Diagramm_dT+1</f>
        <v/>
      </c>
    </row>
    <row r="183">
      <c r="B183" t="n">
        <v>7.5</v>
      </c>
      <c r="C183">
        <f>IF(MOD(B183,20)=0,TEXT(B183,"0"),"")</f>
        <v/>
      </c>
      <c r="D183" t="n">
        <v>42.2955</v>
      </c>
      <c r="E183" t="n">
        <v>207.7045</v>
      </c>
      <c r="F183" t="n">
        <v>0</v>
      </c>
      <c r="G183" t="n">
        <v>0</v>
      </c>
    </row>
    <row r="184">
      <c r="B184" t="n">
        <v>8</v>
      </c>
      <c r="C184">
        <f>IF(MOD(B184,20)=0,TEXT(B184,"0"),"")</f>
        <v/>
      </c>
      <c r="D184" t="n">
        <v>42.8306</v>
      </c>
      <c r="E184" t="n">
        <v>207.1694</v>
      </c>
      <c r="F184" t="n">
        <v>0</v>
      </c>
      <c r="G184" t="n">
        <v>0</v>
      </c>
      <c r="I184" s="38" t="inlineStr">
        <is>
          <t>Gassäule Grenzfall (Kopf = p_krit)</t>
        </is>
      </c>
      <c r="J184">
        <f>'Kaverne &amp; Gassäule'!$C$49</f>
        <v/>
      </c>
      <c r="K184">
        <f>'Kaverne &amp; Gassäule'!$F$49</f>
        <v/>
      </c>
      <c r="L184">
        <f>(J184-Diagramm_Tmin)/Diagramm_dT+1</f>
        <v/>
      </c>
    </row>
    <row r="185">
      <c r="B185" t="n">
        <v>8.5</v>
      </c>
      <c r="C185">
        <f>IF(MOD(B185,20)=0,TEXT(B185,"0"),"")</f>
        <v/>
      </c>
      <c r="D185" t="n">
        <v>43.3707</v>
      </c>
      <c r="E185" t="n">
        <v>206.6293</v>
      </c>
      <c r="F185" t="n">
        <v>0</v>
      </c>
      <c r="G185" t="n">
        <v>0</v>
      </c>
      <c r="J185">
        <f>'Kaverne &amp; Gassäule'!$C$50</f>
        <v/>
      </c>
      <c r="K185">
        <f>'Kaverne &amp; Gassäule'!$F$50</f>
        <v/>
      </c>
      <c r="L185">
        <f>(J185-Diagramm_Tmin)/Diagramm_dT+1</f>
        <v/>
      </c>
    </row>
    <row r="186">
      <c r="B186" t="n">
        <v>9</v>
      </c>
      <c r="C186">
        <f>IF(MOD(B186,20)=0,TEXT(B186,"0"),"")</f>
        <v/>
      </c>
      <c r="D186" t="n">
        <v>43.9159</v>
      </c>
      <c r="E186" t="n">
        <v>206.0841</v>
      </c>
      <c r="F186" t="n">
        <v>0</v>
      </c>
      <c r="G186" t="n">
        <v>0</v>
      </c>
      <c r="J186">
        <f>'Kaverne &amp; Gassäule'!$C$51</f>
        <v/>
      </c>
      <c r="K186">
        <f>'Kaverne &amp; Gassäule'!$F$51</f>
        <v/>
      </c>
      <c r="L186">
        <f>(J186-Diagramm_Tmin)/Diagramm_dT+1</f>
        <v/>
      </c>
    </row>
    <row r="187">
      <c r="B187" t="n">
        <v>9.5</v>
      </c>
      <c r="C187">
        <f>IF(MOD(B187,20)=0,TEXT(B187,"0"),"")</f>
        <v/>
      </c>
      <c r="D187" t="n">
        <v>44.4663</v>
      </c>
      <c r="E187" t="n">
        <v>205.5337</v>
      </c>
      <c r="F187" t="n">
        <v>0</v>
      </c>
      <c r="G187" t="n">
        <v>0</v>
      </c>
      <c r="J187">
        <f>'Kaverne &amp; Gassäule'!$C$52</f>
        <v/>
      </c>
      <c r="K187">
        <f>'Kaverne &amp; Gassäule'!$F$52</f>
        <v/>
      </c>
      <c r="L187">
        <f>(J187-Diagramm_Tmin)/Diagramm_dT+1</f>
        <v/>
      </c>
    </row>
    <row r="188">
      <c r="B188" t="n">
        <v>10</v>
      </c>
      <c r="C188">
        <f>IF(MOD(B188,20)=0,TEXT(B188,"0"),"")</f>
        <v/>
      </c>
      <c r="D188" t="n">
        <v>45.0218</v>
      </c>
      <c r="E188" t="n">
        <v>204.9782</v>
      </c>
      <c r="F188" t="n">
        <v>0</v>
      </c>
      <c r="G188" t="n">
        <v>0</v>
      </c>
      <c r="J188">
        <f>'Kaverne &amp; Gassäule'!$C$53</f>
        <v/>
      </c>
      <c r="K188">
        <f>'Kaverne &amp; Gassäule'!$F$53</f>
        <v/>
      </c>
      <c r="L188">
        <f>(J188-Diagramm_Tmin)/Diagramm_dT+1</f>
        <v/>
      </c>
    </row>
    <row r="189">
      <c r="B189" t="n">
        <v>10.5</v>
      </c>
      <c r="C189">
        <f>IF(MOD(B189,20)=0,TEXT(B189,"0"),"")</f>
        <v/>
      </c>
      <c r="D189" t="n">
        <v>45.5826</v>
      </c>
      <c r="E189" t="n">
        <v>204.4174</v>
      </c>
      <c r="F189" t="n">
        <v>0</v>
      </c>
      <c r="G189" t="n">
        <v>0</v>
      </c>
      <c r="J189">
        <f>'Kaverne &amp; Gassäule'!$C$54</f>
        <v/>
      </c>
      <c r="K189">
        <f>'Kaverne &amp; Gassäule'!$F$54</f>
        <v/>
      </c>
      <c r="L189">
        <f>(J189-Diagramm_Tmin)/Diagramm_dT+1</f>
        <v/>
      </c>
    </row>
    <row r="190">
      <c r="B190" t="n">
        <v>11</v>
      </c>
      <c r="C190">
        <f>IF(MOD(B190,20)=0,TEXT(B190,"0"),"")</f>
        <v/>
      </c>
      <c r="D190" t="n">
        <v>46.1486</v>
      </c>
      <c r="E190" t="n">
        <v>203.8514</v>
      </c>
      <c r="F190" t="n">
        <v>0</v>
      </c>
      <c r="G190" t="n">
        <v>0</v>
      </c>
      <c r="J190">
        <f>'Kaverne &amp; Gassäule'!$C$55</f>
        <v/>
      </c>
      <c r="K190">
        <f>'Kaverne &amp; Gassäule'!$F$55</f>
        <v/>
      </c>
      <c r="L190">
        <f>(J190-Diagramm_Tmin)/Diagramm_dT+1</f>
        <v/>
      </c>
    </row>
    <row r="191">
      <c r="B191" t="n">
        <v>11.5</v>
      </c>
      <c r="C191">
        <f>IF(MOD(B191,20)=0,TEXT(B191,"0"),"")</f>
        <v/>
      </c>
      <c r="D191" t="n">
        <v>46.7199</v>
      </c>
      <c r="E191" t="n">
        <v>203.2801</v>
      </c>
      <c r="F191" t="n">
        <v>0</v>
      </c>
      <c r="G191" t="n">
        <v>0</v>
      </c>
      <c r="J191">
        <f>'Kaverne &amp; Gassäule'!$C$56</f>
        <v/>
      </c>
      <c r="K191">
        <f>'Kaverne &amp; Gassäule'!$F$56</f>
        <v/>
      </c>
      <c r="L191">
        <f>(J191-Diagramm_Tmin)/Diagramm_dT+1</f>
        <v/>
      </c>
    </row>
    <row r="192">
      <c r="B192" t="n">
        <v>12</v>
      </c>
      <c r="C192">
        <f>IF(MOD(B192,20)=0,TEXT(B192,"0"),"")</f>
        <v/>
      </c>
      <c r="D192" t="n">
        <v>47.2966</v>
      </c>
      <c r="E192" t="n">
        <v>202.7034</v>
      </c>
      <c r="F192" t="n">
        <v>0</v>
      </c>
      <c r="G192" t="n">
        <v>0</v>
      </c>
      <c r="J192">
        <f>'Kaverne &amp; Gassäule'!$C$57</f>
        <v/>
      </c>
      <c r="K192">
        <f>'Kaverne &amp; Gassäule'!$F$57</f>
        <v/>
      </c>
      <c r="L192">
        <f>(J192-Diagramm_Tmin)/Diagramm_dT+1</f>
        <v/>
      </c>
    </row>
    <row r="193">
      <c r="B193" t="n">
        <v>12.5</v>
      </c>
      <c r="C193">
        <f>IF(MOD(B193,20)=0,TEXT(B193,"0"),"")</f>
        <v/>
      </c>
      <c r="D193" t="n">
        <v>47.8787</v>
      </c>
      <c r="E193" t="n">
        <v>202.1213</v>
      </c>
      <c r="F193" t="n">
        <v>0</v>
      </c>
      <c r="G193" t="n">
        <v>0</v>
      </c>
      <c r="J193">
        <f>'Kaverne &amp; Gassäule'!$C$58</f>
        <v/>
      </c>
      <c r="K193">
        <f>'Kaverne &amp; Gassäule'!$F$58</f>
        <v/>
      </c>
      <c r="L193">
        <f>(J193-Diagramm_Tmin)/Diagramm_dT+1</f>
        <v/>
      </c>
    </row>
    <row r="194">
      <c r="B194" t="n">
        <v>13</v>
      </c>
      <c r="C194">
        <f>IF(MOD(B194,20)=0,TEXT(B194,"0"),"")</f>
        <v/>
      </c>
      <c r="D194" t="n">
        <v>48.4662</v>
      </c>
      <c r="E194" t="n">
        <v>201.5338</v>
      </c>
      <c r="F194" t="n">
        <v>0</v>
      </c>
      <c r="G194" t="n">
        <v>0</v>
      </c>
      <c r="J194">
        <f>'Kaverne &amp; Gassäule'!$C$59</f>
        <v/>
      </c>
      <c r="K194">
        <f>'Kaverne &amp; Gassäule'!$F$59</f>
        <v/>
      </c>
      <c r="L194">
        <f>(J194-Diagramm_Tmin)/Diagramm_dT+1</f>
        <v/>
      </c>
    </row>
    <row r="195">
      <c r="B195" t="n">
        <v>13.5</v>
      </c>
      <c r="C195">
        <f>IF(MOD(B195,20)=0,TEXT(B195,"0"),"")</f>
        <v/>
      </c>
      <c r="D195" t="n">
        <v>49.0591</v>
      </c>
      <c r="E195" t="n">
        <v>200.9409</v>
      </c>
      <c r="F195" t="n">
        <v>0</v>
      </c>
      <c r="G195" t="n">
        <v>0</v>
      </c>
      <c r="J195">
        <f>'Kaverne &amp; Gassäule'!$C$60</f>
        <v/>
      </c>
      <c r="K195">
        <f>'Kaverne &amp; Gassäule'!$F$60</f>
        <v/>
      </c>
      <c r="L195">
        <f>(J195-Diagramm_Tmin)/Diagramm_dT+1</f>
        <v/>
      </c>
    </row>
    <row r="196">
      <c r="B196" t="n">
        <v>14</v>
      </c>
      <c r="C196">
        <f>IF(MOD(B196,20)=0,TEXT(B196,"0"),"")</f>
        <v/>
      </c>
      <c r="D196" t="n">
        <v>49.6577</v>
      </c>
      <c r="E196" t="n">
        <v>200.3423</v>
      </c>
      <c r="F196" t="n">
        <v>0</v>
      </c>
      <c r="G196" t="n">
        <v>0</v>
      </c>
      <c r="J196">
        <f>'Kaverne &amp; Gassäule'!$C$61</f>
        <v/>
      </c>
      <c r="K196">
        <f>'Kaverne &amp; Gassäule'!$F$61</f>
        <v/>
      </c>
      <c r="L196">
        <f>(J196-Diagramm_Tmin)/Diagramm_dT+1</f>
        <v/>
      </c>
    </row>
    <row r="197">
      <c r="B197" t="n">
        <v>14.5</v>
      </c>
      <c r="C197">
        <f>IF(MOD(B197,20)=0,TEXT(B197,"0"),"")</f>
        <v/>
      </c>
      <c r="D197" t="n">
        <v>50.2617</v>
      </c>
      <c r="E197" t="n">
        <v>199.7383</v>
      </c>
      <c r="F197" t="n">
        <v>0</v>
      </c>
      <c r="G197" t="n">
        <v>0</v>
      </c>
      <c r="J197">
        <f>'Kaverne &amp; Gassäule'!$C$62</f>
        <v/>
      </c>
      <c r="K197">
        <f>'Kaverne &amp; Gassäule'!$F$62</f>
        <v/>
      </c>
      <c r="L197">
        <f>(J197-Diagramm_Tmin)/Diagramm_dT+1</f>
        <v/>
      </c>
    </row>
    <row r="198">
      <c r="B198" t="n">
        <v>15</v>
      </c>
      <c r="C198">
        <f>IF(MOD(B198,20)=0,TEXT(B198,"0"),"")</f>
        <v/>
      </c>
      <c r="D198" t="n">
        <v>50.8715</v>
      </c>
      <c r="E198" t="n">
        <v>199.1285</v>
      </c>
      <c r="F198" t="n">
        <v>0</v>
      </c>
      <c r="G198" t="n">
        <v>0</v>
      </c>
      <c r="J198">
        <f>'Kaverne &amp; Gassäule'!$C$63</f>
        <v/>
      </c>
      <c r="K198">
        <f>'Kaverne &amp; Gassäule'!$F$63</f>
        <v/>
      </c>
      <c r="L198">
        <f>(J198-Diagramm_Tmin)/Diagramm_dT+1</f>
        <v/>
      </c>
    </row>
    <row r="199">
      <c r="B199" t="n">
        <v>15.5</v>
      </c>
      <c r="C199">
        <f>IF(MOD(B199,20)=0,TEXT(B199,"0"),"")</f>
        <v/>
      </c>
      <c r="D199" t="n">
        <v>51.4869</v>
      </c>
      <c r="E199" t="n">
        <v>198.5131</v>
      </c>
      <c r="F199" t="n">
        <v>0</v>
      </c>
      <c r="G199" t="n">
        <v>0</v>
      </c>
      <c r="J199">
        <f>'Kaverne &amp; Gassäule'!$C$64</f>
        <v/>
      </c>
      <c r="K199">
        <f>'Kaverne &amp; Gassäule'!$F$64</f>
        <v/>
      </c>
      <c r="L199">
        <f>(J199-Diagramm_Tmin)/Diagramm_dT+1</f>
        <v/>
      </c>
    </row>
    <row r="200">
      <c r="B200" t="n">
        <v>16</v>
      </c>
      <c r="C200">
        <f>IF(MOD(B200,20)=0,TEXT(B200,"0"),"")</f>
        <v/>
      </c>
      <c r="D200" t="n">
        <v>52.108</v>
      </c>
      <c r="E200" t="n">
        <v>197.892</v>
      </c>
      <c r="F200" t="n">
        <v>0</v>
      </c>
      <c r="G200" t="n">
        <v>0</v>
      </c>
      <c r="J200">
        <f>'Kaverne &amp; Gassäule'!$C$65</f>
        <v/>
      </c>
      <c r="K200">
        <f>'Kaverne &amp; Gassäule'!$F$65</f>
        <v/>
      </c>
      <c r="L200">
        <f>(J200-Diagramm_Tmin)/Diagramm_dT+1</f>
        <v/>
      </c>
    </row>
    <row r="201">
      <c r="B201" t="n">
        <v>16.5</v>
      </c>
      <c r="C201">
        <f>IF(MOD(B201,20)=0,TEXT(B201,"0"),"")</f>
        <v/>
      </c>
      <c r="D201" t="n">
        <v>52.735</v>
      </c>
      <c r="E201" t="n">
        <v>197.265</v>
      </c>
      <c r="F201" t="n">
        <v>0</v>
      </c>
      <c r="G201" t="n">
        <v>0</v>
      </c>
      <c r="J201">
        <f>'Kaverne &amp; Gassäule'!$C$66</f>
        <v/>
      </c>
      <c r="K201">
        <f>'Kaverne &amp; Gassäule'!$F$66</f>
        <v/>
      </c>
      <c r="L201">
        <f>(J201-Diagramm_Tmin)/Diagramm_dT+1</f>
        <v/>
      </c>
    </row>
    <row r="202">
      <c r="B202" t="n">
        <v>17</v>
      </c>
      <c r="C202">
        <f>IF(MOD(B202,20)=0,TEXT(B202,"0"),"")</f>
        <v/>
      </c>
      <c r="D202" t="n">
        <v>53.3677</v>
      </c>
      <c r="E202" t="n">
        <v>196.6323</v>
      </c>
      <c r="F202" t="n">
        <v>0</v>
      </c>
      <c r="G202" t="n">
        <v>0</v>
      </c>
      <c r="J202">
        <f>'Kaverne &amp; Gassäule'!$C$67</f>
        <v/>
      </c>
      <c r="K202">
        <f>'Kaverne &amp; Gassäule'!$F$67</f>
        <v/>
      </c>
      <c r="L202">
        <f>(J202-Diagramm_Tmin)/Diagramm_dT+1</f>
        <v/>
      </c>
    </row>
    <row r="203">
      <c r="B203" t="n">
        <v>17.5</v>
      </c>
      <c r="C203">
        <f>IF(MOD(B203,20)=0,TEXT(B203,"0"),"")</f>
        <v/>
      </c>
      <c r="D203" t="n">
        <v>54.0064</v>
      </c>
      <c r="E203" t="n">
        <v>195.9936</v>
      </c>
      <c r="F203" t="n">
        <v>0</v>
      </c>
      <c r="G203" t="n">
        <v>0</v>
      </c>
      <c r="J203">
        <f>'Kaverne &amp; Gassäule'!$C$68</f>
        <v/>
      </c>
      <c r="K203">
        <f>'Kaverne &amp; Gassäule'!$F$68</f>
        <v/>
      </c>
      <c r="L203">
        <f>(J203-Diagramm_Tmin)/Diagramm_dT+1</f>
        <v/>
      </c>
    </row>
    <row r="204">
      <c r="B204" t="n">
        <v>18</v>
      </c>
      <c r="C204">
        <f>IF(MOD(B204,20)=0,TEXT(B204,"0"),"")</f>
        <v/>
      </c>
      <c r="D204" t="n">
        <v>54.6511</v>
      </c>
      <c r="E204" t="n">
        <v>195.3489</v>
      </c>
      <c r="F204" t="n">
        <v>0</v>
      </c>
      <c r="G204" t="n">
        <v>0</v>
      </c>
      <c r="J204">
        <f>'Kaverne &amp; Gassäule'!$C$69</f>
        <v/>
      </c>
      <c r="K204">
        <f>'Kaverne &amp; Gassäule'!$F$69</f>
        <v/>
      </c>
      <c r="L204">
        <f>(J204-Diagramm_Tmin)/Diagramm_dT+1</f>
        <v/>
      </c>
    </row>
    <row r="205">
      <c r="B205" t="n">
        <v>18.5</v>
      </c>
      <c r="C205">
        <f>IF(MOD(B205,20)=0,TEXT(B205,"0"),"")</f>
        <v/>
      </c>
      <c r="D205" t="n">
        <v>55.3017</v>
      </c>
      <c r="E205" t="n">
        <v>194.6983</v>
      </c>
      <c r="F205" t="n">
        <v>0</v>
      </c>
      <c r="G205" t="n">
        <v>0</v>
      </c>
      <c r="J205">
        <f>'Kaverne &amp; Gassäule'!$C$70</f>
        <v/>
      </c>
      <c r="K205">
        <f>'Kaverne &amp; Gassäule'!$F$70</f>
        <v/>
      </c>
      <c r="L205">
        <f>(J205-Diagramm_Tmin)/Diagramm_dT+1</f>
        <v/>
      </c>
    </row>
    <row r="206">
      <c r="B206" t="n">
        <v>19</v>
      </c>
      <c r="C206">
        <f>IF(MOD(B206,20)=0,TEXT(B206,"0"),"")</f>
        <v/>
      </c>
      <c r="D206" t="n">
        <v>55.9585</v>
      </c>
      <c r="E206" t="n">
        <v>194.0415</v>
      </c>
      <c r="F206" t="n">
        <v>0</v>
      </c>
      <c r="G206" t="n">
        <v>0</v>
      </c>
      <c r="J206">
        <f>'Kaverne &amp; Gassäule'!$C$71</f>
        <v/>
      </c>
      <c r="K206">
        <f>'Kaverne &amp; Gassäule'!$F$71</f>
        <v/>
      </c>
      <c r="L206">
        <f>(J206-Diagramm_Tmin)/Diagramm_dT+1</f>
        <v/>
      </c>
    </row>
    <row r="207">
      <c r="B207" t="n">
        <v>19.5</v>
      </c>
      <c r="C207">
        <f>IF(MOD(B207,20)=0,TEXT(B207,"0"),"")</f>
        <v/>
      </c>
      <c r="D207" t="n">
        <v>56.6214</v>
      </c>
      <c r="E207" t="n">
        <v>193.3786</v>
      </c>
      <c r="F207" t="n">
        <v>0</v>
      </c>
      <c r="G207" t="n">
        <v>0</v>
      </c>
      <c r="J207">
        <f>'Kaverne &amp; Gassäule'!$C$72</f>
        <v/>
      </c>
      <c r="K207">
        <f>'Kaverne &amp; Gassäule'!$F$72</f>
        <v/>
      </c>
      <c r="L207">
        <f>(J207-Diagramm_Tmin)/Diagramm_dT+1</f>
        <v/>
      </c>
    </row>
    <row r="208">
      <c r="B208" t="n">
        <v>20</v>
      </c>
      <c r="C208">
        <f>IF(MOD(B208,20)=0,TEXT(B208,"0"),"")</f>
        <v/>
      </c>
      <c r="D208" t="n">
        <v>57.2905</v>
      </c>
      <c r="E208" t="n">
        <v>192.7095</v>
      </c>
      <c r="F208" t="n">
        <v>0</v>
      </c>
      <c r="G208" t="n">
        <v>0</v>
      </c>
      <c r="J208">
        <f>'Kaverne &amp; Gassäule'!$C$73</f>
        <v/>
      </c>
      <c r="K208">
        <f>'Kaverne &amp; Gassäule'!$F$73</f>
        <v/>
      </c>
      <c r="L208">
        <f>(J208-Diagramm_Tmin)/Diagramm_dT+1</f>
        <v/>
      </c>
    </row>
    <row r="209">
      <c r="B209" t="n">
        <v>20.5</v>
      </c>
      <c r="C209">
        <f>IF(MOD(B209,20)=0,TEXT(B209,"0"),"")</f>
        <v/>
      </c>
      <c r="D209" t="n">
        <v>57.966</v>
      </c>
      <c r="E209" t="n">
        <v>192.034</v>
      </c>
      <c r="F209" t="n">
        <v>0</v>
      </c>
      <c r="G209" t="n">
        <v>0</v>
      </c>
    </row>
    <row r="210">
      <c r="B210" t="n">
        <v>21</v>
      </c>
      <c r="C210">
        <f>IF(MOD(B210,20)=0,TEXT(B210,"0"),"")</f>
        <v/>
      </c>
      <c r="D210" t="n">
        <v>58.6478</v>
      </c>
      <c r="E210" t="n">
        <v>191.3522</v>
      </c>
      <c r="F210" t="n">
        <v>0</v>
      </c>
      <c r="G210" t="n">
        <v>0</v>
      </c>
      <c r="I210" s="38" t="inlineStr">
        <is>
          <t>Gassäule Kaverne leer (70 bar unten)</t>
        </is>
      </c>
      <c r="J210">
        <f>'Kaverne &amp; Gassäule'!$C$49</f>
        <v/>
      </c>
      <c r="K210">
        <f>'Kaverne &amp; Gassäule'!$H$49</f>
        <v/>
      </c>
      <c r="L210">
        <f>(J210-Diagramm_Tmin)/Diagramm_dT+1</f>
        <v/>
      </c>
    </row>
    <row r="211">
      <c r="B211" t="n">
        <v>21.5</v>
      </c>
      <c r="C211">
        <f>IF(MOD(B211,20)=0,TEXT(B211,"0"),"")</f>
        <v/>
      </c>
      <c r="D211" t="n">
        <v>59.336</v>
      </c>
      <c r="E211" t="n">
        <v>190.664</v>
      </c>
      <c r="F211" t="n">
        <v>0</v>
      </c>
      <c r="G211" t="n">
        <v>0</v>
      </c>
      <c r="J211">
        <f>'Kaverne &amp; Gassäule'!$C$50</f>
        <v/>
      </c>
      <c r="K211">
        <f>'Kaverne &amp; Gassäule'!$H$50</f>
        <v/>
      </c>
      <c r="L211">
        <f>(J211-Diagramm_Tmin)/Diagramm_dT+1</f>
        <v/>
      </c>
    </row>
    <row r="212">
      <c r="B212" t="n">
        <v>22</v>
      </c>
      <c r="C212">
        <f>IF(MOD(B212,20)=0,TEXT(B212,"0"),"")</f>
        <v/>
      </c>
      <c r="D212" t="n">
        <v>60.0308</v>
      </c>
      <c r="E212" t="n">
        <v>189.9692</v>
      </c>
      <c r="F212" t="n">
        <v>0</v>
      </c>
      <c r="G212" t="n">
        <v>0</v>
      </c>
      <c r="J212">
        <f>'Kaverne &amp; Gassäule'!$C$51</f>
        <v/>
      </c>
      <c r="K212">
        <f>'Kaverne &amp; Gassäule'!$H$51</f>
        <v/>
      </c>
      <c r="L212">
        <f>(J212-Diagramm_Tmin)/Diagramm_dT+1</f>
        <v/>
      </c>
    </row>
    <row r="213">
      <c r="B213" t="n">
        <v>22.5</v>
      </c>
      <c r="C213">
        <f>IF(MOD(B213,20)=0,TEXT(B213,"0"),"")</f>
        <v/>
      </c>
      <c r="D213" t="n">
        <v>60.7323</v>
      </c>
      <c r="E213" t="n">
        <v>189.2677</v>
      </c>
      <c r="F213" t="n">
        <v>0</v>
      </c>
      <c r="G213" t="n">
        <v>0</v>
      </c>
      <c r="J213">
        <f>'Kaverne &amp; Gassäule'!$C$52</f>
        <v/>
      </c>
      <c r="K213">
        <f>'Kaverne &amp; Gassäule'!$H$52</f>
        <v/>
      </c>
      <c r="L213">
        <f>(J213-Diagramm_Tmin)/Diagramm_dT+1</f>
        <v/>
      </c>
    </row>
    <row r="214">
      <c r="B214" t="n">
        <v>23</v>
      </c>
      <c r="C214">
        <f>IF(MOD(B214,20)=0,TEXT(B214,"0"),"")</f>
        <v/>
      </c>
      <c r="D214" t="n">
        <v>61.4404</v>
      </c>
      <c r="E214" t="n">
        <v>188.5596</v>
      </c>
      <c r="F214" t="n">
        <v>0</v>
      </c>
      <c r="G214" t="n">
        <v>0</v>
      </c>
      <c r="J214">
        <f>'Kaverne &amp; Gassäule'!$C$53</f>
        <v/>
      </c>
      <c r="K214">
        <f>'Kaverne &amp; Gassäule'!$H$53</f>
        <v/>
      </c>
      <c r="L214">
        <f>(J214-Diagramm_Tmin)/Diagramm_dT+1</f>
        <v/>
      </c>
    </row>
    <row r="215">
      <c r="B215" t="n">
        <v>23.5</v>
      </c>
      <c r="C215">
        <f>IF(MOD(B215,20)=0,TEXT(B215,"0"),"")</f>
        <v/>
      </c>
      <c r="D215" t="n">
        <v>62.1554</v>
      </c>
      <c r="E215" t="n">
        <v>187.8446</v>
      </c>
      <c r="F215" t="n">
        <v>0</v>
      </c>
      <c r="G215" t="n">
        <v>0</v>
      </c>
      <c r="J215">
        <f>'Kaverne &amp; Gassäule'!$C$54</f>
        <v/>
      </c>
      <c r="K215">
        <f>'Kaverne &amp; Gassäule'!$H$54</f>
        <v/>
      </c>
      <c r="L215">
        <f>(J215-Diagramm_Tmin)/Diagramm_dT+1</f>
        <v/>
      </c>
    </row>
    <row r="216">
      <c r="B216" t="n">
        <v>24</v>
      </c>
      <c r="C216">
        <f>IF(MOD(B216,20)=0,TEXT(B216,"0"),"")</f>
        <v/>
      </c>
      <c r="D216" t="n">
        <v>62.8773</v>
      </c>
      <c r="E216" t="n">
        <v>187.1227</v>
      </c>
      <c r="F216" t="n">
        <v>0</v>
      </c>
      <c r="G216" t="n">
        <v>0</v>
      </c>
      <c r="J216">
        <f>'Kaverne &amp; Gassäule'!$C$55</f>
        <v/>
      </c>
      <c r="K216">
        <f>'Kaverne &amp; Gassäule'!$H$55</f>
        <v/>
      </c>
      <c r="L216">
        <f>(J216-Diagramm_Tmin)/Diagramm_dT+1</f>
        <v/>
      </c>
    </row>
    <row r="217">
      <c r="B217" t="n">
        <v>24.5</v>
      </c>
      <c r="C217">
        <f>IF(MOD(B217,20)=0,TEXT(B217,"0"),"")</f>
        <v/>
      </c>
      <c r="D217" t="n">
        <v>63.6063</v>
      </c>
      <c r="E217" t="n">
        <v>186.3937</v>
      </c>
      <c r="F217" t="n">
        <v>0</v>
      </c>
      <c r="G217" t="n">
        <v>0</v>
      </c>
      <c r="J217">
        <f>'Kaverne &amp; Gassäule'!$C$56</f>
        <v/>
      </c>
      <c r="K217">
        <f>'Kaverne &amp; Gassäule'!$H$56</f>
        <v/>
      </c>
      <c r="L217">
        <f>(J217-Diagramm_Tmin)/Diagramm_dT+1</f>
        <v/>
      </c>
    </row>
    <row r="218">
      <c r="B218" t="n">
        <v>25</v>
      </c>
      <c r="C218">
        <f>IF(MOD(B218,20)=0,TEXT(B218,"0"),"")</f>
        <v/>
      </c>
      <c r="D218" t="n">
        <v>64.3424</v>
      </c>
      <c r="E218" t="n">
        <v>185.6576</v>
      </c>
      <c r="F218" t="n">
        <v>0</v>
      </c>
      <c r="G218" t="n">
        <v>0</v>
      </c>
      <c r="J218">
        <f>'Kaverne &amp; Gassäule'!$C$57</f>
        <v/>
      </c>
      <c r="K218">
        <f>'Kaverne &amp; Gassäule'!$H$57</f>
        <v/>
      </c>
      <c r="L218">
        <f>(J218-Diagramm_Tmin)/Diagramm_dT+1</f>
        <v/>
      </c>
    </row>
    <row r="219">
      <c r="B219" t="n">
        <v>25.5</v>
      </c>
      <c r="C219">
        <f>IF(MOD(B219,20)=0,TEXT(B219,"0"),"")</f>
        <v/>
      </c>
      <c r="D219" t="n">
        <v>65.0859</v>
      </c>
      <c r="E219" t="n">
        <v>184.9141</v>
      </c>
      <c r="F219" t="n">
        <v>0</v>
      </c>
      <c r="G219" t="n">
        <v>0</v>
      </c>
      <c r="J219">
        <f>'Kaverne &amp; Gassäule'!$C$58</f>
        <v/>
      </c>
      <c r="K219">
        <f>'Kaverne &amp; Gassäule'!$H$58</f>
        <v/>
      </c>
      <c r="L219">
        <f>(J219-Diagramm_Tmin)/Diagramm_dT+1</f>
        <v/>
      </c>
    </row>
    <row r="220">
      <c r="B220" t="n">
        <v>26</v>
      </c>
      <c r="C220">
        <f>IF(MOD(B220,20)=0,TEXT(B220,"0"),"")</f>
        <v/>
      </c>
      <c r="D220" t="n">
        <v>65.8368</v>
      </c>
      <c r="E220" t="n">
        <v>184.1632</v>
      </c>
      <c r="F220" t="n">
        <v>0</v>
      </c>
      <c r="G220" t="n">
        <v>0</v>
      </c>
      <c r="J220">
        <f>'Kaverne &amp; Gassäule'!$C$59</f>
        <v/>
      </c>
      <c r="K220">
        <f>'Kaverne &amp; Gassäule'!$H$59</f>
        <v/>
      </c>
      <c r="L220">
        <f>(J220-Diagramm_Tmin)/Diagramm_dT+1</f>
        <v/>
      </c>
    </row>
    <row r="221">
      <c r="B221" t="n">
        <v>26.5</v>
      </c>
      <c r="C221">
        <f>IF(MOD(B221,20)=0,TEXT(B221,"0"),"")</f>
        <v/>
      </c>
      <c r="D221" t="n">
        <v>66.59520000000001</v>
      </c>
      <c r="E221" t="n">
        <v>183.4048</v>
      </c>
      <c r="F221" t="n">
        <v>0</v>
      </c>
      <c r="G221" t="n">
        <v>0</v>
      </c>
      <c r="J221">
        <f>'Kaverne &amp; Gassäule'!$C$60</f>
        <v/>
      </c>
      <c r="K221">
        <f>'Kaverne &amp; Gassäule'!$H$60</f>
        <v/>
      </c>
      <c r="L221">
        <f>(J221-Diagramm_Tmin)/Diagramm_dT+1</f>
        <v/>
      </c>
    </row>
    <row r="222">
      <c r="B222" t="n">
        <v>27</v>
      </c>
      <c r="C222">
        <f>IF(MOD(B222,20)=0,TEXT(B222,"0"),"")</f>
        <v/>
      </c>
      <c r="D222" t="n">
        <v>67.36150000000001</v>
      </c>
      <c r="E222" t="n">
        <v>182.6385</v>
      </c>
      <c r="F222" t="n">
        <v>0</v>
      </c>
      <c r="G222" t="n">
        <v>0</v>
      </c>
      <c r="J222">
        <f>'Kaverne &amp; Gassäule'!$C$61</f>
        <v/>
      </c>
      <c r="K222">
        <f>'Kaverne &amp; Gassäule'!$H$61</f>
        <v/>
      </c>
      <c r="L222">
        <f>(J222-Diagramm_Tmin)/Diagramm_dT+1</f>
        <v/>
      </c>
    </row>
    <row r="223">
      <c r="B223" t="n">
        <v>27.5</v>
      </c>
      <c r="C223">
        <f>IF(MOD(B223,20)=0,TEXT(B223,"0"),"")</f>
        <v/>
      </c>
      <c r="D223" t="n">
        <v>68.1357</v>
      </c>
      <c r="E223" t="n">
        <v>181.8643</v>
      </c>
      <c r="F223" t="n">
        <v>0</v>
      </c>
      <c r="G223" t="n">
        <v>0</v>
      </c>
      <c r="J223">
        <f>'Kaverne &amp; Gassäule'!$C$62</f>
        <v/>
      </c>
      <c r="K223">
        <f>'Kaverne &amp; Gassäule'!$H$62</f>
        <v/>
      </c>
      <c r="L223">
        <f>(J223-Diagramm_Tmin)/Diagramm_dT+1</f>
        <v/>
      </c>
    </row>
    <row r="224">
      <c r="B224" t="n">
        <v>28</v>
      </c>
      <c r="C224">
        <f>IF(MOD(B224,20)=0,TEXT(B224,"0"),"")</f>
        <v/>
      </c>
      <c r="D224" t="n">
        <v>68.9182</v>
      </c>
      <c r="E224" t="n">
        <v>181.0818</v>
      </c>
      <c r="F224" t="n">
        <v>0</v>
      </c>
      <c r="G224" t="n">
        <v>0</v>
      </c>
      <c r="J224">
        <f>'Kaverne &amp; Gassäule'!$C$63</f>
        <v/>
      </c>
      <c r="K224">
        <f>'Kaverne &amp; Gassäule'!$H$63</f>
        <v/>
      </c>
      <c r="L224">
        <f>(J224-Diagramm_Tmin)/Diagramm_dT+1</f>
        <v/>
      </c>
    </row>
    <row r="225">
      <c r="B225" t="n">
        <v>28.5</v>
      </c>
      <c r="C225">
        <f>IF(MOD(B225,20)=0,TEXT(B225,"0"),"")</f>
        <v/>
      </c>
      <c r="D225" t="n">
        <v>69.70910000000001</v>
      </c>
      <c r="E225" t="n">
        <v>180.2909</v>
      </c>
      <c r="F225" t="n">
        <v>0</v>
      </c>
      <c r="G225" t="n">
        <v>0</v>
      </c>
      <c r="J225">
        <f>'Kaverne &amp; Gassäule'!$C$64</f>
        <v/>
      </c>
      <c r="K225">
        <f>'Kaverne &amp; Gassäule'!$H$64</f>
        <v/>
      </c>
      <c r="L225">
        <f>(J225-Diagramm_Tmin)/Diagramm_dT+1</f>
        <v/>
      </c>
    </row>
    <row r="226">
      <c r="B226" t="n">
        <v>29</v>
      </c>
      <c r="C226">
        <f>IF(MOD(B226,20)=0,TEXT(B226,"0"),"")</f>
        <v/>
      </c>
      <c r="D226" t="n">
        <v>70.5089</v>
      </c>
      <c r="E226" t="n">
        <v>179.4911</v>
      </c>
      <c r="F226" t="n">
        <v>0</v>
      </c>
      <c r="G226" t="n">
        <v>0</v>
      </c>
      <c r="J226">
        <f>'Kaverne &amp; Gassäule'!$C$65</f>
        <v/>
      </c>
      <c r="K226">
        <f>'Kaverne &amp; Gassäule'!$H$65</f>
        <v/>
      </c>
      <c r="L226">
        <f>(J226-Diagramm_Tmin)/Diagramm_dT+1</f>
        <v/>
      </c>
    </row>
    <row r="227">
      <c r="B227" t="n">
        <v>29.5</v>
      </c>
      <c r="C227">
        <f>IF(MOD(B227,20)=0,TEXT(B227,"0"),"")</f>
        <v/>
      </c>
      <c r="D227" t="n">
        <v>71.31789999999999</v>
      </c>
      <c r="E227" t="n">
        <v>178.6821</v>
      </c>
      <c r="F227" t="n">
        <v>0</v>
      </c>
      <c r="G227" t="n">
        <v>0</v>
      </c>
      <c r="J227">
        <f>'Kaverne &amp; Gassäule'!$C$66</f>
        <v/>
      </c>
      <c r="K227">
        <f>'Kaverne &amp; Gassäule'!$H$66</f>
        <v/>
      </c>
      <c r="L227">
        <f>(J227-Diagramm_Tmin)/Diagramm_dT+1</f>
        <v/>
      </c>
    </row>
    <row r="228">
      <c r="B228" t="n">
        <v>30</v>
      </c>
      <c r="C228">
        <f>IF(MOD(B228,20)=0,TEXT(B228,"0"),"")</f>
        <v/>
      </c>
      <c r="D228" t="n">
        <v>72.1369</v>
      </c>
      <c r="E228" t="n">
        <v>177.8631</v>
      </c>
      <c r="F228" t="n">
        <v>0</v>
      </c>
      <c r="G228" t="n">
        <v>0</v>
      </c>
      <c r="J228">
        <f>'Kaverne &amp; Gassäule'!$C$67</f>
        <v/>
      </c>
      <c r="K228">
        <f>'Kaverne &amp; Gassäule'!$H$67</f>
        <v/>
      </c>
      <c r="L228">
        <f>(J228-Diagramm_Tmin)/Diagramm_dT+1</f>
        <v/>
      </c>
    </row>
    <row r="229">
      <c r="B229" t="n">
        <v>30.5</v>
      </c>
      <c r="C229">
        <f>IF(MOD(B229,20)=0,TEXT(B229,"0"),"")</f>
        <v/>
      </c>
      <c r="D229" t="n">
        <v>72.9667</v>
      </c>
      <c r="E229" t="n">
        <v>177.0333</v>
      </c>
      <c r="F229" t="n">
        <v>0</v>
      </c>
      <c r="G229" t="n">
        <v>0</v>
      </c>
      <c r="J229">
        <f>'Kaverne &amp; Gassäule'!$C$68</f>
        <v/>
      </c>
      <c r="K229">
        <f>'Kaverne &amp; Gassäule'!$H$68</f>
        <v/>
      </c>
      <c r="L229">
        <f>(J229-Diagramm_Tmin)/Diagramm_dT+1</f>
        <v/>
      </c>
    </row>
    <row r="230">
      <c r="B230" t="n">
        <v>31</v>
      </c>
      <c r="C230">
        <f>IF(MOD(B230,20)=0,TEXT(B230,"0"),"")</f>
        <v/>
      </c>
      <c r="D230" t="n">
        <v>73.773</v>
      </c>
      <c r="E230" t="n">
        <v>0</v>
      </c>
      <c r="F230" t="n">
        <v>176.227</v>
      </c>
      <c r="G230" t="n">
        <v>0</v>
      </c>
      <c r="J230">
        <f>'Kaverne &amp; Gassäule'!$C$69</f>
        <v/>
      </c>
      <c r="K230">
        <f>'Kaverne &amp; Gassäule'!$H$69</f>
        <v/>
      </c>
      <c r="L230">
        <f>(J230-Diagramm_Tmin)/Diagramm_dT+1</f>
        <v/>
      </c>
    </row>
    <row r="231">
      <c r="B231" t="n">
        <v>31.5</v>
      </c>
      <c r="C231">
        <f>IF(MOD(B231,20)=0,TEXT(B231,"0"),"")</f>
        <v/>
      </c>
      <c r="D231" t="n">
        <v>73.773</v>
      </c>
      <c r="E231" t="n">
        <v>0</v>
      </c>
      <c r="F231" t="n">
        <v>176.227</v>
      </c>
      <c r="G231" t="n">
        <v>0</v>
      </c>
      <c r="J231">
        <f>'Kaverne &amp; Gassäule'!$C$70</f>
        <v/>
      </c>
      <c r="K231">
        <f>'Kaverne &amp; Gassäule'!$H$70</f>
        <v/>
      </c>
      <c r="L231">
        <f>(J231-Diagramm_Tmin)/Diagramm_dT+1</f>
        <v/>
      </c>
    </row>
    <row r="232">
      <c r="B232" t="n">
        <v>32</v>
      </c>
      <c r="C232">
        <f>IF(MOD(B232,20)=0,TEXT(B232,"0"),"")</f>
        <v/>
      </c>
      <c r="D232" t="n">
        <v>73.773</v>
      </c>
      <c r="E232" t="n">
        <v>0</v>
      </c>
      <c r="F232" t="n">
        <v>176.227</v>
      </c>
      <c r="G232" t="n">
        <v>0</v>
      </c>
      <c r="J232">
        <f>'Kaverne &amp; Gassäule'!$C$71</f>
        <v/>
      </c>
      <c r="K232">
        <f>'Kaverne &amp; Gassäule'!$H$71</f>
        <v/>
      </c>
      <c r="L232">
        <f>(J232-Diagramm_Tmin)/Diagramm_dT+1</f>
        <v/>
      </c>
    </row>
    <row r="233">
      <c r="B233" t="n">
        <v>32.5</v>
      </c>
      <c r="C233">
        <f>IF(MOD(B233,20)=0,TEXT(B233,"0"),"")</f>
        <v/>
      </c>
      <c r="D233" t="n">
        <v>73.773</v>
      </c>
      <c r="E233" t="n">
        <v>0</v>
      </c>
      <c r="F233" t="n">
        <v>176.227</v>
      </c>
      <c r="G233" t="n">
        <v>0</v>
      </c>
      <c r="J233">
        <f>'Kaverne &amp; Gassäule'!$C$72</f>
        <v/>
      </c>
      <c r="K233">
        <f>'Kaverne &amp; Gassäule'!$H$72</f>
        <v/>
      </c>
      <c r="L233">
        <f>(J233-Diagramm_Tmin)/Diagramm_dT+1</f>
        <v/>
      </c>
    </row>
    <row r="234">
      <c r="B234" t="n">
        <v>33</v>
      </c>
      <c r="C234">
        <f>IF(MOD(B234,20)=0,TEXT(B234,"0"),"")</f>
        <v/>
      </c>
      <c r="D234" t="n">
        <v>73.773</v>
      </c>
      <c r="E234" t="n">
        <v>0</v>
      </c>
      <c r="F234" t="n">
        <v>176.227</v>
      </c>
      <c r="G234" t="n">
        <v>0</v>
      </c>
      <c r="J234">
        <f>'Kaverne &amp; Gassäule'!$C$73</f>
        <v/>
      </c>
      <c r="K234">
        <f>'Kaverne &amp; Gassäule'!$H$73</f>
        <v/>
      </c>
      <c r="L234">
        <f>(J234-Diagramm_Tmin)/Diagramm_dT+1</f>
        <v/>
      </c>
    </row>
    <row r="235">
      <c r="B235" t="n">
        <v>33.5</v>
      </c>
      <c r="C235">
        <f>IF(MOD(B235,20)=0,TEXT(B235,"0"),"")</f>
        <v/>
      </c>
      <c r="D235" t="n">
        <v>73.773</v>
      </c>
      <c r="E235" t="n">
        <v>0</v>
      </c>
      <c r="F235" t="n">
        <v>176.227</v>
      </c>
      <c r="G235" t="n">
        <v>0</v>
      </c>
    </row>
    <row r="236">
      <c r="B236" t="n">
        <v>34</v>
      </c>
      <c r="C236">
        <f>IF(MOD(B236,20)=0,TEXT(B236,"0"),"")</f>
        <v/>
      </c>
      <c r="D236" t="n">
        <v>73.773</v>
      </c>
      <c r="E236" t="n">
        <v>0</v>
      </c>
      <c r="F236" t="n">
        <v>176.227</v>
      </c>
      <c r="G236" t="n">
        <v>0</v>
      </c>
      <c r="I236" s="38" t="inlineStr">
        <is>
          <t>Kaverne V1 (LCCS, 1200 m): 70–210 bar</t>
        </is>
      </c>
      <c r="J236">
        <f>T_Kav_V1</f>
        <v/>
      </c>
      <c r="K236">
        <f>pmin_V1</f>
        <v/>
      </c>
      <c r="L236">
        <f>(J236-Diagramm_Tmin)/Diagramm_dT+1</f>
        <v/>
      </c>
    </row>
    <row r="237">
      <c r="B237" t="n">
        <v>34.5</v>
      </c>
      <c r="C237">
        <f>IF(MOD(B237,20)=0,TEXT(B237,"0"),"")</f>
        <v/>
      </c>
      <c r="D237" t="n">
        <v>73.773</v>
      </c>
      <c r="E237" t="n">
        <v>0</v>
      </c>
      <c r="F237" t="n">
        <v>176.227</v>
      </c>
      <c r="G237" t="n">
        <v>0</v>
      </c>
      <c r="J237">
        <f>T_Kav_V1</f>
        <v/>
      </c>
      <c r="K237">
        <f>pmax_V1</f>
        <v/>
      </c>
      <c r="L237">
        <f>(J237-Diagramm_Tmin)/Diagramm_dT+1</f>
        <v/>
      </c>
    </row>
    <row r="238">
      <c r="B238" t="n">
        <v>35</v>
      </c>
      <c r="C238">
        <f>IF(MOD(B238,20)=0,TEXT(B238,"0"),"")</f>
        <v/>
      </c>
      <c r="D238" t="n">
        <v>73.773</v>
      </c>
      <c r="E238" t="n">
        <v>0</v>
      </c>
      <c r="F238" t="n">
        <v>176.227</v>
      </c>
      <c r="G238" t="n">
        <v>0</v>
      </c>
    </row>
    <row r="239">
      <c r="B239" t="n">
        <v>35.5</v>
      </c>
      <c r="C239">
        <f>IF(MOD(B239,20)=0,TEXT(B239,"0"),"")</f>
        <v/>
      </c>
      <c r="D239" t="n">
        <v>73.773</v>
      </c>
      <c r="E239" t="n">
        <v>0</v>
      </c>
      <c r="F239" t="n">
        <v>176.227</v>
      </c>
      <c r="G239" t="n">
        <v>0</v>
      </c>
      <c r="I239" s="38" t="inlineStr">
        <is>
          <t>Bohrlochkopf (0 m): 45–107,6 bar</t>
        </is>
      </c>
      <c r="J239">
        <f>Tober_V1</f>
        <v/>
      </c>
      <c r="K239">
        <f>Kopf_leer</f>
        <v/>
      </c>
      <c r="L239">
        <f>(J239-Diagramm_Tmin)/Diagramm_dT+1</f>
        <v/>
      </c>
    </row>
    <row r="240">
      <c r="B240" t="n">
        <v>36</v>
      </c>
      <c r="C240">
        <f>IF(MOD(B240,20)=0,TEXT(B240,"0"),"")</f>
        <v/>
      </c>
      <c r="D240" t="n">
        <v>73.773</v>
      </c>
      <c r="E240" t="n">
        <v>0</v>
      </c>
      <c r="F240" t="n">
        <v>176.227</v>
      </c>
      <c r="G240" t="n">
        <v>0</v>
      </c>
      <c r="J240">
        <f>Tober_V1</f>
        <v/>
      </c>
      <c r="K240">
        <f>Kopf_voll</f>
        <v/>
      </c>
      <c r="L240">
        <f>(J240-Diagramm_Tmin)/Diagramm_dT+1</f>
        <v/>
      </c>
    </row>
    <row r="241">
      <c r="B241" t="n">
        <v>36.5</v>
      </c>
      <c r="C241">
        <f>IF(MOD(B241,20)=0,TEXT(B241,"0"),"")</f>
        <v/>
      </c>
      <c r="D241" t="n">
        <v>73.773</v>
      </c>
      <c r="E241" t="n">
        <v>0</v>
      </c>
      <c r="F241" t="n">
        <v>176.227</v>
      </c>
      <c r="G241" t="n">
        <v>0</v>
      </c>
    </row>
    <row r="242">
      <c r="B242" t="n">
        <v>37</v>
      </c>
      <c r="C242">
        <f>IF(MOD(B242,20)=0,TEXT(B242,"0"),"")</f>
        <v/>
      </c>
      <c r="D242" t="n">
        <v>73.773</v>
      </c>
      <c r="E242" t="n">
        <v>0</v>
      </c>
      <c r="F242" t="n">
        <v>176.227</v>
      </c>
      <c r="G242" t="n">
        <v>0</v>
      </c>
      <c r="I242" s="38" t="inlineStr">
        <is>
          <t>Beschriftung Phasengebiete K</t>
        </is>
      </c>
      <c r="J242" t="n">
        <v>-71</v>
      </c>
      <c r="K242" t="n">
        <v>150</v>
      </c>
      <c r="L242">
        <f>(J242-Diagramm_Tmin)/Diagramm_dT+1</f>
        <v/>
      </c>
    </row>
    <row r="243">
      <c r="B243" t="n">
        <v>37.5</v>
      </c>
      <c r="C243">
        <f>IF(MOD(B243,20)=0,TEXT(B243,"0"),"")</f>
        <v/>
      </c>
      <c r="D243" t="n">
        <v>73.773</v>
      </c>
      <c r="E243" t="n">
        <v>0</v>
      </c>
      <c r="F243" t="n">
        <v>176.227</v>
      </c>
      <c r="G243" t="n">
        <v>0</v>
      </c>
      <c r="J243" t="n">
        <v>-12</v>
      </c>
      <c r="K243" t="n">
        <v>170</v>
      </c>
      <c r="L243">
        <f>(J243-Diagramm_Tmin)/Diagramm_dT+1</f>
        <v/>
      </c>
    </row>
    <row r="244">
      <c r="B244" t="n">
        <v>38</v>
      </c>
      <c r="C244">
        <f>IF(MOD(B244,20)=0,TEXT(B244,"0"),"")</f>
        <v/>
      </c>
      <c r="D244" t="n">
        <v>73.773</v>
      </c>
      <c r="E244" t="n">
        <v>0</v>
      </c>
      <c r="F244" t="n">
        <v>176.227</v>
      </c>
      <c r="G244" t="n">
        <v>0</v>
      </c>
      <c r="J244" t="n">
        <v>78</v>
      </c>
      <c r="K244" t="n">
        <v>25</v>
      </c>
      <c r="L244">
        <f>(J244-Diagramm_Tmin)/Diagramm_dT+1</f>
        <v/>
      </c>
    </row>
    <row r="245">
      <c r="B245" t="n">
        <v>38.5</v>
      </c>
      <c r="C245">
        <f>IF(MOD(B245,20)=0,TEXT(B245,"0"),"")</f>
        <v/>
      </c>
      <c r="D245" t="n">
        <v>73.773</v>
      </c>
      <c r="E245" t="n">
        <v>0</v>
      </c>
      <c r="F245" t="n">
        <v>176.227</v>
      </c>
      <c r="G245" t="n">
        <v>0</v>
      </c>
      <c r="J245" t="n">
        <v>78</v>
      </c>
      <c r="K245" t="n">
        <v>160</v>
      </c>
      <c r="L245">
        <f>(J245-Diagramm_Tmin)/Diagramm_dT+1</f>
        <v/>
      </c>
    </row>
    <row r="246">
      <c r="B246" t="n">
        <v>39</v>
      </c>
      <c r="C246">
        <f>IF(MOD(B246,20)=0,TEXT(B246,"0"),"")</f>
        <v/>
      </c>
      <c r="D246" t="n">
        <v>73.773</v>
      </c>
      <c r="E246" t="n">
        <v>0</v>
      </c>
      <c r="F246" t="n">
        <v>176.227</v>
      </c>
      <c r="G246" t="n">
        <v>0</v>
      </c>
    </row>
    <row r="247">
      <c r="B247" t="n">
        <v>39.5</v>
      </c>
      <c r="C247">
        <f>IF(MOD(B247,20)=0,TEXT(B247,"0"),"")</f>
        <v/>
      </c>
      <c r="D247" t="n">
        <v>73.773</v>
      </c>
      <c r="E247" t="n">
        <v>0</v>
      </c>
      <c r="F247" t="n">
        <v>176.227</v>
      </c>
      <c r="G247" t="n">
        <v>0</v>
      </c>
      <c r="I247" s="38" t="inlineStr">
        <is>
          <t>Beschriftung Punkte K</t>
        </is>
      </c>
      <c r="J247" t="n">
        <v>60</v>
      </c>
      <c r="K247" t="n">
        <v>216</v>
      </c>
      <c r="L247">
        <f>(J247-Diagramm_Tmin)/Diagramm_dT+1</f>
        <v/>
      </c>
    </row>
    <row r="248">
      <c r="B248" t="n">
        <v>40</v>
      </c>
      <c r="C248">
        <f>IF(MOD(B248,20)=0,TEXT(B248,"0"),"")</f>
        <v/>
      </c>
      <c r="D248" t="n">
        <v>73.773</v>
      </c>
      <c r="E248" t="n">
        <v>0</v>
      </c>
      <c r="F248" t="n">
        <v>176.227</v>
      </c>
      <c r="G248" t="n">
        <v>0</v>
      </c>
      <c r="J248" t="n">
        <v>60</v>
      </c>
      <c r="K248" t="n">
        <v>172</v>
      </c>
      <c r="L248">
        <f>(J248-Diagramm_Tmin)/Diagramm_dT+1</f>
        <v/>
      </c>
    </row>
    <row r="249">
      <c r="B249" t="n">
        <v>40.5</v>
      </c>
      <c r="C249">
        <f>IF(MOD(B249,20)=0,TEXT(B249,"0"),"")</f>
        <v/>
      </c>
      <c r="D249" t="n">
        <v>73.773</v>
      </c>
      <c r="E249" t="n">
        <v>0</v>
      </c>
      <c r="F249" t="n">
        <v>176.227</v>
      </c>
      <c r="G249" t="n">
        <v>0</v>
      </c>
      <c r="J249" t="n">
        <v>58</v>
      </c>
      <c r="K249" t="n">
        <v>64</v>
      </c>
      <c r="L249">
        <f>(J249-Diagramm_Tmin)/Diagramm_dT+1</f>
        <v/>
      </c>
    </row>
    <row r="250">
      <c r="B250" t="n">
        <v>41</v>
      </c>
      <c r="C250">
        <f>IF(MOD(B250,20)=0,TEXT(B250,"0"),"")</f>
        <v/>
      </c>
      <c r="D250" t="n">
        <v>73.773</v>
      </c>
      <c r="E250" t="n">
        <v>0</v>
      </c>
      <c r="F250" t="n">
        <v>176.227</v>
      </c>
      <c r="G250" t="n">
        <v>0</v>
      </c>
      <c r="J250" t="n">
        <v>-6</v>
      </c>
      <c r="K250" t="n">
        <v>111</v>
      </c>
      <c r="L250">
        <f>(J250-Diagramm_Tmin)/Diagramm_dT+1</f>
        <v/>
      </c>
    </row>
    <row r="251">
      <c r="B251" t="n">
        <v>41.5</v>
      </c>
      <c r="C251">
        <f>IF(MOD(B251,20)=0,TEXT(B251,"0"),"")</f>
        <v/>
      </c>
      <c r="D251" t="n">
        <v>73.773</v>
      </c>
      <c r="E251" t="n">
        <v>0</v>
      </c>
      <c r="F251" t="n">
        <v>176.227</v>
      </c>
      <c r="G251" t="n">
        <v>0</v>
      </c>
      <c r="J251" t="n">
        <v>-4</v>
      </c>
      <c r="K251" t="n">
        <v>74</v>
      </c>
      <c r="L251">
        <f>(J251-Diagramm_Tmin)/Diagramm_dT+1</f>
        <v/>
      </c>
    </row>
    <row r="252">
      <c r="B252" t="n">
        <v>42</v>
      </c>
      <c r="C252">
        <f>IF(MOD(B252,20)=0,TEXT(B252,"0"),"")</f>
        <v/>
      </c>
      <c r="D252" t="n">
        <v>73.773</v>
      </c>
      <c r="E252" t="n">
        <v>0</v>
      </c>
      <c r="F252" t="n">
        <v>176.227</v>
      </c>
      <c r="G252" t="n">
        <v>0</v>
      </c>
      <c r="J252" t="n">
        <v>-11</v>
      </c>
      <c r="K252" t="n">
        <v>39</v>
      </c>
      <c r="L252">
        <f>(J252-Diagramm_Tmin)/Diagramm_dT+1</f>
        <v/>
      </c>
    </row>
    <row r="253">
      <c r="B253" t="n">
        <v>42.5</v>
      </c>
      <c r="C253">
        <f>IF(MOD(B253,20)=0,TEXT(B253,"0"),"")</f>
        <v/>
      </c>
      <c r="D253" t="n">
        <v>73.773</v>
      </c>
      <c r="E253" t="n">
        <v>0</v>
      </c>
      <c r="F253" t="n">
        <v>176.227</v>
      </c>
      <c r="G253" t="n">
        <v>0</v>
      </c>
      <c r="J253" t="n">
        <v>29</v>
      </c>
      <c r="K253" t="n">
        <v>100</v>
      </c>
      <c r="L253">
        <f>(J253-Diagramm_Tmin)/Diagramm_dT+1</f>
        <v/>
      </c>
    </row>
    <row r="254">
      <c r="B254" t="n">
        <v>43</v>
      </c>
      <c r="C254">
        <f>IF(MOD(B254,20)=0,TEXT(B254,"0"),"")</f>
        <v/>
      </c>
      <c r="D254" t="n">
        <v>73.773</v>
      </c>
      <c r="E254" t="n">
        <v>0</v>
      </c>
      <c r="F254" t="n">
        <v>176.227</v>
      </c>
      <c r="G254" t="n">
        <v>0</v>
      </c>
    </row>
    <row r="255">
      <c r="B255" t="n">
        <v>43.5</v>
      </c>
      <c r="C255">
        <f>IF(MOD(B255,20)=0,TEXT(B255,"0"),"")</f>
        <v/>
      </c>
      <c r="D255" t="n">
        <v>73.773</v>
      </c>
      <c r="E255" t="n">
        <v>0</v>
      </c>
      <c r="F255" t="n">
        <v>176.227</v>
      </c>
      <c r="G255" t="n">
        <v>0</v>
      </c>
    </row>
    <row r="256">
      <c r="B256" t="n">
        <v>44</v>
      </c>
      <c r="C256">
        <f>IF(MOD(B256,20)=0,TEXT(B256,"0"),"")</f>
        <v/>
      </c>
      <c r="D256" t="n">
        <v>73.773</v>
      </c>
      <c r="E256" t="n">
        <v>0</v>
      </c>
      <c r="F256" t="n">
        <v>176.227</v>
      </c>
      <c r="G256" t="n">
        <v>0</v>
      </c>
    </row>
    <row r="257">
      <c r="B257" t="n">
        <v>44.5</v>
      </c>
      <c r="C257">
        <f>IF(MOD(B257,20)=0,TEXT(B257,"0"),"")</f>
        <v/>
      </c>
      <c r="D257" t="n">
        <v>73.773</v>
      </c>
      <c r="E257" t="n">
        <v>0</v>
      </c>
      <c r="F257" t="n">
        <v>176.227</v>
      </c>
      <c r="G257" t="n">
        <v>0</v>
      </c>
    </row>
    <row r="258">
      <c r="B258" t="n">
        <v>45</v>
      </c>
      <c r="C258">
        <f>IF(MOD(B258,20)=0,TEXT(B258,"0"),"")</f>
        <v/>
      </c>
      <c r="D258" t="n">
        <v>73.773</v>
      </c>
      <c r="E258" t="n">
        <v>0</v>
      </c>
      <c r="F258" t="n">
        <v>176.227</v>
      </c>
      <c r="G258" t="n">
        <v>0</v>
      </c>
    </row>
    <row r="259">
      <c r="B259" t="n">
        <v>45.5</v>
      </c>
      <c r="C259">
        <f>IF(MOD(B259,20)=0,TEXT(B259,"0"),"")</f>
        <v/>
      </c>
      <c r="D259" t="n">
        <v>73.773</v>
      </c>
      <c r="E259" t="n">
        <v>0</v>
      </c>
      <c r="F259" t="n">
        <v>176.227</v>
      </c>
      <c r="G259" t="n">
        <v>0</v>
      </c>
    </row>
    <row r="260">
      <c r="B260" t="n">
        <v>46</v>
      </c>
      <c r="C260">
        <f>IF(MOD(B260,20)=0,TEXT(B260,"0"),"")</f>
        <v/>
      </c>
      <c r="D260" t="n">
        <v>73.773</v>
      </c>
      <c r="E260" t="n">
        <v>0</v>
      </c>
      <c r="F260" t="n">
        <v>176.227</v>
      </c>
      <c r="G260" t="n">
        <v>0</v>
      </c>
    </row>
    <row r="261">
      <c r="B261" t="n">
        <v>46.5</v>
      </c>
      <c r="C261">
        <f>IF(MOD(B261,20)=0,TEXT(B261,"0"),"")</f>
        <v/>
      </c>
      <c r="D261" t="n">
        <v>73.773</v>
      </c>
      <c r="E261" t="n">
        <v>0</v>
      </c>
      <c r="F261" t="n">
        <v>176.227</v>
      </c>
      <c r="G261" t="n">
        <v>0</v>
      </c>
    </row>
    <row r="262">
      <c r="B262" t="n">
        <v>47</v>
      </c>
      <c r="C262">
        <f>IF(MOD(B262,20)=0,TEXT(B262,"0"),"")</f>
        <v/>
      </c>
      <c r="D262" t="n">
        <v>73.773</v>
      </c>
      <c r="E262" t="n">
        <v>0</v>
      </c>
      <c r="F262" t="n">
        <v>176.227</v>
      </c>
      <c r="G262" t="n">
        <v>0</v>
      </c>
    </row>
    <row r="263">
      <c r="B263" t="n">
        <v>47.5</v>
      </c>
      <c r="C263">
        <f>IF(MOD(B263,20)=0,TEXT(B263,"0"),"")</f>
        <v/>
      </c>
      <c r="D263" t="n">
        <v>73.773</v>
      </c>
      <c r="E263" t="n">
        <v>0</v>
      </c>
      <c r="F263" t="n">
        <v>176.227</v>
      </c>
      <c r="G263" t="n">
        <v>0</v>
      </c>
    </row>
    <row r="264">
      <c r="B264" t="n">
        <v>48</v>
      </c>
      <c r="C264">
        <f>IF(MOD(B264,20)=0,TEXT(B264,"0"),"")</f>
        <v/>
      </c>
      <c r="D264" t="n">
        <v>73.773</v>
      </c>
      <c r="E264" t="n">
        <v>0</v>
      </c>
      <c r="F264" t="n">
        <v>176.227</v>
      </c>
      <c r="G264" t="n">
        <v>0</v>
      </c>
    </row>
    <row r="265">
      <c r="B265" t="n">
        <v>48.5</v>
      </c>
      <c r="C265">
        <f>IF(MOD(B265,20)=0,TEXT(B265,"0"),"")</f>
        <v/>
      </c>
      <c r="D265" t="n">
        <v>73.773</v>
      </c>
      <c r="E265" t="n">
        <v>0</v>
      </c>
      <c r="F265" t="n">
        <v>176.227</v>
      </c>
      <c r="G265" t="n">
        <v>0</v>
      </c>
    </row>
    <row r="266">
      <c r="B266" t="n">
        <v>49</v>
      </c>
      <c r="C266">
        <f>IF(MOD(B266,20)=0,TEXT(B266,"0"),"")</f>
        <v/>
      </c>
      <c r="D266" t="n">
        <v>73.773</v>
      </c>
      <c r="E266" t="n">
        <v>0</v>
      </c>
      <c r="F266" t="n">
        <v>176.227</v>
      </c>
      <c r="G266" t="n">
        <v>0</v>
      </c>
    </row>
    <row r="267">
      <c r="B267" t="n">
        <v>49.5</v>
      </c>
      <c r="C267">
        <f>IF(MOD(B267,20)=0,TEXT(B267,"0"),"")</f>
        <v/>
      </c>
      <c r="D267" t="n">
        <v>73.773</v>
      </c>
      <c r="E267" t="n">
        <v>0</v>
      </c>
      <c r="F267" t="n">
        <v>176.227</v>
      </c>
      <c r="G267" t="n">
        <v>0</v>
      </c>
    </row>
    <row r="268">
      <c r="B268" t="n">
        <v>50</v>
      </c>
      <c r="C268">
        <f>IF(MOD(B268,20)=0,TEXT(B268,"0"),"")</f>
        <v/>
      </c>
      <c r="D268" t="n">
        <v>73.773</v>
      </c>
      <c r="E268" t="n">
        <v>0</v>
      </c>
      <c r="F268" t="n">
        <v>176.227</v>
      </c>
      <c r="G268" t="n">
        <v>0</v>
      </c>
    </row>
    <row r="269">
      <c r="B269" t="n">
        <v>50.5</v>
      </c>
      <c r="C269">
        <f>IF(MOD(B269,20)=0,TEXT(B269,"0"),"")</f>
        <v/>
      </c>
      <c r="D269" t="n">
        <v>73.773</v>
      </c>
      <c r="E269" t="n">
        <v>0</v>
      </c>
      <c r="F269" t="n">
        <v>176.227</v>
      </c>
      <c r="G269" t="n">
        <v>0</v>
      </c>
    </row>
    <row r="270">
      <c r="B270" t="n">
        <v>51</v>
      </c>
      <c r="C270">
        <f>IF(MOD(B270,20)=0,TEXT(B270,"0"),"")</f>
        <v/>
      </c>
      <c r="D270" t="n">
        <v>73.773</v>
      </c>
      <c r="E270" t="n">
        <v>0</v>
      </c>
      <c r="F270" t="n">
        <v>176.227</v>
      </c>
      <c r="G270" t="n">
        <v>0</v>
      </c>
    </row>
    <row r="271">
      <c r="B271" t="n">
        <v>51.5</v>
      </c>
      <c r="C271">
        <f>IF(MOD(B271,20)=0,TEXT(B271,"0"),"")</f>
        <v/>
      </c>
      <c r="D271" t="n">
        <v>73.773</v>
      </c>
      <c r="E271" t="n">
        <v>0</v>
      </c>
      <c r="F271" t="n">
        <v>176.227</v>
      </c>
      <c r="G271" t="n">
        <v>0</v>
      </c>
    </row>
    <row r="272">
      <c r="B272" t="n">
        <v>52</v>
      </c>
      <c r="C272">
        <f>IF(MOD(B272,20)=0,TEXT(B272,"0"),"")</f>
        <v/>
      </c>
      <c r="D272" t="n">
        <v>73.773</v>
      </c>
      <c r="E272" t="n">
        <v>0</v>
      </c>
      <c r="F272" t="n">
        <v>176.227</v>
      </c>
      <c r="G272" t="n">
        <v>0</v>
      </c>
    </row>
    <row r="273">
      <c r="B273" t="n">
        <v>52.5</v>
      </c>
      <c r="C273">
        <f>IF(MOD(B273,20)=0,TEXT(B273,"0"),"")</f>
        <v/>
      </c>
      <c r="D273" t="n">
        <v>73.773</v>
      </c>
      <c r="E273" t="n">
        <v>0</v>
      </c>
      <c r="F273" t="n">
        <v>176.227</v>
      </c>
      <c r="G273" t="n">
        <v>0</v>
      </c>
    </row>
    <row r="274">
      <c r="B274" t="n">
        <v>53</v>
      </c>
      <c r="C274">
        <f>IF(MOD(B274,20)=0,TEXT(B274,"0"),"")</f>
        <v/>
      </c>
      <c r="D274" t="n">
        <v>73.773</v>
      </c>
      <c r="E274" t="n">
        <v>0</v>
      </c>
      <c r="F274" t="n">
        <v>176.227</v>
      </c>
      <c r="G274" t="n">
        <v>0</v>
      </c>
    </row>
    <row r="275">
      <c r="B275" t="n">
        <v>53.5</v>
      </c>
      <c r="C275">
        <f>IF(MOD(B275,20)=0,TEXT(B275,"0"),"")</f>
        <v/>
      </c>
      <c r="D275" t="n">
        <v>73.773</v>
      </c>
      <c r="E275" t="n">
        <v>0</v>
      </c>
      <c r="F275" t="n">
        <v>176.227</v>
      </c>
      <c r="G275" t="n">
        <v>0</v>
      </c>
    </row>
    <row r="276">
      <c r="B276" t="n">
        <v>54</v>
      </c>
      <c r="C276">
        <f>IF(MOD(B276,20)=0,TEXT(B276,"0"),"")</f>
        <v/>
      </c>
      <c r="D276" t="n">
        <v>73.773</v>
      </c>
      <c r="E276" t="n">
        <v>0</v>
      </c>
      <c r="F276" t="n">
        <v>176.227</v>
      </c>
      <c r="G276" t="n">
        <v>0</v>
      </c>
    </row>
    <row r="277">
      <c r="B277" t="n">
        <v>54.5</v>
      </c>
      <c r="C277">
        <f>IF(MOD(B277,20)=0,TEXT(B277,"0"),"")</f>
        <v/>
      </c>
      <c r="D277" t="n">
        <v>73.773</v>
      </c>
      <c r="E277" t="n">
        <v>0</v>
      </c>
      <c r="F277" t="n">
        <v>176.227</v>
      </c>
      <c r="G277" t="n">
        <v>0</v>
      </c>
    </row>
    <row r="278">
      <c r="B278" t="n">
        <v>55</v>
      </c>
      <c r="C278">
        <f>IF(MOD(B278,20)=0,TEXT(B278,"0"),"")</f>
        <v/>
      </c>
      <c r="D278" t="n">
        <v>73.773</v>
      </c>
      <c r="E278" t="n">
        <v>0</v>
      </c>
      <c r="F278" t="n">
        <v>176.227</v>
      </c>
      <c r="G278" t="n">
        <v>0</v>
      </c>
    </row>
    <row r="279">
      <c r="B279" t="n">
        <v>55.5</v>
      </c>
      <c r="C279">
        <f>IF(MOD(B279,20)=0,TEXT(B279,"0"),"")</f>
        <v/>
      </c>
      <c r="D279" t="n">
        <v>73.773</v>
      </c>
      <c r="E279" t="n">
        <v>0</v>
      </c>
      <c r="F279" t="n">
        <v>176.227</v>
      </c>
      <c r="G279" t="n">
        <v>0</v>
      </c>
    </row>
    <row r="280">
      <c r="B280" t="n">
        <v>56</v>
      </c>
      <c r="C280">
        <f>IF(MOD(B280,20)=0,TEXT(B280,"0"),"")</f>
        <v/>
      </c>
      <c r="D280" t="n">
        <v>73.773</v>
      </c>
      <c r="E280" t="n">
        <v>0</v>
      </c>
      <c r="F280" t="n">
        <v>176.227</v>
      </c>
      <c r="G280" t="n">
        <v>0</v>
      </c>
    </row>
    <row r="281">
      <c r="B281" t="n">
        <v>56.5</v>
      </c>
      <c r="C281">
        <f>IF(MOD(B281,20)=0,TEXT(B281,"0"),"")</f>
        <v/>
      </c>
      <c r="D281" t="n">
        <v>73.773</v>
      </c>
      <c r="E281" t="n">
        <v>0</v>
      </c>
      <c r="F281" t="n">
        <v>176.227</v>
      </c>
      <c r="G281" t="n">
        <v>0</v>
      </c>
    </row>
    <row r="282">
      <c r="B282" t="n">
        <v>57</v>
      </c>
      <c r="C282">
        <f>IF(MOD(B282,20)=0,TEXT(B282,"0"),"")</f>
        <v/>
      </c>
      <c r="D282" t="n">
        <v>73.773</v>
      </c>
      <c r="E282" t="n">
        <v>0</v>
      </c>
      <c r="F282" t="n">
        <v>176.227</v>
      </c>
      <c r="G282" t="n">
        <v>0</v>
      </c>
    </row>
    <row r="283">
      <c r="B283" t="n">
        <v>57.5</v>
      </c>
      <c r="C283">
        <f>IF(MOD(B283,20)=0,TEXT(B283,"0"),"")</f>
        <v/>
      </c>
      <c r="D283" t="n">
        <v>73.773</v>
      </c>
      <c r="E283" t="n">
        <v>0</v>
      </c>
      <c r="F283" t="n">
        <v>176.227</v>
      </c>
      <c r="G283" t="n">
        <v>0</v>
      </c>
    </row>
    <row r="284">
      <c r="B284" t="n">
        <v>58</v>
      </c>
      <c r="C284">
        <f>IF(MOD(B284,20)=0,TEXT(B284,"0"),"")</f>
        <v/>
      </c>
      <c r="D284" t="n">
        <v>73.773</v>
      </c>
      <c r="E284" t="n">
        <v>0</v>
      </c>
      <c r="F284" t="n">
        <v>176.227</v>
      </c>
      <c r="G284" t="n">
        <v>0</v>
      </c>
    </row>
    <row r="285">
      <c r="B285" t="n">
        <v>58.5</v>
      </c>
      <c r="C285">
        <f>IF(MOD(B285,20)=0,TEXT(B285,"0"),"")</f>
        <v/>
      </c>
      <c r="D285" t="n">
        <v>73.773</v>
      </c>
      <c r="E285" t="n">
        <v>0</v>
      </c>
      <c r="F285" t="n">
        <v>176.227</v>
      </c>
      <c r="G285" t="n">
        <v>0</v>
      </c>
    </row>
    <row r="286">
      <c r="B286" t="n">
        <v>59</v>
      </c>
      <c r="C286">
        <f>IF(MOD(B286,20)=0,TEXT(B286,"0"),"")</f>
        <v/>
      </c>
      <c r="D286" t="n">
        <v>73.773</v>
      </c>
      <c r="E286" t="n">
        <v>0</v>
      </c>
      <c r="F286" t="n">
        <v>176.227</v>
      </c>
      <c r="G286" t="n">
        <v>0</v>
      </c>
    </row>
    <row r="287">
      <c r="B287" t="n">
        <v>59.5</v>
      </c>
      <c r="C287">
        <f>IF(MOD(B287,20)=0,TEXT(B287,"0"),"")</f>
        <v/>
      </c>
      <c r="D287" t="n">
        <v>73.773</v>
      </c>
      <c r="E287" t="n">
        <v>0</v>
      </c>
      <c r="F287" t="n">
        <v>176.227</v>
      </c>
      <c r="G287" t="n">
        <v>0</v>
      </c>
    </row>
    <row r="288">
      <c r="B288" t="n">
        <v>60</v>
      </c>
      <c r="C288">
        <f>IF(MOD(B288,20)=0,TEXT(B288,"0"),"")</f>
        <v/>
      </c>
      <c r="D288" t="n">
        <v>73.773</v>
      </c>
      <c r="E288" t="n">
        <v>0</v>
      </c>
      <c r="F288" t="n">
        <v>176.227</v>
      </c>
      <c r="G288" t="n">
        <v>0</v>
      </c>
    </row>
    <row r="289">
      <c r="B289" t="n">
        <v>60.5</v>
      </c>
      <c r="C289">
        <f>IF(MOD(B289,20)=0,TEXT(B289,"0"),"")</f>
        <v/>
      </c>
      <c r="D289" t="n">
        <v>73.773</v>
      </c>
      <c r="E289" t="n">
        <v>0</v>
      </c>
      <c r="F289" t="n">
        <v>176.227</v>
      </c>
      <c r="G289" t="n">
        <v>0</v>
      </c>
    </row>
    <row r="290">
      <c r="B290" t="n">
        <v>61</v>
      </c>
      <c r="C290">
        <f>IF(MOD(B290,20)=0,TEXT(B290,"0"),"")</f>
        <v/>
      </c>
      <c r="D290" t="n">
        <v>73.773</v>
      </c>
      <c r="E290" t="n">
        <v>0</v>
      </c>
      <c r="F290" t="n">
        <v>176.227</v>
      </c>
      <c r="G290" t="n">
        <v>0</v>
      </c>
    </row>
    <row r="291">
      <c r="B291" t="n">
        <v>61.5</v>
      </c>
      <c r="C291">
        <f>IF(MOD(B291,20)=0,TEXT(B291,"0"),"")</f>
        <v/>
      </c>
      <c r="D291" t="n">
        <v>73.773</v>
      </c>
      <c r="E291" t="n">
        <v>0</v>
      </c>
      <c r="F291" t="n">
        <v>176.227</v>
      </c>
      <c r="G291" t="n">
        <v>0</v>
      </c>
    </row>
    <row r="292">
      <c r="B292" t="n">
        <v>62</v>
      </c>
      <c r="C292">
        <f>IF(MOD(B292,20)=0,TEXT(B292,"0"),"")</f>
        <v/>
      </c>
      <c r="D292" t="n">
        <v>73.773</v>
      </c>
      <c r="E292" t="n">
        <v>0</v>
      </c>
      <c r="F292" t="n">
        <v>176.227</v>
      </c>
      <c r="G292" t="n">
        <v>0</v>
      </c>
    </row>
    <row r="293">
      <c r="B293" t="n">
        <v>62.5</v>
      </c>
      <c r="C293">
        <f>IF(MOD(B293,20)=0,TEXT(B293,"0"),"")</f>
        <v/>
      </c>
      <c r="D293" t="n">
        <v>73.773</v>
      </c>
      <c r="E293" t="n">
        <v>0</v>
      </c>
      <c r="F293" t="n">
        <v>176.227</v>
      </c>
      <c r="G293" t="n">
        <v>0</v>
      </c>
    </row>
    <row r="294">
      <c r="B294" t="n">
        <v>63</v>
      </c>
      <c r="C294">
        <f>IF(MOD(B294,20)=0,TEXT(B294,"0"),"")</f>
        <v/>
      </c>
      <c r="D294" t="n">
        <v>73.773</v>
      </c>
      <c r="E294" t="n">
        <v>0</v>
      </c>
      <c r="F294" t="n">
        <v>176.227</v>
      </c>
      <c r="G294" t="n">
        <v>0</v>
      </c>
    </row>
    <row r="295">
      <c r="B295" t="n">
        <v>63.5</v>
      </c>
      <c r="C295">
        <f>IF(MOD(B295,20)=0,TEXT(B295,"0"),"")</f>
        <v/>
      </c>
      <c r="D295" t="n">
        <v>73.773</v>
      </c>
      <c r="E295" t="n">
        <v>0</v>
      </c>
      <c r="F295" t="n">
        <v>176.227</v>
      </c>
      <c r="G295" t="n">
        <v>0</v>
      </c>
    </row>
    <row r="296">
      <c r="B296" t="n">
        <v>64</v>
      </c>
      <c r="C296">
        <f>IF(MOD(B296,20)=0,TEXT(B296,"0"),"")</f>
        <v/>
      </c>
      <c r="D296" t="n">
        <v>73.773</v>
      </c>
      <c r="E296" t="n">
        <v>0</v>
      </c>
      <c r="F296" t="n">
        <v>176.227</v>
      </c>
      <c r="G296" t="n">
        <v>0</v>
      </c>
    </row>
    <row r="297">
      <c r="B297" t="n">
        <v>64.5</v>
      </c>
      <c r="C297">
        <f>IF(MOD(B297,20)=0,TEXT(B297,"0"),"")</f>
        <v/>
      </c>
      <c r="D297" t="n">
        <v>73.773</v>
      </c>
      <c r="E297" t="n">
        <v>0</v>
      </c>
      <c r="F297" t="n">
        <v>176.227</v>
      </c>
      <c r="G297" t="n">
        <v>0</v>
      </c>
    </row>
    <row r="298">
      <c r="B298" t="n">
        <v>65</v>
      </c>
      <c r="C298">
        <f>IF(MOD(B298,20)=0,TEXT(B298,"0"),"")</f>
        <v/>
      </c>
      <c r="D298" t="n">
        <v>73.773</v>
      </c>
      <c r="E298" t="n">
        <v>0</v>
      </c>
      <c r="F298" t="n">
        <v>176.227</v>
      </c>
      <c r="G298" t="n">
        <v>0</v>
      </c>
    </row>
    <row r="299">
      <c r="B299" t="n">
        <v>65.5</v>
      </c>
      <c r="C299">
        <f>IF(MOD(B299,20)=0,TEXT(B299,"0"),"")</f>
        <v/>
      </c>
      <c r="D299" t="n">
        <v>73.773</v>
      </c>
      <c r="E299" t="n">
        <v>0</v>
      </c>
      <c r="F299" t="n">
        <v>176.227</v>
      </c>
      <c r="G299" t="n">
        <v>0</v>
      </c>
    </row>
    <row r="300">
      <c r="B300" t="n">
        <v>66</v>
      </c>
      <c r="C300">
        <f>IF(MOD(B300,20)=0,TEXT(B300,"0"),"")</f>
        <v/>
      </c>
      <c r="D300" t="n">
        <v>73.773</v>
      </c>
      <c r="E300" t="n">
        <v>0</v>
      </c>
      <c r="F300" t="n">
        <v>176.227</v>
      </c>
      <c r="G300" t="n">
        <v>0</v>
      </c>
    </row>
    <row r="301">
      <c r="B301" t="n">
        <v>66.5</v>
      </c>
      <c r="C301">
        <f>IF(MOD(B301,20)=0,TEXT(B301,"0"),"")</f>
        <v/>
      </c>
      <c r="D301" t="n">
        <v>73.773</v>
      </c>
      <c r="E301" t="n">
        <v>0</v>
      </c>
      <c r="F301" t="n">
        <v>176.227</v>
      </c>
      <c r="G301" t="n">
        <v>0</v>
      </c>
    </row>
    <row r="302">
      <c r="B302" t="n">
        <v>67</v>
      </c>
      <c r="C302">
        <f>IF(MOD(B302,20)=0,TEXT(B302,"0"),"")</f>
        <v/>
      </c>
      <c r="D302" t="n">
        <v>73.773</v>
      </c>
      <c r="E302" t="n">
        <v>0</v>
      </c>
      <c r="F302" t="n">
        <v>176.227</v>
      </c>
      <c r="G302" t="n">
        <v>0</v>
      </c>
    </row>
    <row r="303">
      <c r="B303" t="n">
        <v>67.5</v>
      </c>
      <c r="C303">
        <f>IF(MOD(B303,20)=0,TEXT(B303,"0"),"")</f>
        <v/>
      </c>
      <c r="D303" t="n">
        <v>73.773</v>
      </c>
      <c r="E303" t="n">
        <v>0</v>
      </c>
      <c r="F303" t="n">
        <v>176.227</v>
      </c>
      <c r="G303" t="n">
        <v>0</v>
      </c>
    </row>
    <row r="304">
      <c r="B304" t="n">
        <v>68</v>
      </c>
      <c r="C304">
        <f>IF(MOD(B304,20)=0,TEXT(B304,"0"),"")</f>
        <v/>
      </c>
      <c r="D304" t="n">
        <v>73.773</v>
      </c>
      <c r="E304" t="n">
        <v>0</v>
      </c>
      <c r="F304" t="n">
        <v>176.227</v>
      </c>
      <c r="G304" t="n">
        <v>0</v>
      </c>
    </row>
    <row r="305">
      <c r="B305" t="n">
        <v>68.5</v>
      </c>
      <c r="C305">
        <f>IF(MOD(B305,20)=0,TEXT(B305,"0"),"")</f>
        <v/>
      </c>
      <c r="D305" t="n">
        <v>73.773</v>
      </c>
      <c r="E305" t="n">
        <v>0</v>
      </c>
      <c r="F305" t="n">
        <v>176.227</v>
      </c>
      <c r="G305" t="n">
        <v>0</v>
      </c>
    </row>
    <row r="306">
      <c r="B306" t="n">
        <v>69</v>
      </c>
      <c r="C306">
        <f>IF(MOD(B306,20)=0,TEXT(B306,"0"),"")</f>
        <v/>
      </c>
      <c r="D306" t="n">
        <v>73.773</v>
      </c>
      <c r="E306" t="n">
        <v>0</v>
      </c>
      <c r="F306" t="n">
        <v>176.227</v>
      </c>
      <c r="G306" t="n">
        <v>0</v>
      </c>
    </row>
    <row r="307">
      <c r="B307" t="n">
        <v>69.5</v>
      </c>
      <c r="C307">
        <f>IF(MOD(B307,20)=0,TEXT(B307,"0"),"")</f>
        <v/>
      </c>
      <c r="D307" t="n">
        <v>73.773</v>
      </c>
      <c r="E307" t="n">
        <v>0</v>
      </c>
      <c r="F307" t="n">
        <v>176.227</v>
      </c>
      <c r="G307" t="n">
        <v>0</v>
      </c>
    </row>
    <row r="308">
      <c r="B308" t="n">
        <v>70</v>
      </c>
      <c r="C308">
        <f>IF(MOD(B308,20)=0,TEXT(B308,"0"),"")</f>
        <v/>
      </c>
      <c r="D308" t="n">
        <v>73.773</v>
      </c>
      <c r="E308" t="n">
        <v>0</v>
      </c>
      <c r="F308" t="n">
        <v>176.227</v>
      </c>
      <c r="G308" t="n">
        <v>0</v>
      </c>
    </row>
    <row r="309">
      <c r="B309" t="n">
        <v>70.5</v>
      </c>
      <c r="C309">
        <f>IF(MOD(B309,20)=0,TEXT(B309,"0"),"")</f>
        <v/>
      </c>
      <c r="D309" t="n">
        <v>73.773</v>
      </c>
      <c r="E309" t="n">
        <v>0</v>
      </c>
      <c r="F309" t="n">
        <v>176.227</v>
      </c>
      <c r="G309" t="n">
        <v>0</v>
      </c>
    </row>
    <row r="310">
      <c r="B310" t="n">
        <v>71</v>
      </c>
      <c r="C310">
        <f>IF(MOD(B310,20)=0,TEXT(B310,"0"),"")</f>
        <v/>
      </c>
      <c r="D310" t="n">
        <v>73.773</v>
      </c>
      <c r="E310" t="n">
        <v>0</v>
      </c>
      <c r="F310" t="n">
        <v>176.227</v>
      </c>
      <c r="G310" t="n">
        <v>0</v>
      </c>
    </row>
    <row r="311">
      <c r="B311" t="n">
        <v>71.5</v>
      </c>
      <c r="C311">
        <f>IF(MOD(B311,20)=0,TEXT(B311,"0"),"")</f>
        <v/>
      </c>
      <c r="D311" t="n">
        <v>73.773</v>
      </c>
      <c r="E311" t="n">
        <v>0</v>
      </c>
      <c r="F311" t="n">
        <v>176.227</v>
      </c>
      <c r="G311" t="n">
        <v>0</v>
      </c>
    </row>
    <row r="312">
      <c r="B312" t="n">
        <v>72</v>
      </c>
      <c r="C312">
        <f>IF(MOD(B312,20)=0,TEXT(B312,"0"),"")</f>
        <v/>
      </c>
      <c r="D312" t="n">
        <v>73.773</v>
      </c>
      <c r="E312" t="n">
        <v>0</v>
      </c>
      <c r="F312" t="n">
        <v>176.227</v>
      </c>
      <c r="G312" t="n">
        <v>0</v>
      </c>
    </row>
    <row r="313">
      <c r="B313" t="n">
        <v>72.5</v>
      </c>
      <c r="C313">
        <f>IF(MOD(B313,20)=0,TEXT(B313,"0"),"")</f>
        <v/>
      </c>
      <c r="D313" t="n">
        <v>73.773</v>
      </c>
      <c r="E313" t="n">
        <v>0</v>
      </c>
      <c r="F313" t="n">
        <v>176.227</v>
      </c>
      <c r="G313" t="n">
        <v>0</v>
      </c>
    </row>
    <row r="314">
      <c r="B314" t="n">
        <v>73</v>
      </c>
      <c r="C314">
        <f>IF(MOD(B314,20)=0,TEXT(B314,"0"),"")</f>
        <v/>
      </c>
      <c r="D314" t="n">
        <v>73.773</v>
      </c>
      <c r="E314" t="n">
        <v>0</v>
      </c>
      <c r="F314" t="n">
        <v>176.227</v>
      </c>
      <c r="G314" t="n">
        <v>0</v>
      </c>
    </row>
    <row r="315">
      <c r="B315" t="n">
        <v>73.5</v>
      </c>
      <c r="C315">
        <f>IF(MOD(B315,20)=0,TEXT(B315,"0"),"")</f>
        <v/>
      </c>
      <c r="D315" t="n">
        <v>73.773</v>
      </c>
      <c r="E315" t="n">
        <v>0</v>
      </c>
      <c r="F315" t="n">
        <v>176.227</v>
      </c>
      <c r="G315" t="n">
        <v>0</v>
      </c>
    </row>
    <row r="316">
      <c r="B316" t="n">
        <v>74</v>
      </c>
      <c r="C316">
        <f>IF(MOD(B316,20)=0,TEXT(B316,"0"),"")</f>
        <v/>
      </c>
      <c r="D316" t="n">
        <v>73.773</v>
      </c>
      <c r="E316" t="n">
        <v>0</v>
      </c>
      <c r="F316" t="n">
        <v>176.227</v>
      </c>
      <c r="G316" t="n">
        <v>0</v>
      </c>
    </row>
    <row r="317">
      <c r="B317" t="n">
        <v>74.5</v>
      </c>
      <c r="C317">
        <f>IF(MOD(B317,20)=0,TEXT(B317,"0"),"")</f>
        <v/>
      </c>
      <c r="D317" t="n">
        <v>73.773</v>
      </c>
      <c r="E317" t="n">
        <v>0</v>
      </c>
      <c r="F317" t="n">
        <v>176.227</v>
      </c>
      <c r="G317" t="n">
        <v>0</v>
      </c>
    </row>
    <row r="318">
      <c r="B318" t="n">
        <v>75</v>
      </c>
      <c r="C318">
        <f>IF(MOD(B318,20)=0,TEXT(B318,"0"),"")</f>
        <v/>
      </c>
      <c r="D318" t="n">
        <v>73.773</v>
      </c>
      <c r="E318" t="n">
        <v>0</v>
      </c>
      <c r="F318" t="n">
        <v>176.227</v>
      </c>
      <c r="G318" t="n">
        <v>0</v>
      </c>
    </row>
    <row r="319">
      <c r="B319" t="n">
        <v>75.5</v>
      </c>
      <c r="C319">
        <f>IF(MOD(B319,20)=0,TEXT(B319,"0"),"")</f>
        <v/>
      </c>
      <c r="D319" t="n">
        <v>73.773</v>
      </c>
      <c r="E319" t="n">
        <v>0</v>
      </c>
      <c r="F319" t="n">
        <v>176.227</v>
      </c>
      <c r="G319" t="n">
        <v>0</v>
      </c>
    </row>
    <row r="320">
      <c r="B320" t="n">
        <v>76</v>
      </c>
      <c r="C320">
        <f>IF(MOD(B320,20)=0,TEXT(B320,"0"),"")</f>
        <v/>
      </c>
      <c r="D320" t="n">
        <v>73.773</v>
      </c>
      <c r="E320" t="n">
        <v>0</v>
      </c>
      <c r="F320" t="n">
        <v>176.227</v>
      </c>
      <c r="G320" t="n">
        <v>0</v>
      </c>
    </row>
    <row r="321">
      <c r="B321" t="n">
        <v>76.5</v>
      </c>
      <c r="C321">
        <f>IF(MOD(B321,20)=0,TEXT(B321,"0"),"")</f>
        <v/>
      </c>
      <c r="D321" t="n">
        <v>73.773</v>
      </c>
      <c r="E321" t="n">
        <v>0</v>
      </c>
      <c r="F321" t="n">
        <v>176.227</v>
      </c>
      <c r="G321" t="n">
        <v>0</v>
      </c>
    </row>
    <row r="322">
      <c r="B322" t="n">
        <v>77</v>
      </c>
      <c r="C322">
        <f>IF(MOD(B322,20)=0,TEXT(B322,"0"),"")</f>
        <v/>
      </c>
      <c r="D322" t="n">
        <v>73.773</v>
      </c>
      <c r="E322" t="n">
        <v>0</v>
      </c>
      <c r="F322" t="n">
        <v>176.227</v>
      </c>
      <c r="G322" t="n">
        <v>0</v>
      </c>
    </row>
    <row r="323">
      <c r="B323" t="n">
        <v>77.5</v>
      </c>
      <c r="C323">
        <f>IF(MOD(B323,20)=0,TEXT(B323,"0"),"")</f>
        <v/>
      </c>
      <c r="D323" t="n">
        <v>73.773</v>
      </c>
      <c r="E323" t="n">
        <v>0</v>
      </c>
      <c r="F323" t="n">
        <v>176.227</v>
      </c>
      <c r="G323" t="n">
        <v>0</v>
      </c>
    </row>
    <row r="324">
      <c r="B324" t="n">
        <v>78</v>
      </c>
      <c r="C324">
        <f>IF(MOD(B324,20)=0,TEXT(B324,"0"),"")</f>
        <v/>
      </c>
      <c r="D324" t="n">
        <v>73.773</v>
      </c>
      <c r="E324" t="n">
        <v>0</v>
      </c>
      <c r="F324" t="n">
        <v>176.227</v>
      </c>
      <c r="G324" t="n">
        <v>0</v>
      </c>
    </row>
    <row r="325">
      <c r="B325" t="n">
        <v>78.5</v>
      </c>
      <c r="C325">
        <f>IF(MOD(B325,20)=0,TEXT(B325,"0"),"")</f>
        <v/>
      </c>
      <c r="D325" t="n">
        <v>73.773</v>
      </c>
      <c r="E325" t="n">
        <v>0</v>
      </c>
      <c r="F325" t="n">
        <v>176.227</v>
      </c>
      <c r="G325" t="n">
        <v>0</v>
      </c>
    </row>
    <row r="326">
      <c r="B326" t="n">
        <v>79</v>
      </c>
      <c r="C326">
        <f>IF(MOD(B326,20)=0,TEXT(B326,"0"),"")</f>
        <v/>
      </c>
      <c r="D326" t="n">
        <v>73.773</v>
      </c>
      <c r="E326" t="n">
        <v>0</v>
      </c>
      <c r="F326" t="n">
        <v>176.227</v>
      </c>
      <c r="G326" t="n">
        <v>0</v>
      </c>
    </row>
    <row r="327">
      <c r="B327" t="n">
        <v>79.5</v>
      </c>
      <c r="C327">
        <f>IF(MOD(B327,20)=0,TEXT(B327,"0"),"")</f>
        <v/>
      </c>
      <c r="D327" t="n">
        <v>73.773</v>
      </c>
      <c r="E327" t="n">
        <v>0</v>
      </c>
      <c r="F327" t="n">
        <v>176.227</v>
      </c>
      <c r="G327" t="n">
        <v>0</v>
      </c>
    </row>
    <row r="328">
      <c r="B328" t="n">
        <v>80</v>
      </c>
      <c r="C328">
        <f>IF(MOD(B328,20)=0,TEXT(B328,"0"),"")</f>
        <v/>
      </c>
      <c r="D328" t="n">
        <v>73.773</v>
      </c>
      <c r="E328" t="n">
        <v>0</v>
      </c>
      <c r="F328" t="n">
        <v>176.227</v>
      </c>
      <c r="G328" t="n">
        <v>0</v>
      </c>
    </row>
    <row r="329">
      <c r="B329" t="n">
        <v>80.5</v>
      </c>
      <c r="C329">
        <f>IF(MOD(B329,20)=0,TEXT(B329,"0"),"")</f>
        <v/>
      </c>
      <c r="D329" t="n">
        <v>73.773</v>
      </c>
      <c r="E329" t="n">
        <v>0</v>
      </c>
      <c r="F329" t="n">
        <v>176.227</v>
      </c>
      <c r="G329" t="n">
        <v>0</v>
      </c>
    </row>
    <row r="330">
      <c r="B330" t="n">
        <v>81</v>
      </c>
      <c r="C330">
        <f>IF(MOD(B330,20)=0,TEXT(B330,"0"),"")</f>
        <v/>
      </c>
      <c r="D330" t="n">
        <v>73.773</v>
      </c>
      <c r="E330" t="n">
        <v>0</v>
      </c>
      <c r="F330" t="n">
        <v>176.227</v>
      </c>
      <c r="G330" t="n">
        <v>0</v>
      </c>
    </row>
    <row r="331">
      <c r="B331" t="n">
        <v>81.5</v>
      </c>
      <c r="C331">
        <f>IF(MOD(B331,20)=0,TEXT(B331,"0"),"")</f>
        <v/>
      </c>
      <c r="D331" t="n">
        <v>73.773</v>
      </c>
      <c r="E331" t="n">
        <v>0</v>
      </c>
      <c r="F331" t="n">
        <v>176.227</v>
      </c>
      <c r="G331" t="n">
        <v>0</v>
      </c>
    </row>
    <row r="332">
      <c r="B332" t="n">
        <v>82</v>
      </c>
      <c r="C332">
        <f>IF(MOD(B332,20)=0,TEXT(B332,"0"),"")</f>
        <v/>
      </c>
      <c r="D332" t="n">
        <v>73.773</v>
      </c>
      <c r="E332" t="n">
        <v>0</v>
      </c>
      <c r="F332" t="n">
        <v>176.227</v>
      </c>
      <c r="G332" t="n">
        <v>0</v>
      </c>
    </row>
    <row r="333">
      <c r="B333" t="n">
        <v>82.5</v>
      </c>
      <c r="C333">
        <f>IF(MOD(B333,20)=0,TEXT(B333,"0"),"")</f>
        <v/>
      </c>
      <c r="D333" t="n">
        <v>73.773</v>
      </c>
      <c r="E333" t="n">
        <v>0</v>
      </c>
      <c r="F333" t="n">
        <v>176.227</v>
      </c>
      <c r="G333" t="n">
        <v>0</v>
      </c>
    </row>
    <row r="334">
      <c r="B334" t="n">
        <v>83</v>
      </c>
      <c r="C334">
        <f>IF(MOD(B334,20)=0,TEXT(B334,"0"),"")</f>
        <v/>
      </c>
      <c r="D334" t="n">
        <v>73.773</v>
      </c>
      <c r="E334" t="n">
        <v>0</v>
      </c>
      <c r="F334" t="n">
        <v>176.227</v>
      </c>
      <c r="G334" t="n">
        <v>0</v>
      </c>
    </row>
    <row r="335">
      <c r="B335" t="n">
        <v>83.5</v>
      </c>
      <c r="C335">
        <f>IF(MOD(B335,20)=0,TEXT(B335,"0"),"")</f>
        <v/>
      </c>
      <c r="D335" t="n">
        <v>73.773</v>
      </c>
      <c r="E335" t="n">
        <v>0</v>
      </c>
      <c r="F335" t="n">
        <v>176.227</v>
      </c>
      <c r="G335" t="n">
        <v>0</v>
      </c>
    </row>
    <row r="336">
      <c r="B336" t="n">
        <v>84</v>
      </c>
      <c r="C336">
        <f>IF(MOD(B336,20)=0,TEXT(B336,"0"),"")</f>
        <v/>
      </c>
      <c r="D336" t="n">
        <v>73.773</v>
      </c>
      <c r="E336" t="n">
        <v>0</v>
      </c>
      <c r="F336" t="n">
        <v>176.227</v>
      </c>
      <c r="G336" t="n">
        <v>0</v>
      </c>
    </row>
    <row r="337">
      <c r="B337" t="n">
        <v>84.5</v>
      </c>
      <c r="C337">
        <f>IF(MOD(B337,20)=0,TEXT(B337,"0"),"")</f>
        <v/>
      </c>
      <c r="D337" t="n">
        <v>73.773</v>
      </c>
      <c r="E337" t="n">
        <v>0</v>
      </c>
      <c r="F337" t="n">
        <v>176.227</v>
      </c>
      <c r="G337" t="n">
        <v>0</v>
      </c>
    </row>
    <row r="338">
      <c r="B338" t="n">
        <v>85</v>
      </c>
      <c r="C338">
        <f>IF(MOD(B338,20)=0,TEXT(B338,"0"),"")</f>
        <v/>
      </c>
      <c r="D338" t="n">
        <v>73.773</v>
      </c>
      <c r="E338" t="n">
        <v>0</v>
      </c>
      <c r="F338" t="n">
        <v>176.227</v>
      </c>
      <c r="G338" t="n">
        <v>0</v>
      </c>
    </row>
    <row r="339">
      <c r="B339" t="n">
        <v>85.5</v>
      </c>
      <c r="C339">
        <f>IF(MOD(B339,20)=0,TEXT(B339,"0"),"")</f>
        <v/>
      </c>
      <c r="D339" t="n">
        <v>73.773</v>
      </c>
      <c r="E339" t="n">
        <v>0</v>
      </c>
      <c r="F339" t="n">
        <v>176.227</v>
      </c>
      <c r="G339" t="n">
        <v>0</v>
      </c>
    </row>
    <row r="340">
      <c r="B340" t="n">
        <v>86</v>
      </c>
      <c r="C340">
        <f>IF(MOD(B340,20)=0,TEXT(B340,"0"),"")</f>
        <v/>
      </c>
      <c r="D340" t="n">
        <v>73.773</v>
      </c>
      <c r="E340" t="n">
        <v>0</v>
      </c>
      <c r="F340" t="n">
        <v>176.227</v>
      </c>
      <c r="G340" t="n">
        <v>0</v>
      </c>
    </row>
    <row r="341">
      <c r="B341" t="n">
        <v>86.5</v>
      </c>
      <c r="C341">
        <f>IF(MOD(B341,20)=0,TEXT(B341,"0"),"")</f>
        <v/>
      </c>
      <c r="D341" t="n">
        <v>73.773</v>
      </c>
      <c r="E341" t="n">
        <v>0</v>
      </c>
      <c r="F341" t="n">
        <v>176.227</v>
      </c>
      <c r="G341" t="n">
        <v>0</v>
      </c>
    </row>
    <row r="342">
      <c r="B342" t="n">
        <v>87</v>
      </c>
      <c r="C342">
        <f>IF(MOD(B342,20)=0,TEXT(B342,"0"),"")</f>
        <v/>
      </c>
      <c r="D342" t="n">
        <v>73.773</v>
      </c>
      <c r="E342" t="n">
        <v>0</v>
      </c>
      <c r="F342" t="n">
        <v>176.227</v>
      </c>
      <c r="G342" t="n">
        <v>0</v>
      </c>
    </row>
    <row r="343">
      <c r="B343" t="n">
        <v>87.5</v>
      </c>
      <c r="C343">
        <f>IF(MOD(B343,20)=0,TEXT(B343,"0"),"")</f>
        <v/>
      </c>
      <c r="D343" t="n">
        <v>73.773</v>
      </c>
      <c r="E343" t="n">
        <v>0</v>
      </c>
      <c r="F343" t="n">
        <v>176.227</v>
      </c>
      <c r="G343" t="n">
        <v>0</v>
      </c>
    </row>
    <row r="344">
      <c r="B344" t="n">
        <v>88</v>
      </c>
      <c r="C344">
        <f>IF(MOD(B344,20)=0,TEXT(B344,"0"),"")</f>
        <v/>
      </c>
      <c r="D344" t="n">
        <v>73.773</v>
      </c>
      <c r="E344" t="n">
        <v>0</v>
      </c>
      <c r="F344" t="n">
        <v>176.227</v>
      </c>
      <c r="G344" t="n">
        <v>0</v>
      </c>
    </row>
    <row r="345">
      <c r="B345" t="n">
        <v>88.5</v>
      </c>
      <c r="C345">
        <f>IF(MOD(B345,20)=0,TEXT(B345,"0"),"")</f>
        <v/>
      </c>
      <c r="D345" t="n">
        <v>73.773</v>
      </c>
      <c r="E345" t="n">
        <v>0</v>
      </c>
      <c r="F345" t="n">
        <v>176.227</v>
      </c>
      <c r="G345" t="n">
        <v>0</v>
      </c>
    </row>
    <row r="346">
      <c r="B346" t="n">
        <v>89</v>
      </c>
      <c r="C346">
        <f>IF(MOD(B346,20)=0,TEXT(B346,"0"),"")</f>
        <v/>
      </c>
      <c r="D346" t="n">
        <v>73.773</v>
      </c>
      <c r="E346" t="n">
        <v>0</v>
      </c>
      <c r="F346" t="n">
        <v>176.227</v>
      </c>
      <c r="G346" t="n">
        <v>0</v>
      </c>
    </row>
    <row r="347">
      <c r="B347" t="n">
        <v>89.5</v>
      </c>
      <c r="C347">
        <f>IF(MOD(B347,20)=0,TEXT(B347,"0"),"")</f>
        <v/>
      </c>
      <c r="D347" t="n">
        <v>73.773</v>
      </c>
      <c r="E347" t="n">
        <v>0</v>
      </c>
      <c r="F347" t="n">
        <v>176.227</v>
      </c>
      <c r="G347" t="n">
        <v>0</v>
      </c>
    </row>
    <row r="348">
      <c r="B348" t="n">
        <v>90</v>
      </c>
      <c r="C348">
        <f>IF(MOD(B348,20)=0,TEXT(B348,"0"),"")</f>
        <v/>
      </c>
      <c r="D348" t="n">
        <v>73.773</v>
      </c>
      <c r="E348" t="n">
        <v>0</v>
      </c>
      <c r="F348" t="n">
        <v>176.227</v>
      </c>
      <c r="G348" t="n">
        <v>0</v>
      </c>
    </row>
    <row r="349">
      <c r="B349" t="n">
        <v>90.5</v>
      </c>
      <c r="C349">
        <f>IF(MOD(B349,20)=0,TEXT(B349,"0"),"")</f>
        <v/>
      </c>
      <c r="D349" t="n">
        <v>73.773</v>
      </c>
      <c r="E349" t="n">
        <v>0</v>
      </c>
      <c r="F349" t="n">
        <v>176.227</v>
      </c>
      <c r="G349" t="n">
        <v>0</v>
      </c>
    </row>
    <row r="350">
      <c r="B350" t="n">
        <v>91</v>
      </c>
      <c r="C350">
        <f>IF(MOD(B350,20)=0,TEXT(B350,"0"),"")</f>
        <v/>
      </c>
      <c r="D350" t="n">
        <v>73.773</v>
      </c>
      <c r="E350" t="n">
        <v>0</v>
      </c>
      <c r="F350" t="n">
        <v>176.227</v>
      </c>
      <c r="G350" t="n">
        <v>0</v>
      </c>
    </row>
    <row r="351">
      <c r="B351" t="n">
        <v>91.5</v>
      </c>
      <c r="C351">
        <f>IF(MOD(B351,20)=0,TEXT(B351,"0"),"")</f>
        <v/>
      </c>
      <c r="D351" t="n">
        <v>73.773</v>
      </c>
      <c r="E351" t="n">
        <v>0</v>
      </c>
      <c r="F351" t="n">
        <v>176.227</v>
      </c>
      <c r="G351" t="n">
        <v>0</v>
      </c>
    </row>
    <row r="352">
      <c r="B352" t="n">
        <v>92</v>
      </c>
      <c r="C352">
        <f>IF(MOD(B352,20)=0,TEXT(B352,"0"),"")</f>
        <v/>
      </c>
      <c r="D352" t="n">
        <v>73.773</v>
      </c>
      <c r="E352" t="n">
        <v>0</v>
      </c>
      <c r="F352" t="n">
        <v>176.227</v>
      </c>
      <c r="G352" t="n">
        <v>0</v>
      </c>
    </row>
    <row r="353">
      <c r="B353" t="n">
        <v>92.5</v>
      </c>
      <c r="C353">
        <f>IF(MOD(B353,20)=0,TEXT(B353,"0"),"")</f>
        <v/>
      </c>
      <c r="D353" t="n">
        <v>73.773</v>
      </c>
      <c r="E353" t="n">
        <v>0</v>
      </c>
      <c r="F353" t="n">
        <v>176.227</v>
      </c>
      <c r="G353" t="n">
        <v>0</v>
      </c>
    </row>
    <row r="354">
      <c r="B354" t="n">
        <v>93</v>
      </c>
      <c r="C354">
        <f>IF(MOD(B354,20)=0,TEXT(B354,"0"),"")</f>
        <v/>
      </c>
      <c r="D354" t="n">
        <v>73.773</v>
      </c>
      <c r="E354" t="n">
        <v>0</v>
      </c>
      <c r="F354" t="n">
        <v>176.227</v>
      </c>
      <c r="G354" t="n">
        <v>0</v>
      </c>
    </row>
    <row r="355">
      <c r="B355" t="n">
        <v>93.5</v>
      </c>
      <c r="C355">
        <f>IF(MOD(B355,20)=0,TEXT(B355,"0"),"")</f>
        <v/>
      </c>
      <c r="D355" t="n">
        <v>73.773</v>
      </c>
      <c r="E355" t="n">
        <v>0</v>
      </c>
      <c r="F355" t="n">
        <v>176.227</v>
      </c>
      <c r="G355" t="n">
        <v>0</v>
      </c>
    </row>
    <row r="356">
      <c r="B356" t="n">
        <v>94</v>
      </c>
      <c r="C356">
        <f>IF(MOD(B356,20)=0,TEXT(B356,"0"),"")</f>
        <v/>
      </c>
      <c r="D356" t="n">
        <v>73.773</v>
      </c>
      <c r="E356" t="n">
        <v>0</v>
      </c>
      <c r="F356" t="n">
        <v>176.227</v>
      </c>
      <c r="G356" t="n">
        <v>0</v>
      </c>
    </row>
    <row r="357">
      <c r="B357" t="n">
        <v>94.5</v>
      </c>
      <c r="C357">
        <f>IF(MOD(B357,20)=0,TEXT(B357,"0"),"")</f>
        <v/>
      </c>
      <c r="D357" t="n">
        <v>73.773</v>
      </c>
      <c r="E357" t="n">
        <v>0</v>
      </c>
      <c r="F357" t="n">
        <v>176.227</v>
      </c>
      <c r="G357" t="n">
        <v>0</v>
      </c>
    </row>
    <row r="358">
      <c r="B358" t="n">
        <v>95</v>
      </c>
      <c r="C358">
        <f>IF(MOD(B358,20)=0,TEXT(B358,"0"),"")</f>
        <v/>
      </c>
      <c r="D358" t="n">
        <v>73.773</v>
      </c>
      <c r="E358" t="n">
        <v>0</v>
      </c>
      <c r="F358" t="n">
        <v>176.227</v>
      </c>
      <c r="G358" t="n">
        <v>0</v>
      </c>
    </row>
    <row r="359">
      <c r="B359" t="n">
        <v>95.5</v>
      </c>
      <c r="C359">
        <f>IF(MOD(B359,20)=0,TEXT(B359,"0"),"")</f>
        <v/>
      </c>
      <c r="D359" t="n">
        <v>73.773</v>
      </c>
      <c r="E359" t="n">
        <v>0</v>
      </c>
      <c r="F359" t="n">
        <v>176.227</v>
      </c>
      <c r="G359" t="n">
        <v>0</v>
      </c>
    </row>
    <row r="360">
      <c r="B360" t="n">
        <v>96</v>
      </c>
      <c r="C360">
        <f>IF(MOD(B360,20)=0,TEXT(B360,"0"),"")</f>
        <v/>
      </c>
      <c r="D360" t="n">
        <v>73.773</v>
      </c>
      <c r="E360" t="n">
        <v>0</v>
      </c>
      <c r="F360" t="n">
        <v>176.227</v>
      </c>
      <c r="G360" t="n">
        <v>0</v>
      </c>
    </row>
    <row r="361">
      <c r="B361" t="n">
        <v>96.5</v>
      </c>
      <c r="C361">
        <f>IF(MOD(B361,20)=0,TEXT(B361,"0"),"")</f>
        <v/>
      </c>
      <c r="D361" t="n">
        <v>73.773</v>
      </c>
      <c r="E361" t="n">
        <v>0</v>
      </c>
      <c r="F361" t="n">
        <v>176.227</v>
      </c>
      <c r="G361" t="n">
        <v>0</v>
      </c>
    </row>
    <row r="362">
      <c r="B362" t="n">
        <v>97</v>
      </c>
      <c r="C362">
        <f>IF(MOD(B362,20)=0,TEXT(B362,"0"),"")</f>
        <v/>
      </c>
      <c r="D362" t="n">
        <v>73.773</v>
      </c>
      <c r="E362" t="n">
        <v>0</v>
      </c>
      <c r="F362" t="n">
        <v>176.227</v>
      </c>
      <c r="G362" t="n">
        <v>0</v>
      </c>
    </row>
    <row r="363">
      <c r="B363" t="n">
        <v>97.5</v>
      </c>
      <c r="C363">
        <f>IF(MOD(B363,20)=0,TEXT(B363,"0"),"")</f>
        <v/>
      </c>
      <c r="D363" t="n">
        <v>73.773</v>
      </c>
      <c r="E363" t="n">
        <v>0</v>
      </c>
      <c r="F363" t="n">
        <v>176.227</v>
      </c>
      <c r="G363" t="n">
        <v>0</v>
      </c>
    </row>
    <row r="364">
      <c r="B364" t="n">
        <v>98</v>
      </c>
      <c r="C364">
        <f>IF(MOD(B364,20)=0,TEXT(B364,"0"),"")</f>
        <v/>
      </c>
      <c r="D364" t="n">
        <v>73.773</v>
      </c>
      <c r="E364" t="n">
        <v>0</v>
      </c>
      <c r="F364" t="n">
        <v>176.227</v>
      </c>
      <c r="G364" t="n">
        <v>0</v>
      </c>
    </row>
    <row r="365">
      <c r="B365" t="n">
        <v>98.5</v>
      </c>
      <c r="C365">
        <f>IF(MOD(B365,20)=0,TEXT(B365,"0"),"")</f>
        <v/>
      </c>
      <c r="D365" t="n">
        <v>73.773</v>
      </c>
      <c r="E365" t="n">
        <v>0</v>
      </c>
      <c r="F365" t="n">
        <v>176.227</v>
      </c>
      <c r="G365" t="n">
        <v>0</v>
      </c>
    </row>
    <row r="366">
      <c r="B366" t="n">
        <v>99</v>
      </c>
      <c r="C366">
        <f>IF(MOD(B366,20)=0,TEXT(B366,"0"),"")</f>
        <v/>
      </c>
      <c r="D366" t="n">
        <v>73.773</v>
      </c>
      <c r="E366" t="n">
        <v>0</v>
      </c>
      <c r="F366" t="n">
        <v>176.227</v>
      </c>
      <c r="G366" t="n">
        <v>0</v>
      </c>
    </row>
    <row r="367">
      <c r="B367" t="n">
        <v>99.5</v>
      </c>
      <c r="C367">
        <f>IF(MOD(B367,20)=0,TEXT(B367,"0"),"")</f>
        <v/>
      </c>
      <c r="D367" t="n">
        <v>73.773</v>
      </c>
      <c r="E367" t="n">
        <v>0</v>
      </c>
      <c r="F367" t="n">
        <v>176.227</v>
      </c>
      <c r="G367" t="n">
        <v>0</v>
      </c>
    </row>
    <row r="368">
      <c r="B368" t="n">
        <v>100</v>
      </c>
      <c r="C368">
        <f>IF(MOD(B368,20)=0,TEXT(B368,"0"),"")</f>
        <v/>
      </c>
      <c r="D368" t="n">
        <v>73.773</v>
      </c>
      <c r="E368" t="n">
        <v>0</v>
      </c>
      <c r="F368" t="n">
        <v>176.227</v>
      </c>
      <c r="G368" t="n">
        <v>0</v>
      </c>
    </row>
    <row r="369"/>
    <row r="370">
      <c r="I370" t="inlineStr">
        <is>
          <t>Vergleich A: verflüssigen bei 60 bar / 20 °C – Werte aus 04_phasenpfade_vergleich.py</t>
        </is>
      </c>
      <c r="J370" s="64" t="n">
        <v>15</v>
      </c>
      <c r="K370" s="64" t="n">
        <v>30</v>
      </c>
      <c r="L370">
        <f>(J370-Diagramm_Tmin)/Diagramm_dT+1</f>
        <v/>
      </c>
    </row>
    <row r="371">
      <c r="J371" s="64" t="n">
        <v>43.10167600301611</v>
      </c>
      <c r="K371" s="64" t="n">
        <v>42.42640687119285</v>
      </c>
      <c r="L371">
        <f>(J371-Diagramm_Tmin)/Diagramm_dT+1</f>
        <v/>
      </c>
    </row>
    <row r="372">
      <c r="J372" s="64" t="n">
        <v>20</v>
      </c>
      <c r="K372" s="64" t="n">
        <v>42.42640687119285</v>
      </c>
      <c r="L372">
        <f>(J372-Diagramm_Tmin)/Diagramm_dT+1</f>
        <v/>
      </c>
    </row>
    <row r="373">
      <c r="J373" s="64" t="n">
        <v>48.44610457479314</v>
      </c>
      <c r="K373" s="64" t="n">
        <v>60</v>
      </c>
      <c r="L373">
        <f>(J373-Diagramm_Tmin)/Diagramm_dT+1</f>
        <v/>
      </c>
    </row>
    <row r="374">
      <c r="J374" s="64" t="n">
        <v>20</v>
      </c>
      <c r="K374" s="64" t="n">
        <v>60</v>
      </c>
      <c r="L374">
        <f>(J374-Diagramm_Tmin)/Diagramm_dT+1</f>
        <v/>
      </c>
    </row>
    <row r="375">
      <c r="J375" s="64" t="n">
        <v>28.54339258783</v>
      </c>
      <c r="K375" s="64" t="n">
        <v>114.6341589872628</v>
      </c>
      <c r="L375">
        <f>(J375-Diagramm_Tmin)/Diagramm_dT+1</f>
        <v/>
      </c>
    </row>
  </sheetData>
  <mergeCells count="1">
    <mergeCell ref="D4:G5"/>
  </mergeCells>
  <hyperlinks>
    <hyperlink ref="B3" location="'Übersicht'!A1" display="← zur Übersicht"/>
  </hyperlinks>
  <pageMargins left="0.4" right="0.4" top="0.5" bottom="0.5" header="0.3" footer="0.3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Sarah Maxara</dc:creator>
  <dc:title xmlns:dc="http://purl.org/dc/elements/1.1/">CO2-Zwischenspeicherung – Rechenübersicht Einspeicherung</dc:title>
  <dc:description xmlns:dc="http://purl.org/dc/elements/1.1/">Stoffdaten CoolProp 8.0.0</dc:description>
  <dcterms:created xmlns:dcterms="http://purl.org/dc/terms/" xmlns:xsi="http://www.w3.org/2001/XMLSchema-instance" xsi:type="dcterms:W3CDTF">2026-09-28T06:28:12Z</dcterms:created>
  <dcterms:modified xmlns:dcterms="http://purl.org/dc/terms/" xmlns:xsi="http://www.w3.org/2001/XMLSchema-instance" xsi:type="dcterms:W3CDTF">2026-10-15T12:38:36Z</dcterms:modified>
  <cp:lastModifiedBy>Sarah Maxara (smaxara)</cp:lastModifiedBy>
</cp:coreProperties>
</file>