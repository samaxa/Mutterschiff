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koelnde-my.sharepoint.com/personal/smaxara_th-koeln_de/Documents/Dokumente/Uniper/Masterarbeit/Uniper_Workspace/"/>
    </mc:Choice>
  </mc:AlternateContent>
  <xr:revisionPtr revIDLastSave="33" documentId="11_E087685212B21CC5CE70477D42F12DEC58053766" xr6:coauthVersionLast="47" xr6:coauthVersionMax="47" xr10:uidLastSave="{597F27BC-C6DF-450F-9548-66D045AA4713}"/>
  <bookViews>
    <workbookView xWindow="-120" yWindow="-120" windowWidth="29040" windowHeight="15720" activeTab="0" xr2:uid="{00000000-000D-0000-FFFF-FFFF00000000}"/>
  </bookViews>
  <sheets>
    <sheet name="Übersicht" sheetId="1" r:id="rId1"/>
    <sheet name="Gemisch &amp; Grenzen" sheetId="9" r:id="rId20"/>
    <sheet name="Kaverne &amp; Gassäule" sheetId="2" r:id="rId2"/>
    <sheet name="Medienvergleich" sheetId="3" r:id="rId3"/>
    <sheet name="Einspeicherung S1" sheetId="4" r:id="rId4"/>
    <sheet name="Einspeicherung S2" sheetId="5" r:id="rId5"/>
    <sheet name="Phasendiagramm" sheetId="6" r:id="rId6"/>
    <sheet name="Quellen" sheetId="7" r:id="rId7"/>
    <sheet name="Diagrammdaten" sheetId="8" r:id="rId8"/>
  </sheets>
  <definedNames>
    <definedName name="Diagramm_dT">Diagrammdaten!$C$5</definedName>
    <definedName name="Diagramm_Tmin">Diagrammdaten!$C$4</definedName>
    <definedName name="Dv_h1a">'Einspeicherung S2'!$E$76</definedName>
    <definedName name="Dv_h1s">'Einspeicherung S2'!$E$75</definedName>
    <definedName name="Dv_h2a">'Einspeicherung S2'!$E$87</definedName>
    <definedName name="Dv_h2s">'Einspeicherung S2'!$E$86</definedName>
    <definedName name="Dv_hN">'Einspeicherung S2'!$E$93</definedName>
    <definedName name="Dv_hZK1">'Einspeicherung S2'!$E$81</definedName>
    <definedName name="Dv_p1">'Einspeicherung S2'!$E$72</definedName>
    <definedName name="Dv_Pmax">'Einspeicherung S2'!$E$98</definedName>
    <definedName name="Dv_q_ges">'Einspeicherung S2'!$E$97</definedName>
    <definedName name="Dv_qN">'Einspeicherung S2'!$E$94</definedName>
    <definedName name="Dv_qZK1">'Einspeicherung S2'!$E$82</definedName>
    <definedName name="Dv_T1a">'Einspeicherung S2'!$E$77</definedName>
    <definedName name="Dv_T2a">'Einspeicherung S2'!$E$88</definedName>
    <definedName name="Dv_w1">'Einspeicherung S2'!$E$78</definedName>
    <definedName name="Dv_w2">'Einspeicherung S2'!$E$90</definedName>
    <definedName name="Dv_w_ges">'Einspeicherung S2'!$E$96</definedName>
    <definedName name="eta">Übersicht!$F$67</definedName>
    <definedName name="eta_V1">Übersicht!$F$65</definedName>
    <definedName name="eta_V2">Übersicht!$F$66</definedName>
    <definedName name="grad_V1">Übersicht!$F$55</definedName>
    <definedName name="Kopf_grenz">'Kaverne &amp; Gassäule'!$D$19</definedName>
    <definedName name="Kopf_leer">'Kaverne &amp; Gassäule'!$D$20</definedName>
    <definedName name="Kopf_voll">'Kaverne &amp; Gassäule'!$D$18</definedName>
    <definedName name="MV_Kopf_CH4">Medienvergleich!$D$11</definedName>
    <definedName name="MV_Kopf_CO2">Medienvergleich!$C$11</definedName>
    <definedName name="MV_Kopf_H2">Medienvergleich!$E$11</definedName>
    <definedName name="p_blase_TK">'Gemisch &amp; Grenzen'!$H$15</definedName>
    <definedName name="p_cricondenbar">'Gemisch &amp; Grenzen'!$H$11</definedName>
    <definedName name="p_grenz">'Kaverne &amp; Gassäule'!$C$19</definedName>
    <definedName name="p_lith_V1">Übersicht!$F$71</definedName>
    <definedName name="p_S1">Übersicht!$F$43</definedName>
    <definedName name="p_S2">Übersicht!$F$46</definedName>
    <definedName name="p_tau_TK">'Gemisch &amp; Grenzen'!$H$16</definedName>
    <definedName name="p_verfl">Übersicht!$F$50</definedName>
    <definedName name="p_zw">Übersicht!$F$51</definedName>
    <definedName name="pmax_V1">Übersicht!$F$56</definedName>
    <definedName name="pmin_V1">Übersicht!$F$57</definedName>
    <definedName name="rho_n">'Einspeicherung S1'!$E$19</definedName>
    <definedName name="rhoSalz_V1">Übersicht!$F$58</definedName>
    <definedName name="Stand_ok">Übersicht!$Q$39</definedName>
    <definedName name="Szen1_eta">'Einspeicherung S1'!$E$14</definedName>
    <definedName name="Szen1_h1">'Einspeicherung S1'!$E$10</definedName>
    <definedName name="Szen1_h2">'Einspeicherung S1'!$E$15</definedName>
    <definedName name="Szen1_h2s">'Einspeicherung S1'!$E$13</definedName>
    <definedName name="Szen1_mmax">'Einspeicherung S1'!$E$21</definedName>
    <definedName name="Szen1_mmin">'Einspeicherung S1'!$E$20</definedName>
    <definedName name="Szen1_p1">'Einspeicherung S1'!$E$8</definedName>
    <definedName name="Szen1_p2">'Einspeicherung S1'!$E$12</definedName>
    <definedName name="Szen1_Pmax">'Einspeicherung S1'!$E$23</definedName>
    <definedName name="Szen1_Pmin">'Einspeicherung S1'!$E$22</definedName>
    <definedName name="Szen1_s1">'Einspeicherung S1'!$E$11</definedName>
    <definedName name="Szen1_T1">'Einspeicherung S1'!$E$9</definedName>
    <definedName name="Szen1_T2">'Einspeicherung S1'!$E$16</definedName>
    <definedName name="Szen1_w">'Einspeicherung S1'!$E$18</definedName>
    <definedName name="Szen2_h1">'Einspeicherung S2'!$E$12</definedName>
    <definedName name="Szen2_h1a">'Einspeicherung S2'!$E$15</definedName>
    <definedName name="Szen2_h1s">'Einspeicherung S2'!$E$14</definedName>
    <definedName name="Szen2_hPa">'Einspeicherung S2'!$E$29</definedName>
    <definedName name="Szen2_hPs">'Einspeicherung S2'!$E$28</definedName>
    <definedName name="Szen2_hV">'Einspeicherung S2'!$E$23</definedName>
    <definedName name="Szen2_Pmax">'Einspeicherung S2'!$E$35</definedName>
    <definedName name="Szen2_Pmin">'Einspeicherung S2'!$E$34</definedName>
    <definedName name="Szen2_psatK">'Einspeicherung S2'!$E$20</definedName>
    <definedName name="Szen2_Qmax">'Einspeicherung S2'!$E$36</definedName>
    <definedName name="Szen2_qV">'Einspeicherung S2'!$E$25</definedName>
    <definedName name="Szen2_T1a">'Einspeicherung S2'!$E$16</definedName>
    <definedName name="Szen2_TPa">'Einspeicherung S2'!$E$30</definedName>
    <definedName name="Szen2_w1">'Einspeicherung S2'!$E$18</definedName>
    <definedName name="Szen2_w_ges">'Einspeicherung S2'!$E$33</definedName>
    <definedName name="Szen2_wP">'Einspeicherung S2'!$E$31</definedName>
    <definedName name="Szen2v_h1a">'Einspeicherung S2'!$E$46</definedName>
    <definedName name="Szen2v_h1s">'Einspeicherung S2'!$E$45</definedName>
    <definedName name="Szen2v_h2a">'Einspeicherung S2'!$E$55</definedName>
    <definedName name="Szen2v_h2s">'Einspeicherung S2'!$E$54</definedName>
    <definedName name="Szen2v_hZK">'Einspeicherung S2'!$E$50</definedName>
    <definedName name="Szen2v_Pmax">'Einspeicherung S2'!$E$63</definedName>
    <definedName name="Szen2v_pzw">'Einspeicherung S2'!$E$43</definedName>
    <definedName name="Szen2v_qV">'Einspeicherung S2'!$E$59</definedName>
    <definedName name="Szen2v_qZK">'Einspeicherung S2'!$E$51</definedName>
    <definedName name="Szen2v_T1a">'Einspeicherung S2'!$E$47</definedName>
    <definedName name="Szen2v_T2a">'Einspeicherung S2'!$E$56</definedName>
    <definedName name="Szen2v_w1">'Einspeicherung S2'!$E$48</definedName>
    <definedName name="Szen2v_w2">'Einspeicherung S2'!$E$57</definedName>
    <definedName name="Szen2v_w_ges">'Einspeicherung S2'!$E$62</definedName>
    <definedName name="T_K">Übersicht!$F$48</definedName>
    <definedName name="T_Kav_V1">Übersicht!$F$70</definedName>
    <definedName name="T_maxV">Übersicht!$F$49</definedName>
    <definedName name="T_S1">Übersicht!$F$44</definedName>
    <definedName name="T_S2">Übersicht!$F$47</definedName>
    <definedName name="Tober_V1">Übersicht!$F$54</definedName>
    <definedName name="U_PG">'Gemisch &amp; Grenzen'!$H$14</definedName>
    <definedName name="V_max">Übersicht!$F$64</definedName>
    <definedName name="V_min">Übersicht!$F$63</definedName>
    <definedName name="z_V1">Übersicht!$F$53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<sst xmlns="http://schemas.openxmlformats.org/spreadsheetml/2006/main" count="1161" uniqueCount="661">
  <si>
    <t>CO₂-Zwischenspeicherung in Salzkavernen – Obertageanlage</t>
  </si>
  <si>
    <t>Rechenübersicht Einspeicherung · Masterarbeit Sarah Maxara · TH Köln / Uniper Energy Storage</t>
  </si>
  <si>
    <t>Stand: 24.09.2026 · Stoffdaten: CoolProp 8.0.0, Referenz-Zustandsgleichung Span &amp; Wagner (1996), reines CO₂ (Basisfall)</t>
  </si>
  <si>
    <t>Worum geht es?</t>
  </si>
  <si>
    <t>Diese Mappe zeigt Schritt für Schritt, wie die Obertageanlage für die Einspeicherung berechnet wird:
1. Welcher Druck muss am Bohrlochkopf anliegen? → das gibt die Kaverne über die Gassäule vor.
2. Wie bringt die Anlage das CO₂ auf diesen Druck? → Pumpe (dichte Anlieferung, S1) bzw. Verdichter, Verflüssiger und Pumpe (gasförmige Anlieferung, S2).
3. Wo liegen alle Zustände im Phasendiagramm – und wo liegt das Betriebsfenster von Bohrloch und Kaverne?
Basisfall ist reines CO₂. Begleitstoffe folgen als eigener Schritt.</t>
  </si>
  <si>
    <t>Farblegende der Zellen</t>
  </si>
  <si>
    <t>Annahme – darf geändert werden</t>
  </si>
  <si>
    <t>Stoffwert aus CoolProp – fest</t>
  </si>
  <si>
    <t>Excel-Formel – rechnet sofort mit</t>
  </si>
  <si>
    <t>wichtiges Ergebnis</t>
  </si>
  <si>
    <t>rot</t>
  </si>
  <si>
    <t>Stoffwert passt nicht mehr zu den Annahmen</t>
  </si>
  <si>
    <t>Inhalt</t>
  </si>
  <si>
    <t>→ Kaverne &amp; Gassäule</t>
  </si>
  <si>
    <t>Welchen Kopfdruck gibt die Kaverne vor? Gassäule im Stillstand für drei Füllstände (wie Q-028, Fig. 3).</t>
  </si>
  <si>
    <t>→ Medienvergleich</t>
  </si>
  <si>
    <t>Warum braucht CO₂ oben weniger Druck als Erdgas oder Wasserstoff?</t>
  </si>
  <si>
    <t>→ Einspeicherung S1</t>
  </si>
  <si>
    <t>Anlieferung dicht: Pumpe – jeder Rechenschritt einzeln.</t>
  </si>
  <si>
    <t>→ Einspeicherung S2</t>
  </si>
  <si>
    <t>Anlieferung gasförmig: Verdichtung, Zwischenkühlung, Verflüssigung, Pumpe.</t>
  </si>
  <si>
    <t>→ Phasendiagramm</t>
  </si>
  <si>
    <t>Diagramm 1: Prozesspfade bis zum Bohrlochkopf. Diagramm 2: Betriebsfenster von Bohrloch und Kaverne (nur Stillstand).</t>
  </si>
  <si>
    <t>→ Quellen</t>
  </si>
  <si>
    <t>Herkunft aller Annahmen und Stoffdaten.</t>
  </si>
  <si>
    <t>→ Diagrammdaten</t>
  </si>
  <si>
    <t>Hilfstabellen für die Diagramme (nicht ändern).</t>
  </si>
  <si>
    <t>Prozesskette Einspeicherung – Szenarien</t>
  </si>
  <si>
    <t>Szenarien &amp; Annahmen</t>
  </si>
  <si>
    <t>Blaue Werte dürfen geändert werden. Weiße Formelwerte rechnen sofort mit. Graue Stoffwerte (CoolProp) kann Excel nicht selbst berechnen – ändert sich eine Annahme, zeigt der Status, welche Werte neu berechnet werden müssen.</t>
  </si>
  <si>
    <t>Größe</t>
  </si>
  <si>
    <t>Symbol</t>
  </si>
  <si>
    <t>Wert</t>
  </si>
  <si>
    <t>Einheit</t>
  </si>
  <si>
    <t>Quelle / Begründung</t>
  </si>
  <si>
    <t>gerechnet mit</t>
  </si>
  <si>
    <t>Status</t>
  </si>
  <si>
    <t>Anlieferszenario S1 – dichte Phase (Pipeline OGE)</t>
  </si>
  <si>
    <t>Übergabedruck</t>
  </si>
  <si>
    <t>p_S1</t>
  </si>
  <si>
    <t>bar</t>
  </si>
  <si>
    <t>OGE-Notizen 16.09.2026, Pkt. 6: mind. 91 bar (vorher 85 bar), Worst Case mit Begleitstoffen</t>
  </si>
  <si>
    <t>Übergabetemperatur</t>
  </si>
  <si>
    <t>T_S1</t>
  </si>
  <si>
    <t>°C</t>
  </si>
  <si>
    <t>Annahme: Medientemperatur der Fernleitung (nicht Gebirgstemperatur)</t>
  </si>
  <si>
    <t>Anlieferszenario S2 – gasförmig</t>
  </si>
  <si>
    <t>p_S2</t>
  </si>
  <si>
    <t>Annahme aus Vorarbeit; alte Tabelle nennt Q-040 (ISO 27913) – dort noch nicht ausgewertet, zu prüfen</t>
  </si>
  <si>
    <t>T_S2</t>
  </si>
  <si>
    <t>Annahme: Medientemperatur</t>
  </si>
  <si>
    <t>Kühltemperatur nach jeder Stufe</t>
  </si>
  <si>
    <t>T_K</t>
  </si>
  <si>
    <t>Q-016 (S. 4, Kap. 2.3): Kühlung nach jeder Verdichterstufe auf 20 °C; setzt Kühlwasser voraus</t>
  </si>
  <si>
    <t>Max. Austrittstemperatur je Verdichterstufe</t>
  </si>
  <si>
    <t>T_max</t>
  </si>
  <si>
    <t>Q-016 (S. 4, Kap. 2.3): höchstens 95 °C nach jeder Stufe → legt die Zahl der Stufen fest</t>
  </si>
  <si>
    <t>Verflüssigungsdruck</t>
  </si>
  <si>
    <t>p_V</t>
  </si>
  <si>
    <t>eigene Festlegung: knapp über p_sat(T_K) = 57,3 bar → echte Kondensation (unter p_krit)</t>
  </si>
  <si>
    <t>Zwischendruck (nur Vergleich Durchverdichten)</t>
  </si>
  <si>
    <t>p_zw</t>
  </si>
  <si>
    <t>eigene Festlegung: unter p_sat(T_K) = 57,3 bar (sonst kondensiert es im Zwischenkühler), beide Stufen ≤ 95 °C → zulässig ca. 45–57 bar</t>
  </si>
  <si>
    <t>Kaverne V1 – tief (Basisfall)</t>
  </si>
  <si>
    <t>Teufe (LCCS)</t>
  </si>
  <si>
    <t>z</t>
  </si>
  <si>
    <t>m</t>
  </si>
  <si>
    <t>Q-030 Option 2; abgestimmt mit Martina Wall (Uniper)</t>
  </si>
  <si>
    <t>Gebirgstemperatur an der Oberfläche</t>
  </si>
  <si>
    <t>T₀</t>
  </si>
  <si>
    <t>Q-028 (Buzogany &amp; Kruck 2022)</t>
  </si>
  <si>
    <t>Geothermischer Gradient</t>
  </si>
  <si>
    <t>grad T</t>
  </si>
  <si>
    <t>K/m</t>
  </si>
  <si>
    <t>Q-028</t>
  </si>
  <si>
    <t>Maximaldruck an der LCCS</t>
  </si>
  <si>
    <t>p_max</t>
  </si>
  <si>
    <t>Zwischenwert aus Q-028 (200 bar) und Q-030 Opt. 2 (240 bar)</t>
  </si>
  <si>
    <t>Minimaldruck an der LCCS</t>
  </si>
  <si>
    <t>p_min</t>
  </si>
  <si>
    <t>Q-028: geomechanisches Minimum</t>
  </si>
  <si>
    <t>Dichte Salzgestein</t>
  </si>
  <si>
    <t>ρ_Salz</t>
  </si>
  <si>
    <t>kg/m³</t>
  </si>
  <si>
    <t>Q-028; nur für den lithostatischen Druck (Formel unten)</t>
  </si>
  <si>
    <t>Kaverne V2 – flach (Platzhalter)</t>
  </si>
  <si>
    <t>noch festzulegen; Anhalt: Q-030 Option 3 (700 m), Teufenoptimierung (~800 m)</t>
  </si>
  <si>
    <t>–</t>
  </si>
  <si>
    <t>– noch offen</t>
  </si>
  <si>
    <t>Maximal-/Minimaldruck an der LCCS</t>
  </si>
  <si>
    <t>p_max / p_min</t>
  </si>
  <si>
    <t>noch festzulegen; Anhalt: Q-030 Option 3 (125 / 40–50 bar)</t>
  </si>
  <si>
    <t>Betrieb &amp; Maschinen</t>
  </si>
  <si>
    <t>Normvolumenstrom, unterer Fall</t>
  </si>
  <si>
    <t>V_n,min</t>
  </si>
  <si>
    <t>Nm³/h</t>
  </si>
  <si>
    <t>abgestimmt mit Martina Wall (Uniper)</t>
  </si>
  <si>
    <t>rechnet live mit</t>
  </si>
  <si>
    <t>Normvolumenstrom, oberer Fall</t>
  </si>
  <si>
    <t>V_n,max</t>
  </si>
  <si>
    <t>Isentroper Wirkungsgrad Verdichter 1. Stufe (S2)</t>
  </si>
  <si>
    <t>η_V1</t>
  </si>
  <si>
    <t>Q-016 (S. 4, Kap. 2.3): 84 % in der ersten Stufe</t>
  </si>
  <si>
    <t>Isentroper Wirkungsgrad Verdichter 2. Stufe (nur Vergleich Durchverdichten)</t>
  </si>
  <si>
    <t>η_V2</t>
  </si>
  <si>
    <t>Q-016 (S. 4, Kap. 2.3): je weitere Stufe 2 % weniger → 82 %</t>
  </si>
  <si>
    <t>Isentroper Wirkungsgrad Pumpe (S1 und S2)</t>
  </si>
  <si>
    <t>η_P</t>
  </si>
  <si>
    <t>eigene Annahme; Q-016 nennt nur eine Glykolpumpe (70 %) – für die CO₂-Pumpe herstellerseitig zu bestätigen</t>
  </si>
  <si>
    <t>Abgeleitete Größen Kaverne V1 (Excel-Formeln, rechnen mit)</t>
  </si>
  <si>
    <t>Kavernentemperatur (Gebirge, Stillstand)</t>
  </si>
  <si>
    <t>T_Kav</t>
  </si>
  <si>
    <t>T_Kav = T₀ + grad T · z</t>
  </si>
  <si>
    <t>Lithostatischer Gebirgsdruck</t>
  </si>
  <si>
    <t>p_lith</t>
  </si>
  <si>
    <t>p_lith = ρ_Salz · g · z</t>
  </si>
  <si>
    <t>p_max im Verhältnis zu p_lith</t>
  </si>
  <si>
    <t>p_max/p_lith</t>
  </si>
  <si>
    <t>eigene Auslegung ca. 80 % von p_lith (alte Annahmentabelle nennt Q-038 mit 85 % – dort nicht belegt, zu prüfen)</t>
  </si>
  <si>
    <t>Kernergebnisse auf einen Blick</t>
  </si>
  <si>
    <t>Nötiger Bohrlochkopfdruck (Kaverne V1 voll, 210 bar unten)</t>
  </si>
  <si>
    <t/>
  </si>
  <si>
    <t>Zieldruck für Pumpe bzw. Verdichter – Blatt „Kaverne &amp; Gassäule“</t>
  </si>
  <si>
    <t>Bohrlochkopfdruck bei leerer Kaverne (70 bar unten)</t>
  </si>
  <si>
    <t>entspricht dem Dampfdruck bei 10 °C (45,0 bar) → oberes Bohrloch im Mehrphasengebiet</t>
  </si>
  <si>
    <t>Säulengewinn bei voller Kaverne</t>
  </si>
  <si>
    <t>diesen Druck liefert das Gewicht der CO₂-Säule „gratis“</t>
  </si>
  <si>
    <t>S1: spezifische Pumpenarbeit</t>
  </si>
  <si>
    <t>kJ/kg</t>
  </si>
  <si>
    <t>Blatt „Einspeicherung S1“</t>
  </si>
  <si>
    <t>S1: Pumpenleistung bei V_n,max</t>
  </si>
  <si>
    <t>kW</t>
  </si>
  <si>
    <t>bei 100.000 Nm³/h</t>
  </si>
  <si>
    <t>S2: spezifische Arbeit gesamt</t>
  </si>
  <si>
    <t>Verdichter + Pumpe – Blatt „Einspeicherung S2“</t>
  </si>
  <si>
    <t>S2: Antriebsleistung bei V_n,max</t>
  </si>
  <si>
    <t>S2-Variante 2 Verdichterstufen: spezifische Arbeit</t>
  </si>
  <si>
    <t>rund 6% weniger als 1 Stufe – dafür ein Verdichter und ein Kühler mehr (Entscheidungsfrage)</t>
  </si>
  <si>
    <t>Vergleich: Durchverdichten (2 Stufen), spezifische Arbeit</t>
  </si>
  <si>
    <t>S2 braucht rund 28% weniger Arbeit – deshalb verflüssigen und pumpen</t>
  </si>
  <si>
    <t>Kopfdruck Erdgas (CH₄) bei gleicher Kaverne</t>
  </si>
  <si>
    <t>Blatt „Medienvergleich“</t>
  </si>
  <si>
    <t>Kopfdruck Wasserstoff (H₂) bei gleicher Kaverne</t>
  </si>
  <si>
    <t>Kaverne &amp; Gassäule – welcher Druck muss am Bohrlochkopf anliegen?</t>
  </si>
  <si>
    <t>Einspeicherung, Kaverne V1 (tief) · Stillstand: Temperatur = Gebirgstemperatur</t>
  </si>
  <si>
    <t>← zur Übersicht</t>
  </si>
  <si>
    <t>WAS WIRD BERECHNET?  Die Kaverne legt fest, welcher Druck unten an der LCCS (letzte zementierte Rohrtour) höchstens anliegen darf: 210 bar. Gesucht ist der Druck, den die Anlage dafür oben am Bohrlochkopf liefern muss.
WARUM?  Zwischen Kopf und Kaverne steht eine 1200 m hohe CO₂-Säule. Ihr Gewicht erhöht den Druck nach unten: dp/dz = ρ(p,T) · g.
WIE WIRD GERECHNET?  Die Dichte ρ hängt selbst von Druck und Temperatur ab – deshalb wird die Säule in 600 Schritten à 2 m gerechnet, in jedem Schritt mit neuer Dichte aus CoolProp. Temperatur = Gebirgstemperatur T(z) = T₀ + grad T · z (Stillstand). Gerechnet wird von unten (bekannter Kavernendruck) nach oben – das Ergebnis ist direkt der Kopfdruck.
GRENZFALL:  Mit dem Sekantenverfahren (schrittweises Annähern) wird der Kavernendruck gesucht, bei dem der Kopfdruck genau p_krit = 73,8 bar ist. Darüber bleibt das ganze Bohrloch dicht, darunter kann das CO₂ im oberen Bohrloch verdampfen.
ERGEBNIS:  Für 210 bar unten reichen 107,6 bar am Kopf – die Säule liefert rund 102 bar. Das ist der Zieldruck für Pumpe bzw. Verdichter.</t>
  </si>
  <si>
    <t>Kavernenparameter</t>
  </si>
  <si>
    <t>Kaverne V1 (tief)</t>
  </si>
  <si>
    <t>Kaverne V2 (flach)</t>
  </si>
  <si>
    <t>Gebirgstemperatur Oberfläche</t>
  </si>
  <si>
    <t>Kavernentemperatur</t>
  </si>
  <si>
    <t>Werte kommen von der Übersicht. Spalte V2 bleibt frei, bis die flache Kaverne festgelegt ist.</t>
  </si>
  <si>
    <t>Ergebnis: drei Füllstände der Kaverne</t>
  </si>
  <si>
    <t>Fall</t>
  </si>
  <si>
    <t>Druck unten (LCCS) [bar]</t>
  </si>
  <si>
    <t>Kopfdruck [bar]</t>
  </si>
  <si>
    <t>T am Kopf [°C]</t>
  </si>
  <si>
    <t>ρ Kopf [kg/m³]</t>
  </si>
  <si>
    <t>ρ unten [kg/m³]</t>
  </si>
  <si>
    <t>Säulengewinn [bar]</t>
  </si>
  <si>
    <t>Bedeutung</t>
  </si>
  <si>
    <t>voll (p_max)</t>
  </si>
  <si>
    <t>Zieldruck für die Einspeicherung</t>
  </si>
  <si>
    <t>Grenzfall</t>
  </si>
  <si>
    <t>Kopfdruck = p_krit: ab hier ist das Bohrloch ganz dicht</t>
  </si>
  <si>
    <t>leer (p_min)</t>
  </si>
  <si>
    <t>Kopf = Dampfdruck bei 10 °C → Mehrphasengebiet 0–236 m</t>
  </si>
  <si>
    <t>Diagramme – Darstellung nach Buzogany &amp; Kruck (2022), Fig. 3 (dort 1150 m Teufe, hier Kaverne V1 mit 1200 m)</t>
  </si>
  <si>
    <t>Tiefenprofile (gerechnet in 2-m-Schritten, dargestellt alle 50 m)</t>
  </si>
  <si>
    <t>Teufe z [m]</t>
  </si>
  <si>
    <t>T [°C]</t>
  </si>
  <si>
    <t>p voll [bar]</t>
  </si>
  <si>
    <t>ρ voll [kg/m³]</t>
  </si>
  <si>
    <t>p Grenzfall [bar]</t>
  </si>
  <si>
    <t>ρ Grenzfall [kg/m³]</t>
  </si>
  <si>
    <t>p leer [bar]</t>
  </si>
  <si>
    <t>ρ leer [kg/m³]</t>
  </si>
  <si>
    <t>Schraffierte Felder: Mehrphasengebiet (Q-028: „multiphase region“). Beim leeren Fall liegt der Druck von 0 bis ca. 236 m genau auf der Sättigungslinie (p = p_sat(T)). Der Druck ist damit bestimmt, die Dichte nicht – sie hängt vom Dampfanteil ab, den eine Säule im Stillstand nicht kennt. Im Diagramm ist die Linie dort geradlinig überbrückt. Am Kopf (0 m) steht der Wert für gesättigten Dampf.</t>
  </si>
  <si>
    <t>Hinweis: Das Arbeitsgas (nutzbare CO₂-Menge zwischen voll und leer) wird bewusst erst später betrachtet.</t>
  </si>
  <si>
    <t>HIER ZUM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</si>
  <si>
    <t>Medienvergleich – warum CO₂ oben weniger Druck braucht</t>
  </si>
  <si>
    <t>Gleiche Kaverne (Ziel 210 bar unten, Gebirge 10 °C + 0,03 K/m), gleiche Rechnung – nur das Medium ist anders</t>
  </si>
  <si>
    <t>IDEE:  Je schwerer die Säule im Bohrloch, desto mehr Druck liefert sie und desto weniger muss die Anlage oben aufbringen.
CO₂ ist unter diesen Bedingungen dicht (700–930 kg/m³), Erdgas und Wasserstoff bleiben Gase (Erdgas ~150 kg/m³, Wasserstoff ~15 kg/m³).
FOLGE:  Für CO₂ reicht eine Pumpe auf ~108 bar. Erdgas- und Wasserstoffspeicher brauchen Verdichter fast bis zum vollen Kavernendruck.
Rechnung wie auf Blatt „Kaverne &amp; Gassäule“: dp/dz = ρ(p,T) · g, von unten nach oben, Dichte aus CoolProp (Methan als Erdgas-Ersatz, reiner Wasserstoff). Der Zieldruck unten bleibt für alle Teufen bewusst bei 210 bar, damit nur der Effekt der Säule sichtbar wird.</t>
  </si>
  <si>
    <t>1) Nötiger Kopfdruck über der Teufe (210 bar unten)</t>
  </si>
  <si>
    <t>Teufe [m]</t>
  </si>
  <si>
    <t>CO₂ [bar]</t>
  </si>
  <si>
    <t>Erdgas CH₄ [bar]</t>
  </si>
  <si>
    <t>Wasserstoff H₂ [bar]</t>
  </si>
  <si>
    <t>Ziel unten [bar]</t>
  </si>
  <si>
    <t>CO₂: 74 bar weniger Kopfdruck zwischen 600 und 1600 m – Erdgas und Wasserstoff profitieren kaum von der Teufe.</t>
  </si>
  <si>
    <t>2) Kennzahlen bei 1200 m Teufe</t>
  </si>
  <si>
    <t>Medium</t>
  </si>
  <si>
    <t>Übertagetechnik</t>
  </si>
  <si>
    <t>CO₂</t>
  </si>
  <si>
    <t>Pumpe (91 → 108 bar)</t>
  </si>
  <si>
    <t>Erdgas (CH₄)</t>
  </si>
  <si>
    <t>Verdichter bis ~192 bar</t>
  </si>
  <si>
    <t>Wasserstoff (H₂)</t>
  </si>
  <si>
    <t>Verdichter bis ~208 bar</t>
  </si>
  <si>
    <t>Bei Erdgas und Wasserstoff ist die Dichte unten kleiner als oben: der Temperaturanstieg überwiegt den Druckanstieg.</t>
  </si>
  <si>
    <t>3) Druck- und Dichteprofile über die Teufe (Kaverne V1, 1200 m – gerechnet in 2-m-Schritten, dargestellt alle 50 m)</t>
  </si>
  <si>
    <t>p CO₂ [bar]</t>
  </si>
  <si>
    <t>ρ CO₂ [kg/m³]</t>
  </si>
  <si>
    <t>p CH₄ [bar]</t>
  </si>
  <si>
    <t>ρ CH₄ [kg/m³]</t>
  </si>
  <si>
    <t>p H₂ [bar]</t>
  </si>
  <si>
    <t>ρ H₂ [kg/m³]</t>
  </si>
  <si>
    <t>Gleiche Rechnung wie auf Blatt „Kaverne &amp; Gassäule“ (Fall voll): von 210 bar unten nach oben integriert, Gebirge 10 °C + 0,03 K/m.</t>
  </si>
  <si>
    <t>Einspeicherung S1 – Anlieferung in dichter Phase: Pumpe</t>
  </si>
  <si>
    <t>Netzübergabe → Messtechnik/Filtration → Pumpe → Bohrlochkopf</t>
  </si>
  <si>
    <t>AUSGANGSLAGE:  Das CO₂ kommt dicht (flüssigkeitsähnlich) aus der Fernleitung: 91 bar, 15 °C.
ZIEL:  107,6 bar am Bohrlochkopf – vorgegeben durch die Kaverne (Blatt „Kaverne &amp; Gassäule“).
WARUM EINE PUMPE?  Das CO₂ ist bereits dicht und kaum kompressibel. Eine Pumpe genügt, ein Verdichter wäre nur für Gas nötig.
RECHENWEG:  (1) Zustand am Eintritt → Enthalpie h₁, Entropie s₁.  (2) Idealfall: isentrope Druckerhöhung (Entropie bleibt gleich) → h₂s.  (3) Realfall mit Verlusten über den isentropen Wirkungsgrad: h₂ = h₁ + (h₂s − h₁) / η.  (4) Aus p₂ und h₂ → Austrittstemperatur T₂.  (5) Spezifische Arbeit w = h₂ − h₁, Leistung P = ṁ · w.
BEGRIFF:  isentrop = Entropie konstant (Pumpe, Verdichter). Nicht verwechseln mit isenthalp = Enthalpie konstant (Drossel bei der Ausspeicherung).
ANNAHMEN:  η = 0,80 (eigene Annahme, vgl. Q-016: Verdichter 84–76 %, Glykolpumpe 70 %); kein Druckverlust in Messtechnik und Filtration; reines CO₂.</t>
  </si>
  <si>
    <t>Rechenschritte</t>
  </si>
  <si>
    <t>Nr.</t>
  </si>
  <si>
    <t>Rechenschritt</t>
  </si>
  <si>
    <t>Formel / Funktion</t>
  </si>
  <si>
    <t>Art des Werts</t>
  </si>
  <si>
    <t>Eintrittsdruck</t>
  </si>
  <si>
    <t>= Übergabedruck S1</t>
  </si>
  <si>
    <t>aus anderem Blatt</t>
  </si>
  <si>
    <t>Eintrittstemperatur</t>
  </si>
  <si>
    <t>= Übergabetemperatur S1</t>
  </si>
  <si>
    <t>Enthalpie Eintritt h₁</t>
  </si>
  <si>
    <t>CoolProp: H(p₁, T₁)</t>
  </si>
  <si>
    <t>CoolProp (fest)</t>
  </si>
  <si>
    <t>Entropie Eintritt s₁</t>
  </si>
  <si>
    <t>CoolProp: S(p₁, T₁)</t>
  </si>
  <si>
    <t>kJ/(kg·K)</t>
  </si>
  <si>
    <t>Austrittsdruck p₂ (= Kopfdruck)</t>
  </si>
  <si>
    <t>aus Blatt „Kaverne &amp; Gassäule“</t>
  </si>
  <si>
    <t>Enthalpie isentrop h₂s</t>
  </si>
  <si>
    <t>CoolProp: H(p₂, s = s₁)</t>
  </si>
  <si>
    <t>Isentroper Wirkungsgrad η</t>
  </si>
  <si>
    <t>Annahme (Übersicht)</t>
  </si>
  <si>
    <t>Enthalpie real h₂</t>
  </si>
  <si>
    <t>h₂ = h₁ + (h₂s − h₁) / η</t>
  </si>
  <si>
    <t>Excel-Formel</t>
  </si>
  <si>
    <t>Austrittstemperatur T₂</t>
  </si>
  <si>
    <t>CoolProp: T(p₂, h₂)</t>
  </si>
  <si>
    <t>Phase am Austritt</t>
  </si>
  <si>
    <t>CoolProp: Phase(p₂, h₂)</t>
  </si>
  <si>
    <t>dicht (flüssig)</t>
  </si>
  <si>
    <t>Spezifische Arbeit w</t>
  </si>
  <si>
    <t>w = h₂ − h₁</t>
  </si>
  <si>
    <t>Ergebnis (Formel)</t>
  </si>
  <si>
    <t>Normdichte CO₂ (0 °C; 1,01325 bar)</t>
  </si>
  <si>
    <t>CoolProp: D(p_n, T_n), DIN 1343</t>
  </si>
  <si>
    <t>Massenstrom, unterer Fall</t>
  </si>
  <si>
    <t>ṁ = V_n,min · ρ_n / 3600</t>
  </si>
  <si>
    <t>kg/s</t>
  </si>
  <si>
    <t>Massenstrom, oberer Fall</t>
  </si>
  <si>
    <t>ṁ = V_n,max · ρ_n / 3600</t>
  </si>
  <si>
    <t>Pumpenleistung, unterer Fall</t>
  </si>
  <si>
    <t>P = ṁ · w</t>
  </si>
  <si>
    <t>Pumpenleistung, oberer Fall</t>
  </si>
  <si>
    <t>Wird η auf der Übersicht geändert, rechnen h₂, w und P sofort mit. T₂ kommt aus CoolProp und färbt sich dann rot (veraltet).</t>
  </si>
  <si>
    <t>Zustandspunkte</t>
  </si>
  <si>
    <t>Punkt</t>
  </si>
  <si>
    <t>p [bar]</t>
  </si>
  <si>
    <t>h [kJ/kg]</t>
  </si>
  <si>
    <t>Phase</t>
  </si>
  <si>
    <t>Netzübergabe / Pumpe ein</t>
  </si>
  <si>
    <t>Pumpe aus / Bohrlochkopf</t>
  </si>
  <si>
    <t>Einspeicherung S2 – gasförmige Anlieferung: verdichten, verflüssigen, pumpen</t>
  </si>
  <si>
    <t>Netzübergabe → Messtechnik/Filtration → Verdichter → Verflüssiger → Pumpe → Bohrlochkopf</t>
  </si>
  <si>
    <t>Verdichter</t>
  </si>
  <si>
    <t>= Übergabe S2</t>
  </si>
  <si>
    <t>Austrittsdruck = Verflüssigungsdruck</t>
  </si>
  <si>
    <t>Enthalpie Eintritt</t>
  </si>
  <si>
    <t>CoolProp: H(p, T)</t>
  </si>
  <si>
    <t>Wirkungsgrad η_V1</t>
  </si>
  <si>
    <t>Annahme (Übersicht), Q-016</t>
  </si>
  <si>
    <t>Enthalpie isentrop bei p_V</t>
  </si>
  <si>
    <t>CoolProp: H(p_V, s₁)</t>
  </si>
  <si>
    <t>Enthalpie real Austritt</t>
  </si>
  <si>
    <t>h = h_ein + (h_s − h_ein) / η_V1</t>
  </si>
  <si>
    <t>Austrittstemperatur</t>
  </si>
  <si>
    <t>CoolProp: T(p_V, h)</t>
  </si>
  <si>
    <t>Prüfung 95-°C-Grenze (Q-016)</t>
  </si>
  <si>
    <t>T_aus ≤ T_max ?</t>
  </si>
  <si>
    <t>Spezifische Arbeit Verdichter</t>
  </si>
  <si>
    <t>w_V = h_aus − h_ein</t>
  </si>
  <si>
    <t>Verflüssiger</t>
  </si>
  <si>
    <t>Dampfdruck bei T_K</t>
  </si>
  <si>
    <t>CoolProp: p_sat(T_K)</t>
  </si>
  <si>
    <t>Abstand p_V − p_sat</t>
  </si>
  <si>
    <t>muss &gt; 0 sein, sonst keine Kondensation</t>
  </si>
  <si>
    <t>Kondensationstemperatur bei p_V</t>
  </si>
  <si>
    <t>CoolProp: T_sat(p_V)</t>
  </si>
  <si>
    <t>Enthalpie nach Verflüssiger</t>
  </si>
  <si>
    <t>CoolProp: H(p_V, T_K)</t>
  </si>
  <si>
    <t>Phase nach Verflüssiger</t>
  </si>
  <si>
    <t>CoolProp: Phase(p_V, T_K)</t>
  </si>
  <si>
    <t>flüssig</t>
  </si>
  <si>
    <t>Abgeführte Wärme</t>
  </si>
  <si>
    <t>q = h_vor − h_nach</t>
  </si>
  <si>
    <t>Pumpe</t>
  </si>
  <si>
    <t>Wirkungsgrad Pumpe η_P</t>
  </si>
  <si>
    <t>Enthalpie isentrop bei Kopfdruck</t>
  </si>
  <si>
    <t>CoolProp: H(p_Kopf, s(p_V, T_K))</t>
  </si>
  <si>
    <t>h = h_ein + (h_s − h_ein) / η_P</t>
  </si>
  <si>
    <t>CoolProp: T(p_Kopf, h)</t>
  </si>
  <si>
    <t>Spezifische Arbeit Pumpe</t>
  </si>
  <si>
    <t>w_P = h_aus − h_ein</t>
  </si>
  <si>
    <t>Summe</t>
  </si>
  <si>
    <t>Spezifische Arbeit gesamt</t>
  </si>
  <si>
    <t>w = w_V + w_P</t>
  </si>
  <si>
    <t>Antriebsleistung, unterer Fall</t>
  </si>
  <si>
    <t>P = ṁ_min · w</t>
  </si>
  <si>
    <t>Antriebsleistung, oberer Fall</t>
  </si>
  <si>
    <t>P = ṁ_max · w</t>
  </si>
  <si>
    <t>Kühlleistung Verflüssiger, oberer Fall</t>
  </si>
  <si>
    <t>Q = ṁ_max · q_V</t>
  </si>
  <si>
    <t>Massenstrom wie in S1 (gleicher Normvolumenstrom). Wird η geändert, rechnen alle weißen Werte mit; graue Stoffwerte färben sich rot.</t>
  </si>
  <si>
    <t>Variante: zweistufige Verdichtung bis zum Verflüssigungsdruck (sonst wie Basisfall)</t>
  </si>
  <si>
    <t>AUFBAU:  Stufe 1 30 → 42,4 bar, Zwischenkühlung auf 20 °C, Stufe 2 → 60 bar. Zwischendruck mit gleichem Druckverhältnis in beiden Stufen: p_zw = √(p_ein · p_V). Wirkungsgrade 84 / 82 % (Q-016). Verflüssiger und Pumpe wie im Basisfall.</t>
  </si>
  <si>
    <t>Verdichter 1. Stufe</t>
  </si>
  <si>
    <t>Zwischendruck</t>
  </si>
  <si>
    <t>p_zw = √(p_ein · p_V)</t>
  </si>
  <si>
    <t>wie Basisfall</t>
  </si>
  <si>
    <t>Enthalpie isentrop</t>
  </si>
  <si>
    <t>CoolProp: H(p_zw, s_ein)</t>
  </si>
  <si>
    <t>CoolProp: T(p_zw, h)</t>
  </si>
  <si>
    <t>Spezifische Arbeit Stufe 1</t>
  </si>
  <si>
    <t>w₁ = h_aus − h_ein</t>
  </si>
  <si>
    <t>Zwischenkühler</t>
  </si>
  <si>
    <t>Enthalpie nach Kühler</t>
  </si>
  <si>
    <t>CoolProp: H(p_zw, T_K)</t>
  </si>
  <si>
    <t>Verdichter 2. Stufe</t>
  </si>
  <si>
    <t>Wirkungsgrad η_V2</t>
  </si>
  <si>
    <t>CoolProp: H(p_V, s(p_zw, T_K))</t>
  </si>
  <si>
    <t>h = h_ein + (h_s − h_ein) / η_V2</t>
  </si>
  <si>
    <t>Spezifische Arbeit Stufe 2</t>
  </si>
  <si>
    <t>w₂ = h_aus − h_ein</t>
  </si>
  <si>
    <t>Verflüssiger und Pumpe wie Basisfall</t>
  </si>
  <si>
    <t>Abgeführte Wärme Verflüssiger</t>
  </si>
  <si>
    <t>Summe Variante</t>
  </si>
  <si>
    <t>w = w₁ + w₂ + w_P</t>
  </si>
  <si>
    <t>Ersparnis gegenüber 1 Stufe</t>
  </si>
  <si>
    <t>1 − w_Variante / w_Basis</t>
  </si>
  <si>
    <t>Vergleich: Durchverdichten (2 Verdichterstufen bis zum Kopfdruck, ohne Pumpe)</t>
  </si>
  <si>
    <t>FRAGE:  Warum nicht einfach gasförmig bis 107,6 bar durchverdichten, statt zu verflüssigen und zu pumpen?
AUFBAU nach denselben Regeln aus Q-016:  Zwischenkühlung auf 20 °C, höchstens 95 °C je Stufe, Wirkungsgrade 84 / 82 %. Der Zwischendruck muss unter p_sat(20 °C) = 57,3 bar bleiben, sonst kondensiert das CO₂ schon im Zwischenkühler; und die zweite Stufe darf 95 °C nicht überschreiten. Daraus folgt ein zulässiger Bereich von ca. 45–57 bar – gewählt 50 bar.
FAIRER VERGLEICH:  Am Ende kühlt ein Nachkühler auf denselben Endzustand wie S2 (gleicher Druck, gleiche Temperatur).</t>
  </si>
  <si>
    <t>wie S2</t>
  </si>
  <si>
    <t>Prüfung: noch gasförmig?</t>
  </si>
  <si>
    <t>p_zw &lt; p_sat(T_K) ?</t>
  </si>
  <si>
    <t>Austrittsdruck (= Kopfdruck)</t>
  </si>
  <si>
    <t>CoolProp: H(p_Kopf, s(p_zw, T_K))</t>
  </si>
  <si>
    <t>Nachkühler (auf denselben Endzustand wie S2)</t>
  </si>
  <si>
    <t>Temperatur nach Nachkühler</t>
  </si>
  <si>
    <t>= Pumpenaustritt S2</t>
  </si>
  <si>
    <t>Enthalpie nach Nachkühler</t>
  </si>
  <si>
    <t>CoolProp: H(p_Kopf, T)</t>
  </si>
  <si>
    <t>Summe Durchverdichten</t>
  </si>
  <si>
    <t>w = w₁ + w₂</t>
  </si>
  <si>
    <t>Abgeführte Wärme gesamt</t>
  </si>
  <si>
    <t>q = q_ZK + q_N</t>
  </si>
  <si>
    <t>Vergleich: spezifische Arbeit und abgeführte Wärme bis zum Bohrlochkopf</t>
  </si>
  <si>
    <t>Komponente</t>
  </si>
  <si>
    <t>S2 Basisfall: 1 Stufe + Verflüssiger + Pumpe</t>
  </si>
  <si>
    <t>S2 Variante: 2 Stufen + Verflüssiger + Pumpe</t>
  </si>
  <si>
    <t>Vergleich: Durchverdichten</t>
  </si>
  <si>
    <t>Summe Arbeit [kJ/kg]</t>
  </si>
  <si>
    <t>Abgeführte Wärme [kJ/kg]</t>
  </si>
  <si>
    <t>Diff: weniger Arbeit als Durchverdichten</t>
  </si>
  <si>
    <t>S2 braucht rund 20-mal so viel Arbeit wie S1 – und rund 28% weniger als Durchverdichten. Die zweite Verdichterstufe spart weitere 6%.</t>
  </si>
  <si>
    <t>Diagrammdaten – Hilfstabellen (nicht ändern)</t>
  </si>
  <si>
    <t>Grundlage für das Phasendiagramm. Farbflächen: gestapelte Druckbereiche je Temperatur. Linien: Punkte mit T, p und Position im Diagramm.</t>
  </si>
  <si>
    <t>T_min [°C]</t>
  </si>
  <si>
    <t>Schritt [K]</t>
  </si>
  <si>
    <t>Position im Diagramm = (T − T_min) / Schritt + 1  (die Farbflächen haben eine Kategorie je 0,5 K)</t>
  </si>
  <si>
    <t>Achsenbeschriftung</t>
  </si>
  <si>
    <t>gasförmig [bar]</t>
  </si>
  <si>
    <t>flüssig [bar]</t>
  </si>
  <si>
    <t>überkritisch [bar]</t>
  </si>
  <si>
    <t>fest [bar]</t>
  </si>
  <si>
    <t>Linie / Punkt</t>
  </si>
  <si>
    <t>Position</t>
  </si>
  <si>
    <t>Sättigungslinie</t>
  </si>
  <si>
    <t>Sublimationslinie</t>
  </si>
  <si>
    <t>Schmelzlinie</t>
  </si>
  <si>
    <t>Tripelpunkt</t>
  </si>
  <si>
    <t>Kritischer Punkt</t>
  </si>
  <si>
    <t>S1: Pumpe</t>
  </si>
  <si>
    <t>S2: verdichten → verflüssigen → pumpen</t>
  </si>
  <si>
    <t>S2-Variante: 2 Verdichterstufen</t>
  </si>
  <si>
    <t>Vergleich: Durchverdichten (2 Stufen)</t>
  </si>
  <si>
    <t>Beschriftung Phasengebiete E</t>
  </si>
  <si>
    <t>Beschriftung Punkte E</t>
  </si>
  <si>
    <t>Gassäule Kaverne voll (210 bar unten)</t>
  </si>
  <si>
    <t>Gassäule Grenzfall (Kopf = p_krit)</t>
  </si>
  <si>
    <t>Gassäule Kaverne leer (70 bar unten)</t>
  </si>
  <si>
    <t>Kaverne V1 (LCCS, 1200 m): 70–210 bar</t>
  </si>
  <si>
    <t>Bohrlochkopf (0 m): 45–107,6 bar</t>
  </si>
  <si>
    <t>Beschriftung Phasengebiete K</t>
  </si>
  <si>
    <t>Beschriftung Punkte K</t>
  </si>
  <si>
    <t>Phasendiagramm – Prozesspfade der Einspeicherung und Betriebsfenster von Bohrloch und Kaverne</t>
  </si>
  <si>
    <t>Reines CO₂ · Stoffdaten CoolProp (Span &amp; Wagner 1996) · Sublimations- und Schmelzlinie nach Span &amp; Wagner (1996)</t>
  </si>
  <si>
    <t>Diagramm 1 – Einspeicherung: von der Netzübergabe bis zum Bohrlochkopf</t>
  </si>
  <si>
    <t>DIAGRAMM 1:  Farbflächen = Phasengebiete von reinem CO₂. Grüne Linie = S1 (nur Pumpe, bleibt dicht). Blaue Linie = S2 (verdichten im Gasgebiet, bei 60 bar und 20 °C über die Sättigungslinie verflüssigen, pumpen). Hellblau gepunktet = S2-Variante mit 2 Verdichterstufen. Violett gestrichelt = Vergleich Durchverdichten (2 Stufen direkt bis 107,6 bar, danach Nachkühler) – siehe Blatt „Einspeicherung S2“.
ENDPUNKT:  Alle Pfade enden am Bohrlochkopf bei 107,6 bar – das ist der Kopfdruck, den die volle Kaverne vorgibt. Diagramm 2 zeigt Bohrloch und Kaverne – aber nur im Stillstand, nicht während der Injektion.</t>
  </si>
  <si>
    <t>Diagramm 2 – Bohrloch und Kaverne im Stillstand: Betriebsfenster (nur Stillstand, 3 Füllstände nach Q-028)</t>
  </si>
  <si>
    <t>NUR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</si>
  <si>
    <t>DIAGRAMM 2:  Jede gestrichelte Linie ist eine Gassäule – ein Füllstand der Kaverne im Stillstand. Sie läuft vom Bohrlochkopf (grauer Balken, 0 m, 10 °C) bis zur Kaverne (dunkelblauer Balken, 1200 m, 46 °C). Jeder Punkt auf der Linie ist eine Teufe: oben kalt und niedriger Druck, unten warm und hoher Druck.
BETRIEBSFENSTER IM STILLSTAND:  Der Bereich zwischen der Linie „voll“ (oben) und der Linie „leer“ (unten), links begrenzt durch den Kopf-Balken und rechts durch den Kavernen-Balken. Jeder Zwischen-Füllstand ergibt eine eigene Linie in diesem Band (Beispiel: Grenzfall). Die Kaverne selbst liegt nur auf dem dunkelblauen Balken – der Bereich dazwischen ist das Bohrloch.
WICHTIG BEI LEERER KAVERNE:  70 bar unten ergeben oben nur 45,0 bar – das ist genau der Dampfdruck von CO₂ bei 10 °C. Das obere Bohrloch (0–236 m) liegt dann im Mehrphasengebiet. Erst ab ca. 171,7 bar Kavernendruck (Grenzfall) bleibt das ganze Bohrloch überkritisch bzw. dicht.
KAVERNE SELBST:  Bei 46 °C liegt sie immer über T_krit. Über 73,8 bar ist das CO₂ überkritisch, bei 70 bar (knapp darunter) gasförmig. Beim echten Ein- und Ausspeichern weicht die Temperatur ab (Erwärmung bzw. Abkühlung) – das folgt später mit dem Arbeitsgas.
STILLSTAND VS. BETRIEB:  Die Gassäulen sind mit Gebirgstemperatur gerechnet (Kopf 10 °C) und gelten nur, solange nichts fließt. Beim Einspeichern kommt das CO₂ wärmer aus der Pumpe (S1 16,8 °C, S2 27,5 °C) – deshalb liegen die Endpunkte aus Diagramm 1 rechts vom grauen Balken. Wie sich das Fenster bei Injektion und Ausspeicherung verschiebt, ist offen und folgt als eigener Schritt in einer weiteren Excel Betrachtung nach dieser hier.</t>
  </si>
  <si>
    <t>Quellen</t>
  </si>
  <si>
    <t>Herkunft der Annahmen und Stoffdaten dieser Mappe (IDs wie in der Quellen- und Wissensmatrix)</t>
  </si>
  <si>
    <t>ID</t>
  </si>
  <si>
    <t>Quelle</t>
  </si>
  <si>
    <t>Verwendet für</t>
  </si>
  <si>
    <t>Q-001</t>
  </si>
  <si>
    <t>DVGW (2024): C 260 (A) – Properties of Carbon Dioxide and Carbon Dioxide Streams. Entwurf.</t>
  </si>
  <si>
    <t>Kritischer Punkt, Stoffeigenschaften CO₂</t>
  </si>
  <si>
    <t>Q-016</t>
  </si>
  <si>
    <t>Bielka, P.; Kuczyński, S.; Nagy, S.: CO₂ Compression and Dehydration for Transport and Geological Storage.</t>
  </si>
  <si>
    <t>Grundlage der S2-Kette (S. 4, Kap. 2.3): Kühlung auf 20 °C nach jeder Stufe, höchstens 95 °C nach jeder Stufe, Wirkungsgrad 84 % in Stufe 1 und je weitere Stufe −2 % (Vergleich Durchverdichten: Stufe 2 mit 82 %), zum Schluss Kühlung auf 20 °C → flüssig. Nicht übernommen: 45 bar Zwischendruck (dort für die TEG-Trocknung gewählt; OGE schließt Glykol aus). Für Pumpen nennt Q-016 nur eine Glykolpumpe (70 %) – η_P = 0,80 ist eigene Annahme.</t>
  </si>
  <si>
    <t>Buzogany, R.; Kruck, O. (2022): CO₂ – Storage in Salt Caverns: Thermodynamic Analysis and Challenges. SMRI Fall 2022.</t>
  </si>
  <si>
    <t>Oberflächentemperatur 10 °C, Gradient 0,03 K/m, Minimaldruck 70 bar, Darstellung Gassäule (Fig. 3), Begriff „multiphase region“</t>
  </si>
  <si>
    <t>Q-029</t>
  </si>
  <si>
    <t>DBI für Uniper: CCUS-P2 – CO₂-Storage for CCU/S, Phase 2 – Detailing Study, Final Report V08.</t>
  </si>
  <si>
    <t>Offener Punkt: gewählte Option 1 ist die tiefe Kaverne (1400 m, 260 bar)</t>
  </si>
  <si>
    <t>Q-030</t>
  </si>
  <si>
    <t>DBI für Uniper: CCUS-P1 – CO₂-Storage for CCU/S, Phase 1 – Initial Concept Study, Final Report.</t>
  </si>
  <si>
    <t>Teufe 1200 m (Option 2), Anhalt für p_max; Option 3 (700 m) als Anhalt für Kaverne V2</t>
  </si>
  <si>
    <t>Q-038</t>
  </si>
  <si>
    <t>Baumgärtel, L.; Körner, F.; Leuger, B.; Zapf, D. (2023): Energiespeicherung in Salzkavernen. Poster, Tag der Energieforschung, LU Hannover.</t>
  </si>
  <si>
    <t>Zu prüfen: alte Annahmentabelle leitet daraus p_max ≈ 85 % des lithostatischen Drucks ab – in der Matrix nur Geometriedaten erfasst</t>
  </si>
  <si>
    <t>Q-040</t>
  </si>
  <si>
    <t>DIN EN ISO 27913: Abscheidung, Transport und geologische Speicherung von CO₂ – Rohrleitungstransportsysteme (dt. Fassung 2025).</t>
  </si>
  <si>
    <t>Zu prüfen: alte Annahmentabelle nennt Q-040 für die gasförmige Anlieferung mit 30 bar – Norm in der Matrix noch nicht ausgewertet</t>
  </si>
  <si>
    <t>OGE</t>
  </si>
  <si>
    <t>Gesprächsnotiz Austausch OGE / Uniper, 16.09.2026 (Notizen S. Maxara).</t>
  </si>
  <si>
    <t>Übergabedruck S1 mind. 91 bar; Durchsatz-Bandbreite (mit M. Wall)</t>
  </si>
  <si>
    <t>—</t>
  </si>
  <si>
    <t>Span, R.; Wagner, W. (1996): A New Equation of State for Carbon Dioxide Covering the Fluid Region from the Triple-Point Temperature to 1100 K at Pressures up to 800 MPa. J. Phys. Chem. Ref. Data 25(6), 1509–1596.</t>
  </si>
  <si>
    <t>Zustandsgleichung CO₂ (über CoolProp); Sublimations- und Schmelzdruck</t>
  </si>
  <si>
    <t>Bell, I. H.; Wronski, J.; Quoilin, S.; Lemort, V. (2014): Pure and Pseudo-pure Fluid Thermophysical Property Evaluation and the Open-Source Thermophysical Property Library CoolProp. Ind. Eng. Chem. Res. 53(6), 2498–2508.</t>
  </si>
  <si>
    <t>Stoffdatenbibliothek CoolProp, Version 8.0.0</t>
  </si>
  <si>
    <t>Vorarbeit</t>
  </si>
  <si>
    <t>Python-Skripte der eigenen Vorarbeit (ObertageAnlageRechner: gaspfad_vergleich.py, pfadentscheidung.py).</t>
  </si>
  <si>
    <t>Nur noch der Übergabedruck S2 (30 bar) stammt aus der Vorarbeit – Quelle zu prüfen. Die früheren Annahmen (Zwischendruck 49 bar, 40 °C, Verflüssigung 80 bar / 25 °C) sind durch Q-016 ersetzt.</t>
  </si>
  <si>
    <t>AUSGANGSLAGE:  Das CO₂ kommt gasförmig an: 30 bar, 15 °C (Annahme).
Q-016:  Bielka, Kuczyński, Nagy (2023): CO₂ Compression and Dehydration for Transport and Geological Storage. Energies 16, 1804 (AGH Krakau). Übersichtsarbeit zu Abscheidung, Trocknung, Transport und Speicherstandortwahl – plus eine eigene Prozesssimulation (BR&amp;E ProMax, Peng-Robinson): CO₂ aus einer Rauchgasabscheidung (1,51 bar, 35 °C, 2,45 Mio. t/a ≈ 78 kg/s) wird in 5 Stufen auf 100 bar verdichtet, mit TEG getrocknet und auf 20 °C gekühlt – flüssig für den Pipelinetransport zu einer Speicherstätte in 30 km Entfernung (S. 5: 74 bar sind das Minimum, üblich 100 bar als Reserve für Druckverluste).
Annahmen aus Q 16 (S. 4, Kap. 2.3):  Kühlung auf 20 °C nach jeder Stufe · höchstens 95 °C nach jeder Stufe · Wirkungsgrad 84 % in Stufe 1, je weitere Stufe −2 % · zum Schluss Kühlung auf 20 °C → flüssig. Q-016 verdichtet für die Pipeline, hier für den Bohrlochkopf – das Druckniveau (100 bzw. 107,6 bar) und der Massenstrom (78 bzw. 27–55 kg/s) sind vergleichbar. NICHT übernommen: 45 bar Zwischendruck (für die TEG-Trocknung gewählt, Glykol schließt OGE aus).
ZAHL DER STUFEN:  Eine Stufe ist das Minimum (Basisfall). Mehr Stufen senken laut Q-016 die Arbeit weiter; die zweistufige Variante unten spart 6% – dafür ein Verdichter und ein Zwischenkühler mehr. Das ist eine Entscheidungsfrage (Energie gegen Apparateaufwand).
RECHENWEG:  Verdichter und Pumpe wie in S1: isentrop + Wirkungsgrad, h_aus = h_ein + (h_s − h_ein) / η. Verflüssiger: abgeführte Wärme je kg q = h_vor − h_nach.
GRENZEN:  20 °C setzen Kühlwasser voraus. Mit Luftkühlung (ca. 35 °C) läge die Kühltemperatur über T_krit – dann gäbe es keine echte Kondensation mehr. Begleitstoffe (N₂, Ar) heben den Verflüssigungsdruck an – das folgt im Begleitstoff-Schritt.</t>
  </si>
  <si>
    <t>S1 dichte Phase - Pumpe</t>
  </si>
  <si>
    <t xml:space="preserve">CO₂-Zwischenspeicherung in Salzkavernen – Obertageanlage · Worst-Case-Gemisch</t>
  </si>
  <si>
    <t xml:space="preserve">Stand: 30.09.2026 · Stoffdaten: CoolProp 8.0.0, Mehrfluid-Helmholtz-Modell (GERG-2008-Mischungsregel, Reinstoffe u. a. Span &amp; Wagner 1996) · Worst-Case-Gemisch 95 % CO₂, 2,4 % N₂, 1 % Ar, 1 % CH₄, 0,5 % H₂, 0,1 % CO (mol-%)</t>
  </si>
  <si>
    <t xml:space="preserve">Diese Mappe zeigt Schritt für Schritt, wie die Obertageanlage für die Einspeicherung berechnet wird:
1. Welcher Druck muss am Bohrlochkopf anliegen? → das gibt die Kaverne über die Gassäule vor.
2. Wie bringt die Anlage das CO₂ auf diesen Druck? → Pumpe (dichte Anlieferung, S1) bzw. Verdichter, Kühler und Pumpe (gasförmige Anlieferung, S2).
3. Wo liegen alle Zustände im Phasendiagramm – und wo liegt das Betriebsfenster von Bohrloch und Kaverne?
Diese Mappe rechnet das Worst-Case-Gemisch mit 5 % Begleitstoffen – gleicher Aufbau wie die Mappe für reines CO₂. Was sich an den Grenzen ändert und warum: Blatt „Gemisch &amp; Grenzen“.</t>
  </si>
  <si>
    <t xml:space="preserve">Anlieferung gasförmig: Verdichtung (2 Stufen), Zwischenkühlung, Kühlung in der dichten Phase, Pumpe.</t>
  </si>
  <si>
    <t xml:space="preserve">→ Gemisch &amp; Grenzen</t>
  </si>
  <si>
    <t xml:space="preserve">Was die Begleitstoffe ändern: Zweiphasengebiet, Unsicherheit ±3 bar, neue Grenzen der Anlage.</t>
  </si>
  <si>
    <t xml:space="preserve">Enddruck Verdichtung = Kühlerdruck</t>
  </si>
  <si>
    <t xml:space="preserve">Gemisch: ≥ Cricondenbar 82,2 + 3 bar → Kühlen ohne Zweiphasengebiet (rein: 60 bar, verflüssigen)</t>
  </si>
  <si>
    <t xml:space="preserve">Gemisch: ≤ Taudruck(T_K) − 3 bar = 60,4 bar; Stufe 2 ≤ 95 °C ab 48,1 bar → zulässig ca. 48–60 bar</t>
  </si>
  <si>
    <t xml:space="preserve">Gemisch: oberes Bohrloch 0–82 m zweiphasig (rein: 45,0 bar, 0–236 m)</t>
  </si>
  <si>
    <t xml:space="preserve">S2 Basisfall 1 Stufe: spezifische Arbeit gesamt</t>
  </si>
  <si>
    <t xml:space="preserve">Verdichter + Pumpe; 1 Stufe erreicht 111,6 °C &gt; 95 °C (Q-016)</t>
  </si>
  <si>
    <t xml:space="preserve">Pflicht beim Gemisch (1 Stufe &gt; 95 °C); spart außerdem rund 13%</t>
  </si>
  <si>
    <t xml:space="preserve">S2 (2 Stufen) braucht rund 14% weniger Arbeit – deshalb dicht kühlen und pumpen</t>
  </si>
  <si>
    <t xml:space="preserve">Einspeicherung, Kaverne V1 (tief) · Stillstand: Temperatur = Gebirgstemperatur · Worst-Case-Gemisch</t>
  </si>
  <si>
    <t xml:space="preserve">WAS WIRD BERECHNET?  Die Kaverne legt fest, welcher Druck unten an der LCCS (letzte zementierte Rohrtour) höchstens anliegen darf: 210 bar. Gesucht ist der Druck, den die Anlage dafür oben am Bohrlochkopf liefern muss.
WARUM?  Zwischen Kopf und Kaverne steht eine 1200 m hohe Säule aus dem CO₂-Gemisch. Ihr Gewicht erhöht den Druck nach unten: dp/dz = ρ(p,T) · g.
WIE WIRD GERECHNET?  Die Dichte ρ hängt selbst von Druck und Temperatur ab – deshalb wird die Säule in 600 Schritten à 2 m gerechnet, in jedem Schritt mit neuer Dichte aus CoolProp (Gemisch). Temperatur = Gebirgstemperatur T(z) = T₀ + grad T · z (Stillstand). Gerechnet wird von unten (bekannter Kavernendruck) nach oben – das Ergebnis ist direkt der Kopfdruck.
GRENZFALL:  Mit dem Sekantenverfahren wird der Kavernendruck gesucht, bei dem der Kopfdruck genau die Cricondenbar des Gemischs ist (82,2 bar = höchster Druck des Zweiphasengebiets; bei reinem CO₂ war es p_krit = 73,8 bar). Darüber bleibt das ganze Bohrloch einphasig, darunter kann sich im oberen Bohrloch eine Gasphase bilden.
ERGEBNIS:  Für 210 bar unten sind 114,9 bar am Kopf nötig – die Säule liefert rund 95 bar (reines CO₂: 107,6 bar bzw. 102 bar). Das Gemisch ist leichter, deshalb muss die Anlage oben mehr Druck aufbringen.</t>
  </si>
  <si>
    <t xml:space="preserve">Kopfdruck = Cricondenbar (82,2 bar): ab hier ist das Bohrloch ganz einphasig</t>
  </si>
  <si>
    <t xml:space="preserve">Kopf 50,7 bar → zweiphasig 0–82 m (reines CO₂: 45,0 bar, 0–236 m)</t>
  </si>
  <si>
    <t xml:space="preserve">Schraffierte Felder: Zweiphasengebiet des Gemischs (Q-028: „multiphase region“). Beim leeren Fall liegt das Bohrloch von 0 bis ca. 82 m zwischen Tau- und Blasenlinie. Anders als bei reinem CO₂ ist der Druck dort nicht auf eine Linie festgelegt – ein Gemisch verdampft über ein Druckband. Die Dichte ist die Gleichgewichtsdichte bei homogen verteilten Phasen; im Stillstand würden sich Gas und Flüssigkeit trennen, die Werte sind dort Richtwerte.</t>
  </si>
  <si>
    <t xml:space="preserve">IDEE:  Je schwerer die Säule im Bohrloch, desto mehr Druck liefert sie und desto weniger muss die Anlage oben aufbringen.
Das CO₂-Gemisch ist unter diesen Bedingungen dicht (756–865 kg/m³; reines CO₂ 820–930 kg/m³), Erdgas und Wasserstoff bleiben Gase (Erdgas ~150 kg/m³, Wasserstoff ~15 kg/m³).
FOLGE:  Für das CO₂-Gemisch reicht eine Pumpe auf ~115 bar (reines CO₂ ~108 bar). Erdgas- und Wasserstoffspeicher brauchen Verdichter fast bis zum vollen Kavernendruck.
Rechnung wie auf Blatt „Kaverne &amp; Gassäule“: dp/dz = ρ(p,T) · g, von unten nach oben, Dichte aus CoolProp (CO₂: Worst-Case-Gemisch, Methan als Erdgas-Ersatz, reiner Wasserstoff). Der Zieldruck unten bleibt für alle Teufen bewusst bei 210 bar, damit nur der Effekt der Säule sichtbar wird.</t>
  </si>
  <si>
    <t xml:space="preserve">CO₂-Gemisch [bar]</t>
  </si>
  <si>
    <t xml:space="preserve">CO₂-Gemisch: 67 bar weniger Kopfdruck zwischen 600 und 1600 m (reines CO₂: 74 bar) – Erdgas und Wasserstoff profitieren kaum von der Teufe.</t>
  </si>
  <si>
    <t xml:space="preserve">CO₂-Gemisch</t>
  </si>
  <si>
    <t xml:space="preserve">Pumpe (91 → 115 bar)</t>
  </si>
  <si>
    <t xml:space="preserve">p CO₂-Gemisch [bar]</t>
  </si>
  <si>
    <t xml:space="preserve">ρ CO₂-Gemisch [kg/m³]</t>
  </si>
  <si>
    <t xml:space="preserve">Einspeicherung S1 – Anlieferung in dichter Phase: Pumpe (Worst-Case-Gemisch)</t>
  </si>
  <si>
    <t xml:space="preserve">AUSGANGSLAGE:  Das CO₂-Gemisch kommt dicht (flüssigkeitsähnlich) aus der Fernleitung: 91 bar, 15 °C. Es liegt 19 bar über der Blasenlinie und 8,8 bar über der Cricondenbar – sicher außerhalb der Unsicherheit der Phasengrenze (±3 bar).
ZIEL:  114,9 bar am Bohrlochkopf – vorgegeben durch die Kaverne (Blatt „Kaverne &amp; Gassäule“).
WARUM EINE PUMPE?  Das Gemisch ist bereits dicht und kaum kompressibel. Eine Pumpe genügt, ein Verdichter wäre nur für Gas nötig.
RECHENWEG:  (1) Zustand am Eintritt → Enthalpie h₁, Entropie s₁.  (2) Idealfall: isentrope Druckerhöhung (Entropie bleibt gleich) → h₂s.  (3) Realfall mit Verlusten über den isentropen Wirkungsgrad: h₂ = h₁ + (h₂s − h₁) / η.  (4) Aus p₂ und h₂ → Austrittstemperatur T₂.  (5) Spezifische Arbeit w = h₂ − h₁, Leistung P = ṁ · w.
BEGRIFF:  isentrop = Entropie konstant (Pumpe, Verdichter). Nicht verwechseln mit isenthalp = Enthalpie konstant (Drossel bei der Ausspeicherung).
ANNAHMEN:  η = 0,80 (eigene Annahme, vgl. Q-016: Verdichter 84–76 %, Glykolpumpe 70 %); kein Druckverlust in Messtechnik und Filtration; Worst-Case-Gemisch (Enthalpien haben einen anderen Nullpunkt als bei reinem CO₂ – vergleichbar sind nur Differenzen).</t>
  </si>
  <si>
    <t xml:space="preserve">dicht (flüssig)</t>
  </si>
  <si>
    <t xml:space="preserve">Normdichte Gemisch (0 °C; 1,01325 bar)</t>
  </si>
  <si>
    <t xml:space="preserve">dicht (flüssig)</t>
  </si>
  <si>
    <t xml:space="preserve">dicht (flüssig)</t>
  </si>
  <si>
    <t xml:space="preserve">Einspeicherung S2 – gasförmige Anlieferung: verdichten, dicht kühlen, pumpen (Worst-Case-Gemisch)</t>
  </si>
  <si>
    <t xml:space="preserve">AUSGANGSLAGE:  Das CO₂-Gemisch kommt gasförmig an: 30 bar, 15 °C (Annahme).
Q-016:  Bielka, Kuczyński, Nagy (2023): CO₂ Compression and Dehydration for Transport and Geological Storage. Energies 16, 1804 (AGH Krakau). Übersichtsarbeit zu Abscheidung, Trocknung, Transport und Speicherstandortwahl – plus eine eigene Prozesssimulation (BR&amp;E ProMax, Peng-Robinson): CO₂ aus einer Rauchgasabscheidung (1,51 bar, 35 °C, 2,45 Mio. t/a ≈ 78 kg/s) wird in 5 Stufen auf 100 bar verdichtet, mit TEG getrocknet und auf 20 °C gekühlt – flüssig für den Pipelinetransport zu einer Speicherstätte in 30 km Entfernung (S. 5: 74 bar sind das Minimum, üblich 100 bar als Reserve für Druckverluste).
Annahmen aus Q 16 (S. 4, Kap. 2.3):  Kühlung auf 20 °C nach jeder Stufe · höchstens 95 °C nach jeder Stufe · Wirkungsgrad 84 % in Stufe 1, je weitere Stufe −2 % · zum Schluss Kühlung auf 20 °C → flüssig. Q-016 verdichtet für die Pipeline, hier für den Bohrlochkopf – das Druckniveau (100 bzw. 114,9 bar) und der Massenstrom (78 bzw. 27–54 kg/s) sind vergleichbar. NICHT übernommen: 45 bar Zwischendruck (für die TEG-Trocknung gewählt, Glykol schließt OGE aus).
NEUE VERDICHTUNG BEIM GEMISCH:  Reines CO₂ wird bei 60 bar und 20 °C verflüssigt (Dampfdruck 57,3 bar). Das Gemisch hat bei 20 °C ein Zweiphasengebiet von 63,4 bar (Taulinie) bis 76,7 bar (Blasenlinie) – bei 60 bar bliebe es gasförmig (alte Verdichtung, Blatt „Gemisch &amp; Grenzen“). Deshalb wird über die Cricondenbar (82,2 bar = höchster Druck des Zweiphasengebiets) + 3 bar Unsicherheit verdichtet: p_V = 90 bar. Dort kühlt der Kühler von der Verdichteraustrittstemperatur auf 20 °C, ohne das Zweiphasengebiet zu berühren – das Gemisch geht stetig in die dichte Phase über, es wird nichts kondensiert (wie Q-016: Endstufe 100 bar, dann 20 °C). Danach bringt die Pumpe das dichte Gemisch auf 114,9 bar.
ZAHL DER STUFEN:  Eine Stufe bis 90 bar erreicht 111,6 °C und überschreitet die 95-°C-Grenze aus Q-016 (reines CO₂ bis 60 bar: 73,2 °C). Die zweistufige Variante unten ist deshalb Pflicht – sie spart außerdem 13% Arbeit.
RECHENWEG:  Verdichter und Pumpe wie in S1: isentrop + Wirkungsgrad, h_aus = h_ein + (h_s − h_ein) / η. Kühler: abgeführte Wärme je kg q = h_vor − h_nach.
GRENZEN:  20 °C setzen Kühlwasser voraus. Mit Luftkühlung (ca. 35 °C) läge die Kühltemperatur über der kritischen Temperatur des Gemischs (28,0 °C): das Gemisch wäre dann vor der Pumpe überkritisch und deutlich weniger dicht.</t>
  </si>
  <si>
    <t xml:space="preserve">Netzübergabe → Messtechnik/Filtration → Verdichter → Kühler (dicht) → Pumpe → Bohrlochkopf</t>
  </si>
  <si>
    <t xml:space="preserve">Kühler (dichte Phase)</t>
  </si>
  <si>
    <t xml:space="preserve">Austrittsdruck = Kühlerdruck p_V</t>
  </si>
  <si>
    <t xml:space="preserve">Cricondenbar Gemisch</t>
  </si>
  <si>
    <t xml:space="preserve">CoolProp: höchster Druck der Phasengrenze</t>
  </si>
  <si>
    <t xml:space="preserve">Abstand p_V − Cricondenbar</t>
  </si>
  <si>
    <t xml:space="preserve">muss ≥ 3 bar sein, dann kein Zweiphasengebiet beim Kühlen</t>
  </si>
  <si>
    <t xml:space="preserve">Blasendruck bei T_K</t>
  </si>
  <si>
    <t xml:space="preserve">CoolProp: p(Q = 0, T_K) – Taudruck 63,4 bar</t>
  </si>
  <si>
    <t xml:space="preserve">Enthalpie nach Kühler</t>
  </si>
  <si>
    <t xml:space="preserve">Phase nach Kühler</t>
  </si>
  <si>
    <t xml:space="preserve">dicht (flüssig)</t>
  </si>
  <si>
    <t xml:space="preserve">Kühlleistung Kühler, oberer Fall</t>
  </si>
  <si>
    <t xml:space="preserve">S2 (2 Stufen) braucht rund 17-mal so viel Arbeit wie S1 – und rund 14% weniger als Durchverdichten. Beim Gemisch ist die zweite Verdichterstufe Pflicht (1 Stufe: 111,6 °C &gt; 95 °C) und spart gegenüber einer Stufe 13%.</t>
  </si>
  <si>
    <t xml:space="preserve">AUFBAU:  Stufe 1 30 → 52,0 bar, Zwischenkühlung auf 20 °C (das Gemisch bleibt gasförmig: Taudruck bei 20 °C = 63,4 bar), Stufe 2 → 90 bar. Zwischendruck mit gleichem Druckverhältnis in beiden Stufen: p_zw = √(p_ein · p_V). Wirkungsgrade 84 / 82 % (Q-016). Kühler und Pumpe wie im Basisfall. Beim Gemisch ist diese Variante Pflicht (95-°C-Grenze).</t>
  </si>
  <si>
    <t xml:space="preserve">Variante: zweistufige Verdichtung bis zum Kühlerdruck p_V (sonst wie Basisfall)</t>
  </si>
  <si>
    <t xml:space="preserve">Kühler und Pumpe wie Basisfall</t>
  </si>
  <si>
    <t xml:space="preserve">Abgeführte Wärme Kühler</t>
  </si>
  <si>
    <t xml:space="preserve">FRAGE:  Warum nicht einfach gasförmig bis 114,9 bar durchverdichten, statt dicht zu kühlen und zu pumpen?
AUFBAU nach denselben Regeln aus Q-016:  Zwischenkühlung auf 20 °C, höchstens 95 °C je Stufe, Wirkungsgrade 84 / 82 %. Der Zwischendruck muss mit 3 bar Abstand unter dem Taudruck des Gemischs bei 20 °C bleiben (63,4 − 3 = 60,4 bar; reines CO₂: 57,3 bar), sonst beginnt die Kondensation schon im Zwischenkühler; und die zweite Stufe darf 95 °C nicht überschreiten (ab 48,1 bar). Daraus folgt ein zulässiger Bereich von ca. 48–60 bar – gewählt wie bei reinem CO₂ 50 bar.
FAIRER VERGLEICH:  Am Ende kühlt ein Nachkühler auf denselben Endzustand wie S2 (gleicher Druck, gleiche Temperatur).</t>
  </si>
  <si>
    <t xml:space="preserve">p_zw ≤ p_Tau(T_K) − 3 bar ?</t>
  </si>
  <si>
    <t xml:space="preserve">S2 Basisfall: 1 Stufe (&gt; 95 °C!) + Kühler + Pumpe</t>
  </si>
  <si>
    <t xml:space="preserve">S2 Variante: 2 Stufen + Kühler + Pumpe</t>
  </si>
  <si>
    <t xml:space="preserve">Phasendiagramm – Prozesspfade der Einspeicherung und Betriebsfenster von Bohrloch und Kaverne (Worst-Case-Gemisch)</t>
  </si>
  <si>
    <t xml:space="preserve">Worst-Case-Gemisch (95 % CO₂ + 5 % Begleitstoffe) · Stoffdaten CoolProp (GERG-2008-Mischungsregel) · Fest-Gebiet, Sublimations- und Schmelzlinie: Näherung reines CO₂ (Span &amp; Wagner 1996)</t>
  </si>
  <si>
    <t xml:space="preserve">DIAGRAMM 1:  Farbflächen = Phasengebiete des Gemischs, rot = Zweiphasengebiet (reines CO₂ hat nur eine Linie, grau zum Vergleich). Rot gestrichelt = ±3 bar Unsicherheit der Phasengrenze. Grün = S1 (Pumpe). Blau = S2 Basisfall (1 Stufe bis 90 bar, 111,6 °C &gt; 95 °C, Kühler dicht auf 20 °C, Pumpe). Grau gestrichelt = alte Verdichtung wie reines CO₂ (60 bar) – bleibt beim Gemisch gasförmig, die Pumpe könnte nicht fördern. Hellblau gepunktet = S2-Variante mit 2 Stufen (beim Gemisch Pflicht). Violett gestrichelt = Durchverdichten (2 Stufen bis 114,9 bar, dann Nachkühler).
ENDPUNKT:  Alle Pfade enden am Bohrlochkopf bei 114,9 bar (reines CO₂: 107,6 bar). Diagramm 2 zeigt Bohrloch und Kaverne – nur im Stillstand.</t>
  </si>
  <si>
    <t xml:space="preserve">DIAGRAMM 2:  Jede gestrichelte Linie ist eine Gassäule – ein Füllstand der Kaverne im Stillstand. Sie läuft vom Bohrlochkopf (grauer Balken, 0 m, 10 °C) bis zur Kaverne (dunkelblauer Balken, 1200 m, 46 °C). Jeder Punkt auf der Linie ist eine Teufe: oben kalt und niedriger Druck, unten warm und hoher Druck.
BETRIEBSFENSTER IM STILLSTAND:  Der Bereich zwischen der Linie „voll“ (oben) und der Linie „leer“ (unten), links begrenzt durch den Kopf-Balken und rechts durch den Kavernen-Balken.
WICHTIG BEI LEERER KAVERNE:  70 bar unten ergeben oben 50,7 bar (reines CO₂: 45,0 bar). Das obere Bohrloch (0–82 m) liegt dann im Zweiphasengebiet des Gemischs. Erst ab ca. 171,2 bar Kavernendruck (Grenzfall: Kopf = Cricondenbar 82,2 bar) bleibt das ganze Bohrloch einphasig.
KAVERNE SELBST:  Bei 46 °C liegt sie immer über der Cricondentherm des Gemischs (28,1 °C) – dort gibt es keine Flüssigphase. Über 81,5 bar ist das Gemisch überkritisch, bei 70 bar gasförmig.
STILLSTAND VS. BETRIEB:  Die Gassäulen sind mit Gebirgstemperatur gerechnet (Kopf 10 °C) und gelten nur, solange nichts fließt. Beim Einspeichern kommt das Gemisch wärmer aus der Pumpe (S1 18,4 °C, S2 24,4 °C).</t>
  </si>
  <si>
    <t xml:space="preserve">—</t>
  </si>
  <si>
    <t xml:space="preserve">Kunz, O.; Wagner, W. (2012): The GERG-2008 Wide-Range Equation of State for Natural Gases and Other Mixtures: An Expansion of GERG-2004. J. Chem. Eng. Data 57, 3032–3091.</t>
  </si>
  <si>
    <t xml:space="preserve">Mischungsregel (Mehrfluid-Helmholtz-Modell) für das Worst-Case-Gemisch; Paarparameter CO₂–CH₄, CO₂–H₂</t>
  </si>
  <si>
    <t xml:space="preserve">—</t>
  </si>
  <si>
    <t xml:space="preserve">Gernert, J.; Span, R. (2016): EOS–CG: A Helmholtz energy mixture model for humid gases and CCS mixtures. J. Chem. Thermodyn. 93, 274–293 (Parameter aus Gernert 2013, Diss. RUB).</t>
  </si>
  <si>
    <t xml:space="preserve">Paarparameter CO₂–N₂, CO₂–Ar, CO₂–CO in CoolProp</t>
  </si>
  <si>
    <t xml:space="preserve">Gemisch</t>
  </si>
  <si>
    <t xml:space="preserve">Vorschlag Worst-Case-Gemisch Anlieferung: 95 % CO₂, 2,4 % N₂, 1 % Ar, 1 % CH₄, 0,5 % H₂, 0,1 % CO (mol-%); Belege DIN EN 18397, ISO 27913, Porthos-Grenzwerte, DVGW C 260.</t>
  </si>
  <si>
    <t xml:space="preserve">Zusammensetzung des Gemischs (Blatt „Gemisch &amp; Grenzen“)</t>
  </si>
  <si>
    <t xml:space="preserve">Doku</t>
  </si>
  <si>
    <t xml:space="preserve">Dokumentation_Stoffmodelle_Validierung.docx (eigene Arbeit): Gleichungen, Modellvergleich mit thermopack (GERG-2008, Peng-Robinson, SRK), Unsicherheit der Phasengrenze.</t>
  </si>
  <si>
    <t xml:space="preserve">Unsicherheit der Phasengrenze ±3 bar; Validierung der Stoffwerte</t>
  </si>
  <si>
    <t xml:space="preserve">Grundlage für das Phasendiagramm. Farbflächen: gestapelte Druckbereiche je Temperatur (Gemisch: gasförmig bis Taulinie, zweiphasig bis Blasenlinie, darüber flüssig; oberhalb des kritischen Punkts des Gemischs überkritisch; fest als Näherung reines CO₂). Linien: Punkte mit T, p und Position im Diagramm.</t>
  </si>
  <si>
    <t xml:space="preserve">zweiphasig [bar]</t>
  </si>
  <si>
    <t xml:space="preserve">Phasengrenze Gemisch (Tau-/Blasenlinie)</t>
  </si>
  <si>
    <t xml:space="preserve">Kritischer Punkt Gemisch</t>
  </si>
  <si>
    <t xml:space="preserve">S2: verdichten → dicht kühlen → pumpen</t>
  </si>
  <si>
    <t xml:space="preserve">Gassäule Grenzfall (Kopf = Cricondenbar)</t>
  </si>
  <si>
    <t xml:space="preserve">Bohrlochkopf (0 m): 50,7–114,9 bar</t>
  </si>
  <si>
    <t xml:space="preserve">Sättigungslinie reines CO₂ (Vergleich)</t>
  </si>
  <si>
    <t xml:space="preserve">Blasenlinie + 3 bar (sicher flüssig)</t>
  </si>
  <si>
    <t xml:space="preserve">Taulinie − 3 bar (sicher gasförmig)</t>
  </si>
  <si>
    <t xml:space="preserve">Alte Verdichtung (60 bar wie reines CO₂) – bleibt gasförmig</t>
  </si>
  <si>
    <t xml:space="preserve">Gemisch &amp; Grenzen – was die Begleitstoffe am Phasendiagramm ändern</t>
  </si>
  <si>
    <t xml:space="preserve">Worst-Case-Gemisch Anlieferung · Stoffdaten CoolProp 8.0.0 (GERG-2008-Mischungsregel) · Vergleich mit der Mappe für reines CO₂</t>
  </si>
  <si>
    <t xml:space="preserve">← zur Übersicht</t>
  </si>
  <si>
    <t xml:space="preserve">Kurz gesagt</t>
  </si>
  <si>
    <t xml:space="preserve">Reines CO₂ hat eine Dampfdrucklinie: bei jeder Temperatur genau ein Druck, bei dem es siedet. Das Gemisch hat stattdessen ein Zweiphasengebiet zwischen Taulinie (erster Tropfen) und Blasenlinie (letzte Blase). Die leichtflüchtigen Begleitstoffe (vor allem H₂ und N₂) schieben die Blasenlinie nach oben – für „sicher flüssig“ braucht man mehr Druck. Weil die Phasengrenze eines Gemischs unsicherer ist als die von reinem CO₂, gilt ein Sicherheitsabstand von ±3 bar (Modellvergleich, Dokumentation Kap. 9).</t>
  </si>
  <si>
    <t xml:space="preserve">Zusammensetzung (mol-%)</t>
  </si>
  <si>
    <t xml:space="preserve">Komponente</t>
  </si>
  <si>
    <t xml:space="preserve">mol-%</t>
  </si>
  <si>
    <t xml:space="preserve">Beleg</t>
  </si>
  <si>
    <t xml:space="preserve">CO₂</t>
  </si>
  <si>
    <t xml:space="preserve">DIN EN 18397 / ISO 27913</t>
  </si>
  <si>
    <t xml:space="preserve">N₂</t>
  </si>
  <si>
    <t xml:space="preserve">Porthos-Grenzwert</t>
  </si>
  <si>
    <t xml:space="preserve">Ar</t>
  </si>
  <si>
    <t xml:space="preserve">ca. Oxyfuel-Zusammensetzung</t>
  </si>
  <si>
    <t xml:space="preserve">CH₄</t>
  </si>
  <si>
    <t xml:space="preserve">Porthos-Grenzwert</t>
  </si>
  <si>
    <t xml:space="preserve">H₂</t>
  </si>
  <si>
    <t xml:space="preserve">DIN EN 18397 / DVGW C 260</t>
  </si>
  <si>
    <t xml:space="preserve">CO</t>
  </si>
  <si>
    <t xml:space="preserve">DIN EN 18397 (1000 ppm)</t>
  </si>
  <si>
    <t xml:space="preserve">Σ Begleitstoffe</t>
  </si>
  <si>
    <t xml:space="preserve">= Grenze DIN EN 18397</t>
  </si>
  <si>
    <t xml:space="preserve">Kennpunkte der Phasengrenze</t>
  </si>
  <si>
    <t xml:space="preserve">Kennpunkt</t>
  </si>
  <si>
    <t xml:space="preserve">T [°C]</t>
  </si>
  <si>
    <t xml:space="preserve">p [bar]</t>
  </si>
  <si>
    <t xml:space="preserve">reines CO₂</t>
  </si>
  <si>
    <t xml:space="preserve">Bedeutung</t>
  </si>
  <si>
    <t xml:space="preserve">Kritischer Punkt</t>
  </si>
  <si>
    <t xml:space="preserve">31,0 °C / 73,8 bar</t>
  </si>
  <si>
    <t xml:space="preserve">Tau- und Blasenlinie treffen sich</t>
  </si>
  <si>
    <t xml:space="preserve">Cricondenbar</t>
  </si>
  <si>
    <t xml:space="preserve">= krit. Punkt</t>
  </si>
  <si>
    <t xml:space="preserve">darüber bei jeder Temperatur einphasig</t>
  </si>
  <si>
    <t xml:space="preserve">Cricondentherm</t>
  </si>
  <si>
    <t xml:space="preserve">= krit. Punkt</t>
  </si>
  <si>
    <t xml:space="preserve">darüber bei jedem Druck einphasig</t>
  </si>
  <si>
    <t xml:space="preserve">Unsicherheit der Phasengrenze</t>
  </si>
  <si>
    <t xml:space="preserve">bar</t>
  </si>
  <si>
    <t xml:space="preserve">Dokumentation Kap. 9: Modellstreuung 1 bar + Modellfehler 1–3 %</t>
  </si>
  <si>
    <t xml:space="preserve">Blasendruck bei T_K</t>
  </si>
  <si>
    <t xml:space="preserve">57,3 (p_sat)</t>
  </si>
  <si>
    <t xml:space="preserve">darüber vollständig flüssig</t>
  </si>
  <si>
    <t xml:space="preserve">Taudruck bei T_K</t>
  </si>
  <si>
    <t xml:space="preserve">57,3 (p_sat)</t>
  </si>
  <si>
    <t xml:space="preserve">darunter vollständig gasförmig</t>
  </si>
  <si>
    <t xml:space="preserve">Tau- und Blasendruck über der Temperatur</t>
  </si>
  <si>
    <t xml:space="preserve">T [°C]</t>
  </si>
  <si>
    <t xml:space="preserve">p_sat reines CO₂ [bar]</t>
  </si>
  <si>
    <t xml:space="preserve">Taudruck Gemisch [bar]</t>
  </si>
  <si>
    <t xml:space="preserve">Blasendruck Gemisch [bar]</t>
  </si>
  <si>
    <t xml:space="preserve">sicher gasförmig unter [bar]</t>
  </si>
  <si>
    <t xml:space="preserve">sicher flüssig über [bar]</t>
  </si>
  <si>
    <t xml:space="preserve">Unter −56,6 °C bildet sich Trockeneis (nicht im Modell). Oberhalb von 28,1 °C gibt es beim Gemisch kein Zweiphasengebiet mehr.</t>
  </si>
  <si>
    <t xml:space="preserve">Neue Grenzen der Einspeicherung – wo sie sich ergeben</t>
  </si>
  <si>
    <t xml:space="preserve">Grenze</t>
  </si>
  <si>
    <t xml:space="preserve">reines CO₂</t>
  </si>
  <si>
    <t xml:space="preserve">Gemisch</t>
  </si>
  <si>
    <t xml:space="preserve">Folge für die Anlage</t>
  </si>
  <si>
    <t xml:space="preserve">Blatt</t>
  </si>
  <si>
    <t xml:space="preserve">Mindestdruck dichte Anlieferung bei 15 °C</t>
  </si>
  <si>
    <t xml:space="preserve">50,9 bar</t>
  </si>
  <si>
    <t xml:space="preserve">71,9 + 3 bar</t>
  </si>
  <si>
    <t xml:space="preserve">S1 mit 91 bar sicher dicht (8,8 bar über der Cricondenbar)</t>
  </si>
  <si>
    <t xml:space="preserve">Einspeicherung S1</t>
  </si>
  <si>
    <t xml:space="preserve">Enddruck Verdichtung = Kühlerdruck bei 20 °C</t>
  </si>
  <si>
    <t xml:space="preserve">&gt; 57,3 bar (gewählt 60, verflüssigen)</t>
  </si>
  <si>
    <t xml:space="preserve">≥ 85,2 bar (gewählt 90)</t>
  </si>
  <si>
    <t xml:space="preserve">über der Cricondenbar kühlen: kein Zweiphasengebiet, Gemisch wird stetig dicht</t>
  </si>
  <si>
    <t xml:space="preserve">Einspeicherung S2</t>
  </si>
  <si>
    <t xml:space="preserve">Verdichtung 30 bar → p_V in einer Stufe</t>
  </si>
  <si>
    <t xml:space="preserve">73,2 °C ✔</t>
  </si>
  <si>
    <t xml:space="preserve">111,6 °C ✘ (&gt; 95 °C)</t>
  </si>
  <si>
    <t xml:space="preserve">zwei Verdichterstufen mit Zwischenkühlung nötig</t>
  </si>
  <si>
    <t xml:space="preserve">Einspeicherung S2</t>
  </si>
  <si>
    <t xml:space="preserve">Zwischendruck (gasförmig bei 20 °C)</t>
  </si>
  <si>
    <t xml:space="preserve">&lt; 57,3 bar</t>
  </si>
  <si>
    <t xml:space="preserve">≤ 60,4 bar</t>
  </si>
  <si>
    <t xml:space="preserve">zulässig ca. 48–60 bar (95-°C-Grenze Stufe 2)</t>
  </si>
  <si>
    <t xml:space="preserve">Einspeicherung S2</t>
  </si>
  <si>
    <t xml:space="preserve">Kopfdruck bei voller Kaverne</t>
  </si>
  <si>
    <t xml:space="preserve">107,6 bar</t>
  </si>
  <si>
    <t xml:space="preserve">114,9 bar</t>
  </si>
  <si>
    <t xml:space="preserve">Pumpe muss 7,3 bar mehr liefern; Gemisch ist leichter</t>
  </si>
  <si>
    <t xml:space="preserve">Kaverne &amp; Gassäule</t>
  </si>
  <si>
    <t xml:space="preserve">Bohrloch ganz einphasig (Grenzfall)</t>
  </si>
  <si>
    <t xml:space="preserve">Kopf ≥ 73,8 bar (p_krit)</t>
  </si>
  <si>
    <t xml:space="preserve">Kopf ≥ 82,2 bar (Cricondenbar)</t>
  </si>
  <si>
    <t xml:space="preserve">Kavernendruck ab 171,2 bar (rein: 171,7 bar)</t>
  </si>
  <si>
    <t xml:space="preserve">Kaverne &amp; Gassäule</t>
  </si>
  <si>
    <t xml:space="preserve">Leere Kaverne (70 bar unten)</t>
  </si>
  <si>
    <t xml:space="preserve">Kopf 45,0 bar, 0–236 m zweiphasig</t>
  </si>
  <si>
    <t xml:space="preserve">Kopf 50,7 bar, 0–82 m zweiphasig</t>
  </si>
  <si>
    <t xml:space="preserve">Zweiphasengebiet im oberen Bohrloch kleiner, aber vorhanden</t>
  </si>
  <si>
    <t xml:space="preserve">Kaverne &amp; Gassäule</t>
  </si>
  <si>
    <t xml:space="preserve">Kritische Temperatur</t>
  </si>
  <si>
    <t xml:space="preserve">31,0 °C</t>
  </si>
  <si>
    <t xml:space="preserve">28,0 °C</t>
  </si>
  <si>
    <t xml:space="preserve">Kühlung unter 28 °C nötig, sonst ist das Gemisch vor der Pumpe überkritisch</t>
  </si>
  <si>
    <t xml:space="preserve">Einspeicherung S2</t>
  </si>
  <si>
    <t xml:space="preserve">Dichte am Kavernenboden (210 bar, 46 °C)</t>
  </si>
  <si>
    <t xml:space="preserve">817,6 kg/m³</t>
  </si>
  <si>
    <t xml:space="preserve">756,0 kg/m³</t>
  </si>
  <si>
    <t xml:space="preserve">-7,5 % Masse je m³ Kavernenvolumen</t>
  </si>
  <si>
    <t xml:space="preserve">Kaverne &amp; Gassäule</t>
  </si>
  <si>
    <t xml:space="preserve">Alte und neue Verdichtung (S2, gasförmige Anlieferung 30 bar / 15 °C)</t>
  </si>
  <si>
    <t xml:space="preserve">alte Verdichtung (wie reines CO₂)</t>
  </si>
  <si>
    <t xml:space="preserve">neue Verdichtung (Gemisch)</t>
  </si>
  <si>
    <t xml:space="preserve">Warum</t>
  </si>
  <si>
    <t xml:space="preserve">Enddruck Verdichtung = Druck beim Kühlen auf 20 °C</t>
  </si>
  <si>
    <t xml:space="preserve">60 bar</t>
  </si>
  <si>
    <t xml:space="preserve">90 bar</t>
  </si>
  <si>
    <t xml:space="preserve">Cricondenbar 82,2 bar + 3 bar Unsicherheit = 85,2 bar Minimum</t>
  </si>
  <si>
    <t xml:space="preserve">Verdichterstufen</t>
  </si>
  <si>
    <t xml:space="preserve">1 Stufe</t>
  </si>
  <si>
    <t xml:space="preserve">2 Stufen (Zwischenkühlung auf 20 °C)</t>
  </si>
  <si>
    <t xml:space="preserve">1 Stufe bis 90 bar: 111,6 °C &gt; 95 °C (Q-016)</t>
  </si>
  <si>
    <t xml:space="preserve">Austrittstemperatur Verdichter</t>
  </si>
  <si>
    <t xml:space="preserve">73,7 °C</t>
  </si>
  <si>
    <t xml:space="preserve">60,9 / 65,2 °C</t>
  </si>
  <si>
    <t xml:space="preserve">höchstens 95 °C je Stufe (Q-016)</t>
  </si>
  <si>
    <t xml:space="preserve">Zwischendruck</t>
  </si>
  <si>
    <t xml:space="preserve">–</t>
  </si>
  <si>
    <t xml:space="preserve">52,0 bar</t>
  </si>
  <si>
    <t xml:space="preserve">gasförmig: ≤ Taudruck(20 °C) − 3 = 60,4 bar</t>
  </si>
  <si>
    <t xml:space="preserve">Zustand nach Kühlung auf 20 °C</t>
  </si>
  <si>
    <t xml:space="preserve">gasförmig ✘</t>
  </si>
  <si>
    <t xml:space="preserve">dicht (flüssig) ✔</t>
  </si>
  <si>
    <t xml:space="preserve">alt: 3,4 bar unter der Taulinie (63,4 bar) – nichts kondensiert, die Pumpe kann Gas nicht fördern; neu: 7,8 bar über der Cricondenbar</t>
  </si>
  <si>
    <t xml:space="preserve">Spezifische Arbeit Verdichter + Pumpe</t>
  </si>
  <si>
    <t xml:space="preserve">– (Kette funktioniert nicht)</t>
  </si>
  <si>
    <t xml:space="preserve">62,8 kJ/kg</t>
  </si>
  <si>
    <t xml:space="preserve">reines CO₂ (alt, 1 Stufe): 46,4 kJ/kg; Durchverdichten Gemisch: 72,9 kJ/kg</t>
  </si>
  <si>
    <t xml:space="preserve">Druck am Bohrlochkopf</t>
  </si>
  <si>
    <t xml:space="preserve">–</t>
  </si>
  <si>
    <t xml:space="preserve">114,9 bar (Pumpe, 24,4 °C)</t>
  </si>
  <si>
    <t xml:space="preserve">wird mit der neuen Kette erreicht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</si>
</sst>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;;;"/>
    <numFmt numFmtId="166" formatCode="0.0000"/>
  </numFmts>
  <fonts count="19" x14ac:knownFonts="1">
    <font>
      <sz val="11"/>
      <color theme="1"/>
      <name val="Calibri"/>
      <family val="2"/>
      <scheme val="minor"/>
    </font>
    <font>
      <b/>
      <sz val="20"/>
      <color rgb="FF00304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00304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u/>
      <sz val="10"/>
      <color rgb="FF0476D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304F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00733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304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7F0"/>
        <bgColor indexed="64"/>
      </patternFill>
    </fill>
    <fill>
      <patternFill patternType="lightUp">
        <fgColor rgb="FFBFBFBF"/>
        <bgColor rgb="FFFFFFFF"/>
      </patternFill>
    </fill>
    <fill>
      <patternFill patternType="solid">
        <fgColor rgb="FFFFF7EE"/>
        <bgColor indexed="64"/>
      </patternFill>
    </fill>
    <fill>
      <patternFill patternType="solid">
        <fgColor rgb="FFFFE5E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304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E7203"/>
      </left>
      <right style="thin">
        <color rgb="FFEE7203"/>
      </right>
      <top style="thin">
        <color rgb="FFEE7203"/>
      </top>
      <bottom style="thin">
        <color rgb="FFEE7203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9" fillId="6" borderId="0" xfId="0" applyFont="1" applyFill="1"/>
    <xf numFmtId="0" fontId="10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165" fontId="14" fillId="0" borderId="0" xfId="0" applyNumberFormat="1" applyFont="1" applyAlignment="1">
      <alignment vertical="center"/>
    </xf>
    <xf numFmtId="0" fontId="15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49" fontId="7" fillId="4" borderId="2" xfId="0" applyNumberFormat="1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2" fontId="7" fillId="4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6" fontId="6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9" borderId="2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0" fontId="4" fillId="11" borderId="3" xfId="0" applyFont="1" applyFill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5" fillId="8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7" fillId="12" borderId="4" xfId="0" applyFont="1" applyFill="1" applyBorder="1" applyAlignment="1">
      <alignment vertical="center" wrapText="1"/>
    </xf>
  </cellXfs>
  <cellStyles count="1">
    <cellStyle name="Standard" xfId="0" builtinId="0"/>
  </cellStyles>
  <dxfs count="33"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b/>
        <color rgb="FF007335"/>
      </font>
    </dxf>
    <dxf>
      <font>
        <b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color rgb="FF007335"/>
      </font>
    </dxf>
    <dxf>
      <font>
        <b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0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Temperatur (Gebirge)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</c:v>
          </c:tx>
          <c:spPr>
            <a:ln w="28575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'Kaverne &amp; Gassäule'!$C$49:$C$73</c:f>
              <c:numCache>
                <c:formatCode>0.0</c:formatCode>
                <c:ptCount val="25"/>
                <c:pt idx="0">
                  <c:v>10</c:v>
                </c:pt>
                <c:pt idx="1">
                  <c:v>11.5</c:v>
                </c:pt>
                <c:pt idx="2">
                  <c:v>13</c:v>
                </c:pt>
                <c:pt idx="3">
                  <c:v>14.5</c:v>
                </c:pt>
                <c:pt idx="4">
                  <c:v>16</c:v>
                </c:pt>
                <c:pt idx="5">
                  <c:v>17.5</c:v>
                </c:pt>
                <c:pt idx="6">
                  <c:v>19</c:v>
                </c:pt>
                <c:pt idx="7">
                  <c:v>20.5</c:v>
                </c:pt>
                <c:pt idx="8">
                  <c:v>22</c:v>
                </c:pt>
                <c:pt idx="9">
                  <c:v>23.5</c:v>
                </c:pt>
                <c:pt idx="10">
                  <c:v>25</c:v>
                </c:pt>
                <c:pt idx="11">
                  <c:v>26.5</c:v>
                </c:pt>
                <c:pt idx="12">
                  <c:v>28</c:v>
                </c:pt>
                <c:pt idx="13">
                  <c:v>29.5</c:v>
                </c:pt>
                <c:pt idx="14">
                  <c:v>31</c:v>
                </c:pt>
                <c:pt idx="15">
                  <c:v>32.5</c:v>
                </c:pt>
                <c:pt idx="16">
                  <c:v>34</c:v>
                </c:pt>
                <c:pt idx="17">
                  <c:v>35.5</c:v>
                </c:pt>
                <c:pt idx="18">
                  <c:v>37</c:v>
                </c:pt>
                <c:pt idx="19">
                  <c:v>38.5</c:v>
                </c:pt>
                <c:pt idx="20">
                  <c:v>40</c:v>
                </c:pt>
                <c:pt idx="21">
                  <c:v>41.5</c:v>
                </c:pt>
                <c:pt idx="22">
                  <c:v>43</c:v>
                </c:pt>
                <c:pt idx="23">
                  <c:v>44.5</c:v>
                </c:pt>
                <c:pt idx="24">
                  <c:v>46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A-45F4-BA50-2D25CE98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6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T [°C]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midCat"/>
        <c:majorUnit val="200"/>
      </c:valAx>
    </c:plotArea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Druck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voll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Gassäule'!$D$49:$D$73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0-437E-A63B-29A9BE0280F1}"/>
            </c:ext>
          </c:extLst>
        </c:ser>
        <c:ser>
          <c:idx val="1"/>
          <c:order val="1"/>
          <c:tx>
            <c:v>Grenzfall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Gassäule'!$F$49:$F$73</c:f>
              <c:numCache>
                <c:formatCode>0.0</c:formatCode>
                <c:ptCount val="25"/>
                <c:pt idx="0">
                  <c:v>73.772983779137576</c:v>
                </c:pt>
                <c:pt idx="1">
                  <c:v>78.158267366217629</c:v>
                </c:pt>
                <c:pt idx="2">
                  <c:v>82.51551505203399</c:v>
                </c:pt>
                <c:pt idx="3">
                  <c:v>86.844824172214189</c:v>
                </c:pt>
                <c:pt idx="4">
                  <c:v>91.146308998600489</c:v>
                </c:pt>
                <c:pt idx="5">
                  <c:v>95.420100641130801</c:v>
                </c:pt>
                <c:pt idx="6">
                  <c:v>99.666346825411907</c:v>
                </c:pt>
                <c:pt idx="7">
                  <c:v>103.8852116340835</c:v>
                </c:pt>
                <c:pt idx="8">
                  <c:v>108.0768752886668</c:v>
                </c:pt>
                <c:pt idx="9">
                  <c:v>112.2415340230345</c:v>
                </c:pt>
                <c:pt idx="10">
                  <c:v>116.3794000648183</c:v>
                </c:pt>
                <c:pt idx="11">
                  <c:v>120.4907017034746</c:v>
                </c:pt>
                <c:pt idx="12">
                  <c:v>124.5756833908703</c:v>
                </c:pt>
                <c:pt idx="13">
                  <c:v>128.6346057983711</c:v>
                </c:pt>
                <c:pt idx="14">
                  <c:v>132.6677457476095</c:v>
                </c:pt>
                <c:pt idx="15">
                  <c:v>136.6753959411524</c:v>
                </c:pt>
                <c:pt idx="16">
                  <c:v>140.65786444165681</c:v>
                </c:pt>
                <c:pt idx="17">
                  <c:v>144.61547387863601</c:v>
                </c:pt>
                <c:pt idx="18">
                  <c:v>148.5485603943242</c:v>
                </c:pt>
                <c:pt idx="19">
                  <c:v>152.4574723682469</c:v>
                </c:pt>
                <c:pt idx="20">
                  <c:v>156.34256897962541</c:v>
                </c:pt>
                <c:pt idx="21">
                  <c:v>160.2042186756909</c:v>
                </c:pt>
                <c:pt idx="22">
                  <c:v>164.0427976128814</c:v>
                </c:pt>
                <c:pt idx="23">
                  <c:v>167.8586881290575</c:v>
                </c:pt>
                <c:pt idx="24">
                  <c:v>171.65227729158011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0-437E-A63B-29A9BE0280F1}"/>
            </c:ext>
          </c:extLst>
        </c:ser>
        <c:ser>
          <c:idx val="2"/>
          <c:order val="2"/>
          <c:tx>
            <c:v>leer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Gassäule'!$H$49:$H$73</c:f>
              <c:numCache>
                <c:formatCode>0.0</c:formatCode>
                <c:ptCount val="25"/>
                <c:pt idx="0">
                  <c:v>44.992994186969852</c:v>
                </c:pt>
                <c:pt idx="1">
                  <c:v>46.658027336303412</c:v>
                </c:pt>
                <c:pt idx="2">
                  <c:v>48.469673788771722</c:v>
                </c:pt>
                <c:pt idx="3">
                  <c:v>50.287386984021232</c:v>
                </c:pt>
                <c:pt idx="4">
                  <c:v>52.113012402204589</c:v>
                </c:pt>
                <c:pt idx="5">
                  <c:v>53.576395779275323</c:v>
                </c:pt>
                <c:pt idx="6">
                  <c:v>54.422451099446228</c:v>
                </c:pt>
                <c:pt idx="7">
                  <c:v>55.269945504788083</c:v>
                </c:pt>
                <c:pt idx="8">
                  <c:v>56.119079339465053</c:v>
                </c:pt>
                <c:pt idx="9">
                  <c:v>56.970011793445003</c:v>
                </c:pt>
                <c:pt idx="10">
                  <c:v>57.822871235687643</c:v>
                </c:pt>
                <c:pt idx="11">
                  <c:v>58.677762156197382</c:v>
                </c:pt>
                <c:pt idx="12">
                  <c:v>59.534770035388831</c:v>
                </c:pt>
                <c:pt idx="13">
                  <c:v>60.393964903905619</c:v>
                </c:pt>
                <c:pt idx="14">
                  <c:v>61.255404045156617</c:v>
                </c:pt>
                <c:pt idx="15">
                  <c:v>62.119134114436157</c:v>
                </c:pt>
                <c:pt idx="16">
                  <c:v>62.985192844205663</c:v>
                </c:pt>
                <c:pt idx="17">
                  <c:v>63.853610443206122</c:v>
                </c:pt>
                <c:pt idx="18">
                  <c:v>64.724410759818767</c:v>
                </c:pt>
                <c:pt idx="19">
                  <c:v>65.597612257397259</c:v>
                </c:pt>
                <c:pt idx="20">
                  <c:v>66.473228835324207</c:v>
                </c:pt>
                <c:pt idx="21">
                  <c:v>67.351270520858037</c:v>
                </c:pt>
                <c:pt idx="22">
                  <c:v>68.231744051372317</c:v>
                </c:pt>
                <c:pt idx="23">
                  <c:v>69.114653363081544</c:v>
                </c:pt>
                <c:pt idx="24">
                  <c:v>70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E0-437E-A63B-29A9BE02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25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midCat"/>
        <c:majorUnit val="200"/>
      </c:valAx>
    </c:plotArea>
    <c:legend>
      <c:legendPos val="b"/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Dichte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voll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Gassäule'!$E$49:$E$73</c:f>
              <c:numCache>
                <c:formatCode>0.0</c:formatCode>
                <c:ptCount val="25"/>
                <c:pt idx="0">
                  <c:v>926.32203680404973</c:v>
                </c:pt>
                <c:pt idx="1">
                  <c:v>921.36648651154201</c:v>
                </c:pt>
                <c:pt idx="2">
                  <c:v>916.43579278043831</c:v>
                </c:pt>
                <c:pt idx="3">
                  <c:v>911.53192593962672</c:v>
                </c:pt>
                <c:pt idx="4">
                  <c:v>906.65680676935699</c:v>
                </c:pt>
                <c:pt idx="5">
                  <c:v>901.81228956803068</c:v>
                </c:pt>
                <c:pt idx="6">
                  <c:v>897.00015115065344</c:v>
                </c:pt>
                <c:pt idx="7">
                  <c:v>892.222086630273</c:v>
                </c:pt>
                <c:pt idx="8">
                  <c:v>887.47971201926009</c:v>
                </c:pt>
                <c:pt idx="9">
                  <c:v>882.77457279218368</c:v>
                </c:pt>
                <c:pt idx="10">
                  <c:v>878.10815671138118</c:v>
                </c:pt>
                <c:pt idx="11">
                  <c:v>873.48190858756857</c:v>
                </c:pt>
                <c:pt idx="12">
                  <c:v>868.89724435846222</c:v>
                </c:pt>
                <c:pt idx="13">
                  <c:v>864.35556197154074</c:v>
                </c:pt>
                <c:pt idx="14">
                  <c:v>859.85824705420976</c:v>
                </c:pt>
                <c:pt idx="15">
                  <c:v>855.40667218201588</c:v>
                </c:pt>
                <c:pt idx="16">
                  <c:v>851.00218948102599</c:v>
                </c:pt>
                <c:pt idx="17">
                  <c:v>846.64611733448464</c:v>
                </c:pt>
                <c:pt idx="18">
                  <c:v>842.33972272629626</c:v>
                </c:pt>
                <c:pt idx="19">
                  <c:v>838.08420130895161</c:v>
                </c:pt>
                <c:pt idx="20">
                  <c:v>833.88065746306995</c:v>
                </c:pt>
                <c:pt idx="21">
                  <c:v>829.73008646458027</c:v>
                </c:pt>
                <c:pt idx="22">
                  <c:v>825.63336044695302</c:v>
                </c:pt>
                <c:pt idx="23">
                  <c:v>821.59121924258886</c:v>
                </c:pt>
                <c:pt idx="24">
                  <c:v>817.60426652443198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D-4235-ABFC-4F6D3DC39033}"/>
            </c:ext>
          </c:extLst>
        </c:ser>
        <c:ser>
          <c:idx val="1"/>
          <c:order val="1"/>
          <c:tx>
            <c:v>Grenzfall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Gassäule'!$G$49:$G$73</c:f>
              <c:numCache>
                <c:formatCode>0.0</c:formatCode>
                <c:ptCount val="25"/>
                <c:pt idx="0">
                  <c:v>897.02184242090505</c:v>
                </c:pt>
                <c:pt idx="1">
                  <c:v>891.29696099094076</c:v>
                </c:pt>
                <c:pt idx="2">
                  <c:v>885.59013179289752</c:v>
                </c:pt>
                <c:pt idx="3">
                  <c:v>879.90480437760289</c:v>
                </c:pt>
                <c:pt idx="4">
                  <c:v>874.2444277392234</c:v>
                </c:pt>
                <c:pt idx="5">
                  <c:v>868.61241568352341</c:v>
                </c:pt>
                <c:pt idx="6">
                  <c:v>863.01213022070874</c:v>
                </c:pt>
                <c:pt idx="7">
                  <c:v>857.4468823333757</c:v>
                </c:pt>
                <c:pt idx="8">
                  <c:v>851.91994629564965</c:v>
                </c:pt>
                <c:pt idx="9">
                  <c:v>846.43458122630852</c:v>
                </c:pt>
                <c:pt idx="10">
                  <c:v>840.99405225745625</c:v>
                </c:pt>
                <c:pt idx="11">
                  <c:v>835.60164387285442</c:v>
                </c:pt>
                <c:pt idx="12">
                  <c:v>830.2606596077286</c:v>
                </c:pt>
                <c:pt idx="13">
                  <c:v>824.97440504122233</c:v>
                </c:pt>
                <c:pt idx="14">
                  <c:v>819.74615425736431</c:v>
                </c:pt>
                <c:pt idx="15">
                  <c:v>814.57910309335955</c:v>
                </c:pt>
                <c:pt idx="16">
                  <c:v>809.47631470365286</c:v>
                </c:pt>
                <c:pt idx="17">
                  <c:v>804.44066408788944</c:v>
                </c:pt>
                <c:pt idx="18">
                  <c:v>799.47478794284075</c:v>
                </c:pt>
                <c:pt idx="19">
                  <c:v>794.58104484150067</c:v>
                </c:pt>
                <c:pt idx="20">
                  <c:v>789.7614887078571</c:v>
                </c:pt>
                <c:pt idx="21">
                  <c:v>785.01785637481521</c:v>
                </c:pt>
                <c:pt idx="22">
                  <c:v>780.35156814174218</c:v>
                </c:pt>
                <c:pt idx="23">
                  <c:v>775.76373897866199</c:v>
                </c:pt>
                <c:pt idx="24">
                  <c:v>771.25519744430449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D-4235-ABFC-4F6D3DC39033}"/>
            </c:ext>
          </c:extLst>
        </c:ser>
        <c:ser>
          <c:idx val="2"/>
          <c:order val="2"/>
          <c:tx>
            <c:v>leer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Gassäule'!$I$49:$I$73</c:f>
              <c:numCache>
                <c:formatCode>General</c:formatCode>
                <c:ptCount val="25"/>
                <c:pt idx="0" formatCode="0.0">
                  <c:v>134.97287245577121</c:v>
                </c:pt>
                <c:pt idx="5" formatCode="0.0">
                  <c:v>172.35312893618291</c:v>
                </c:pt>
                <c:pt idx="6" formatCode="0.0">
                  <c:v>172.621519049852</c:v>
                </c:pt>
                <c:pt idx="7" formatCode="0.0">
                  <c:v>172.9361403382413</c:v>
                </c:pt>
                <c:pt idx="8" formatCode="0.0">
                  <c:v>173.2871502061312</c:v>
                </c:pt>
                <c:pt idx="9" formatCode="0.0">
                  <c:v>173.6673159513561</c:v>
                </c:pt>
                <c:pt idx="10" formatCode="0.0">
                  <c:v>174.0711215222214</c:v>
                </c:pt>
                <c:pt idx="11" formatCode="0.0">
                  <c:v>174.49423004274641</c:v>
                </c:pt>
                <c:pt idx="12" formatCode="0.0">
                  <c:v>174.93314967554269</c:v>
                </c:pt>
                <c:pt idx="13" formatCode="0.0">
                  <c:v>175.385018717165</c:v>
                </c:pt>
                <c:pt idx="14" formatCode="0.0">
                  <c:v>175.84746215970779</c:v>
                </c:pt>
                <c:pt idx="15" formatCode="0.0">
                  <c:v>176.3184920198822</c:v>
                </c:pt>
                <c:pt idx="16" formatCode="0.0">
                  <c:v>176.79643510684511</c:v>
                </c:pt>
                <c:pt idx="17" formatCode="0.0">
                  <c:v>177.27987846440661</c:v>
                </c:pt>
                <c:pt idx="18" formatCode="0.0">
                  <c:v>177.76762657287509</c:v>
                </c:pt>
                <c:pt idx="19" formatCode="0.0">
                  <c:v>178.25866668657179</c:v>
                </c:pt>
                <c:pt idx="20" formatCode="0.0">
                  <c:v>178.75214006440939</c:v>
                </c:pt>
                <c:pt idx="21" formatCode="0.0">
                  <c:v>179.2473176918887</c:v>
                </c:pt>
                <c:pt idx="22" formatCode="0.0">
                  <c:v>179.7435796054763</c:v>
                </c:pt>
                <c:pt idx="23" formatCode="0.0">
                  <c:v>180.24039723890161</c:v>
                </c:pt>
                <c:pt idx="24" formatCode="0.0">
                  <c:v>180.73731839070081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AD-4235-ABFC-4F6D3DC39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100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ρ [kg/m³]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midCat"/>
        <c:majorUnit val="200"/>
      </c:valAx>
    </c:plotArea>
    <c:legend>
      <c:legendPos val="b"/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Druckverlauf über die Teufe (Ziel 210 bar in 1200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CO₂-Gemisch</c:v>
          </c:tx>
          <c:spPr>
            <a:ln w="31750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Medienvergleich!$C$25:$C$49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C-4A2A-AFC1-11C38B40F17D}"/>
            </c:ext>
          </c:extLst>
        </c:ser>
        <c:ser>
          <c:idx val="1"/>
          <c:order val="1"/>
          <c:tx>
            <c:v>Erdgas (CH₄)</c:v>
          </c:tx>
          <c:spPr>
            <a:ln w="31750">
              <a:solidFill>
                <a:srgbClr val="EE7203"/>
              </a:solidFill>
            </a:ln>
          </c:spPr>
          <c:marker>
            <c:symbol val="none"/>
          </c:marker>
          <c:xVal>
            <c:numRef>
              <c:f>Medienvergleich!$E$25:$E$49</c:f>
              <c:numCache>
                <c:formatCode>0.0</c:formatCode>
                <c:ptCount val="25"/>
                <c:pt idx="0">
                  <c:v>191.70534274066219</c:v>
                </c:pt>
                <c:pt idx="1">
                  <c:v>192.52379911027771</c:v>
                </c:pt>
                <c:pt idx="2">
                  <c:v>193.33658532431599</c:v>
                </c:pt>
                <c:pt idx="3">
                  <c:v>194.14382581401239</c:v>
                </c:pt>
                <c:pt idx="4">
                  <c:v>194.9456412954687</c:v>
                </c:pt>
                <c:pt idx="5">
                  <c:v>195.74214887277981</c:v>
                </c:pt>
                <c:pt idx="6">
                  <c:v>196.53346214151821</c:v>
                </c:pt>
                <c:pt idx="7">
                  <c:v>197.31969129205709</c:v>
                </c:pt>
                <c:pt idx="8">
                  <c:v>198.10094321227609</c:v>
                </c:pt>
                <c:pt idx="9">
                  <c:v>198.87732158927039</c:v>
                </c:pt>
                <c:pt idx="10">
                  <c:v>199.64892700973121</c:v>
                </c:pt>
                <c:pt idx="11">
                  <c:v>200.41585705872819</c:v>
                </c:pt>
                <c:pt idx="12">
                  <c:v>201.17820641666481</c:v>
                </c:pt>
                <c:pt idx="13">
                  <c:v>201.93606695422011</c:v>
                </c:pt>
                <c:pt idx="14">
                  <c:v>202.68952782513051</c:v>
                </c:pt>
                <c:pt idx="15">
                  <c:v>203.4386755566926</c:v>
                </c:pt>
                <c:pt idx="16">
                  <c:v>204.1835941379002</c:v>
                </c:pt>
                <c:pt idx="17">
                  <c:v>204.92436510515191</c:v>
                </c:pt>
                <c:pt idx="18">
                  <c:v>205.66106762548699</c:v>
                </c:pt>
                <c:pt idx="19">
                  <c:v>206.3937785773266</c:v>
                </c:pt>
                <c:pt idx="20">
                  <c:v>207.1225726287141</c:v>
                </c:pt>
                <c:pt idx="21">
                  <c:v>207.84752231306001</c:v>
                </c:pt>
                <c:pt idx="22">
                  <c:v>208.56869810241059</c:v>
                </c:pt>
                <c:pt idx="23">
                  <c:v>209.28616847826811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C-4A2A-AFC1-11C38B40F17D}"/>
            </c:ext>
          </c:extLst>
        </c:ser>
        <c:ser>
          <c:idx val="2"/>
          <c:order val="2"/>
          <c:tx>
            <c:v>Wasserstoff (H₂)</c:v>
          </c:tx>
          <c:spPr>
            <a:ln w="31750">
              <a:solidFill>
                <a:srgbClr val="0476D9"/>
              </a:solidFill>
            </a:ln>
          </c:spPr>
          <c:marker>
            <c:symbol val="none"/>
          </c:marker>
          <c:xVal>
            <c:numRef>
              <c:f>Medienvergleich!$G$25:$G$49</c:f>
              <c:numCache>
                <c:formatCode>0.0</c:formatCode>
                <c:ptCount val="25"/>
                <c:pt idx="0">
                  <c:v>208.241191221202</c:v>
                </c:pt>
                <c:pt idx="1">
                  <c:v>208.31816153818531</c:v>
                </c:pt>
                <c:pt idx="2">
                  <c:v>208.39478875352</c:v>
                </c:pt>
                <c:pt idx="3">
                  <c:v>208.4710761816751</c:v>
                </c:pt>
                <c:pt idx="4">
                  <c:v>208.54702708707711</c:v>
                </c:pt>
                <c:pt idx="5">
                  <c:v>208.62264468514221</c:v>
                </c:pt>
                <c:pt idx="6">
                  <c:v>208.69793214327979</c:v>
                </c:pt>
                <c:pt idx="7">
                  <c:v>208.7728925818721</c:v>
                </c:pt>
                <c:pt idx="8">
                  <c:v>208.84752907522599</c:v>
                </c:pt>
                <c:pt idx="9">
                  <c:v>208.92184465250301</c:v>
                </c:pt>
                <c:pt idx="10">
                  <c:v>208.99584229862339</c:v>
                </c:pt>
                <c:pt idx="11">
                  <c:v>209.06952495514909</c:v>
                </c:pt>
                <c:pt idx="12">
                  <c:v>209.1428955211428</c:v>
                </c:pt>
                <c:pt idx="13">
                  <c:v>209.21595685400649</c:v>
                </c:pt>
                <c:pt idx="14">
                  <c:v>209.28871177029879</c:v>
                </c:pt>
                <c:pt idx="15">
                  <c:v>209.36116304653191</c:v>
                </c:pt>
                <c:pt idx="16">
                  <c:v>209.43331341994849</c:v>
                </c:pt>
                <c:pt idx="17">
                  <c:v>209.50516558928081</c:v>
                </c:pt>
                <c:pt idx="18">
                  <c:v>209.57672221548941</c:v>
                </c:pt>
                <c:pt idx="19">
                  <c:v>209.6479859224853</c:v>
                </c:pt>
                <c:pt idx="20">
                  <c:v>209.71895929783389</c:v>
                </c:pt>
                <c:pt idx="21">
                  <c:v>209.78964489344239</c:v>
                </c:pt>
                <c:pt idx="22">
                  <c:v>209.86004522623051</c:v>
                </c:pt>
                <c:pt idx="23">
                  <c:v>209.93016277878519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6C-4A2A-AFC1-11C38B40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  <c:max val="25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Druck 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crossBetween val="midCat"/>
        <c:majorUnit val="50"/>
      </c:valAx>
      <c:valAx>
        <c:axId val="5004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Teufe z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midCat"/>
        <c:majorUnit val="2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Nötiger Kopfdruck über der Teufe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CO₂-Gemisch</c:v>
          </c:tx>
          <c:spPr>
            <a:ln w="28575">
              <a:solidFill>
                <a:srgbClr val="007335"/>
              </a:solidFill>
            </a:ln>
          </c:spPr>
          <c:marker>
            <c:symbol val="circle"/>
            <c:size val="6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Medienvergleich!$C$8:$C$13</c:f>
              <c:numCache>
                <c:formatCode>0.0</c:formatCode>
                <c:ptCount val="6"/>
                <c:pt idx="0">
                  <c:v>155.16616512291739</c:v>
                </c:pt>
                <c:pt idx="1">
                  <c:v>138.41709225398901</c:v>
                </c:pt>
                <c:pt idx="2">
                  <c:v>122.5367242536628</c:v>
                </c:pt>
                <c:pt idx="3">
                  <c:v>107.603219569636</c:v>
                </c:pt>
                <c:pt idx="4">
                  <c:v>93.70583884822787</c:v>
                </c:pt>
                <c:pt idx="5">
                  <c:v>80.943840898339673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B-4F6E-A862-B1C872E8AE46}"/>
            </c:ext>
          </c:extLst>
        </c:ser>
        <c:ser>
          <c:idx val="1"/>
          <c:order val="1"/>
          <c:tx>
            <c:v>Erdgas (CH₄)</c:v>
          </c:tx>
          <c:spPr>
            <a:ln w="28575">
              <a:solidFill>
                <a:srgbClr val="EE7203"/>
              </a:solidFill>
            </a:ln>
          </c:spPr>
          <c:marker>
            <c:symbol val="circle"/>
            <c:size val="6"/>
            <c:spPr>
              <a:solidFill>
                <a:srgbClr val="EE7203"/>
              </a:solidFill>
              <a:ln>
                <a:solidFill>
                  <a:srgbClr val="EE7203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Medienvergleich!$D$8:$D$13</c:f>
              <c:numCache>
                <c:formatCode>0.0</c:formatCode>
                <c:ptCount val="6"/>
                <c:pt idx="0">
                  <c:v>200.16600942229849</c:v>
                </c:pt>
                <c:pt idx="1">
                  <c:v>197.20927492428419</c:v>
                </c:pt>
                <c:pt idx="2">
                  <c:v>194.39267671096141</c:v>
                </c:pt>
                <c:pt idx="3">
                  <c:v>191.70534274066219</c:v>
                </c:pt>
                <c:pt idx="4">
                  <c:v>189.1373555557519</c:v>
                </c:pt>
                <c:pt idx="5">
                  <c:v>186.67970597588419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9B-4F6E-A862-B1C872E8AE46}"/>
            </c:ext>
          </c:extLst>
        </c:ser>
        <c:ser>
          <c:idx val="2"/>
          <c:order val="2"/>
          <c:tx>
            <c:v>Wasserstoff (H₂)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Medienvergleich!$E$8:$E$13</c:f>
              <c:numCache>
                <c:formatCode>0.0</c:formatCode>
                <c:ptCount val="6"/>
                <c:pt idx="0">
                  <c:v>209.095008669397</c:v>
                </c:pt>
                <c:pt idx="1">
                  <c:v>208.80500493947619</c:v>
                </c:pt>
                <c:pt idx="2">
                  <c:v>208.5204660223911</c:v>
                </c:pt>
                <c:pt idx="3">
                  <c:v>208.241191221202</c:v>
                </c:pt>
                <c:pt idx="4">
                  <c:v>207.9669908462842</c:v>
                </c:pt>
                <c:pt idx="5">
                  <c:v>207.697685413979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9B-4F6E-A862-B1C872E8AE46}"/>
            </c:ext>
          </c:extLst>
        </c:ser>
        <c:ser>
          <c:idx val="3"/>
          <c:order val="3"/>
          <c:tx>
            <c:v>Zieldruck unten</c:v>
          </c:tx>
          <c:spPr>
            <a:ln w="15875">
              <a:solidFill>
                <a:srgbClr val="7F7F7F"/>
              </a:solidFill>
              <a:prstDash val="dash"/>
            </a:ln>
          </c:spPr>
          <c:marker>
            <c:symbol val="none"/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Medienvergleich!$F$8:$F$13</c:f>
              <c:numCache>
                <c:formatCode>0.0</c:formatCode>
                <c:ptCount val="6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9B-4F6E-A862-B1C872E8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Teufe der Kaverne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crossBetween val="midCat"/>
        <c:majorUnit val="200"/>
      </c:valAx>
      <c:valAx>
        <c:axId val="50050002"/>
        <c:scaling>
          <c:orientation val="minMax"/>
          <c:max val="25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Kopfdruck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midCat"/>
        <c:majorUnit val="50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Druckgewinn durch die Säule bei 1200 m [bar]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Säulengewinn</c:v>
          </c:tx>
          <c:invertIfNegative val="0"/>
          <c:dPt>
            <c:idx val="0"/>
            <c:invertIfNegative val="0"/>
            <c:bubble3D val="0"/>
            <c:spPr>
              <a:solidFill>
                <a:srgbClr val="007335"/>
              </a:solidFill>
            </c:spPr>
            <c:extLst>
              <c:ext xmlns:c16="http://schemas.microsoft.com/office/drawing/2014/chart" uri="{C3380CC4-5D6E-409C-BE32-E72D297353CC}">
                <c16:uniqueId val="{00000000-9256-40C9-A995-B4AAAC1A4D96}"/>
              </c:ext>
            </c:extLst>
          </c:dPt>
          <c:dPt>
            <c:idx val="1"/>
            <c:invertIfNegative val="0"/>
            <c:bubble3D val="0"/>
            <c:spPr>
              <a:solidFill>
                <a:srgbClr val="EE7203"/>
              </a:solidFill>
            </c:spPr>
            <c:extLst>
              <c:ext xmlns:c16="http://schemas.microsoft.com/office/drawing/2014/chart" uri="{C3380CC4-5D6E-409C-BE32-E72D297353CC}">
                <c16:uniqueId val="{00000001-9256-40C9-A995-B4AAAC1A4D96}"/>
              </c:ext>
            </c:extLst>
          </c:dPt>
          <c:dPt>
            <c:idx val="2"/>
            <c:invertIfNegative val="0"/>
            <c:bubble3D val="0"/>
            <c:spPr>
              <a:solidFill>
                <a:srgbClr val="0476D9"/>
              </a:solidFill>
            </c:spPr>
            <c:extLst>
              <c:ext xmlns:c16="http://schemas.microsoft.com/office/drawing/2014/chart" uri="{C3380CC4-5D6E-409C-BE32-E72D297353CC}">
                <c16:uniqueId val="{00000002-9256-40C9-A995-B4AAAC1A4D96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Medienvergleich!$B$18:$B$20</c:f>
              <c:strCache>
                <c:ptCount val="3"/>
                <c:pt idx="0">
                  <c:v>CO₂</c:v>
                </c:pt>
                <c:pt idx="1">
                  <c:v>Erdgas (CH₄)</c:v>
                </c:pt>
                <c:pt idx="2">
                  <c:v>Wasserstoff (H₂)</c:v>
                </c:pt>
              </c:strCache>
            </c:strRef>
          </c:cat>
          <c:val>
            <c:numRef>
              <c:f>Medienvergleich!$D$18:$D$20</c:f>
              <c:numCache>
                <c:formatCode>0.0</c:formatCode>
                <c:ptCount val="3"/>
                <c:pt idx="0">
                  <c:v>102.396780430364</c:v>
                </c:pt>
                <c:pt idx="1">
                  <c:v>18.294657259337811</c:v>
                </c:pt>
                <c:pt idx="2">
                  <c:v>1.7588087787979987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6-40C9-A995-B4AAAC1A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Spezifische Arbeit bis zum Bohrlochkopf [kJ/kg]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'Einspeicherung S2'!$C$103</c:f>
              <c:strCache>
                <c:ptCount val="1"/>
                <c:pt idx="0">
                  <c:v>Verdichter 1. Stufe</c:v>
                </c:pt>
              </c:strCache>
            </c:strRef>
          </c:tx>
          <c:spPr>
            <a:solidFill>
              <a:srgbClr val="EE7203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S2'!$D$102:$G$102</c:f>
              <c:strCache>
                <c:ptCount val="4"/>
                <c:pt idx="0">
                  <c:v>S1 dichte Phase - Pumpe</c:v>
                </c:pt>
                <c:pt idx="1">
                  <c:v>S2 Basisfall: 1 Stufe (&gt; 95 °C!) + Kühler + Pumpe</c:v>
                </c:pt>
                <c:pt idx="2">
                  <c:v>S2 Variante: 2 Stufen + Kühler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S2'!$D$103:$G$103</c:f>
              <c:numCache>
                <c:formatCode>0.00</c:formatCode>
                <c:ptCount val="4"/>
                <c:pt idx="0">
                  <c:v>0</c:v>
                </c:pt>
                <c:pt idx="1">
                  <c:v>38.976161456603904</c:v>
                </c:pt>
                <c:pt idx="2">
                  <c:v>18.765286843768365</c:v>
                </c:pt>
                <c:pt idx="3">
                  <c:v>28.154584156719352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5-4D16-83CA-C3696206DB4F}"/>
            </c:ext>
          </c:extLst>
        </c:ser>
        <c:ser>
          <c:idx val="1"/>
          <c:order val="1"/>
          <c:tx>
            <c:strRef>
              <c:f>'Einspeicherung S2'!$C$104</c:f>
              <c:strCache>
                <c:ptCount val="1"/>
                <c:pt idx="0">
                  <c:v>Verdichter 2. Stufe</c:v>
                </c:pt>
              </c:strCache>
            </c:strRef>
          </c:tx>
          <c:spPr>
            <a:solidFill>
              <a:srgbClr val="C55A11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S2'!$D$102:$G$102</c:f>
              <c:strCache>
                <c:ptCount val="4"/>
                <c:pt idx="0">
                  <c:v>S1 dichte Phase - Pumpe</c:v>
                </c:pt>
                <c:pt idx="1">
                  <c:v>S2 Basisfall: 1 Stufe (&gt; 95 °C!) + Kühler + Pumpe</c:v>
                </c:pt>
                <c:pt idx="2">
                  <c:v>S2 Variante: 2 Stufen + Kühler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S2'!$D$104:$G$104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17.488388130189264</c:v>
                </c:pt>
                <c:pt idx="3">
                  <c:v>36.523422760239157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5-4D16-83CA-C3696206DB4F}"/>
            </c:ext>
          </c:extLst>
        </c:ser>
        <c:ser>
          <c:idx val="2"/>
          <c:order val="2"/>
          <c:tx>
            <c:strRef>
              <c:f>'Einspeicherung S2'!$C$105</c:f>
              <c:strCache>
                <c:ptCount val="1"/>
                <c:pt idx="0">
                  <c:v>Pumpe</c:v>
                </c:pt>
              </c:strCache>
            </c:strRef>
          </c:tx>
          <c:spPr>
            <a:solidFill>
              <a:srgbClr val="007335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S2'!$D$102:$G$102</c:f>
              <c:strCache>
                <c:ptCount val="4"/>
                <c:pt idx="0">
                  <c:v>S1 dichte Phase - Pumpe</c:v>
                </c:pt>
                <c:pt idx="1">
                  <c:v>S2 Basisfall: 1 Stufe (&gt; 95 °C!) + Kühler + Pumpe</c:v>
                </c:pt>
                <c:pt idx="2">
                  <c:v>S2 Variante: 2 Stufen + Kühler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S2'!$D$105:$G$105</c:f>
              <c:numCache>
                <c:formatCode>0.00</c:formatCode>
                <c:ptCount val="4"/>
                <c:pt idx="0">
                  <c:v>2.3473871252743947</c:v>
                </c:pt>
                <c:pt idx="1">
                  <c:v>7.4487267809693662</c:v>
                </c:pt>
                <c:pt idx="2">
                  <c:v>7.4487267809693662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5-4D16-83CA-C3696206D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Einspeicherung: Prozesspfade S1, S2 und Vergleich Durchverdichten (bis Bohrlochkopf) – Worst-Case-Gemisch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Diagrammdaten!$D$8:$D$408</c:f>
            </c:numRef>
          </c:val>
          <c:extLst>
            <c:ext xmlns:c16="http://schemas.microsoft.com/office/drawing/2014/chart" uri="{C3380CC4-5D6E-409C-BE32-E72D297353CC}">
              <c16:uniqueId val="{00000000-5497-47FC-8DC3-5ACFE91589D0}"/>
            </c:ext>
          </c:extLst>
        </c:ser>
        <c:ser>
          <c:idx val="1"/>
          <c:order val="1"/>
          <c:tx>
            <c:strRef>
              <c:f>Diagrammdaten!$H$7</c:f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Diagrammdaten!$H$8:$H$408</c:f>
            </c:numRef>
          </c:val>
          <c:extLst>
            <c:ext xmlns:c16="http://schemas.microsoft.com/office/drawing/2014/chart" uri="{C3380CC4-5D6E-409C-BE32-E72D297353CC}">
              <c16:uniqueId val="{00000001-5497-47FC-8DC3-5ACFE91589D0}"/>
            </c:ext>
          </c:extLst>
        </c:ser>
        <c:ser>
          <c:idx val="2"/>
          <c:order val="2"/>
          <c:tx>
            <c:strRef>
              <c:f>Diagrammdaten!$E$7</c:f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Diagrammdaten!$E$8:$E$408</c:f>
            </c:numRef>
          </c:val>
          <c:extLst>
            <c:ext xmlns:c16="http://schemas.microsoft.com/office/drawing/2014/chart" uri="{C3380CC4-5D6E-409C-BE32-E72D297353CC}">
              <c16:uniqueId val="{28D07E07-C023-4ECD-870E-13AA6C8CDC2F}"/>
            </c:ext>
          </c:extLst>
        </c:ser>
        <c:ser>
          <c:idx val="3"/>
          <c:order val="3"/>
          <c:tx>
            <c:strRef>
              <c:f>Diagrammdaten!$F$7</c:f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Diagrammdaten!$F$8:$F$408</c:f>
            </c:numRef>
          </c:val>
          <c:extLst>
            <c:ext xmlns:c16="http://schemas.microsoft.com/office/drawing/2014/chart" uri="{C3380CC4-5D6E-409C-BE32-E72D297353CC}">
              <c16:uniqueId val="{00000002-5497-47FC-8DC3-5ACFE91589D0}"/>
            </c:ext>
          </c:extLst>
        </c:ser>
        <c:ser>
          <c:idx val="4"/>
          <c:order val="4"/>
          <c:tx>
            <c:strRef>
              <c:f>Diagrammdaten!$G$7</c:f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Diagrammdaten!$G$8:$G$408</c:f>
            </c:numRef>
          </c:val>
          <c:extLst>
            <c:ext xmlns:c16="http://schemas.microsoft.com/office/drawing/2014/chart" uri="{C3380CC4-5D6E-409C-BE32-E72D297353CC}">
              <c16:uniqueId val="{00000003-5497-47FC-8DC3-5ACFE915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Diagrammdaten!$L$8:$L$77</c:f>
            </c:numRef>
          </c:xVal>
          <c:yVal>
            <c:numRef>
              <c:f>Diagrammdaten!$K$8:$K$77</c:f>
            </c:numRef>
          </c:yVal>
          <c:smooth val="0"/>
          <c:extLst>
            <c:ext xmlns:c16="http://schemas.microsoft.com/office/drawing/2014/chart" uri="{C3380CC4-5D6E-409C-BE32-E72D297353CC}">
              <c16:uniqueId val="{00000004-5497-47FC-8DC3-5ACFE91589D0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Diagrammdaten!$L$256:$L$296</c:f>
            </c:numRef>
          </c:xVal>
          <c:yVal>
            <c:numRef>
              <c:f>Diagrammdaten!$K$256:$K$296</c:f>
            </c:numRef>
          </c:yVal>
          <c:smooth val="0"/>
          <c:extLst>
            <c:ext xmlns:c16="http://schemas.microsoft.com/office/drawing/2014/chart" uri="{C3380CC4-5D6E-409C-BE32-E72D297353CC}">
              <c16:uniqueId val="{28AF6CD0-FAB6-4B46-BECB-E6C9786AEB10}"/>
            </c:ext>
          </c:extLst>
        </c:ser>
        <c:ser>
          <c:idx val="7"/>
          <c:order val="7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Diagrammdaten!$L$298:$L$327</c:f>
            </c:numRef>
          </c:xVal>
          <c:yVal>
            <c:numRef>
              <c:f>Diagrammdaten!$K$298:$K$327</c:f>
            </c:numRef>
          </c:yVal>
          <c:smooth val="0"/>
          <c:extLst>
            <c:ext xmlns:c16="http://schemas.microsoft.com/office/drawing/2014/chart" uri="{C3380CC4-5D6E-409C-BE32-E72D297353CC}">
              <c16:uniqueId val="{0C5DAFDC-93B1-4C2A-B555-8642D3222335}"/>
            </c:ext>
          </c:extLst>
        </c:ser>
        <c:ser>
          <c:idx val="8"/>
          <c:order val="8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Diagrammdaten!$L$329:$L$358</c:f>
            </c:numRef>
          </c:xVal>
          <c:yVal>
            <c:numRef>
              <c:f>Diagrammdaten!$K$329:$K$358</c:f>
            </c:numRef>
          </c:yVal>
          <c:smooth val="0"/>
          <c:extLst>
            <c:ext xmlns:c16="http://schemas.microsoft.com/office/drawing/2014/chart" uri="{C3380CC4-5D6E-409C-BE32-E72D297353CC}">
              <c16:uniqueId val="{27F775D9-02B9-4371-BD1B-712FA633E212}"/>
            </c:ext>
          </c:extLst>
        </c:ser>
        <c:ser>
          <c:idx val="9"/>
          <c:order val="9"/>
          <c:tx>
            <c:v>Alte Verdichtung (60 bar wie reines CO₂) – bleibt gasförmig</c:v>
          </c:tx>
          <c:spPr>
            <a:ln w="222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Diagrammdaten!$L$360:$L$362</c:f>
            </c:numRef>
          </c:xVal>
          <c:yVal>
            <c:numRef>
              <c:f>Diagrammdaten!$K$360:$K$362</c:f>
            </c:numRef>
          </c:yVal>
          <c:smooth val="0"/>
          <c:extLst>
            <c:ext xmlns:c16="http://schemas.microsoft.com/office/drawing/2014/chart" uri="{C3380CC4-5D6E-409C-BE32-E72D297353CC}">
              <c16:uniqueId val="{6C0AA2A5-6154-4E3E-8BCA-DD82C8EBAE85}"/>
            </c:ext>
          </c:extLst>
        </c:ser>
        <c:ser>
          <c:idx val="10"/>
          <c:order val="10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</c:numRef>
          </c:xVal>
          <c:yVal>
            <c:numRef>
              <c:f>Diagrammdaten!$K$79:$K$103</c:f>
            </c:numRef>
          </c:yVal>
          <c:smooth val="0"/>
          <c:extLst>
            <c:ext xmlns:c16="http://schemas.microsoft.com/office/drawing/2014/chart" uri="{C3380CC4-5D6E-409C-BE32-E72D297353CC}">
              <c16:uniqueId val="{00000005-5497-47FC-8DC3-5ACFE91589D0}"/>
            </c:ext>
          </c:extLst>
        </c:ser>
        <c:ser>
          <c:idx val="11"/>
          <c:order val="11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</c:numRef>
          </c:xVal>
          <c:yVal>
            <c:numRef>
              <c:f>Diagrammdaten!$K$105:$K$119</c:f>
            </c:numRef>
          </c:yVal>
          <c:smooth val="0"/>
          <c:extLst>
            <c:ext xmlns:c16="http://schemas.microsoft.com/office/drawing/2014/chart" uri="{C3380CC4-5D6E-409C-BE32-E72D297353CC}">
              <c16:uniqueId val="{00000006-5497-47FC-8DC3-5ACFE91589D0}"/>
            </c:ext>
          </c:extLst>
        </c:ser>
        <c:ser>
          <c:idx val="12"/>
          <c:order val="12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</c:numRef>
          </c:xVal>
          <c:yVal>
            <c:numRef>
              <c:f>Diagrammdaten!$K$121</c:f>
            </c:numRef>
          </c:yVal>
          <c:smooth val="0"/>
          <c:extLst>
            <c:ext xmlns:c16="http://schemas.microsoft.com/office/drawing/2014/chart" uri="{C3380CC4-5D6E-409C-BE32-E72D297353CC}">
              <c16:uniqueId val="{00000007-5497-47FC-8DC3-5ACFE91589D0}"/>
            </c:ext>
          </c:extLst>
        </c:ser>
        <c:ser>
          <c:idx val="13"/>
          <c:order val="13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</c:numRef>
          </c:xVal>
          <c:yVal>
            <c:numRef>
              <c:f>Diagrammdaten!$K$123</c:f>
            </c:numRef>
          </c:yVal>
          <c:smooth val="0"/>
          <c:extLst>
            <c:ext xmlns:c16="http://schemas.microsoft.com/office/drawing/2014/chart" uri="{C3380CC4-5D6E-409C-BE32-E72D297353CC}">
              <c16:uniqueId val="{00000008-5497-47FC-8DC3-5ACFE91589D0}"/>
            </c:ext>
          </c:extLst>
        </c:ser>
        <c:ser>
          <c:idx val="14"/>
          <c:order val="14"/>
          <c:tx>
            <c:v>S1: Pumpe</c:v>
          </c:tx>
          <c:spPr>
            <a:ln w="34925">
              <a:solidFill>
                <a:srgbClr val="007335"/>
              </a:solidFill>
            </a:ln>
          </c:spPr>
          <c:marker>
            <c:symbol val="diamond"/>
            <c:size val="8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Diagrammdaten!$L$125:$L$126</c:f>
            </c:numRef>
          </c:xVal>
          <c:yVal>
            <c:numRef>
              <c:f>Diagrammdaten!$K$125:$K$126</c:f>
            </c:numRef>
          </c:yVal>
          <c:smooth val="0"/>
          <c:extLst>
            <c:ext xmlns:c16="http://schemas.microsoft.com/office/drawing/2014/chart" uri="{C3380CC4-5D6E-409C-BE32-E72D297353CC}">
              <c16:uniqueId val="{00000009-5497-47FC-8DC3-5ACFE91589D0}"/>
            </c:ext>
          </c:extLst>
        </c:ser>
        <c:ser>
          <c:idx val="15"/>
          <c:order val="15"/>
          <c:tx>
            <c:v>S2: verdichten → dicht kühlen → pumpen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Diagrammdaten!$L$128:$L$131</c:f>
            </c:numRef>
          </c:xVal>
          <c:yVal>
            <c:numRef>
              <c:f>Diagrammdaten!$K$128:$K$131</c:f>
            </c:numRef>
          </c:yVal>
          <c:smooth val="0"/>
          <c:extLst>
            <c:ext xmlns:c16="http://schemas.microsoft.com/office/drawing/2014/chart" uri="{C3380CC4-5D6E-409C-BE32-E72D297353CC}">
              <c16:uniqueId val="{0000000A-5497-47FC-8DC3-5ACFE91589D0}"/>
            </c:ext>
          </c:extLst>
        </c:ser>
        <c:ser>
          <c:idx val="16"/>
          <c:order val="16"/>
          <c:tx>
            <c:v>S2-Variante: 2 Verdichterstufen</c:v>
          </c:tx>
          <c:spPr>
            <a:ln w="19050">
              <a:solidFill>
                <a:srgbClr val="68AFE1"/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68AFE1"/>
              </a:solidFill>
              <a:ln>
                <a:solidFill>
                  <a:srgbClr val="68AFE1"/>
                </a:solidFill>
              </a:ln>
            </c:spPr>
          </c:marker>
          <c:xVal>
            <c:numRef>
              <c:f>Diagrammdaten!$L$133:$L$136</c:f>
            </c:numRef>
          </c:xVal>
          <c:yVal>
            <c:numRef>
              <c:f>Diagrammdaten!$K$133:$K$136</c:f>
            </c:numRef>
          </c:yVal>
          <c:smooth val="0"/>
          <c:extLst>
            <c:ext xmlns:c16="http://schemas.microsoft.com/office/drawing/2014/chart" uri="{C3380CC4-5D6E-409C-BE32-E72D297353CC}">
              <c16:uniqueId val="{0000000B-5497-47FC-8DC3-5ACFE91589D0}"/>
            </c:ext>
          </c:extLst>
        </c:ser>
        <c:ser>
          <c:idx val="17"/>
          <c:order val="17"/>
          <c:tx>
            <c:v>Vergleich: Durchverdichten (2 Stufen)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Diagrammdaten!$L$138:$L$142</c:f>
            </c:numRef>
          </c:xVal>
          <c:yVal>
            <c:numRef>
              <c:f>Diagrammdaten!$K$138:$K$142</c:f>
            </c:numRef>
          </c:yVal>
          <c:smooth val="0"/>
          <c:extLst>
            <c:ext xmlns:c16="http://schemas.microsoft.com/office/drawing/2014/chart" uri="{C3380CC4-5D6E-409C-BE32-E72D297353CC}">
              <c16:uniqueId val="{0000000C-5497-47FC-8DC3-5ACFE91589D0}"/>
            </c:ext>
          </c:extLst>
        </c:ser>
        <c:ser>
          <c:idx val="18"/>
          <c:order val="18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497-47FC-8DC3-5ACFE91589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B750E01B-0F4A-4249-B032-5F9874652826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Diagrammdaten!$L$144:$L$148</c:f>
            </c:numRef>
          </c:xVal>
          <c:yVal>
            <c:numRef>
              <c:f>Diagrammdaten!$K$144:$K$148</c:f>
            </c:numRef>
          </c:yVal>
          <c:smooth val="0"/>
          <c:extLst>
            <c:ext xmlns:c16="http://schemas.microsoft.com/office/drawing/2014/chart" uri="{C3380CC4-5D6E-409C-BE32-E72D297353CC}">
              <c16:uniqueId val="{00000011-5497-47FC-8DC3-5ACFE91589D0}"/>
            </c:ext>
          </c:extLst>
        </c:ser>
        <c:ser>
          <c:idx val="19"/>
          <c:order val="19"/>
          <c:tx>
            <c:v>Beschriftung Punkte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S1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S2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Verdichter 1 Stufe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Kühler (dicht)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497-47FC-8DC3-5ACFE91589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Bohrlochkopf 114,9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5497-47FC-8DC3-5ACFE91589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Stufe 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497-47FC-8DC3-5ACFE91589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Zwischenkühler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497-47FC-8DC3-5ACFE91589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Stufe 2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5497-47FC-8DC3-5ACFE91589D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Diagrammdaten!$L$149:$L$156</c:f>
            </c:numRef>
          </c:xVal>
          <c:yVal>
            <c:numRef>
              <c:f>Diagrammdaten!$K$149:$K$156</c:f>
            </c:numRef>
          </c:yVal>
          <c:smooth val="0"/>
          <c:extLst>
            <c:ext xmlns:c16="http://schemas.microsoft.com/office/drawing/2014/chart" uri="{C3380CC4-5D6E-409C-BE32-E72D297353CC}">
              <c16:uniqueId val="{0000001A-5497-47FC-8DC3-5ACFE915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3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 val="autoZero"/>
        <c:crossBetween val="midCat"/>
        <c:majorUnit val="10"/>
      </c:valAx>
      <c:valAx>
        <c:axId val="60080002"/>
        <c:scaling>
          <c:orientation val="minMax"/>
          <c:max val="13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catAx>
        <c:axId val="60080001"/>
        <c:scaling>
          <c:orientation val="minMax"/>
        </c:scaling>
        <c:delete val="1"/>
        <c:axPos val="b"/>
        <c:majorTickMark val="out"/>
        <c:minorTickMark val="none"/>
        <c:tickLblPos val="none"/>
        <c:crossAx val="60080002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18"/>
        <c:delete val="1"/>
      </c:legendEntry>
      <c:legendEntry>
        <c:idx val="19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NUR STILLSTAND – Bohrloch und Kaverne V1: Gassäulen für voll, Grenzfall und leer (nach Q-028, Fig. 3) – Worst-Case-Gemisch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Diagrammdaten!$D$8:$D$408</c:f>
            </c:numRef>
          </c:val>
          <c:extLst>
            <c:ext xmlns:c16="http://schemas.microsoft.com/office/drawing/2014/chart" uri="{C3380CC4-5D6E-409C-BE32-E72D297353CC}">
              <c16:uniqueId val="{00000000-8823-464D-940D-AFDE62BF7178}"/>
            </c:ext>
          </c:extLst>
        </c:ser>
        <c:ser>
          <c:idx val="1"/>
          <c:order val="1"/>
          <c:tx>
            <c:strRef>
              <c:f>Diagrammdaten!$H$7</c:f>
            </c:strRef>
          </c:tx>
          <c:spPr>
            <a:solidFill>
              <a:srgbClr val="F4B6B0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Diagrammdaten!$H$8:$H$408</c:f>
            </c:numRef>
          </c:val>
          <c:extLst>
            <c:ext xmlns:c16="http://schemas.microsoft.com/office/drawing/2014/chart" uri="{C3380CC4-5D6E-409C-BE32-E72D297353CC}">
              <c16:uniqueId val="{00000001-8823-464D-940D-AFDE62BF7178}"/>
            </c:ext>
          </c:extLst>
        </c:ser>
        <c:ser>
          <c:idx val="2"/>
          <c:order val="2"/>
          <c:tx>
            <c:strRef>
              <c:f>Diagrammdaten!$E$7</c:f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Diagrammdaten!$E$8:$E$408</c:f>
            </c:numRef>
          </c:val>
          <c:extLst>
            <c:ext xmlns:c16="http://schemas.microsoft.com/office/drawing/2014/chart" uri="{C3380CC4-5D6E-409C-BE32-E72D297353CC}">
              <c16:uniqueId val="{7C35CBBB-6EA3-44B2-BC38-A5AE65D0D8B3}"/>
            </c:ext>
          </c:extLst>
        </c:ser>
        <c:ser>
          <c:idx val="3"/>
          <c:order val="3"/>
          <c:tx>
            <c:strRef>
              <c:f>Diagrammdaten!$F$7</c:f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Diagrammdaten!$F$8:$F$408</c:f>
            </c:numRef>
          </c:val>
          <c:extLst>
            <c:ext xmlns:c16="http://schemas.microsoft.com/office/drawing/2014/chart" uri="{C3380CC4-5D6E-409C-BE32-E72D297353CC}">
              <c16:uniqueId val="{00000002-8823-464D-940D-AFDE62BF7178}"/>
            </c:ext>
          </c:extLst>
        </c:ser>
        <c:ser>
          <c:idx val="4"/>
          <c:order val="4"/>
          <c:tx>
            <c:strRef>
              <c:f>Diagrammdaten!$G$7</c:f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Diagrammdaten!$C$8:$C$408</c:f>
            </c:strRef>
          </c:cat>
          <c:val>
            <c:numRef>
              <c:f>Diagrammdaten!$G$8:$G$408</c:f>
            </c:numRef>
          </c:val>
          <c:extLst>
            <c:ext xmlns:c16="http://schemas.microsoft.com/office/drawing/2014/chart" uri="{C3380CC4-5D6E-409C-BE32-E72D297353CC}">
              <c16:uniqueId val="{00000003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areaChart>
      <c:scatterChart>
        <c:scatterStyle val="lineMarker"/>
        <c:varyColors val="0"/>
        <c:ser>
          <c:idx val="5"/>
          <c:order val="5"/>
          <c:tx>
            <c:v>Phasengrenze Gemisch (Tau-/Blasenlinie)</c:v>
          </c:tx>
          <c:spPr>
            <a:ln w="22225">
              <a:solidFill>
                <a:srgbClr val="CA220E"/>
              </a:solidFill>
            </a:ln>
          </c:spPr>
          <c:marker>
            <c:symbol val="none"/>
          </c:marker>
          <c:xVal>
            <c:numRef>
              <c:f>Diagrammdaten!$L$8:$L$77</c:f>
            </c:numRef>
          </c:xVal>
          <c:yVal>
            <c:numRef>
              <c:f>Diagrammdaten!$K$8:$K$77</c:f>
            </c:numRef>
          </c:yVal>
          <c:smooth val="0"/>
          <c:extLst>
            <c:ext xmlns:c16="http://schemas.microsoft.com/office/drawing/2014/chart" uri="{C3380CC4-5D6E-409C-BE32-E72D297353CC}">
              <c16:uniqueId val="{00000004-8823-464D-940D-AFDE62BF7178}"/>
            </c:ext>
          </c:extLst>
        </c:ser>
        <c:ser>
          <c:idx val="6"/>
          <c:order val="6"/>
          <c:tx>
            <c:v>Sättigungslinie reines CO₂ (Vergleich)</c:v>
          </c:tx>
          <c:spPr>
            <a:ln w="12700" cap="rnd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Diagrammdaten!$L$256:$L$296</c:f>
            </c:numRef>
          </c:xVal>
          <c:yVal>
            <c:numRef>
              <c:f>Diagrammdaten!$K$256:$K$296</c:f>
            </c:numRef>
          </c:yVal>
          <c:smooth val="0"/>
          <c:extLst>
            <c:ext xmlns:c16="http://schemas.microsoft.com/office/drawing/2014/chart" uri="{C3380CC4-5D6E-409C-BE32-E72D297353CC}">
              <c16:uniqueId val="{CF5447D6-510F-4E14-9218-3637217E5DE1}"/>
            </c:ext>
          </c:extLst>
        </c:ser>
        <c:ser>
          <c:idx val="7"/>
          <c:order val="7"/>
          <c:tx>
            <c:v>Blasenlinie + 3 bar (sicher flüssig)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Diagrammdaten!$L$298:$L$327</c:f>
            </c:numRef>
          </c:xVal>
          <c:yVal>
            <c:numRef>
              <c:f>Diagrammdaten!$K$298:$K$327</c:f>
            </c:numRef>
          </c:yVal>
          <c:smooth val="0"/>
          <c:extLst>
            <c:ext xmlns:c16="http://schemas.microsoft.com/office/drawing/2014/chart" uri="{C3380CC4-5D6E-409C-BE32-E72D297353CC}">
              <c16:uniqueId val="{E5C45836-B4EE-42A6-8E56-20130147B2CD}"/>
            </c:ext>
          </c:extLst>
        </c:ser>
        <c:ser>
          <c:idx val="8"/>
          <c:order val="8"/>
          <c:tx>
            <c:v>Taulinie − 3 bar (sicher gasförmig)</c:v>
          </c:tx>
          <c:spPr>
            <a:ln w="12700" cap="rnd">
              <a:solidFill>
                <a:srgbClr val="CA220E"/>
              </a:solidFill>
              <a:prstDash val="dash"/>
              <a:round/>
            </a:ln>
          </c:spPr>
          <c:marker>
            <c:symbol val="none"/>
          </c:marker>
          <c:xVal>
            <c:numRef>
              <c:f>Diagrammdaten!$L$329:$L$358</c:f>
            </c:numRef>
          </c:xVal>
          <c:yVal>
            <c:numRef>
              <c:f>Diagrammdaten!$K$329:$K$358</c:f>
            </c:numRef>
          </c:yVal>
          <c:smooth val="0"/>
          <c:extLst>
            <c:ext xmlns:c16="http://schemas.microsoft.com/office/drawing/2014/chart" uri="{C3380CC4-5D6E-409C-BE32-E72D297353CC}">
              <c16:uniqueId val="{96F5D590-65C8-41FF-ADFD-7436542838A0}"/>
            </c:ext>
          </c:extLst>
        </c:ser>
        <c:ser>
          <c:idx val="9"/>
          <c:order val="9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</c:numRef>
          </c:xVal>
          <c:yVal>
            <c:numRef>
              <c:f>Diagrammdaten!$K$79:$K$103</c:f>
            </c:numRef>
          </c:yVal>
          <c:smooth val="0"/>
          <c:extLst>
            <c:ext xmlns:c16="http://schemas.microsoft.com/office/drawing/2014/chart" uri="{C3380CC4-5D6E-409C-BE32-E72D297353CC}">
              <c16:uniqueId val="{00000005-8823-464D-940D-AFDE62BF7178}"/>
            </c:ext>
          </c:extLst>
        </c:ser>
        <c:ser>
          <c:idx val="10"/>
          <c:order val="10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</c:numRef>
          </c:xVal>
          <c:yVal>
            <c:numRef>
              <c:f>Diagrammdaten!$K$105:$K$119</c:f>
            </c:numRef>
          </c:yVal>
          <c:smooth val="0"/>
          <c:extLst>
            <c:ext xmlns:c16="http://schemas.microsoft.com/office/drawing/2014/chart" uri="{C3380CC4-5D6E-409C-BE32-E72D297353CC}">
              <c16:uniqueId val="{00000006-8823-464D-940D-AFDE62BF7178}"/>
            </c:ext>
          </c:extLst>
        </c:ser>
        <c:ser>
          <c:idx val="11"/>
          <c:order val="11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</c:numRef>
          </c:xVal>
          <c:yVal>
            <c:numRef>
              <c:f>Diagrammdaten!$K$121</c:f>
            </c:numRef>
          </c:yVal>
          <c:smooth val="0"/>
          <c:extLst>
            <c:ext xmlns:c16="http://schemas.microsoft.com/office/drawing/2014/chart" uri="{C3380CC4-5D6E-409C-BE32-E72D297353CC}">
              <c16:uniqueId val="{00000007-8823-464D-940D-AFDE62BF7178}"/>
            </c:ext>
          </c:extLst>
        </c:ser>
        <c:ser>
          <c:idx val="12"/>
          <c:order val="12"/>
          <c:tx>
            <c:v>Kritischer Punkt Gemisch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</c:numRef>
          </c:xVal>
          <c:yVal>
            <c:numRef>
              <c:f>Diagrammdaten!$K$123</c:f>
            </c:numRef>
          </c:yVal>
          <c:smooth val="0"/>
          <c:extLst>
            <c:ext xmlns:c16="http://schemas.microsoft.com/office/drawing/2014/chart" uri="{C3380CC4-5D6E-409C-BE32-E72D297353CC}">
              <c16:uniqueId val="{00000008-8823-464D-940D-AFDE62BF7178}"/>
            </c:ext>
          </c:extLst>
        </c:ser>
        <c:ser>
          <c:idx val="13"/>
          <c:order val="13"/>
          <c:tx>
            <c:v>Gassäule Kaverne voll (210 bar unten)</c:v>
          </c:tx>
          <c:spPr>
            <a:ln w="25400">
              <a:solidFill>
                <a:srgbClr val="00304F"/>
              </a:solidFill>
              <a:prstDash val="dash"/>
            </a:ln>
          </c:spPr>
          <c:marker>
            <c:symbol val="none"/>
          </c:marker>
          <c:xVal>
            <c:numRef>
              <c:f>Diagrammdaten!$L$158:$L$182</c:f>
            </c:numRef>
          </c:xVal>
          <c:yVal>
            <c:numRef>
              <c:f>Diagrammdaten!$K$158:$K$182</c:f>
            </c:numRef>
          </c:yVal>
          <c:smooth val="0"/>
          <c:extLst>
            <c:ext xmlns:c16="http://schemas.microsoft.com/office/drawing/2014/chart" uri="{C3380CC4-5D6E-409C-BE32-E72D297353CC}">
              <c16:uniqueId val="{00000009-8823-464D-940D-AFDE62BF7178}"/>
            </c:ext>
          </c:extLst>
        </c:ser>
        <c:ser>
          <c:idx val="14"/>
          <c:order val="14"/>
          <c:tx>
            <c:v>Gassäule Grenzfall (Kopf = Cricondenbar)</c:v>
          </c:tx>
          <c:spPr>
            <a:ln w="19050">
              <a:solidFill>
                <a:srgbClr val="2E75B6"/>
              </a:solidFill>
              <a:prstDash val="lgDash"/>
            </a:ln>
          </c:spPr>
          <c:marker>
            <c:symbol val="none"/>
          </c:marker>
          <c:xVal>
            <c:numRef>
              <c:f>Diagrammdaten!$L$184:$L$208</c:f>
            </c:numRef>
          </c:xVal>
          <c:yVal>
            <c:numRef>
              <c:f>Diagrammdaten!$K$184:$K$208</c:f>
            </c:numRef>
          </c:yVal>
          <c:smooth val="0"/>
          <c:extLst>
            <c:ext xmlns:c16="http://schemas.microsoft.com/office/drawing/2014/chart" uri="{C3380CC4-5D6E-409C-BE32-E72D297353CC}">
              <c16:uniqueId val="{0000000A-8823-464D-940D-AFDE62BF7178}"/>
            </c:ext>
          </c:extLst>
        </c:ser>
        <c:ser>
          <c:idx val="15"/>
          <c:order val="15"/>
          <c:tx>
            <c:v>Gassäule Kaverne leer (70 bar unten)</c:v>
          </c:tx>
          <c:spPr>
            <a:ln w="25400">
              <a:solidFill>
                <a:srgbClr val="00304F"/>
              </a:solidFill>
              <a:prstDash val="sysDot"/>
            </a:ln>
          </c:spPr>
          <c:marker>
            <c:symbol val="none"/>
          </c:marker>
          <c:xVal>
            <c:numRef>
              <c:f>Diagrammdaten!$L$210:$L$234</c:f>
            </c:numRef>
          </c:xVal>
          <c:yVal>
            <c:numRef>
              <c:f>Diagrammdaten!$K$210:$K$234</c:f>
            </c:numRef>
          </c:yVal>
          <c:smooth val="0"/>
          <c:extLst>
            <c:ext xmlns:c16="http://schemas.microsoft.com/office/drawing/2014/chart" uri="{C3380CC4-5D6E-409C-BE32-E72D297353CC}">
              <c16:uniqueId val="{0000000B-8823-464D-940D-AFDE62BF7178}"/>
            </c:ext>
          </c:extLst>
        </c:ser>
        <c:ser>
          <c:idx val="16"/>
          <c:order val="16"/>
          <c:tx>
            <c:v>Kaverne V1 (LCCS, 1200 m): 70–210 bar</c:v>
          </c:tx>
          <c:spPr>
            <a:ln w="63500">
              <a:solidFill>
                <a:srgbClr val="00304F"/>
              </a:solidFill>
            </a:ln>
          </c:spPr>
          <c:marker>
            <c:symbol val="none"/>
          </c:marker>
          <c:xVal>
            <c:numRef>
              <c:f>Diagrammdaten!$L$236:$L$237</c:f>
            </c:numRef>
          </c:xVal>
          <c:yVal>
            <c:numRef>
              <c:f>Diagrammdaten!$K$236:$K$237</c:f>
            </c:numRef>
          </c:yVal>
          <c:smooth val="0"/>
          <c:extLst>
            <c:ext xmlns:c16="http://schemas.microsoft.com/office/drawing/2014/chart" uri="{C3380CC4-5D6E-409C-BE32-E72D297353CC}">
              <c16:uniqueId val="{0000000C-8823-464D-940D-AFDE62BF7178}"/>
            </c:ext>
          </c:extLst>
        </c:ser>
        <c:ser>
          <c:idx val="17"/>
          <c:order val="17"/>
          <c:tx>
            <c:v>Bohrlochkopf (0 m): 50,7–114,9 bar</c:v>
          </c:tx>
          <c:spPr>
            <a:ln w="635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Diagrammdaten!$L$239:$L$240</c:f>
            </c:numRef>
          </c:xVal>
          <c:yVal>
            <c:numRef>
              <c:f>Diagrammdaten!$K$239:$K$240</c:f>
            </c:numRef>
          </c:yVal>
          <c:smooth val="0"/>
          <c:extLst>
            <c:ext xmlns:c16="http://schemas.microsoft.com/office/drawing/2014/chart" uri="{C3380CC4-5D6E-409C-BE32-E72D297353CC}">
              <c16:uniqueId val="{0000000D-8823-464D-940D-AFDE62BF7178}"/>
            </c:ext>
          </c:extLst>
        </c:ser>
        <c:ser>
          <c:idx val="18"/>
          <c:order val="18"/>
          <c:tx>
            <c:v>Beschriftung Phasengebiete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823-464D-940D-AFDE62BF71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CA220E"/>
                        </a:solidFill>
                      </a:rPr>
                      <a:t>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554A1EEB-B63E-4FCA-AD27-06D33811F8A4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Diagrammdaten!$L$242:$L$246</c:f>
            </c:numRef>
          </c:xVal>
          <c:yVal>
            <c:numRef>
              <c:f>Diagrammdaten!$K$242:$K$246</c:f>
            </c:numRef>
          </c:yVal>
          <c:smooth val="0"/>
          <c:extLst>
            <c:ext xmlns:c16="http://schemas.microsoft.com/office/drawing/2014/chart" uri="{C3380CC4-5D6E-409C-BE32-E72D297353CC}">
              <c16:uniqueId val="{00000012-8823-464D-940D-AFDE62BF7178}"/>
            </c:ext>
          </c:extLst>
        </c:ser>
        <c:ser>
          <c:idx val="19"/>
          <c:order val="19"/>
          <c:tx>
            <c:v>Beschriftung Punkte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voll 210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Grenzfall 171,2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leer 70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114,9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823-464D-940D-AFDE62BF71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82,2 bar = Cricondenbar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823-464D-940D-AFDE62BF71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50,7 bar – zweiphasig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823-464D-940D-AFDE62BF71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Betriebsfenster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823-464D-940D-AFDE62BF717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Diagrammdaten!$L$247:$L$253</c:f>
            </c:numRef>
          </c:xVal>
          <c:yVal>
            <c:numRef>
              <c:f>Diagrammdaten!$K$247:$K$253</c:f>
            </c:numRef>
          </c:yVal>
          <c:smooth val="0"/>
          <c:extLst>
            <c:ext xmlns:c16="http://schemas.microsoft.com/office/drawing/2014/chart" uri="{C3380CC4-5D6E-409C-BE32-E72D297353CC}">
              <c16:uniqueId val="{0000001A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0001"/>
        <c:axId val="60090002"/>
      </c:scatte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90002"/>
        <c:scaling>
          <c:orientation val="minMax"/>
          <c:max val="25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90001"/>
        <c:crosses val="autoZero"/>
        <c:crossBetween val="midCat"/>
        <c:majorUnit val="25"/>
      </c:valAx>
      <c:valAx>
        <c:axId val="60090002"/>
        <c:scaling>
          <c:orientation val="minMax"/>
          <c:max val="25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90001"/>
        <c:crosses val="max"/>
        <c:crossBetween val="midCat"/>
      </c:valAx>
      <c:catAx>
        <c:axId val="60090001"/>
        <c:scaling>
          <c:orientation val="minMax"/>
        </c:scaling>
        <c:delete val="1"/>
        <c:axPos val="b"/>
        <c:majorTickMark val="out"/>
        <c:minorTickMark val="none"/>
        <c:tickLblPos val="none"/>
        <c:crossAx val="60090002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18"/>
        <c:delete val="1"/>
      </c:legendEntry>
      <c:legendEntry>
        <c:idx val="19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21</xdr:row>
      <xdr:rowOff>38100</xdr:rowOff>
    </xdr:from>
    <xdr:to>
      <xdr:col>6</xdr:col>
      <xdr:colOff>0</xdr:colOff>
      <xdr:row>22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6225" y="422910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007335"/>
              </a:solidFill>
              <a:latin typeface="Calibri"/>
              <a:cs typeface="Calibri"/>
            </a:rPr>
            <a:t>S1 – Anlieferung in dichter Phase (Pipeline)</a:t>
          </a:r>
        </a:p>
      </xdr:txBody>
    </xdr:sp>
    <xdr:clientData/>
  </xdr:twoCellAnchor>
  <xdr:twoCellAnchor>
    <xdr:from>
      <xdr:col>1</xdr:col>
      <xdr:colOff>95250</xdr:colOff>
      <xdr:row>22</xdr:row>
      <xdr:rowOff>95250</xdr:rowOff>
    </xdr:from>
    <xdr:to>
      <xdr:col>2</xdr:col>
      <xdr:colOff>381000</xdr:colOff>
      <xdr:row>24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6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dichte Phase</a:t>
          </a:r>
        </a:p>
      </xdr:txBody>
    </xdr:sp>
    <xdr:clientData/>
  </xdr:twoCellAnchor>
  <xdr:twoCellAnchor>
    <xdr:from>
      <xdr:col>2</xdr:col>
      <xdr:colOff>381000</xdr:colOff>
      <xdr:row>23</xdr:row>
      <xdr:rowOff>0</xdr:rowOff>
    </xdr:from>
    <xdr:to>
      <xdr:col>2</xdr:col>
      <xdr:colOff>647700</xdr:colOff>
      <xdr:row>24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43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22</xdr:row>
      <xdr:rowOff>95250</xdr:rowOff>
    </xdr:from>
    <xdr:to>
      <xdr:col>4</xdr:col>
      <xdr:colOff>152400</xdr:colOff>
      <xdr:row>24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09725" y="447675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4</xdr:col>
      <xdr:colOff>209550</xdr:colOff>
      <xdr:row>23</xdr:row>
      <xdr:rowOff>133350</xdr:rowOff>
    </xdr:from>
    <xdr:to>
      <xdr:col>11</xdr:col>
      <xdr:colOff>95250</xdr:colOff>
      <xdr:row>23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33675" y="4705350"/>
          <a:ext cx="5353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</xdr:colOff>
      <xdr:row>23</xdr:row>
      <xdr:rowOff>0</xdr:rowOff>
    </xdr:from>
    <xdr:to>
      <xdr:col>11</xdr:col>
      <xdr:colOff>266700</xdr:colOff>
      <xdr:row>24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010525" y="45720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22</xdr:row>
      <xdr:rowOff>133350</xdr:rowOff>
    </xdr:from>
    <xdr:to>
      <xdr:col>11</xdr:col>
      <xdr:colOff>209550</xdr:colOff>
      <xdr:row>23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733675" y="4514850"/>
          <a:ext cx="5467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keine Verdichtung nötig – das CO₂ ist bereits dicht</a:t>
          </a:r>
        </a:p>
      </xdr:txBody>
    </xdr:sp>
    <xdr:clientData/>
  </xdr:twoCellAnchor>
  <xdr:twoCellAnchor>
    <xdr:from>
      <xdr:col>11</xdr:col>
      <xdr:colOff>285750</xdr:colOff>
      <xdr:row>22</xdr:row>
      <xdr:rowOff>95250</xdr:rowOff>
    </xdr:from>
    <xdr:to>
      <xdr:col>12</xdr:col>
      <xdr:colOff>571500</xdr:colOff>
      <xdr:row>24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277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23</xdr:row>
      <xdr:rowOff>0</xdr:rowOff>
    </xdr:from>
    <xdr:to>
      <xdr:col>13</xdr:col>
      <xdr:colOff>57150</xdr:colOff>
      <xdr:row>24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344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</xdr:col>
      <xdr:colOff>95250</xdr:colOff>
      <xdr:row>26</xdr:row>
      <xdr:rowOff>57150</xdr:rowOff>
    </xdr:from>
    <xdr:to>
      <xdr:col>6</xdr:col>
      <xdr:colOff>0</xdr:colOff>
      <xdr:row>27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6225" y="520065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164A73"/>
              </a:solidFill>
              <a:latin typeface="Calibri"/>
              <a:cs typeface="Calibri"/>
            </a:rPr>
            <a:t>S2 – gasförmige Anlieferung</a:t>
          </a:r>
        </a:p>
      </xdr:txBody>
    </xdr:sp>
    <xdr:clientData/>
  </xdr:twoCellAnchor>
  <xdr:twoCellAnchor>
    <xdr:from>
      <xdr:col>1</xdr:col>
      <xdr:colOff>95250</xdr:colOff>
      <xdr:row>27</xdr:row>
      <xdr:rowOff>114300</xdr:rowOff>
    </xdr:from>
    <xdr:to>
      <xdr:col>2</xdr:col>
      <xdr:colOff>381000</xdr:colOff>
      <xdr:row>30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6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S2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2</xdr:col>
      <xdr:colOff>381000</xdr:colOff>
      <xdr:row>28</xdr:row>
      <xdr:rowOff>19050</xdr:rowOff>
    </xdr:from>
    <xdr:to>
      <xdr:col>2</xdr:col>
      <xdr:colOff>647700</xdr:colOff>
      <xdr:row>29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343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27</xdr:row>
      <xdr:rowOff>114300</xdr:rowOff>
    </xdr:from>
    <xdr:to>
      <xdr:col>4</xdr:col>
      <xdr:colOff>152400</xdr:colOff>
      <xdr:row>30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609725" y="544830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7</xdr:col>
      <xdr:colOff>742950</xdr:colOff>
      <xdr:row>27</xdr:row>
      <xdr:rowOff>114300</xdr:rowOff>
    </xdr:from>
    <xdr:to>
      <xdr:col>9</xdr:col>
      <xdr:colOff>247650</xdr:colOff>
      <xdr:row>30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610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Verdichter</a:t>
          </a:r>
        </a:p>
      </xdr:txBody>
    </xdr:sp>
    <xdr:clientData/>
  </xdr:twoCellAnchor>
  <xdr:twoCellAnchor>
    <xdr:from>
      <xdr:col>9</xdr:col>
      <xdr:colOff>247650</xdr:colOff>
      <xdr:row>28</xdr:row>
      <xdr:rowOff>19050</xdr:rowOff>
    </xdr:from>
    <xdr:to>
      <xdr:col>9</xdr:col>
      <xdr:colOff>514350</xdr:colOff>
      <xdr:row>29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77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9</xdr:col>
      <xdr:colOff>514350</xdr:colOff>
      <xdr:row>27</xdr:row>
      <xdr:rowOff>114300</xdr:rowOff>
    </xdr:from>
    <xdr:to>
      <xdr:col>11</xdr:col>
      <xdr:colOff>19050</xdr:colOff>
      <xdr:row>30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437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Kühler (dicht)</a:t>
          </a:r>
        </a:p>
      </xdr:txBody>
    </xdr:sp>
    <xdr:clientData/>
  </xdr:twoCellAnchor>
  <xdr:twoCellAnchor>
    <xdr:from>
      <xdr:col>11</xdr:col>
      <xdr:colOff>19050</xdr:colOff>
      <xdr:row>28</xdr:row>
      <xdr:rowOff>19050</xdr:rowOff>
    </xdr:from>
    <xdr:to>
      <xdr:col>11</xdr:col>
      <xdr:colOff>285750</xdr:colOff>
      <xdr:row>29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0105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11</xdr:col>
      <xdr:colOff>285750</xdr:colOff>
      <xdr:row>27</xdr:row>
      <xdr:rowOff>114300</xdr:rowOff>
    </xdr:from>
    <xdr:to>
      <xdr:col>12</xdr:col>
      <xdr:colOff>571500</xdr:colOff>
      <xdr:row>30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2772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28</xdr:row>
      <xdr:rowOff>19050</xdr:rowOff>
    </xdr:from>
    <xdr:to>
      <xdr:col>13</xdr:col>
      <xdr:colOff>57150</xdr:colOff>
      <xdr:row>29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344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28</xdr:row>
      <xdr:rowOff>152400</xdr:rowOff>
    </xdr:from>
    <xdr:to>
      <xdr:col>7</xdr:col>
      <xdr:colOff>552450</xdr:colOff>
      <xdr:row>28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33675" y="5676900"/>
          <a:ext cx="2686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476250</xdr:colOff>
      <xdr:row>28</xdr:row>
      <xdr:rowOff>19050</xdr:rowOff>
    </xdr:from>
    <xdr:to>
      <xdr:col>7</xdr:col>
      <xdr:colOff>723900</xdr:colOff>
      <xdr:row>29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343525" y="55435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27</xdr:row>
      <xdr:rowOff>152400</xdr:rowOff>
    </xdr:from>
    <xdr:to>
      <xdr:col>7</xdr:col>
      <xdr:colOff>666750</xdr:colOff>
      <xdr:row>28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733675" y="5486400"/>
          <a:ext cx="2800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Kühlung auf 20 °C · Gemisch: 2 Stufen nötig (1 Stufe &gt; 95 °C)</a:t>
          </a:r>
        </a:p>
      </xdr:txBody>
    </xdr:sp>
    <xdr:clientData/>
  </xdr:twoCellAnchor>
  <xdr:twoCellAnchor>
    <xdr:from>
      <xdr:col>13</xdr:col>
      <xdr:colOff>57150</xdr:colOff>
      <xdr:row>22</xdr:row>
      <xdr:rowOff>95250</xdr:rowOff>
    </xdr:from>
    <xdr:to>
      <xdr:col>14</xdr:col>
      <xdr:colOff>342900</xdr:colOff>
      <xdr:row>30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610725" y="4476750"/>
          <a:ext cx="1066800" cy="142875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Bohrloch-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kopf</a:t>
          </a:r>
        </a:p>
      </xdr:txBody>
    </xdr:sp>
    <xdr:clientData/>
  </xdr:twoCellAnchor>
  <xdr:twoCellAnchor>
    <xdr:from>
      <xdr:col>14</xdr:col>
      <xdr:colOff>342900</xdr:colOff>
      <xdr:row>25</xdr:row>
      <xdr:rowOff>104775</xdr:rowOff>
    </xdr:from>
    <xdr:to>
      <xdr:col>14</xdr:col>
      <xdr:colOff>609600</xdr:colOff>
      <xdr:row>26</xdr:row>
      <xdr:rowOff>161925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677525" y="5057775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14</xdr:col>
      <xdr:colOff>609600</xdr:colOff>
      <xdr:row>22</xdr:row>
      <xdr:rowOff>95250</xdr:rowOff>
    </xdr:from>
    <xdr:to>
      <xdr:col>16</xdr:col>
      <xdr:colOff>114300</xdr:colOff>
      <xdr:row>30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944225" y="4476750"/>
          <a:ext cx="1066800" cy="1428750"/>
        </a:xfrm>
        <a:prstGeom prst="rect">
          <a:avLst/>
        </a:prstGeom>
        <a:gradFill>
          <a:gsLst>
            <a:gs pos="0">
              <a:srgbClr val="D9EAD3"/>
            </a:gs>
            <a:gs pos="100000">
              <a:srgbClr val="FCE5CD"/>
            </a:gs>
          </a:gsLst>
          <a:lin ang="5400000" scaled="0"/>
        </a:gradFill>
        <a:ln w="190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Gassäule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im Bohrloch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(1200 m)</a:t>
          </a:r>
        </a:p>
      </xdr:txBody>
    </xdr:sp>
    <xdr:clientData/>
  </xdr:twoCellAnchor>
  <xdr:twoCellAnchor>
    <xdr:from>
      <xdr:col>16</xdr:col>
      <xdr:colOff>114300</xdr:colOff>
      <xdr:row>23</xdr:row>
      <xdr:rowOff>0</xdr:rowOff>
    </xdr:from>
    <xdr:to>
      <xdr:col>16</xdr:col>
      <xdr:colOff>381000</xdr:colOff>
      <xdr:row>24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2011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16</xdr:col>
      <xdr:colOff>114300</xdr:colOff>
      <xdr:row>28</xdr:row>
      <xdr:rowOff>19050</xdr:rowOff>
    </xdr:from>
    <xdr:to>
      <xdr:col>16</xdr:col>
      <xdr:colOff>381000</xdr:colOff>
      <xdr:row>29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011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8A8A8A"/>
              </a:solidFill>
              <a:latin typeface="Calibri"/>
              <a:cs typeface="Calibri"/>
            </a:rPr>
            <a:t>⇢</a:t>
          </a:r>
        </a:p>
      </xdr:txBody>
    </xdr:sp>
    <xdr:clientData/>
  </xdr:twoCellAnchor>
  <xdr:twoCellAnchor>
    <xdr:from>
      <xdr:col>16</xdr:col>
      <xdr:colOff>381000</xdr:colOff>
      <xdr:row>22</xdr:row>
      <xdr:rowOff>95250</xdr:rowOff>
    </xdr:from>
    <xdr:to>
      <xdr:col>17</xdr:col>
      <xdr:colOff>666750</xdr:colOff>
      <xdr:row>24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2277725" y="4476750"/>
          <a:ext cx="1066800" cy="457200"/>
        </a:xfrm>
        <a:prstGeom prst="rect">
          <a:avLst/>
        </a:prstGeom>
        <a:solidFill>
          <a:srgbClr val="FCE5CD"/>
        </a:solidFill>
        <a:ln w="317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Kaverne V1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tief · 1200 m</a:t>
          </a:r>
        </a:p>
      </xdr:txBody>
    </xdr:sp>
    <xdr:clientData/>
  </xdr:twoCellAnchor>
  <xdr:twoCellAnchor>
    <xdr:from>
      <xdr:col>16</xdr:col>
      <xdr:colOff>381000</xdr:colOff>
      <xdr:row>27</xdr:row>
      <xdr:rowOff>114300</xdr:rowOff>
    </xdr:from>
    <xdr:to>
      <xdr:col>17</xdr:col>
      <xdr:colOff>666750</xdr:colOff>
      <xdr:row>30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277725" y="5448300"/>
          <a:ext cx="1066800" cy="457200"/>
        </a:xfrm>
        <a:prstGeom prst="rect">
          <a:avLst/>
        </a:prstGeom>
        <a:solidFill>
          <a:srgbClr val="FFFFFF"/>
        </a:solidFill>
        <a:ln w="19050" cmpd="sng">
          <a:solidFill>
            <a:srgbClr val="8A8A8A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Kaverne V2</a:t>
          </a:r>
        </a:p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flach · noch offen</a:t>
          </a:r>
        </a:p>
      </xdr:txBody>
    </xdr:sp>
    <xdr:clientData/>
  </xdr:twoCellAnchor>
  <xdr:twoCellAnchor>
    <xdr:from>
      <xdr:col>0</xdr:col>
      <xdr:colOff>133350</xdr:colOff>
      <xdr:row>24</xdr:row>
      <xdr:rowOff>180975</xdr:rowOff>
    </xdr:from>
    <xdr:to>
      <xdr:col>2</xdr:col>
      <xdr:colOff>523875</xdr:colOff>
      <xdr:row>25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33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91 bar · 15 °C</a:t>
          </a:r>
        </a:p>
      </xdr:txBody>
    </xdr:sp>
    <xdr:clientData/>
  </xdr:twoCellAnchor>
  <xdr:twoCellAnchor>
    <xdr:from>
      <xdr:col>11</xdr:col>
      <xdr:colOff>142875</xdr:colOff>
      <xdr:row>24</xdr:row>
      <xdr:rowOff>180975</xdr:rowOff>
    </xdr:from>
    <xdr:to>
      <xdr:col>12</xdr:col>
      <xdr:colOff>714375</xdr:colOff>
      <xdr:row>25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134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114,9 bar · 18,4 °C</a:t>
          </a:r>
        </a:p>
      </xdr:txBody>
    </xdr:sp>
    <xdr:clientData/>
  </xdr:twoCellAnchor>
  <xdr:twoCellAnchor>
    <xdr:from>
      <xdr:col>0</xdr:col>
      <xdr:colOff>133350</xdr:colOff>
      <xdr:row>30</xdr:row>
      <xdr:rowOff>9525</xdr:rowOff>
    </xdr:from>
    <xdr:to>
      <xdr:col>2</xdr:col>
      <xdr:colOff>523875</xdr:colOff>
      <xdr:row>30</xdr:row>
      <xdr:rowOff>180975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33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30 bar · 15 °C</a:t>
          </a:r>
        </a:p>
      </xdr:txBody>
    </xdr:sp>
    <xdr:clientData/>
  </xdr:twoCellAnchor>
  <xdr:twoCellAnchor>
    <xdr:from>
      <xdr:col>7</xdr:col>
      <xdr:colOff>600075</xdr:colOff>
      <xdr:row>30</xdr:row>
      <xdr:rowOff>9525</xdr:rowOff>
    </xdr:from>
    <xdr:to>
      <xdr:col>9</xdr:col>
      <xdr:colOff>390525</xdr:colOff>
      <xdr:row>30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467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90 bar · 65 °C (2 Stufen)</a:t>
          </a:r>
        </a:p>
      </xdr:txBody>
    </xdr:sp>
    <xdr:clientData/>
  </xdr:twoCellAnchor>
  <xdr:twoCellAnchor>
    <xdr:from>
      <xdr:col>9</xdr:col>
      <xdr:colOff>371475</xdr:colOff>
      <xdr:row>30</xdr:row>
      <xdr:rowOff>9525</xdr:rowOff>
    </xdr:from>
    <xdr:to>
      <xdr:col>11</xdr:col>
      <xdr:colOff>161925</xdr:colOff>
      <xdr:row>30</xdr:row>
      <xdr:rowOff>180975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00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90 bar · 20 °C (dicht)</a:t>
          </a:r>
        </a:p>
      </xdr:txBody>
    </xdr:sp>
    <xdr:clientData/>
  </xdr:twoCellAnchor>
  <xdr:twoCellAnchor>
    <xdr:from>
      <xdr:col>11</xdr:col>
      <xdr:colOff>142875</xdr:colOff>
      <xdr:row>30</xdr:row>
      <xdr:rowOff>9525</xdr:rowOff>
    </xdr:from>
    <xdr:to>
      <xdr:col>12</xdr:col>
      <xdr:colOff>714375</xdr:colOff>
      <xdr:row>30</xdr:row>
      <xdr:rowOff>180975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134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114,9 bar · 24,4 °C</a:t>
          </a:r>
        </a:p>
      </xdr:txBody>
    </xdr:sp>
    <xdr:clientData/>
  </xdr:twoCellAnchor>
  <xdr:twoCellAnchor>
    <xdr:from>
      <xdr:col>16</xdr:col>
      <xdr:colOff>238125</xdr:colOff>
      <xdr:row>24</xdr:row>
      <xdr:rowOff>180975</xdr:rowOff>
    </xdr:from>
    <xdr:to>
      <xdr:col>18</xdr:col>
      <xdr:colOff>28575</xdr:colOff>
      <xdr:row>25</xdr:row>
      <xdr:rowOff>161925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21348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70–210 bar · 46 °C</a:t>
          </a:r>
        </a:p>
      </xdr:txBody>
    </xdr:sp>
    <xdr:clientData/>
  </xdr:twoCellAnchor>
  <xdr:twoCellAnchor>
    <xdr:from>
      <xdr:col>12</xdr:col>
      <xdr:colOff>695325</xdr:colOff>
      <xdr:row>30</xdr:row>
      <xdr:rowOff>9525</xdr:rowOff>
    </xdr:from>
    <xdr:to>
      <xdr:col>14</xdr:col>
      <xdr:colOff>485775</xdr:colOff>
      <xdr:row>30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9467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Kopf: 114,9 bar</a:t>
          </a:r>
        </a:p>
      </xdr:txBody>
    </xdr:sp>
    <xdr:clientData/>
  </xdr:twoCellAnchor>
  <xdr:twoCellAnchor>
    <xdr:from>
      <xdr:col>14</xdr:col>
      <xdr:colOff>466725</xdr:colOff>
      <xdr:row>30</xdr:row>
      <xdr:rowOff>9525</xdr:rowOff>
    </xdr:from>
    <xdr:to>
      <xdr:col>16</xdr:col>
      <xdr:colOff>257175</xdr:colOff>
      <xdr:row>30</xdr:row>
      <xdr:rowOff>180975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01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+95 bar aus der Säule</a:t>
          </a:r>
        </a:p>
      </xdr:txBody>
    </xdr:sp>
    <xdr:clientData/>
  </xdr:twoCellAnchor>
  <xdr:twoCellAnchor>
    <xdr:from>
      <xdr:col>1</xdr:col>
      <xdr:colOff>95250</xdr:colOff>
      <xdr:row>31</xdr:row>
      <xdr:rowOff>57150</xdr:rowOff>
    </xdr:from>
    <xdr:to>
      <xdr:col>5</xdr:col>
      <xdr:colOff>400050</xdr:colOff>
      <xdr:row>32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76225" y="6153150"/>
          <a:ext cx="34290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595959"/>
              </a:solidFill>
              <a:latin typeface="Calibri"/>
              <a:cs typeface="Calibri"/>
            </a:rPr>
            <a:t>Farbe der Kästen = Phase am Austritt (wie im Phasendiagramm):</a:t>
          </a:r>
        </a:p>
      </xdr:txBody>
    </xdr:sp>
    <xdr:clientData/>
  </xdr:twoCellAnchor>
  <xdr:twoCellAnchor>
    <xdr:from>
      <xdr:col>5</xdr:col>
      <xdr:colOff>400050</xdr:colOff>
      <xdr:row>31</xdr:row>
      <xdr:rowOff>85725</xdr:rowOff>
    </xdr:from>
    <xdr:to>
      <xdr:col>5</xdr:col>
      <xdr:colOff>552450</xdr:colOff>
      <xdr:row>32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705225" y="6181725"/>
          <a:ext cx="152400" cy="104775"/>
        </a:xfrm>
        <a:prstGeom prst="rect">
          <a:avLst/>
        </a:prstGeom>
        <a:solidFill>
          <a:srgbClr val="D9EAD3"/>
        </a:solidFill>
        <a:ln w="9525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590550</xdr:colOff>
      <xdr:row>31</xdr:row>
      <xdr:rowOff>57150</xdr:rowOff>
    </xdr:from>
    <xdr:to>
      <xdr:col>7</xdr:col>
      <xdr:colOff>266700</xdr:colOff>
      <xdr:row>32</xdr:row>
      <xdr:rowOff>38100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8957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dicht / flüssig</a:t>
          </a:r>
        </a:p>
      </xdr:txBody>
    </xdr:sp>
    <xdr:clientData/>
  </xdr:twoCellAnchor>
  <xdr:twoCellAnchor>
    <xdr:from>
      <xdr:col>7</xdr:col>
      <xdr:colOff>266700</xdr:colOff>
      <xdr:row>31</xdr:row>
      <xdr:rowOff>85725</xdr:rowOff>
    </xdr:from>
    <xdr:to>
      <xdr:col>7</xdr:col>
      <xdr:colOff>419100</xdr:colOff>
      <xdr:row>32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133975" y="6181725"/>
          <a:ext cx="152400" cy="104775"/>
        </a:xfrm>
        <a:prstGeom prst="rect">
          <a:avLst/>
        </a:prstGeom>
        <a:solidFill>
          <a:srgbClr val="CFE2F3"/>
        </a:solidFill>
        <a:ln w="9525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9</xdr:col>
      <xdr:colOff>133350</xdr:colOff>
      <xdr:row>32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3244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9</xdr:col>
      <xdr:colOff>133350</xdr:colOff>
      <xdr:row>31</xdr:row>
      <xdr:rowOff>85725</xdr:rowOff>
    </xdr:from>
    <xdr:to>
      <xdr:col>9</xdr:col>
      <xdr:colOff>285750</xdr:colOff>
      <xdr:row>32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562725" y="6181725"/>
          <a:ext cx="152400" cy="104775"/>
        </a:xfrm>
        <a:prstGeom prst="rect">
          <a:avLst/>
        </a:prstGeom>
        <a:solidFill>
          <a:srgbClr val="FCE5CD"/>
        </a:solidFill>
        <a:ln w="9525" cmpd="sng">
          <a:solidFill>
            <a:srgbClr val="A3480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323850</xdr:colOff>
      <xdr:row>31</xdr:row>
      <xdr:rowOff>57150</xdr:rowOff>
    </xdr:from>
    <xdr:to>
      <xdr:col>11</xdr:col>
      <xdr:colOff>0</xdr:colOff>
      <xdr:row>32</xdr:row>
      <xdr:rowOff>38100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7532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überkritisch</a:t>
          </a:r>
        </a:p>
      </xdr:txBody>
    </xdr:sp>
    <xdr:clientData/>
  </xdr:twoCellAnchor>
  <xdr:twoCellAnchor>
    <xdr:from>
      <xdr:col>11</xdr:col>
      <xdr:colOff>0</xdr:colOff>
      <xdr:row>31</xdr:row>
      <xdr:rowOff>85725</xdr:rowOff>
    </xdr:from>
    <xdr:to>
      <xdr:col>11</xdr:col>
      <xdr:colOff>152400</xdr:colOff>
      <xdr:row>32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7991475" y="6181725"/>
          <a:ext cx="152400" cy="104775"/>
        </a:xfrm>
        <a:prstGeom prst="rect">
          <a:avLst/>
        </a:prstGeom>
        <a:solidFill>
          <a:srgbClr val="EFF2F4"/>
        </a:solidFill>
        <a:ln w="9525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190500</xdr:colOff>
      <xdr:row>31</xdr:row>
      <xdr:rowOff>57150</xdr:rowOff>
    </xdr:from>
    <xdr:to>
      <xdr:col>12</xdr:col>
      <xdr:colOff>647700</xdr:colOff>
      <xdr:row>32</xdr:row>
      <xdr:rowOff>38100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81819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keine Zustandsänderung</a:t>
          </a:r>
        </a:p>
      </xdr:txBody>
    </xdr:sp>
    <xdr:clientData/>
  </xdr:twoCellAnchor>
  <xdr:twoCellAnchor>
    <xdr:from>
      <xdr:col>1</xdr:col>
      <xdr:colOff>95250</xdr:colOff>
      <xdr:row>32</xdr:row>
      <xdr:rowOff>57150</xdr:rowOff>
    </xdr:from>
    <xdr:to>
      <xdr:col>9</xdr:col>
      <xdr:colOff>514350</xdr:colOff>
      <xdr:row>33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276225" y="6343650"/>
          <a:ext cx="66675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Ausspeicherung (Druckreduzierung, Vorwärmung, Aufbereitung, Rückgabe) folgt als eigener Teil.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47625</xdr:rowOff>
    </xdr:from>
    <xdr:to>
      <xdr:col>2</xdr:col>
      <xdr:colOff>809625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23</xdr:row>
      <xdr:rowOff>57150</xdr:rowOff>
    </xdr:from>
    <xdr:to>
      <xdr:col>6</xdr:col>
      <xdr:colOff>466725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657225</xdr:colOff>
      <xdr:row>23</xdr:row>
      <xdr:rowOff>38100</xdr:rowOff>
    </xdr:from>
    <xdr:to>
      <xdr:col>10</xdr:col>
      <xdr:colOff>123825</xdr:colOff>
      <xdr:row>44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23</xdr:row>
      <xdr:rowOff>0</xdr:rowOff>
    </xdr:from>
    <xdr:to>
      <xdr:col>16</xdr:col>
      <xdr:colOff>295275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</xdr:row>
      <xdr:rowOff>66675</xdr:rowOff>
    </xdr:from>
    <xdr:to>
      <xdr:col>16</xdr:col>
      <xdr:colOff>152400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514350</xdr:colOff>
      <xdr:row>22</xdr:row>
      <xdr:rowOff>171450</xdr:rowOff>
    </xdr:from>
    <xdr:to>
      <xdr:col>24</xdr:col>
      <xdr:colOff>285750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76200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18</xdr:col>
      <xdr:colOff>228600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18</xdr:col>
      <xdr:colOff>228600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04F"/>
    <pageSetUpPr fitToPage="1"/>
  </sheetPr>
  <dimension ref="B1:Q85"/>
  <sheetViews>
    <sheetView showGridLines="0" workbookViewId="0"/>
  </sheetViews>
  <sheetFormatPr baseColWidth="10" defaultColWidth="9.140625" defaultRowHeight="15" x14ac:dyDescent="0.25"/>
  <cols>
    <col min="1" max="1" width="2.7109375" customWidth="1"/>
    <col min="2" max="19" width="11.7109375" customWidth="1"/>
  </cols>
  <sheetData>
    <row r="1" spans="2:15" ht="30" customHeight="1" x14ac:dyDescent="0.25">
      <c r="B1" s="1" t="s">
        <v>440</v>
      </c>
    </row>
    <row r="2" spans="2:15" x14ac:dyDescent="0.25">
      <c r="B2" s="2" t="s">
        <v>1</v>
      </c>
    </row>
    <row r="3" spans="2:15" x14ac:dyDescent="0.25">
      <c r="B3" s="2" t="s">
        <v>441</v>
      </c>
    </row>
    <row r="5" spans="2:15" x14ac:dyDescent="0.25">
      <c r="B5" s="39" t="s">
        <v>3</v>
      </c>
      <c r="C5" s="39"/>
      <c r="D5" s="39"/>
      <c r="E5" s="39"/>
      <c r="F5" s="39"/>
      <c r="G5" s="39"/>
      <c r="H5" s="39"/>
      <c r="J5" s="39" t="s">
        <v>5</v>
      </c>
      <c r="K5" s="39"/>
      <c r="L5" s="39"/>
      <c r="M5" s="39"/>
      <c r="N5" s="39"/>
      <c r="O5" s="39"/>
    </row>
    <row r="6" spans="2:15" x14ac:dyDescent="0.25">
      <c r="B6" s="35" t="s">
        <v>442</v>
      </c>
      <c r="C6" s="35"/>
      <c r="D6" s="35"/>
      <c r="E6" s="35"/>
      <c r="F6" s="35"/>
      <c r="G6" s="35"/>
      <c r="H6" s="35"/>
      <c r="J6" s="4">
        <v>91</v>
      </c>
      <c r="K6" s="35" t="s">
        <v>6</v>
      </c>
      <c r="L6" s="35"/>
      <c r="M6" s="35"/>
      <c r="N6" s="35"/>
      <c r="O6" s="35"/>
    </row>
    <row r="7" spans="2:15" x14ac:dyDescent="0.25">
      <c r="B7" s="35"/>
      <c r="C7" s="35"/>
      <c r="D7" s="35"/>
      <c r="E7" s="35"/>
      <c r="F7" s="35"/>
      <c r="G7" s="35"/>
      <c r="H7" s="35"/>
      <c r="J7" s="5">
        <v>246.6</v>
      </c>
      <c r="K7" s="35" t="s">
        <v>7</v>
      </c>
      <c r="L7" s="35"/>
      <c r="M7" s="35"/>
      <c r="N7" s="35"/>
      <c r="O7" s="35"/>
    </row>
    <row r="8" spans="2:15" x14ac:dyDescent="0.25">
      <c r="B8" s="35"/>
      <c r="C8" s="35"/>
      <c r="D8" s="35"/>
      <c r="E8" s="35"/>
      <c r="F8" s="35"/>
      <c r="G8" s="35"/>
      <c r="H8" s="35"/>
      <c r="J8" s="6">
        <v>100.0</v>
      </c>
      <c r="K8" s="35" t="s">
        <v>8</v>
      </c>
      <c r="L8" s="35"/>
      <c r="M8" s="35"/>
      <c r="N8" s="35"/>
      <c r="O8" s="35"/>
    </row>
    <row r="9" spans="2:15" x14ac:dyDescent="0.25">
      <c r="B9" s="35"/>
      <c r="C9" s="35"/>
      <c r="D9" s="35"/>
      <c r="E9" s="35"/>
      <c r="F9" s="35"/>
      <c r="G9" s="35"/>
      <c r="H9" s="35"/>
      <c r="J9" s="7">
        <v>114.9</v>
      </c>
      <c r="K9" s="35" t="s">
        <v>9</v>
      </c>
      <c r="L9" s="35"/>
      <c r="M9" s="35"/>
      <c r="N9" s="35"/>
      <c r="O9" s="35"/>
    </row>
    <row r="10" spans="2:15" x14ac:dyDescent="0.25">
      <c r="B10" s="35"/>
      <c r="C10" s="35"/>
      <c r="D10" s="35"/>
      <c r="E10" s="35"/>
      <c r="F10" s="35"/>
      <c r="G10" s="35"/>
      <c r="H10" s="35"/>
      <c r="J10" s="8" t="s">
        <v>10</v>
      </c>
      <c r="K10" s="35" t="s">
        <v>11</v>
      </c>
      <c r="L10" s="35"/>
      <c r="M10" s="35"/>
      <c r="N10" s="35"/>
      <c r="O10" s="35"/>
    </row>
    <row r="12" spans="2:15" x14ac:dyDescent="0.25">
      <c r="B12" s="39" t="s">
        <v>12</v>
      </c>
      <c r="C12" s="39"/>
      <c r="D12" s="39"/>
      <c r="E12" s="39"/>
      <c r="F12" s="39"/>
      <c r="G12" s="39"/>
      <c r="H12" s="39"/>
    </row>
    <row r="13" spans="2:15" x14ac:dyDescent="0.25">
      <c r="B13" s="34" t="s">
        <v>13</v>
      </c>
      <c r="C13" s="34"/>
      <c r="D13" s="34"/>
      <c r="E13" s="35" t="s">
        <v>14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2:15" x14ac:dyDescent="0.25">
      <c r="B14" s="34" t="s">
        <v>15</v>
      </c>
      <c r="C14" s="34"/>
      <c r="D14" s="34"/>
      <c r="E14" s="35" t="s">
        <v>16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2:15" x14ac:dyDescent="0.25">
      <c r="B15" s="34" t="s">
        <v>17</v>
      </c>
      <c r="C15" s="34"/>
      <c r="D15" s="34"/>
      <c r="E15" s="35" t="s">
        <v>18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2:15" x14ac:dyDescent="0.25">
      <c r="B16" s="34" t="s">
        <v>19</v>
      </c>
      <c r="C16" s="34"/>
      <c r="D16" s="34"/>
      <c r="E16" s="35" t="s">
        <v>443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2:15" x14ac:dyDescent="0.25">
      <c r="B17" s="34" t="s">
        <v>21</v>
      </c>
      <c r="C17" s="34"/>
      <c r="D17" s="34"/>
      <c r="E17" s="35" t="s">
        <v>22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spans="2:15" x14ac:dyDescent="0.25">
      <c r="B18" s="34" t="s">
        <v>23</v>
      </c>
      <c r="C18" s="34"/>
      <c r="D18" s="34"/>
      <c r="E18" s="35" t="s">
        <v>24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2:15" x14ac:dyDescent="0.25">
      <c r="B19" s="34" t="s">
        <v>25</v>
      </c>
      <c r="C19" s="34"/>
      <c r="D19" s="34"/>
      <c r="E19" s="35" t="s">
        <v>26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>
      <c r="B20" s="34" t="s">
        <v>444</v>
      </c>
      <c r="E20" s="35" t="s">
        <v>445</v>
      </c>
    </row>
    <row r="21" spans="2:15" ht="15.75" x14ac:dyDescent="0.25">
      <c r="B21" s="31" t="s">
        <v>27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37" spans="2:17" ht="15.75" x14ac:dyDescent="0.25">
      <c r="B37" s="31" t="s">
        <v>28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2:17" ht="27.95" customHeight="1" x14ac:dyDescent="0.25">
      <c r="B38" s="36" t="s">
        <v>29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2:17" ht="21.95" customHeight="1" x14ac:dyDescent="0.25">
      <c r="B39" s="38" t="s">
        <v>36</v>
      </c>
      <c r="C39" s="38"/>
      <c r="D39" s="38"/>
      <c r="E39" s="38" t="str">
        <f>IF(Stand_ok,"✔ Alle grauen Stoffwerte passen zu den Annahmen.","⚠ Mindestens eine Annahme wurde geändert – rot markierte Stoffwerte sind veraltet und müssen neu berechnet werden.")</f>
        <v>✔ Alle grauen Stoffwerte passen zu den Annahmen.</v>
      </c>
      <c r="F39" s="38"/>
      <c r="G39" s="38"/>
      <c r="H39" s="38"/>
      <c r="I39" s="38"/>
      <c r="J39" s="38"/>
      <c r="K39" s="38"/>
      <c r="L39" s="38"/>
      <c r="M39" s="38"/>
      <c r="N39" s="38"/>
      <c r="O39" s="38"/>
      <c r="Q39" s="11">
        <f>COUNTIF($N$42:$N$67,"⚠*")=0</f>
        <v>1.0</v>
      </c>
    </row>
    <row r="41" spans="2:17" ht="20.100000000000001" customHeight="1" x14ac:dyDescent="0.25">
      <c r="B41" s="37" t="s">
        <v>30</v>
      </c>
      <c r="C41" s="37"/>
      <c r="D41" s="37"/>
      <c r="E41" s="12" t="s">
        <v>31</v>
      </c>
      <c r="F41" s="12" t="s">
        <v>32</v>
      </c>
      <c r="G41" s="12" t="s">
        <v>33</v>
      </c>
      <c r="H41" s="37" t="s">
        <v>34</v>
      </c>
      <c r="I41" s="37"/>
      <c r="J41" s="37"/>
      <c r="K41" s="37"/>
      <c r="L41" s="37"/>
      <c r="M41" s="12" t="s">
        <v>35</v>
      </c>
      <c r="N41" s="37" t="s">
        <v>36</v>
      </c>
      <c r="O41" s="37"/>
    </row>
    <row r="42" spans="2:17" x14ac:dyDescent="0.25">
      <c r="B42" s="30" t="s">
        <v>37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2:17" ht="26.1" customHeight="1" x14ac:dyDescent="0.25">
      <c r="B43" s="33" t="s">
        <v>38</v>
      </c>
      <c r="C43" s="33"/>
      <c r="D43" s="33"/>
      <c r="E43" s="13" t="s">
        <v>39</v>
      </c>
      <c r="F43" s="4">
        <v>91</v>
      </c>
      <c r="G43" s="13" t="s">
        <v>40</v>
      </c>
      <c r="H43" s="33" t="s">
        <v>41</v>
      </c>
      <c r="I43" s="33"/>
      <c r="J43" s="33"/>
      <c r="K43" s="33"/>
      <c r="L43" s="33"/>
      <c r="M43" s="5">
        <v>91</v>
      </c>
      <c r="N43" s="33" t="str">
        <f>IF(ABS(F43-M43)&lt;0.000000001,"✔ passt","⚠ geändert – neu rechnen")</f>
        <v>✔ passt</v>
      </c>
      <c r="O43" s="33"/>
    </row>
    <row r="44" spans="2:17" x14ac:dyDescent="0.25">
      <c r="B44" s="33" t="s">
        <v>42</v>
      </c>
      <c r="C44" s="33"/>
      <c r="D44" s="33"/>
      <c r="E44" s="13" t="s">
        <v>43</v>
      </c>
      <c r="F44" s="4">
        <v>15</v>
      </c>
      <c r="G44" s="13" t="s">
        <v>44</v>
      </c>
      <c r="H44" s="33" t="s">
        <v>45</v>
      </c>
      <c r="I44" s="33"/>
      <c r="J44" s="33"/>
      <c r="K44" s="33"/>
      <c r="L44" s="33"/>
      <c r="M44" s="5">
        <v>15</v>
      </c>
      <c r="N44" s="33" t="str">
        <f>IF(ABS(F44-M44)&lt;0.000000001,"✔ passt","⚠ geändert – neu rechnen")</f>
        <v>✔ passt</v>
      </c>
      <c r="O44" s="33"/>
    </row>
    <row r="45" spans="2:17" x14ac:dyDescent="0.25">
      <c r="B45" s="30" t="s">
        <v>46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2:17" ht="26.1" customHeight="1" x14ac:dyDescent="0.25">
      <c r="B46" s="33" t="s">
        <v>38</v>
      </c>
      <c r="C46" s="33"/>
      <c r="D46" s="33"/>
      <c r="E46" s="13" t="s">
        <v>47</v>
      </c>
      <c r="F46" s="4">
        <v>30</v>
      </c>
      <c r="G46" s="13" t="s">
        <v>40</v>
      </c>
      <c r="H46" s="33" t="s">
        <v>48</v>
      </c>
      <c r="I46" s="33"/>
      <c r="J46" s="33"/>
      <c r="K46" s="33"/>
      <c r="L46" s="33"/>
      <c r="M46" s="5">
        <v>30</v>
      </c>
      <c r="N46" s="33" t="str">
        <f t="shared" ref="N46:N51" si="0">IF(ABS(F46-M46)&lt;0.000000001,"✔ passt","⚠ geändert – neu rechnen")</f>
        <v>✔ passt</v>
      </c>
      <c r="O46" s="33"/>
    </row>
    <row r="47" spans="2:17" x14ac:dyDescent="0.25">
      <c r="B47" s="33" t="s">
        <v>42</v>
      </c>
      <c r="C47" s="33"/>
      <c r="D47" s="33"/>
      <c r="E47" s="13" t="s">
        <v>49</v>
      </c>
      <c r="F47" s="4">
        <v>15</v>
      </c>
      <c r="G47" s="13" t="s">
        <v>44</v>
      </c>
      <c r="H47" s="33" t="s">
        <v>50</v>
      </c>
      <c r="I47" s="33"/>
      <c r="J47" s="33"/>
      <c r="K47" s="33"/>
      <c r="L47" s="33"/>
      <c r="M47" s="5">
        <v>15</v>
      </c>
      <c r="N47" s="33" t="str">
        <f t="shared" si="0"/>
        <v>✔ passt</v>
      </c>
      <c r="O47" s="33"/>
    </row>
    <row r="48" spans="2:17" ht="26.1" customHeight="1" x14ac:dyDescent="0.25">
      <c r="B48" s="33" t="s">
        <v>51</v>
      </c>
      <c r="C48" s="33"/>
      <c r="D48" s="33"/>
      <c r="E48" s="13" t="s">
        <v>52</v>
      </c>
      <c r="F48" s="4">
        <v>20</v>
      </c>
      <c r="G48" s="13" t="s">
        <v>44</v>
      </c>
      <c r="H48" s="33" t="s">
        <v>53</v>
      </c>
      <c r="I48" s="33"/>
      <c r="J48" s="33"/>
      <c r="K48" s="33"/>
      <c r="L48" s="33"/>
      <c r="M48" s="5">
        <v>20</v>
      </c>
      <c r="N48" s="33" t="str">
        <f t="shared" si="0"/>
        <v>✔ passt</v>
      </c>
      <c r="O48" s="33"/>
    </row>
    <row r="49" spans="2:15" ht="26.1" customHeight="1" x14ac:dyDescent="0.25">
      <c r="B49" s="33" t="s">
        <v>54</v>
      </c>
      <c r="C49" s="33"/>
      <c r="D49" s="33"/>
      <c r="E49" s="13" t="s">
        <v>55</v>
      </c>
      <c r="F49" s="4">
        <v>95</v>
      </c>
      <c r="G49" s="13" t="s">
        <v>44</v>
      </c>
      <c r="H49" s="33" t="s">
        <v>56</v>
      </c>
      <c r="I49" s="33"/>
      <c r="J49" s="33"/>
      <c r="K49" s="33"/>
      <c r="L49" s="33"/>
      <c r="M49" s="5">
        <v>95</v>
      </c>
      <c r="N49" s="33" t="str">
        <f t="shared" si="0"/>
        <v>✔ passt</v>
      </c>
      <c r="O49" s="33"/>
    </row>
    <row r="50" spans="2:15" ht="26.1" customHeight="1" x14ac:dyDescent="0.25">
      <c r="B50" s="33" t="s">
        <v>446</v>
      </c>
      <c r="C50" s="33"/>
      <c r="D50" s="33"/>
      <c r="E50" s="13" t="s">
        <v>58</v>
      </c>
      <c r="F50" s="4">
        <v>90.0</v>
      </c>
      <c r="G50" s="13" t="s">
        <v>40</v>
      </c>
      <c r="H50" s="33" t="s">
        <v>447</v>
      </c>
      <c r="I50" s="33"/>
      <c r="J50" s="33"/>
      <c r="K50" s="33"/>
      <c r="L50" s="33"/>
      <c r="M50" s="5">
        <v>90.0</v>
      </c>
      <c r="N50" s="33" t="str">
        <f t="shared" si="0"/>
        <v>✔ passt</v>
      </c>
      <c r="O50" s="33"/>
    </row>
    <row r="51" spans="2:15" ht="26.1" customHeight="1" x14ac:dyDescent="0.25">
      <c r="B51" s="33" t="s">
        <v>60</v>
      </c>
      <c r="C51" s="33"/>
      <c r="D51" s="33"/>
      <c r="E51" s="13" t="s">
        <v>61</v>
      </c>
      <c r="F51" s="4">
        <v>50</v>
      </c>
      <c r="G51" s="13" t="s">
        <v>40</v>
      </c>
      <c r="H51" s="33" t="s">
        <v>448</v>
      </c>
      <c r="I51" s="33"/>
      <c r="J51" s="33"/>
      <c r="K51" s="33"/>
      <c r="L51" s="33"/>
      <c r="M51" s="5">
        <v>50</v>
      </c>
      <c r="N51" s="33" t="str">
        <f t="shared" si="0"/>
        <v>✔ passt</v>
      </c>
      <c r="O51" s="33"/>
    </row>
    <row r="52" spans="2:15" x14ac:dyDescent="0.25">
      <c r="B52" s="30" t="s">
        <v>63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spans="2:15" x14ac:dyDescent="0.25">
      <c r="B53" s="33" t="s">
        <v>64</v>
      </c>
      <c r="C53" s="33"/>
      <c r="D53" s="33"/>
      <c r="E53" s="13" t="s">
        <v>65</v>
      </c>
      <c r="F53" s="14">
        <v>1200</v>
      </c>
      <c r="G53" s="13" t="s">
        <v>66</v>
      </c>
      <c r="H53" s="33" t="s">
        <v>67</v>
      </c>
      <c r="I53" s="33"/>
      <c r="J53" s="33"/>
      <c r="K53" s="33"/>
      <c r="L53" s="33"/>
      <c r="M53" s="15">
        <v>1200</v>
      </c>
      <c r="N53" s="33" t="str">
        <f t="shared" ref="N53:N58" si="1">IF(ABS(F53-M53)&lt;0.000000001,"✔ passt","⚠ geändert – neu rechnen")</f>
        <v>✔ passt</v>
      </c>
      <c r="O53" s="33"/>
    </row>
    <row r="54" spans="2:15" x14ac:dyDescent="0.25">
      <c r="B54" s="33" t="s">
        <v>68</v>
      </c>
      <c r="C54" s="33"/>
      <c r="D54" s="33"/>
      <c r="E54" s="13" t="s">
        <v>69</v>
      </c>
      <c r="F54" s="4">
        <v>10</v>
      </c>
      <c r="G54" s="13" t="s">
        <v>44</v>
      </c>
      <c r="H54" s="33" t="s">
        <v>70</v>
      </c>
      <c r="I54" s="33"/>
      <c r="J54" s="33"/>
      <c r="K54" s="33"/>
      <c r="L54" s="33"/>
      <c r="M54" s="5">
        <v>10</v>
      </c>
      <c r="N54" s="33" t="str">
        <f t="shared" si="1"/>
        <v>✔ passt</v>
      </c>
      <c r="O54" s="33"/>
    </row>
    <row r="55" spans="2:15" x14ac:dyDescent="0.25">
      <c r="B55" s="33" t="s">
        <v>71</v>
      </c>
      <c r="C55" s="33"/>
      <c r="D55" s="33"/>
      <c r="E55" s="13" t="s">
        <v>72</v>
      </c>
      <c r="F55" s="16">
        <v>0.03</v>
      </c>
      <c r="G55" s="13" t="s">
        <v>73</v>
      </c>
      <c r="H55" s="33" t="s">
        <v>74</v>
      </c>
      <c r="I55" s="33"/>
      <c r="J55" s="33"/>
      <c r="K55" s="33"/>
      <c r="L55" s="33"/>
      <c r="M55" s="17">
        <v>0.03</v>
      </c>
      <c r="N55" s="33" t="str">
        <f t="shared" si="1"/>
        <v>✔ passt</v>
      </c>
      <c r="O55" s="33"/>
    </row>
    <row r="56" spans="2:15" x14ac:dyDescent="0.25">
      <c r="B56" s="33" t="s">
        <v>75</v>
      </c>
      <c r="C56" s="33"/>
      <c r="D56" s="33"/>
      <c r="E56" s="13" t="s">
        <v>76</v>
      </c>
      <c r="F56" s="4">
        <v>210</v>
      </c>
      <c r="G56" s="13" t="s">
        <v>40</v>
      </c>
      <c r="H56" s="33" t="s">
        <v>77</v>
      </c>
      <c r="I56" s="33"/>
      <c r="J56" s="33"/>
      <c r="K56" s="33"/>
      <c r="L56" s="33"/>
      <c r="M56" s="5">
        <v>210</v>
      </c>
      <c r="N56" s="33" t="str">
        <f t="shared" si="1"/>
        <v>✔ passt</v>
      </c>
      <c r="O56" s="33"/>
    </row>
    <row r="57" spans="2:15" x14ac:dyDescent="0.25">
      <c r="B57" s="33" t="s">
        <v>78</v>
      </c>
      <c r="C57" s="33"/>
      <c r="D57" s="33"/>
      <c r="E57" s="13" t="s">
        <v>79</v>
      </c>
      <c r="F57" s="4">
        <v>70</v>
      </c>
      <c r="G57" s="13" t="s">
        <v>40</v>
      </c>
      <c r="H57" s="33" t="s">
        <v>80</v>
      </c>
      <c r="I57" s="33"/>
      <c r="J57" s="33"/>
      <c r="K57" s="33"/>
      <c r="L57" s="33"/>
      <c r="M57" s="5">
        <v>70</v>
      </c>
      <c r="N57" s="33" t="str">
        <f t="shared" si="1"/>
        <v>✔ passt</v>
      </c>
      <c r="O57" s="33"/>
    </row>
    <row r="58" spans="2:15" x14ac:dyDescent="0.25">
      <c r="B58" s="33" t="s">
        <v>81</v>
      </c>
      <c r="C58" s="33"/>
      <c r="D58" s="33"/>
      <c r="E58" s="13" t="s">
        <v>82</v>
      </c>
      <c r="F58" s="14">
        <v>2200</v>
      </c>
      <c r="G58" s="13" t="s">
        <v>83</v>
      </c>
      <c r="H58" s="33" t="s">
        <v>84</v>
      </c>
      <c r="I58" s="33"/>
      <c r="J58" s="33"/>
      <c r="K58" s="33"/>
      <c r="L58" s="33"/>
      <c r="M58" s="15">
        <v>2200</v>
      </c>
      <c r="N58" s="33" t="str">
        <f t="shared" si="1"/>
        <v>✔ passt</v>
      </c>
      <c r="O58" s="33"/>
    </row>
    <row r="59" spans="2:15" x14ac:dyDescent="0.25">
      <c r="B59" s="30" t="s">
        <v>85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2:15" ht="26.1" customHeight="1" x14ac:dyDescent="0.25">
      <c r="B60" s="33" t="s">
        <v>64</v>
      </c>
      <c r="C60" s="33"/>
      <c r="D60" s="33"/>
      <c r="E60" s="13" t="s">
        <v>65</v>
      </c>
      <c r="F60" s="18"/>
      <c r="G60" s="13" t="s">
        <v>66</v>
      </c>
      <c r="H60" s="33" t="s">
        <v>86</v>
      </c>
      <c r="I60" s="33"/>
      <c r="J60" s="33"/>
      <c r="K60" s="33"/>
      <c r="L60" s="33"/>
      <c r="M60" s="19" t="s">
        <v>87</v>
      </c>
      <c r="N60" s="33" t="s">
        <v>88</v>
      </c>
      <c r="O60" s="33"/>
    </row>
    <row r="61" spans="2:15" ht="25.5" x14ac:dyDescent="0.25">
      <c r="B61" s="33" t="s">
        <v>89</v>
      </c>
      <c r="C61" s="33"/>
      <c r="D61" s="33"/>
      <c r="E61" s="13" t="s">
        <v>90</v>
      </c>
      <c r="F61" s="18"/>
      <c r="G61" s="13" t="s">
        <v>40</v>
      </c>
      <c r="H61" s="33" t="s">
        <v>91</v>
      </c>
      <c r="I61" s="33"/>
      <c r="J61" s="33"/>
      <c r="K61" s="33"/>
      <c r="L61" s="33"/>
      <c r="M61" s="19" t="s">
        <v>87</v>
      </c>
      <c r="N61" s="33" t="s">
        <v>88</v>
      </c>
      <c r="O61" s="33"/>
    </row>
    <row r="62" spans="2:15" x14ac:dyDescent="0.25">
      <c r="B62" s="30" t="s">
        <v>92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</row>
    <row r="63" spans="2:15" x14ac:dyDescent="0.25">
      <c r="B63" s="33" t="s">
        <v>93</v>
      </c>
      <c r="C63" s="33"/>
      <c r="D63" s="33"/>
      <c r="E63" s="13" t="s">
        <v>94</v>
      </c>
      <c r="F63" s="14">
        <v>50000</v>
      </c>
      <c r="G63" s="13" t="s">
        <v>95</v>
      </c>
      <c r="H63" s="33" t="s">
        <v>96</v>
      </c>
      <c r="I63" s="33"/>
      <c r="J63" s="33"/>
      <c r="K63" s="33"/>
      <c r="L63" s="33"/>
      <c r="M63" s="19" t="s">
        <v>87</v>
      </c>
      <c r="N63" s="33" t="s">
        <v>97</v>
      </c>
      <c r="O63" s="33"/>
    </row>
    <row r="64" spans="2:15" x14ac:dyDescent="0.25">
      <c r="B64" s="33" t="s">
        <v>98</v>
      </c>
      <c r="C64" s="33"/>
      <c r="D64" s="33"/>
      <c r="E64" s="13" t="s">
        <v>99</v>
      </c>
      <c r="F64" s="14">
        <v>100000</v>
      </c>
      <c r="G64" s="13" t="s">
        <v>95</v>
      </c>
      <c r="H64" s="33" t="s">
        <v>96</v>
      </c>
      <c r="I64" s="33"/>
      <c r="J64" s="33"/>
      <c r="K64" s="33"/>
      <c r="L64" s="33"/>
      <c r="M64" s="19" t="s">
        <v>87</v>
      </c>
      <c r="N64" s="33" t="s">
        <v>97</v>
      </c>
      <c r="O64" s="33"/>
    </row>
    <row r="65" spans="2:15" x14ac:dyDescent="0.25">
      <c r="B65" s="33" t="s">
        <v>100</v>
      </c>
      <c r="C65" s="33"/>
      <c r="D65" s="33"/>
      <c r="E65" s="13" t="s">
        <v>101</v>
      </c>
      <c r="F65" s="16">
        <v>0.84</v>
      </c>
      <c r="G65" s="13" t="s">
        <v>87</v>
      </c>
      <c r="H65" s="33" t="s">
        <v>102</v>
      </c>
      <c r="I65" s="33"/>
      <c r="J65" s="33"/>
      <c r="K65" s="33"/>
      <c r="L65" s="33"/>
      <c r="M65" s="17">
        <v>0.84</v>
      </c>
      <c r="N65" s="33" t="str">
        <f>IF(ABS(F65-M65)&lt;0.000000001,"✔ passt","⚠ geändert – neu rechnen")</f>
        <v>✔ passt</v>
      </c>
      <c r="O65" s="33"/>
    </row>
    <row r="66" spans="2:15" x14ac:dyDescent="0.25">
      <c r="B66" s="33" t="s">
        <v>103</v>
      </c>
      <c r="C66" s="33"/>
      <c r="D66" s="33"/>
      <c r="E66" s="13" t="s">
        <v>104</v>
      </c>
      <c r="F66" s="16">
        <v>0.82</v>
      </c>
      <c r="G66" s="13" t="s">
        <v>87</v>
      </c>
      <c r="H66" s="33" t="s">
        <v>105</v>
      </c>
      <c r="I66" s="33"/>
      <c r="J66" s="33"/>
      <c r="K66" s="33"/>
      <c r="L66" s="33"/>
      <c r="M66" s="17">
        <v>0.82</v>
      </c>
      <c r="N66" s="33" t="str">
        <f>IF(ABS(F66-M66)&lt;0.000000001,"✔ passt","⚠ geändert – neu rechnen")</f>
        <v>✔ passt</v>
      </c>
      <c r="O66" s="33"/>
    </row>
    <row r="67" spans="2:15" ht="26.1" customHeight="1" x14ac:dyDescent="0.25">
      <c r="B67" s="33" t="s">
        <v>106</v>
      </c>
      <c r="C67" s="33"/>
      <c r="D67" s="33"/>
      <c r="E67" s="13" t="s">
        <v>107</v>
      </c>
      <c r="F67" s="16">
        <v>0.8</v>
      </c>
      <c r="G67" s="13" t="s">
        <v>87</v>
      </c>
      <c r="H67" s="33" t="s">
        <v>108</v>
      </c>
      <c r="I67" s="33"/>
      <c r="J67" s="33"/>
      <c r="K67" s="33"/>
      <c r="L67" s="33"/>
      <c r="M67" s="17">
        <v>0.8</v>
      </c>
      <c r="N67" s="33" t="str">
        <f>IF(ABS(F67-M67)&lt;0.000000001,"✔ passt","⚠ geändert – neu rechnen")</f>
        <v>✔ passt</v>
      </c>
      <c r="O67" s="33"/>
    </row>
    <row r="69" spans="2:15" x14ac:dyDescent="0.25">
      <c r="B69" s="30" t="s">
        <v>109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spans="2:15" x14ac:dyDescent="0.25">
      <c r="B70" s="33" t="s">
        <v>110</v>
      </c>
      <c r="C70" s="33"/>
      <c r="D70" s="33"/>
      <c r="E70" s="13" t="s">
        <v>111</v>
      </c>
      <c r="F70" s="6">
        <f>Tober_V1+grad_V1*z_V1</f>
        <v>46.0</v>
      </c>
      <c r="G70" s="13" t="s">
        <v>44</v>
      </c>
      <c r="H70" s="33" t="s">
        <v>112</v>
      </c>
      <c r="I70" s="33"/>
      <c r="J70" s="33"/>
      <c r="K70" s="33"/>
      <c r="L70" s="33"/>
      <c r="M70" s="33"/>
      <c r="N70" s="33"/>
      <c r="O70" s="33"/>
    </row>
    <row r="71" spans="2:15" x14ac:dyDescent="0.25">
      <c r="B71" s="33" t="s">
        <v>113</v>
      </c>
      <c r="C71" s="33"/>
      <c r="D71" s="33"/>
      <c r="E71" s="13" t="s">
        <v>114</v>
      </c>
      <c r="F71" s="6">
        <f>rhoSalz_V1*9.81*z_V1/100000</f>
        <v>258.984</v>
      </c>
      <c r="G71" s="13" t="s">
        <v>40</v>
      </c>
      <c r="H71" s="33" t="s">
        <v>115</v>
      </c>
      <c r="I71" s="33"/>
      <c r="J71" s="33"/>
      <c r="K71" s="33"/>
      <c r="L71" s="33"/>
      <c r="M71" s="33"/>
      <c r="N71" s="33"/>
      <c r="O71" s="33"/>
    </row>
    <row r="72" spans="2:15" x14ac:dyDescent="0.25">
      <c r="B72" s="33" t="s">
        <v>116</v>
      </c>
      <c r="C72" s="33"/>
      <c r="D72" s="33"/>
      <c r="E72" s="13" t="s">
        <v>117</v>
      </c>
      <c r="F72" s="20">
        <f>pmax_V1/p_lith_V1</f>
        <v>0.810860902604022</v>
      </c>
      <c r="G72" s="13" t="s">
        <v>87</v>
      </c>
      <c r="H72" s="33" t="s">
        <v>118</v>
      </c>
      <c r="I72" s="33"/>
      <c r="J72" s="33"/>
      <c r="K72" s="33"/>
      <c r="L72" s="33"/>
      <c r="M72" s="33"/>
      <c r="N72" s="33"/>
      <c r="O72" s="33"/>
    </row>
    <row r="74" spans="2:15" ht="15.75" x14ac:dyDescent="0.25">
      <c r="B74" s="31" t="s">
        <v>119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</row>
    <row r="75" spans="2:15" x14ac:dyDescent="0.25">
      <c r="B75" s="33" t="s">
        <v>120</v>
      </c>
      <c r="C75" s="33"/>
      <c r="D75" s="33"/>
      <c r="E75" s="13" t="s">
        <v>121</v>
      </c>
      <c r="F75" s="7">
        <f>Kopf_voll</f>
        <v>114.931301982089</v>
      </c>
      <c r="G75" s="13" t="s">
        <v>40</v>
      </c>
      <c r="H75" s="33" t="s">
        <v>122</v>
      </c>
      <c r="I75" s="33"/>
      <c r="J75" s="33"/>
      <c r="K75" s="33"/>
      <c r="L75" s="33"/>
      <c r="M75" s="33"/>
      <c r="N75" s="33"/>
      <c r="O75" s="33"/>
    </row>
    <row r="76" spans="2:15" x14ac:dyDescent="0.25">
      <c r="B76" s="33" t="s">
        <v>123</v>
      </c>
      <c r="C76" s="33"/>
      <c r="D76" s="33"/>
      <c r="E76" s="13" t="s">
        <v>121</v>
      </c>
      <c r="F76" s="7">
        <f>Kopf_leer</f>
        <v>50.7054586727265</v>
      </c>
      <c r="G76" s="13" t="s">
        <v>40</v>
      </c>
      <c r="H76" s="33" t="s">
        <v>449</v>
      </c>
      <c r="I76" s="33"/>
      <c r="J76" s="33"/>
      <c r="K76" s="33"/>
      <c r="L76" s="33"/>
      <c r="M76" s="33"/>
      <c r="N76" s="33"/>
      <c r="O76" s="33"/>
    </row>
    <row r="77" spans="2:15" x14ac:dyDescent="0.25">
      <c r="B77" s="33" t="s">
        <v>125</v>
      </c>
      <c r="C77" s="33"/>
      <c r="D77" s="33"/>
      <c r="E77" s="13" t="s">
        <v>121</v>
      </c>
      <c r="F77" s="7">
        <f>pmax_V1-Kopf_voll</f>
        <v>95.0686980179107</v>
      </c>
      <c r="G77" s="13" t="s">
        <v>40</v>
      </c>
      <c r="H77" s="33" t="s">
        <v>126</v>
      </c>
      <c r="I77" s="33"/>
      <c r="J77" s="33"/>
      <c r="K77" s="33"/>
      <c r="L77" s="33"/>
      <c r="M77" s="33"/>
      <c r="N77" s="33"/>
      <c r="O77" s="33"/>
    </row>
    <row r="78" spans="2:15" x14ac:dyDescent="0.25">
      <c r="B78" s="33" t="s">
        <v>127</v>
      </c>
      <c r="C78" s="33"/>
      <c r="D78" s="33"/>
      <c r="E78" s="13" t="s">
        <v>121</v>
      </c>
      <c r="F78" s="21">
        <f>Szen1_w</f>
        <v>3.72351210650578</v>
      </c>
      <c r="G78" s="13" t="s">
        <v>128</v>
      </c>
      <c r="H78" s="33" t="s">
        <v>129</v>
      </c>
      <c r="I78" s="33"/>
      <c r="J78" s="33"/>
      <c r="K78" s="33"/>
      <c r="L78" s="33"/>
      <c r="M78" s="33"/>
      <c r="N78" s="33"/>
      <c r="O78" s="33"/>
    </row>
    <row r="79" spans="2:15" x14ac:dyDescent="0.25">
      <c r="B79" s="33" t="s">
        <v>130</v>
      </c>
      <c r="C79" s="33"/>
      <c r="D79" s="33"/>
      <c r="E79" s="13" t="s">
        <v>121</v>
      </c>
      <c r="F79" s="7">
        <f>Szen1_Pmax</f>
        <v>200.064822470601</v>
      </c>
      <c r="G79" s="13" t="s">
        <v>131</v>
      </c>
      <c r="H79" s="33" t="s">
        <v>132</v>
      </c>
      <c r="I79" s="33"/>
      <c r="J79" s="33"/>
      <c r="K79" s="33"/>
      <c r="L79" s="33"/>
      <c r="M79" s="33"/>
      <c r="N79" s="33"/>
      <c r="O79" s="33"/>
    </row>
    <row r="80" spans="2:15" x14ac:dyDescent="0.25">
      <c r="B80" s="33" t="s">
        <v>450</v>
      </c>
      <c r="C80" s="33"/>
      <c r="D80" s="33"/>
      <c r="E80" s="13" t="s">
        <v>121</v>
      </c>
      <c r="F80" s="21">
        <f>Szen2_w_ges</f>
        <v>71.7517958185455</v>
      </c>
      <c r="G80" s="13" t="s">
        <v>128</v>
      </c>
      <c r="H80" s="33" t="s">
        <v>451</v>
      </c>
      <c r="I80" s="33"/>
      <c r="J80" s="33"/>
      <c r="K80" s="33"/>
      <c r="L80" s="33"/>
      <c r="M80" s="33"/>
      <c r="N80" s="33"/>
      <c r="O80" s="33"/>
    </row>
    <row r="81" spans="2:15" x14ac:dyDescent="0.25">
      <c r="B81" s="33" t="s">
        <v>135</v>
      </c>
      <c r="C81" s="33"/>
      <c r="D81" s="33"/>
      <c r="E81" s="13" t="s">
        <v>121</v>
      </c>
      <c r="F81" s="22">
        <f>Szen2_Pmax</f>
        <v>3855.23395165087</v>
      </c>
      <c r="G81" s="13" t="s">
        <v>131</v>
      </c>
      <c r="H81" s="33" t="s">
        <v>132</v>
      </c>
      <c r="I81" s="33"/>
      <c r="J81" s="33"/>
      <c r="K81" s="33"/>
      <c r="L81" s="33"/>
      <c r="M81" s="33"/>
      <c r="N81" s="33"/>
      <c r="O81" s="33"/>
    </row>
    <row r="82" spans="2:15" x14ac:dyDescent="0.25">
      <c r="B82" s="33" t="s">
        <v>136</v>
      </c>
      <c r="C82" s="33"/>
      <c r="D82" s="33"/>
      <c r="E82" s="13" t="s">
        <v>121</v>
      </c>
      <c r="F82" s="21">
        <f>Szen2v_w_ges</f>
        <v>62.7706612823467</v>
      </c>
      <c r="G82" s="13" t="s">
        <v>128</v>
      </c>
      <c r="H82" s="33" t="s">
        <v>452</v>
      </c>
      <c r="I82" s="33"/>
      <c r="J82" s="33"/>
      <c r="K82" s="33"/>
      <c r="L82" s="33"/>
      <c r="M82" s="33"/>
      <c r="N82" s="33"/>
      <c r="O82" s="33"/>
    </row>
    <row r="83" spans="2:15" x14ac:dyDescent="0.25">
      <c r="B83" s="33" t="s">
        <v>138</v>
      </c>
      <c r="C83" s="33"/>
      <c r="D83" s="33"/>
      <c r="E83" s="13" t="s">
        <v>121</v>
      </c>
      <c r="F83" s="21">
        <f>Dv_w_ges</f>
        <v>72.8986243887144</v>
      </c>
      <c r="G83" s="13" t="s">
        <v>128</v>
      </c>
      <c r="H83" s="33" t="s">
        <v>453</v>
      </c>
      <c r="I83" s="33"/>
      <c r="J83" s="33"/>
      <c r="K83" s="33"/>
      <c r="L83" s="33"/>
      <c r="M83" s="33"/>
      <c r="N83" s="33"/>
      <c r="O83" s="33"/>
    </row>
    <row r="84" spans="2:15" x14ac:dyDescent="0.25">
      <c r="B84" s="33" t="s">
        <v>140</v>
      </c>
      <c r="C84" s="33"/>
      <c r="D84" s="33"/>
      <c r="E84" s="13" t="s">
        <v>121</v>
      </c>
      <c r="F84" s="7">
        <f>MV_Kopf_CH4</f>
        <v>191.705342740662</v>
      </c>
      <c r="G84" s="13" t="s">
        <v>40</v>
      </c>
      <c r="H84" s="33" t="s">
        <v>141</v>
      </c>
      <c r="I84" s="33"/>
      <c r="J84" s="33"/>
      <c r="K84" s="33"/>
      <c r="L84" s="33"/>
      <c r="M84" s="33"/>
      <c r="N84" s="33"/>
      <c r="O84" s="33"/>
    </row>
    <row r="85" spans="2:15" x14ac:dyDescent="0.25">
      <c r="B85" s="33" t="s">
        <v>142</v>
      </c>
      <c r="C85" s="33"/>
      <c r="D85" s="33"/>
      <c r="E85" s="13" t="s">
        <v>121</v>
      </c>
      <c r="F85" s="7">
        <f>MV_Kopf_H2</f>
        <v>208.241191221202</v>
      </c>
      <c r="G85" s="13" t="s">
        <v>40</v>
      </c>
      <c r="H85" s="33" t="s">
        <v>141</v>
      </c>
      <c r="I85" s="33"/>
      <c r="J85" s="33"/>
      <c r="K85" s="33"/>
      <c r="L85" s="33"/>
      <c r="M85" s="33"/>
      <c r="N85" s="33"/>
      <c r="O85" s="33"/>
    </row>
  </sheetData>
  <mergeCells count="131">
    <mergeCell ref="B5:H5"/>
    <mergeCell ref="B6:H10"/>
    <mergeCell ref="J5:O5"/>
    <mergeCell ref="K6:O6"/>
    <mergeCell ref="K7:O7"/>
    <mergeCell ref="K8:O8"/>
    <mergeCell ref="K9:O9"/>
    <mergeCell ref="K10:O10"/>
    <mergeCell ref="B12:H12"/>
    <mergeCell ref="B13:D13"/>
    <mergeCell ref="E13:O13"/>
    <mergeCell ref="B14:D14"/>
    <mergeCell ref="E14:O14"/>
    <mergeCell ref="B15:D15"/>
    <mergeCell ref="E15:O15"/>
    <mergeCell ref="B16:D16"/>
    <mergeCell ref="E16:O16"/>
    <mergeCell ref="B17:D17"/>
    <mergeCell ref="E17:O17"/>
    <mergeCell ref="B18:D18"/>
    <mergeCell ref="E18:O18"/>
    <mergeCell ref="B19:D19"/>
    <mergeCell ref="B20:D20"/>
    <mergeCell ref="E20:O20"/>
    <mergeCell ref="E19:O19"/>
    <mergeCell ref="B21:O21"/>
    <mergeCell ref="B37:O37"/>
    <mergeCell ref="B38:O38"/>
    <mergeCell ref="B41:D41"/>
    <mergeCell ref="H41:L41"/>
    <mergeCell ref="N41:O41"/>
    <mergeCell ref="B39:D39"/>
    <mergeCell ref="E39:O39"/>
    <mergeCell ref="B42:O42"/>
    <mergeCell ref="B43:D43"/>
    <mergeCell ref="H43:L43"/>
    <mergeCell ref="N43:O43"/>
    <mergeCell ref="B44:D44"/>
    <mergeCell ref="H44:L44"/>
    <mergeCell ref="N44:O44"/>
    <mergeCell ref="B45:O45"/>
    <mergeCell ref="B46:D46"/>
    <mergeCell ref="H46:L46"/>
    <mergeCell ref="N46:O46"/>
    <mergeCell ref="B47:D47"/>
    <mergeCell ref="H47:L47"/>
    <mergeCell ref="N47:O47"/>
    <mergeCell ref="B48:D48"/>
    <mergeCell ref="H48:L48"/>
    <mergeCell ref="N48:O48"/>
    <mergeCell ref="B49:D49"/>
    <mergeCell ref="H49:L49"/>
    <mergeCell ref="N49:O49"/>
    <mergeCell ref="B50:D50"/>
    <mergeCell ref="H50:L50"/>
    <mergeCell ref="N50:O50"/>
    <mergeCell ref="B51:D51"/>
    <mergeCell ref="H51:L51"/>
    <mergeCell ref="N51:O51"/>
    <mergeCell ref="B52:O52"/>
    <mergeCell ref="B53:D53"/>
    <mergeCell ref="H53:L53"/>
    <mergeCell ref="N53:O53"/>
    <mergeCell ref="B54:D54"/>
    <mergeCell ref="H54:L54"/>
    <mergeCell ref="N54:O54"/>
    <mergeCell ref="B55:D55"/>
    <mergeCell ref="H55:L55"/>
    <mergeCell ref="N55:O55"/>
    <mergeCell ref="B56:D56"/>
    <mergeCell ref="H56:L56"/>
    <mergeCell ref="N56:O56"/>
    <mergeCell ref="B57:D57"/>
    <mergeCell ref="H57:L57"/>
    <mergeCell ref="N57:O57"/>
    <mergeCell ref="B58:D58"/>
    <mergeCell ref="H58:L58"/>
    <mergeCell ref="N58:O58"/>
    <mergeCell ref="B59:O59"/>
    <mergeCell ref="B60:D60"/>
    <mergeCell ref="H60:L60"/>
    <mergeCell ref="N60:O60"/>
    <mergeCell ref="B61:D61"/>
    <mergeCell ref="H61:L61"/>
    <mergeCell ref="N61:O61"/>
    <mergeCell ref="B62:O62"/>
    <mergeCell ref="B63:D63"/>
    <mergeCell ref="H63:L63"/>
    <mergeCell ref="N63:O63"/>
    <mergeCell ref="B64:D64"/>
    <mergeCell ref="H64:L64"/>
    <mergeCell ref="N64:O64"/>
    <mergeCell ref="B65:D65"/>
    <mergeCell ref="H65:L65"/>
    <mergeCell ref="N65:O65"/>
    <mergeCell ref="B66:D66"/>
    <mergeCell ref="H66:L66"/>
    <mergeCell ref="N66:O66"/>
    <mergeCell ref="B67:D67"/>
    <mergeCell ref="H67:L67"/>
    <mergeCell ref="N67:O67"/>
    <mergeCell ref="B69:O69"/>
    <mergeCell ref="B70:D70"/>
    <mergeCell ref="H70:O70"/>
    <mergeCell ref="B71:D71"/>
    <mergeCell ref="H71:O71"/>
    <mergeCell ref="B72:D72"/>
    <mergeCell ref="H72:O72"/>
    <mergeCell ref="B74:O74"/>
    <mergeCell ref="B75:D75"/>
    <mergeCell ref="H75:O75"/>
    <mergeCell ref="B76:D76"/>
    <mergeCell ref="H76:O76"/>
    <mergeCell ref="B77:D77"/>
    <mergeCell ref="H77:O77"/>
    <mergeCell ref="B78:D78"/>
    <mergeCell ref="H78:O78"/>
    <mergeCell ref="B79:D79"/>
    <mergeCell ref="H79:O79"/>
    <mergeCell ref="B80:D80"/>
    <mergeCell ref="H80:O80"/>
    <mergeCell ref="B81:D81"/>
    <mergeCell ref="H81:O81"/>
    <mergeCell ref="B82:D82"/>
    <mergeCell ref="H82:O82"/>
    <mergeCell ref="B83:D83"/>
    <mergeCell ref="H83:O83"/>
    <mergeCell ref="B84:D84"/>
    <mergeCell ref="H84:O84"/>
    <mergeCell ref="B85:D85"/>
    <mergeCell ref="H85:O85"/>
  </mergeCells>
  <conditionalFormatting sqref="E39:O39">
    <cfRule type="expression" dxfId="32" priority="3">
      <formula>NOT(Stand_ok)</formula>
    </cfRule>
    <cfRule type="expression" dxfId="31" priority="4">
      <formula>Stand_ok</formula>
    </cfRule>
  </conditionalFormatting>
  <conditionalFormatting sqref="N42:O67">
    <cfRule type="beginsWith" dxfId="30" priority="1" operator="beginsWith" text="⚠">
      <formula>LEFT(N42,1)="⚠"</formula>
    </cfRule>
    <cfRule type="beginsWith" dxfId="29" priority="2" operator="beginsWith" text="✔">
      <formula>LEFT(N42,1)="✔"</formula>
    </cfRule>
  </conditionalFormatting>
  <hyperlinks>
    <hyperlink ref="B13" location="'Kaverne &amp; Gassäule'!A1" display="→ Kaverne &amp; Gassäule" xr:uid="{00000000-0004-0000-0000-000000000000}"/>
    <hyperlink ref="B14" location="'Medienvergleich'!A1" display="→ Medienvergleich" xr:uid="{00000000-0004-0000-0000-000001000000}"/>
    <hyperlink ref="B15" location="'Einspeicherung S1'!A1" display="→ Einspeicherung S1" xr:uid="{00000000-0004-0000-0000-000002000000}"/>
    <hyperlink ref="B16" location="'Einspeicherung S2'!A1" display="→ Einspeicherung S2" xr:uid="{00000000-0004-0000-0000-000003000000}"/>
    <hyperlink ref="B17" location="'Phasendiagramm'!A1" display="→ Phasendiagramm" xr:uid="{00000000-0004-0000-0000-000004000000}"/>
    <hyperlink ref="B18" location="'Quellen'!A1" display="→ Quellen" xr:uid="{00000000-0004-0000-0000-000005000000}"/>
    <hyperlink ref="B19" location="'Diagrammdaten'!A1" display="→ Diagrammdaten" xr:uid="{00000000-0004-0000-0000-000006000000}"/>
    <hyperlink ref="B20" location="'Gemisch &amp; Grenzen'!A1" display="→ Gemisch &amp; Grenzen"/>
  </hyperlinks>
  <pageMargins left="0.4" right="0.4" top="0.5" bottom="0.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B1:L76"/>
  <sheetViews>
    <sheetView showGridLines="0" topLeftCell="A4" workbookViewId="0">
      <selection activeCell="P27" sqref="P27"/>
    </sheetView>
  </sheetViews>
  <sheetFormatPr baseColWidth="10" defaultColWidth="9.140625" defaultRowHeight="15" x14ac:dyDescent="0.25"/>
  <cols>
    <col min="1" max="1" width="2.7109375" customWidth="1"/>
    <col min="2" max="2" width="30.7109375" customWidth="1"/>
    <col min="3" max="10" width="12.7109375" customWidth="1"/>
    <col min="11" max="31" width="9.7109375" customWidth="1"/>
  </cols>
  <sheetData>
    <row r="1" spans="2:10" ht="30" customHeight="1" x14ac:dyDescent="0.25">
      <c r="B1" s="1" t="s">
        <v>143</v>
      </c>
    </row>
    <row r="2" spans="2:10" x14ac:dyDescent="0.25">
      <c r="B2" s="2" t="s">
        <v>454</v>
      </c>
    </row>
    <row r="3" spans="2:10" x14ac:dyDescent="0.25">
      <c r="B3" s="9" t="s">
        <v>145</v>
      </c>
    </row>
    <row r="4" spans="2:10" ht="117.95" customHeight="1" x14ac:dyDescent="0.25">
      <c r="B4" s="32" t="s">
        <v>455</v>
      </c>
      <c r="C4" s="32"/>
      <c r="D4" s="32"/>
      <c r="E4" s="32"/>
      <c r="F4" s="32"/>
      <c r="G4" s="32"/>
      <c r="H4" s="32"/>
      <c r="I4" s="32"/>
      <c r="J4" s="32"/>
    </row>
    <row r="6" spans="2:10" x14ac:dyDescent="0.25">
      <c r="B6" s="3" t="s">
        <v>147</v>
      </c>
    </row>
    <row r="7" spans="2:10" ht="25.5" x14ac:dyDescent="0.25">
      <c r="B7" s="12" t="s">
        <v>30</v>
      </c>
      <c r="C7" s="12" t="s">
        <v>148</v>
      </c>
      <c r="D7" s="12" t="s">
        <v>149</v>
      </c>
      <c r="E7" s="12" t="s">
        <v>33</v>
      </c>
    </row>
    <row r="8" spans="2:10" x14ac:dyDescent="0.25">
      <c r="B8" s="13" t="s">
        <v>64</v>
      </c>
      <c r="C8" s="23">
        <f>z_V1</f>
        <v>1200.0</v>
      </c>
      <c r="D8" s="18"/>
      <c r="E8" s="13" t="s">
        <v>66</v>
      </c>
    </row>
    <row r="9" spans="2:10" x14ac:dyDescent="0.25">
      <c r="B9" s="13" t="s">
        <v>150</v>
      </c>
      <c r="C9" s="6">
        <f>Tober_V1</f>
        <v>10.0</v>
      </c>
      <c r="D9" s="18"/>
      <c r="E9" s="13" t="s">
        <v>44</v>
      </c>
    </row>
    <row r="10" spans="2:10" x14ac:dyDescent="0.25">
      <c r="B10" s="13" t="s">
        <v>71</v>
      </c>
      <c r="C10" s="24">
        <f>grad_V1</f>
        <v>0.03</v>
      </c>
      <c r="D10" s="18"/>
      <c r="E10" s="13" t="s">
        <v>73</v>
      </c>
    </row>
    <row r="11" spans="2:10" x14ac:dyDescent="0.25">
      <c r="B11" s="13" t="s">
        <v>151</v>
      </c>
      <c r="C11" s="6">
        <f>T_Kav_V1</f>
        <v>46.0</v>
      </c>
      <c r="D11" s="18"/>
      <c r="E11" s="13" t="s">
        <v>44</v>
      </c>
    </row>
    <row r="12" spans="2:10" x14ac:dyDescent="0.25">
      <c r="B12" s="13" t="s">
        <v>75</v>
      </c>
      <c r="C12" s="6">
        <f>pmax_V1</f>
        <v>210.0</v>
      </c>
      <c r="D12" s="18"/>
      <c r="E12" s="13" t="s">
        <v>40</v>
      </c>
    </row>
    <row r="13" spans="2:10" x14ac:dyDescent="0.25">
      <c r="B13" s="13" t="s">
        <v>78</v>
      </c>
      <c r="C13" s="6">
        <f>pmin_V1</f>
        <v>70.0</v>
      </c>
      <c r="D13" s="18"/>
      <c r="E13" s="13" t="s">
        <v>40</v>
      </c>
    </row>
    <row r="14" spans="2:10" x14ac:dyDescent="0.25">
      <c r="B14" s="25" t="s">
        <v>152</v>
      </c>
    </row>
    <row r="16" spans="2:10" x14ac:dyDescent="0.25">
      <c r="B16" s="3" t="s">
        <v>153</v>
      </c>
    </row>
    <row r="17" spans="2:12" ht="30" customHeight="1" x14ac:dyDescent="0.25">
      <c r="B17" s="12" t="s">
        <v>154</v>
      </c>
      <c r="C17" s="12" t="s">
        <v>155</v>
      </c>
      <c r="D17" s="12" t="s">
        <v>156</v>
      </c>
      <c r="E17" s="12" t="s">
        <v>157</v>
      </c>
      <c r="F17" s="12" t="s">
        <v>158</v>
      </c>
      <c r="G17" s="12" t="s">
        <v>159</v>
      </c>
      <c r="H17" s="12" t="s">
        <v>160</v>
      </c>
      <c r="I17" s="37" t="s">
        <v>161</v>
      </c>
      <c r="J17" s="37"/>
      <c r="K17" s="37"/>
    </row>
    <row r="18" spans="2:12" ht="30" customHeight="1" x14ac:dyDescent="0.25">
      <c r="B18" s="10" t="s">
        <v>162</v>
      </c>
      <c r="C18" s="5">
        <v>210.0</v>
      </c>
      <c r="D18" s="7">
        <v>114.93130198208927</v>
      </c>
      <c r="E18" s="5">
        <v>10.0</v>
      </c>
      <c r="F18" s="5">
        <v>865.0046224890949</v>
      </c>
      <c r="G18" s="5">
        <v>755.9538427162327</v>
      </c>
      <c r="H18" s="6">
        <f>C18-D18</f>
        <v>95.0686980179107</v>
      </c>
      <c r="I18" s="33" t="s">
        <v>163</v>
      </c>
      <c r="J18" s="33"/>
      <c r="K18" s="33"/>
    </row>
    <row r="19" spans="2:12" ht="30" customHeight="1" x14ac:dyDescent="0.25">
      <c r="B19" s="10" t="s">
        <v>164</v>
      </c>
      <c r="C19" s="5">
        <v>171.19473051369846</v>
      </c>
      <c r="D19" s="7">
        <v>82.1775943179183</v>
      </c>
      <c r="E19" s="5">
        <v>10.0</v>
      </c>
      <c r="F19" s="5">
        <v>825.2968233878136</v>
      </c>
      <c r="G19" s="5">
        <v>695.9062188630426</v>
      </c>
      <c r="H19" s="6">
        <f>C19-D19</f>
        <v>89.0171361957802</v>
      </c>
      <c r="I19" s="33" t="s">
        <v>456</v>
      </c>
      <c r="J19" s="33"/>
      <c r="K19" s="33"/>
    </row>
    <row r="20" spans="2:12" ht="30" customHeight="1" x14ac:dyDescent="0.25">
      <c r="B20" s="10" t="s">
        <v>166</v>
      </c>
      <c r="C20" s="5">
        <v>70.0</v>
      </c>
      <c r="D20" s="7">
        <v>50.70545867272649</v>
      </c>
      <c r="E20" s="5">
        <v>10.0</v>
      </c>
      <c r="F20" s="5">
        <v>208.63401710078003</v>
      </c>
      <c r="G20" s="5">
        <v>166.94226085841004</v>
      </c>
      <c r="H20" s="6">
        <f>C20-D20</f>
        <v>19.2945413272735</v>
      </c>
      <c r="I20" s="33" t="s">
        <v>457</v>
      </c>
      <c r="J20" s="33"/>
      <c r="K20" s="33"/>
    </row>
    <row r="22" spans="2:12" x14ac:dyDescent="0.25">
      <c r="B22" s="3" t="s">
        <v>168</v>
      </c>
    </row>
    <row r="23" spans="2:12" ht="57.95" customHeight="1" x14ac:dyDescent="0.25">
      <c r="B23" s="40" t="s">
        <v>180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47" spans="2:9" x14ac:dyDescent="0.25">
      <c r="B47" s="3" t="s">
        <v>169</v>
      </c>
    </row>
    <row r="48" spans="2:9" ht="30" customHeight="1" x14ac:dyDescent="0.25">
      <c r="B48" s="12" t="s">
        <v>170</v>
      </c>
      <c r="C48" s="12" t="s">
        <v>171</v>
      </c>
      <c r="D48" s="12" t="s">
        <v>172</v>
      </c>
      <c r="E48" s="12" t="s">
        <v>173</v>
      </c>
      <c r="F48" s="12" t="s">
        <v>174</v>
      </c>
      <c r="G48" s="12" t="s">
        <v>175</v>
      </c>
      <c r="H48" s="12" t="s">
        <v>176</v>
      </c>
      <c r="I48" s="12" t="s">
        <v>177</v>
      </c>
    </row>
    <row r="49" spans="2:9" x14ac:dyDescent="0.25">
      <c r="B49" s="15">
        <v>0</v>
      </c>
      <c r="C49" s="5">
        <v>10.0</v>
      </c>
      <c r="D49" s="5">
        <v>114.93130198208927</v>
      </c>
      <c r="E49" s="5">
        <v>865.0046224890949</v>
      </c>
      <c r="F49" s="5">
        <v>82.1775943179183</v>
      </c>
      <c r="G49" s="5">
        <v>825.2968233878136</v>
      </c>
      <c r="H49" s="18">
        <v>50.70545867272649</v>
      </c>
      <c r="I49" s="18">
        <v>208.63401710078003</v>
      </c>
    </row>
    <row r="50" spans="2:9" x14ac:dyDescent="0.25">
      <c r="B50" s="15">
        <v>50</v>
      </c>
      <c r="C50" s="5">
        <v>11.5</v>
      </c>
      <c r="D50" s="5">
        <v>119.16100924115156</v>
      </c>
      <c r="E50" s="5">
        <v>859.8586484157096</v>
      </c>
      <c r="F50" s="5">
        <v>86.20969165186034</v>
      </c>
      <c r="G50" s="5">
        <v>819.0360095428417</v>
      </c>
      <c r="H50" s="18">
        <v>51.65962952305994</v>
      </c>
      <c r="I50" s="18">
        <v>180.45339147381648</v>
      </c>
    </row>
    <row r="51" spans="2:9" x14ac:dyDescent="0.25">
      <c r="B51" s="15">
        <v>100</v>
      </c>
      <c r="C51" s="5">
        <v>13.0</v>
      </c>
      <c r="D51" s="5">
        <v>123.36557182169967</v>
      </c>
      <c r="E51" s="5">
        <v>854.7508052105081</v>
      </c>
      <c r="F51" s="5">
        <v>90.2111771200678</v>
      </c>
      <c r="G51" s="5">
        <v>812.8143580104509</v>
      </c>
      <c r="H51" s="5">
        <v>52.47004468391528</v>
      </c>
      <c r="I51" s="5">
        <v>158.26745350880307</v>
      </c>
    </row>
    <row r="52" spans="2:9" x14ac:dyDescent="0.25">
      <c r="B52" s="15">
        <v>150</v>
      </c>
      <c r="C52" s="5">
        <v>14.5</v>
      </c>
      <c r="D52" s="5">
        <v>127.54518251936265</v>
      </c>
      <c r="E52" s="5">
        <v>849.6833416492694</v>
      </c>
      <c r="F52" s="5">
        <v>94.18225824342755</v>
      </c>
      <c r="G52" s="5">
        <v>806.6379263314424</v>
      </c>
      <c r="H52" s="5">
        <v>53.24713937913988</v>
      </c>
      <c r="I52" s="5">
        <v>158.58156714079087</v>
      </c>
    </row>
    <row r="53" spans="2:9" x14ac:dyDescent="0.25">
      <c r="B53" s="15">
        <v>200</v>
      </c>
      <c r="C53" s="5">
        <v>16.0</v>
      </c>
      <c r="D53" s="5">
        <v>131.70004500354221</v>
      </c>
      <c r="E53" s="5">
        <v>844.6584485975325</v>
      </c>
      <c r="F53" s="5">
        <v>98.12317236178102</v>
      </c>
      <c r="G53" s="5">
        <v>800.5128091082946</v>
      </c>
      <c r="H53" s="5">
        <v>54.0258238394099</v>
      </c>
      <c r="I53" s="5">
        <v>158.9143568784965</v>
      </c>
    </row>
    <row r="54" spans="2:9" x14ac:dyDescent="0.25">
      <c r="B54" s="15">
        <v>250</v>
      </c>
      <c r="C54" s="5">
        <v>17.5</v>
      </c>
      <c r="D54" s="5">
        <v>135.8303735875529</v>
      </c>
      <c r="E54" s="5">
        <v>839.6782799883216</v>
      </c>
      <c r="F54" s="5">
        <v>102.03418671869966</v>
      </c>
      <c r="G54" s="5">
        <v>794.4450959737779</v>
      </c>
      <c r="H54" s="5">
        <v>54.80618148070643</v>
      </c>
      <c r="I54" s="5">
        <v>159.2627120412116</v>
      </c>
    </row>
    <row r="55" spans="2:9" x14ac:dyDescent="0.25">
      <c r="B55" s="15">
        <v>300</v>
      </c>
      <c r="C55" s="5">
        <v>19.0</v>
      </c>
      <c r="D55" s="5">
        <v>139.9363930931937</v>
      </c>
      <c r="E55" s="5">
        <v>834.7449697329498</v>
      </c>
      <c r="F55" s="5">
        <v>105.91559827455201</v>
      </c>
      <c r="G55" s="5">
        <v>788.4408038025452</v>
      </c>
      <c r="H55" s="5">
        <v>55.58828192456246</v>
      </c>
      <c r="I55" s="5">
        <v>159.6240720495816</v>
      </c>
    </row>
    <row r="56" spans="2:9" x14ac:dyDescent="0.25">
      <c r="B56" s="15">
        <v>350</v>
      </c>
      <c r="C56" s="5">
        <v>20.5</v>
      </c>
      <c r="D56" s="5">
        <v>144.01833877875904</v>
      </c>
      <c r="E56" s="5">
        <v>829.8606404218544</v>
      </c>
      <c r="F56" s="5">
        <v>109.7677331281048</v>
      </c>
      <c r="G56" s="5">
        <v>782.5057870916929</v>
      </c>
      <c r="H56" s="5">
        <v>56.37218336220511</v>
      </c>
      <c r="I56" s="5">
        <v>159.9963027237279</v>
      </c>
    </row>
    <row r="57" spans="2:9" x14ac:dyDescent="0.25">
      <c r="B57" s="15">
        <v>400</v>
      </c>
      <c r="C57" s="5">
        <v>22.0</v>
      </c>
      <c r="D57" s="5">
        <v>148.0764562827229</v>
      </c>
      <c r="E57" s="5">
        <v>825.0274011587967</v>
      </c>
      <c r="F57" s="5">
        <v>113.5909454657578</v>
      </c>
      <c r="G57" s="5">
        <v>776.6456377044849</v>
      </c>
      <c r="H57" s="5">
        <v>57.1579344122639</v>
      </c>
      <c r="I57" s="5">
        <v>160.37760924921488</v>
      </c>
    </row>
    <row r="58" spans="2:9" x14ac:dyDescent="0.25">
      <c r="B58" s="15">
        <v>450</v>
      </c>
      <c r="C58" s="5">
        <v>23.5</v>
      </c>
      <c r="D58" s="5">
        <v>152.11100152709446</v>
      </c>
      <c r="E58" s="5">
        <v>820.2473337942599</v>
      </c>
      <c r="F58" s="5">
        <v>117.38561602364186</v>
      </c>
      <c r="G58" s="5">
        <v>770.8655888749014</v>
      </c>
      <c r="H58" s="5">
        <v>57.94557561565794</v>
      </c>
      <c r="I58" s="5">
        <v>160.76647264703266</v>
      </c>
    </row>
    <row r="59" spans="2:9" x14ac:dyDescent="0.25">
      <c r="B59" s="15">
        <v>500</v>
      </c>
      <c r="C59" s="5">
        <v>25.0</v>
      </c>
      <c r="D59" s="5">
        <v>156.1222405259621</v>
      </c>
      <c r="E59" s="5">
        <v>815.5224688084039</v>
      </c>
      <c r="F59" s="5">
        <v>121.15215012053648</v>
      </c>
      <c r="G59" s="5">
        <v>765.1704375041974</v>
      </c>
      <c r="H59" s="5">
        <v>58.735140660834205</v>
      </c>
      <c r="I59" s="5">
        <v>161.16160169886166</v>
      </c>
    </row>
    <row r="60" spans="2:9" x14ac:dyDescent="0.25">
      <c r="B60" s="15">
        <v>550</v>
      </c>
      <c r="C60" s="5">
        <v>26.5</v>
      </c>
      <c r="D60" s="5">
        <v>160.11044905533242</v>
      </c>
      <c r="E60" s="5">
        <v>810.8547537660469</v>
      </c>
      <c r="F60" s="5">
        <v>124.89097537730567</v>
      </c>
      <c r="G60" s="5">
        <v>759.564493916483</v>
      </c>
      <c r="H60" s="5">
        <v>59.52665740148501</v>
      </c>
      <c r="I60" s="5">
        <v>161.56189533902983</v>
      </c>
    </row>
    <row r="61" spans="2:9" x14ac:dyDescent="0.25">
      <c r="B61" s="15">
        <v>600</v>
      </c>
      <c r="C61" s="5">
        <v>28.0</v>
      </c>
      <c r="D61" s="5">
        <v>164.0759121577262</v>
      </c>
      <c r="E61" s="5">
        <v>806.2460183358248</v>
      </c>
      <c r="F61" s="5">
        <v>128.60253926602752</v>
      </c>
      <c r="G61" s="5">
        <v>754.0515612278945</v>
      </c>
      <c r="H61" s="5">
        <v>60.32014870950923</v>
      </c>
      <c r="I61" s="5">
        <v>161.96641238049682</v>
      </c>
    </row>
    <row r="62" spans="2:9" x14ac:dyDescent="0.25">
      <c r="B62" s="15">
        <v>650</v>
      </c>
      <c r="C62" s="5">
        <v>29.5</v>
      </c>
      <c r="D62" s="5">
        <v>168.0189234757022</v>
      </c>
      <c r="E62" s="5">
        <v>801.6979401864647</v>
      </c>
      <c r="F62" s="5">
        <v>132.28730662468095</v>
      </c>
      <c r="G62" s="5">
        <v>748.6349396924751</v>
      </c>
      <c r="H62" s="5">
        <v>61.11563319374857</v>
      </c>
      <c r="I62" s="5">
        <v>162.37434658296286</v>
      </c>
    </row>
    <row r="63" spans="2:9" x14ac:dyDescent="0.25">
      <c r="B63" s="15">
        <v>700</v>
      </c>
      <c r="C63" s="5">
        <v>31.0</v>
      </c>
      <c r="D63" s="5">
        <v>171.939784428871</v>
      </c>
      <c r="E63" s="5">
        <v>797.2120156646397</v>
      </c>
      <c r="F63" s="5">
        <v>135.94575723768324</v>
      </c>
      <c r="G63" s="5">
        <v>743.3174468346283</v>
      </c>
      <c r="H63" s="5">
        <v>61.91312580720418</v>
      </c>
      <c r="I63" s="5">
        <v>162.78500578033623</v>
      </c>
    </row>
    <row r="64" spans="2:9" x14ac:dyDescent="0.25">
      <c r="B64" s="15">
        <v>750</v>
      </c>
      <c r="C64" s="5">
        <v>32.5</v>
      </c>
      <c r="D64" s="5">
        <v>175.8388032658045</v>
      </c>
      <c r="E64" s="5">
        <v>792.7895381834925</v>
      </c>
      <c r="F64" s="5">
        <v>139.5783835328474</v>
      </c>
      <c r="G64" s="5">
        <v>738.1014429049472</v>
      </c>
      <c r="H64" s="5">
        <v>62.71263836036261</v>
      </c>
      <c r="I64" s="5">
        <v>163.19779422794545</v>
      </c>
    </row>
    <row r="65" spans="2:9" x14ac:dyDescent="0.25">
      <c r="B65" s="15">
        <v>800</v>
      </c>
      <c r="C65" s="5">
        <v>34.0</v>
      </c>
      <c r="D65" s="5">
        <v>179.71629403339674</v>
      </c>
      <c r="E65" s="5">
        <v>788.4315859598239</v>
      </c>
      <c r="F65" s="5">
        <v>143.18568839769392</v>
      </c>
      <c r="G65" s="5">
        <v>732.9888530833272</v>
      </c>
      <c r="H65" s="5">
        <v>63.51417995489785</v>
      </c>
      <c r="I65" s="5">
        <v>163.61219760549773</v>
      </c>
    </row>
    <row r="66" spans="2:9" x14ac:dyDescent="0.25">
      <c r="B66" s="15">
        <v>850</v>
      </c>
      <c r="C66" s="5">
        <v>35.5</v>
      </c>
      <c r="D66" s="5">
        <v>183.57257551082256</v>
      </c>
      <c r="E66" s="5">
        <v>784.1390194017837</v>
      </c>
      <c r="F66" s="5">
        <v>146.76818308560837</v>
      </c>
      <c r="G66" s="5">
        <v>727.9811818501968</v>
      </c>
      <c r="H66" s="5">
        <v>64.31775734971433</v>
      </c>
      <c r="I66" s="5">
        <v>164.02777027996802</v>
      </c>
    </row>
    <row r="67" spans="2:9" x14ac:dyDescent="0.25">
      <c r="B67" s="15">
        <v>900</v>
      </c>
      <c r="C67" s="5">
        <v>37.0</v>
      </c>
      <c r="D67" s="5">
        <v>187.40797015367133</v>
      </c>
      <c r="E67" s="5">
        <v>779.9124872965434</v>
      </c>
      <c r="F67" s="5">
        <v>150.32638517168738</v>
      </c>
      <c r="G67" s="5">
        <v>723.079519549727</v>
      </c>
      <c r="H67" s="5">
        <v>65.12337526962902</v>
      </c>
      <c r="I67" s="5">
        <v>164.44412453165725</v>
      </c>
    </row>
    <row r="68" spans="2:9" x14ac:dyDescent="0.25">
      <c r="B68" s="15">
        <v>950</v>
      </c>
      <c r="C68" s="5">
        <v>38.5</v>
      </c>
      <c r="D68" s="5">
        <v>191.22280308741125</v>
      </c>
      <c r="E68" s="5">
        <v>775.752440125478</v>
      </c>
      <c r="F68" s="5">
        <v>153.86081652844035</v>
      </c>
      <c r="G68" s="5">
        <v>718.2845449440057</v>
      </c>
      <c r="H68" s="5">
        <v>65.93103666569023</v>
      </c>
      <c r="I68" s="5">
        <v>164.86092150215964</v>
      </c>
    </row>
    <row r="69" spans="2:9" x14ac:dyDescent="0.25">
      <c r="B69" s="15">
        <v>1000</v>
      </c>
      <c r="C69" s="5">
        <v>40.0</v>
      </c>
      <c r="D69" s="5">
        <v>195.01740117986344</v>
      </c>
      <c r="E69" s="5">
        <v>771.6591483966583</v>
      </c>
      <c r="F69" s="5">
        <v>157.3720013160563</v>
      </c>
      <c r="G69" s="5">
        <v>713.5965295428554</v>
      </c>
      <c r="H69" s="5">
        <v>66.74074293503043</v>
      </c>
      <c r="I69" s="5">
        <v>165.2778636524355</v>
      </c>
    </row>
    <row r="70" spans="2:9" x14ac:dyDescent="0.25">
      <c r="B70" s="15">
        <v>1050</v>
      </c>
      <c r="C70" s="5">
        <v>41.5</v>
      </c>
      <c r="D70" s="5">
        <v>198.79209221167758</v>
      </c>
      <c r="E70" s="5">
        <v>767.6327238040142</v>
      </c>
      <c r="F70" s="5">
        <v>160.86046401088927</v>
      </c>
      <c r="G70" s="5">
        <v>709.0153493957504</v>
      </c>
      <c r="H70" s="5">
        <v>67.55249410715508</v>
      </c>
      <c r="I70" s="5">
        <v>165.69468853484133</v>
      </c>
    </row>
    <row r="71" spans="2:9" x14ac:dyDescent="0.25">
      <c r="B71" s="15">
        <v>1100</v>
      </c>
      <c r="C71" s="5">
        <v>43.0</v>
      </c>
      <c r="D71" s="5">
        <v>202.54720415346492</v>
      </c>
      <c r="E71" s="5">
        <v>763.6731412195195</v>
      </c>
      <c r="F71" s="5">
        <v>164.32672751959655</v>
      </c>
      <c r="G71" s="5">
        <v>704.5405081942887</v>
      </c>
      <c r="H71" s="5">
        <v>68.36628900263408</v>
      </c>
      <c r="I71" s="5">
        <v>166.11116369296403</v>
      </c>
    </row>
    <row r="72" spans="2:9" x14ac:dyDescent="0.25">
      <c r="B72" s="15">
        <v>1150</v>
      </c>
      <c r="C72" s="5">
        <v>44.5</v>
      </c>
      <c r="D72" s="5">
        <v>206.2830645493646</v>
      </c>
      <c r="E72" s="5">
        <v>759.7802598970804</v>
      </c>
      <c r="F72" s="5">
        <v>167.77131143828865</v>
      </c>
      <c r="G72" s="5">
        <v>700.1711727275615</v>
      </c>
      <c r="H72" s="5">
        <v>69.18212536927258</v>
      </c>
      <c r="I72" s="5">
        <v>166.52708251254975</v>
      </c>
    </row>
    <row r="73" spans="2:9" x14ac:dyDescent="0.25">
      <c r="B73" s="15">
        <v>1200</v>
      </c>
      <c r="C73" s="5">
        <v>46.0</v>
      </c>
      <c r="D73" s="5">
        <v>210.0</v>
      </c>
      <c r="E73" s="5">
        <v>755.9538427162327</v>
      </c>
      <c r="F73" s="5">
        <v>171.19473051369846</v>
      </c>
      <c r="G73" s="5">
        <v>695.9062188630426</v>
      </c>
      <c r="H73" s="5">
        <v>70.0</v>
      </c>
      <c r="I73" s="5">
        <v>166.94226085841004</v>
      </c>
    </row>
    <row r="74" spans="2:9" ht="30" customHeight="1" x14ac:dyDescent="0.25">
      <c r="B74" s="36" t="s">
        <v>458</v>
      </c>
      <c r="C74" s="36"/>
      <c r="D74" s="36"/>
      <c r="E74" s="36"/>
      <c r="F74" s="36"/>
      <c r="G74" s="36"/>
      <c r="H74" s="36"/>
      <c r="I74" s="36"/>
    </row>
    <row r="75" spans="2:9" ht="30" customHeight="1" x14ac:dyDescent="0.25">
      <c r="B75" s="36"/>
      <c r="C75" s="36"/>
      <c r="D75" s="36"/>
      <c r="E75" s="36"/>
      <c r="F75" s="36"/>
      <c r="G75" s="36"/>
      <c r="H75" s="36"/>
      <c r="I75" s="36"/>
    </row>
    <row r="76" spans="2:9" x14ac:dyDescent="0.25">
      <c r="B76" s="25" t="s">
        <v>179</v>
      </c>
    </row>
  </sheetData>
  <mergeCells count="7">
    <mergeCell ref="B74:I75"/>
    <mergeCell ref="B23:L23"/>
    <mergeCell ref="B4:J4"/>
    <mergeCell ref="I17:K17"/>
    <mergeCell ref="I18:K18"/>
    <mergeCell ref="I19:K19"/>
    <mergeCell ref="I20:K20"/>
  </mergeCells>
  <conditionalFormatting sqref="B49:I73">
    <cfRule type="expression" dxfId="28" priority="2">
      <formula>NOT(Stand_ok)</formula>
    </cfRule>
  </conditionalFormatting>
  <conditionalFormatting sqref="C18:G20">
    <cfRule type="expression" dxfId="27" priority="1">
      <formula>NOT(Stand_ok)</formula>
    </cfRule>
  </conditionalFormatting>
  <hyperlinks>
    <hyperlink ref="B3" location="'Übersicht'!A1" display="← zur Übersicht" xr:uid="{00000000-0004-0000-0100-000000000000}"/>
  </hyperlinks>
  <pageMargins left="0.4" right="0.4" top="0.5" bottom="0.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  <pageSetUpPr fitToPage="1"/>
  </sheetPr>
  <dimension ref="B1:H50"/>
  <sheetViews>
    <sheetView showGridLines="0" topLeftCell="A3" workbookViewId="0">
      <selection activeCell="R18" sqref="R18"/>
    </sheetView>
  </sheetViews>
  <sheetFormatPr baseColWidth="10" defaultColWidth="9.140625" defaultRowHeight="15" x14ac:dyDescent="0.25"/>
  <cols>
    <col min="1" max="1" width="2.7109375" customWidth="1"/>
    <col min="2" max="2" width="22.7109375" customWidth="1"/>
    <col min="3" max="6" width="15.7109375" customWidth="1"/>
    <col min="7" max="7" width="26.7109375" customWidth="1"/>
    <col min="8" max="8" width="15.7109375" customWidth="1"/>
    <col min="9" max="31" width="9.7109375" customWidth="1"/>
  </cols>
  <sheetData>
    <row r="1" spans="2:8" ht="30" customHeight="1" x14ac:dyDescent="0.25">
      <c r="B1" s="1" t="s">
        <v>181</v>
      </c>
    </row>
    <row r="2" spans="2:8" x14ac:dyDescent="0.25">
      <c r="B2" s="2" t="s">
        <v>182</v>
      </c>
    </row>
    <row r="3" spans="2:8" x14ac:dyDescent="0.25">
      <c r="B3" s="9" t="s">
        <v>145</v>
      </c>
    </row>
    <row r="4" spans="2:8" ht="77.45" customHeight="1" x14ac:dyDescent="0.25">
      <c r="B4" s="32" t="s">
        <v>459</v>
      </c>
      <c r="C4" s="32"/>
      <c r="D4" s="32"/>
      <c r="E4" s="32"/>
      <c r="F4" s="32"/>
      <c r="G4" s="32"/>
      <c r="H4" s="32"/>
    </row>
    <row r="6" spans="2:8" x14ac:dyDescent="0.25">
      <c r="B6" s="3" t="s">
        <v>184</v>
      </c>
    </row>
    <row r="7" spans="2:8" ht="25.5" x14ac:dyDescent="0.25">
      <c r="B7" s="12" t="s">
        <v>185</v>
      </c>
      <c r="C7" s="12" t="s">
        <v>460</v>
      </c>
      <c r="D7" s="12" t="s">
        <v>187</v>
      </c>
      <c r="E7" s="12" t="s">
        <v>188</v>
      </c>
      <c r="F7" s="12" t="s">
        <v>189</v>
      </c>
    </row>
    <row r="8" spans="2:8" x14ac:dyDescent="0.25">
      <c r="B8" s="15">
        <v>600</v>
      </c>
      <c r="C8" s="5">
        <v>158.4900770097599</v>
      </c>
      <c r="D8" s="5">
        <v>200.16600942229849</v>
      </c>
      <c r="E8" s="5">
        <v>209.095008669397</v>
      </c>
      <c r="F8" s="6">
        <f t="shared" ref="F8:F13" si="0">pmax_V1</f>
        <v>210.0</v>
      </c>
    </row>
    <row r="9" spans="2:8" x14ac:dyDescent="0.25">
      <c r="B9" s="15">
        <v>800</v>
      </c>
      <c r="C9" s="5">
        <v>142.9860318589263</v>
      </c>
      <c r="D9" s="5">
        <v>197.20927492428419</v>
      </c>
      <c r="E9" s="5">
        <v>208.80500493947619</v>
      </c>
      <c r="F9" s="6">
        <f t="shared" si="0"/>
        <v>210.0</v>
      </c>
    </row>
    <row r="10" spans="2:8" x14ac:dyDescent="0.25">
      <c r="B10" s="15">
        <v>1000</v>
      </c>
      <c r="C10" s="5">
        <v>128.4373003373798</v>
      </c>
      <c r="D10" s="5">
        <v>194.39267671096141</v>
      </c>
      <c r="E10" s="5">
        <v>208.5204660223911</v>
      </c>
      <c r="F10" s="6">
        <f t="shared" si="0"/>
        <v>210.0</v>
      </c>
    </row>
    <row r="11" spans="2:8" x14ac:dyDescent="0.25">
      <c r="B11" s="15">
        <v>1200</v>
      </c>
      <c r="C11" s="5">
        <v>114.93130198208927</v>
      </c>
      <c r="D11" s="5">
        <v>191.70534274066219</v>
      </c>
      <c r="E11" s="5">
        <v>208.241191221202</v>
      </c>
      <c r="F11" s="6">
        <f t="shared" si="0"/>
        <v>210.0</v>
      </c>
    </row>
    <row r="12" spans="2:8" x14ac:dyDescent="0.25">
      <c r="B12" s="15">
        <v>1400</v>
      </c>
      <c r="C12" s="5">
        <v>102.56218916081785</v>
      </c>
      <c r="D12" s="5">
        <v>189.1373555557519</v>
      </c>
      <c r="E12" s="5">
        <v>207.9669908462842</v>
      </c>
      <c r="F12" s="6">
        <f t="shared" si="0"/>
        <v>210.0</v>
      </c>
    </row>
    <row r="13" spans="2:8" x14ac:dyDescent="0.25">
      <c r="B13" s="15">
        <v>1600</v>
      </c>
      <c r="C13" s="5">
        <v>91.42468035449569</v>
      </c>
      <c r="D13" s="5">
        <v>186.67970597588419</v>
      </c>
      <c r="E13" s="5">
        <v>207.697685413979</v>
      </c>
      <c r="F13" s="6">
        <f t="shared" si="0"/>
        <v>210.0</v>
      </c>
    </row>
    <row r="14" spans="2:8" x14ac:dyDescent="0.25">
      <c r="B14" s="25" t="s">
        <v>461</v>
      </c>
    </row>
    <row r="16" spans="2:8" x14ac:dyDescent="0.25">
      <c r="B16" s="3" t="s">
        <v>191</v>
      </c>
    </row>
    <row r="17" spans="2:8" ht="25.5" x14ac:dyDescent="0.25">
      <c r="B17" s="12" t="s">
        <v>192</v>
      </c>
      <c r="C17" s="12" t="s">
        <v>156</v>
      </c>
      <c r="D17" s="12" t="s">
        <v>160</v>
      </c>
      <c r="E17" s="12" t="s">
        <v>158</v>
      </c>
      <c r="F17" s="12" t="s">
        <v>159</v>
      </c>
      <c r="G17" s="12" t="s">
        <v>193</v>
      </c>
    </row>
    <row r="18" spans="2:8" x14ac:dyDescent="0.25">
      <c r="B18" s="10" t="s">
        <v>462</v>
      </c>
      <c r="C18" s="5">
        <v>114.93130198208927</v>
      </c>
      <c r="D18" s="7">
        <f>pmax_V1-C18</f>
        <v>95.0686980179107</v>
      </c>
      <c r="E18" s="5">
        <v>865.0046224890949</v>
      </c>
      <c r="F18" s="5">
        <v>755.9538427162327</v>
      </c>
      <c r="G18" s="13" t="s">
        <v>463</v>
      </c>
    </row>
    <row r="19" spans="2:8" x14ac:dyDescent="0.25">
      <c r="B19" s="10" t="s">
        <v>196</v>
      </c>
      <c r="C19" s="5">
        <v>191.70534274066219</v>
      </c>
      <c r="D19" s="7">
        <f>pmax_V1-C19</f>
        <v>18.2946572593378</v>
      </c>
      <c r="E19" s="5">
        <v>167.47194088154569</v>
      </c>
      <c r="F19" s="5">
        <v>145.1794721555662</v>
      </c>
      <c r="G19" s="13" t="s">
        <v>197</v>
      </c>
    </row>
    <row r="20" spans="2:8" x14ac:dyDescent="0.25">
      <c r="B20" s="10" t="s">
        <v>198</v>
      </c>
      <c r="C20" s="5">
        <v>208.241191221202</v>
      </c>
      <c r="D20" s="7">
        <f>pmax_V1-C20</f>
        <v>1.758808778798</v>
      </c>
      <c r="E20" s="5">
        <v>15.72883088966589</v>
      </c>
      <c r="F20" s="5">
        <v>14.21068755165444</v>
      </c>
      <c r="G20" s="13" t="s">
        <v>199</v>
      </c>
    </row>
    <row r="21" spans="2:8" x14ac:dyDescent="0.25">
      <c r="B21" s="25" t="s">
        <v>200</v>
      </c>
    </row>
    <row r="23" spans="2:8" x14ac:dyDescent="0.25">
      <c r="B23" s="3" t="s">
        <v>201</v>
      </c>
    </row>
    <row r="24" spans="2:8" ht="30" customHeight="1" x14ac:dyDescent="0.25">
      <c r="B24" s="12" t="s">
        <v>170</v>
      </c>
      <c r="C24" s="12" t="s">
        <v>464</v>
      </c>
      <c r="D24" s="12" t="s">
        <v>465</v>
      </c>
      <c r="E24" s="12" t="s">
        <v>204</v>
      </c>
      <c r="F24" s="12" t="s">
        <v>205</v>
      </c>
      <c r="G24" s="12" t="s">
        <v>206</v>
      </c>
      <c r="H24" s="12" t="s">
        <v>207</v>
      </c>
    </row>
    <row r="25" spans="2:8" x14ac:dyDescent="0.25">
      <c r="B25" s="15">
        <v>0</v>
      </c>
      <c r="C25" s="5">
        <v>114.93130198208927</v>
      </c>
      <c r="D25" s="5">
        <v>865.0046224890949</v>
      </c>
      <c r="E25" s="5">
        <v>191.70534274066219</v>
      </c>
      <c r="F25" s="5">
        <v>167.47194088154569</v>
      </c>
      <c r="G25" s="5">
        <v>208.241191221202</v>
      </c>
      <c r="H25" s="5">
        <v>15.72883088966589</v>
      </c>
    </row>
    <row r="26" spans="2:8" x14ac:dyDescent="0.25">
      <c r="B26" s="15">
        <v>50</v>
      </c>
      <c r="C26" s="5">
        <v>119.16100924115156</v>
      </c>
      <c r="D26" s="5">
        <v>859.8586484157096</v>
      </c>
      <c r="E26" s="5">
        <v>192.52379911027771</v>
      </c>
      <c r="F26" s="5">
        <v>166.30248093904169</v>
      </c>
      <c r="G26" s="5">
        <v>208.31816153818531</v>
      </c>
      <c r="H26" s="5">
        <v>15.658526475721811</v>
      </c>
    </row>
    <row r="27" spans="2:8" x14ac:dyDescent="0.25">
      <c r="B27" s="15">
        <v>100</v>
      </c>
      <c r="C27" s="5">
        <v>123.36557182169967</v>
      </c>
      <c r="D27" s="5">
        <v>854.7508052105081</v>
      </c>
      <c r="E27" s="5">
        <v>193.33658532431599</v>
      </c>
      <c r="F27" s="5">
        <v>165.15879048578961</v>
      </c>
      <c r="G27" s="5">
        <v>208.39478875352</v>
      </c>
      <c r="H27" s="5">
        <v>15.58890317551354</v>
      </c>
    </row>
    <row r="28" spans="2:8" x14ac:dyDescent="0.25">
      <c r="B28" s="15">
        <v>150</v>
      </c>
      <c r="C28" s="5">
        <v>127.54518251936265</v>
      </c>
      <c r="D28" s="5">
        <v>849.6833416492694</v>
      </c>
      <c r="E28" s="5">
        <v>194.14382581401239</v>
      </c>
      <c r="F28" s="5">
        <v>164.04010122956171</v>
      </c>
      <c r="G28" s="5">
        <v>208.4710761816751</v>
      </c>
      <c r="H28" s="5">
        <v>15.51995067544083</v>
      </c>
    </row>
    <row r="29" spans="2:8" x14ac:dyDescent="0.25">
      <c r="B29" s="15">
        <v>200</v>
      </c>
      <c r="C29" s="5">
        <v>131.70004500354221</v>
      </c>
      <c r="D29" s="5">
        <v>844.6584485975325</v>
      </c>
      <c r="E29" s="5">
        <v>194.9456412954687</v>
      </c>
      <c r="F29" s="5">
        <v>162.94566582252301</v>
      </c>
      <c r="G29" s="5">
        <v>208.54702708707711</v>
      </c>
      <c r="H29" s="5">
        <v>15.451658875090439</v>
      </c>
    </row>
    <row r="30" spans="2:8" x14ac:dyDescent="0.25">
      <c r="B30" s="15">
        <v>250</v>
      </c>
      <c r="C30" s="5">
        <v>135.8303735875529</v>
      </c>
      <c r="D30" s="5">
        <v>839.6782799883216</v>
      </c>
      <c r="E30" s="5">
        <v>195.74214887277981</v>
      </c>
      <c r="F30" s="5">
        <v>161.8747579957838</v>
      </c>
      <c r="G30" s="5">
        <v>208.62264468514221</v>
      </c>
      <c r="H30" s="5">
        <v>15.384017881660309</v>
      </c>
    </row>
    <row r="31" spans="2:8" x14ac:dyDescent="0.25">
      <c r="B31" s="15">
        <v>300</v>
      </c>
      <c r="C31" s="5">
        <v>139.9363930931937</v>
      </c>
      <c r="D31" s="5">
        <v>834.7449697329498</v>
      </c>
      <c r="E31" s="5">
        <v>196.53346214151821</v>
      </c>
      <c r="F31" s="5">
        <v>160.82667257889869</v>
      </c>
      <c r="G31" s="5">
        <v>208.69793214327979</v>
      </c>
      <c r="H31" s="5">
        <v>15.317018004559401</v>
      </c>
    </row>
    <row r="32" spans="2:8" x14ac:dyDescent="0.25">
      <c r="B32" s="15">
        <v>350</v>
      </c>
      <c r="C32" s="5">
        <v>144.01833877875904</v>
      </c>
      <c r="D32" s="5">
        <v>829.8606404218544</v>
      </c>
      <c r="E32" s="5">
        <v>197.31969129205709</v>
      </c>
      <c r="F32" s="5">
        <v>159.80072542001329</v>
      </c>
      <c r="G32" s="5">
        <v>208.7728925818721</v>
      </c>
      <c r="H32" s="5">
        <v>15.250649750176891</v>
      </c>
    </row>
    <row r="33" spans="2:8" x14ac:dyDescent="0.25">
      <c r="B33" s="15">
        <v>400</v>
      </c>
      <c r="C33" s="5">
        <v>148.0764562827229</v>
      </c>
      <c r="D33" s="5">
        <v>825.0274011587967</v>
      </c>
      <c r="E33" s="5">
        <v>198.10094321227609</v>
      </c>
      <c r="F33" s="5">
        <v>158.79625322078871</v>
      </c>
      <c r="G33" s="5">
        <v>208.84752907522599</v>
      </c>
      <c r="H33" s="5">
        <v>15.184903816814449</v>
      </c>
    </row>
    <row r="34" spans="2:8" x14ac:dyDescent="0.25">
      <c r="B34" s="15">
        <v>450</v>
      </c>
      <c r="C34" s="5">
        <v>152.11100152709446</v>
      </c>
      <c r="D34" s="5">
        <v>820.2473337942599</v>
      </c>
      <c r="E34" s="5">
        <v>198.87732158927039</v>
      </c>
      <c r="F34" s="5">
        <v>157.81261329878919</v>
      </c>
      <c r="G34" s="5">
        <v>208.92184465250301</v>
      </c>
      <c r="H34" s="5">
        <v>15.11977108977571</v>
      </c>
    </row>
    <row r="35" spans="2:8" x14ac:dyDescent="0.25">
      <c r="B35" s="15">
        <v>500</v>
      </c>
      <c r="C35" s="5">
        <v>156.1222405259621</v>
      </c>
      <c r="D35" s="5">
        <v>815.5224688084039</v>
      </c>
      <c r="E35" s="5">
        <v>199.64892700973121</v>
      </c>
      <c r="F35" s="5">
        <v>156.84918328867781</v>
      </c>
      <c r="G35" s="5">
        <v>208.99584229862339</v>
      </c>
      <c r="H35" s="5">
        <v>15.055242636607121</v>
      </c>
    </row>
    <row r="36" spans="2:8" x14ac:dyDescent="0.25">
      <c r="B36" s="15">
        <v>550</v>
      </c>
      <c r="C36" s="5">
        <v>160.11044905533242</v>
      </c>
      <c r="D36" s="5">
        <v>810.8547537660469</v>
      </c>
      <c r="E36" s="5">
        <v>200.41585705872819</v>
      </c>
      <c r="F36" s="5">
        <v>155.9053607923434</v>
      </c>
      <c r="G36" s="5">
        <v>209.06952495514909</v>
      </c>
      <c r="H36" s="5">
        <v>14.991309702485021</v>
      </c>
    </row>
    <row r="37" spans="2:8" x14ac:dyDescent="0.25">
      <c r="B37" s="15">
        <v>600</v>
      </c>
      <c r="C37" s="5">
        <v>164.0759121577262</v>
      </c>
      <c r="D37" s="5">
        <v>806.2460183358248</v>
      </c>
      <c r="E37" s="5">
        <v>201.17820641666481</v>
      </c>
      <c r="F37" s="5">
        <v>154.98056298695971</v>
      </c>
      <c r="G37" s="5">
        <v>209.1428955211428</v>
      </c>
      <c r="H37" s="5">
        <v>14.92796370574345</v>
      </c>
    </row>
    <row r="38" spans="2:8" x14ac:dyDescent="0.25">
      <c r="B38" s="15">
        <v>650</v>
      </c>
      <c r="C38" s="5">
        <v>168.0189234757022</v>
      </c>
      <c r="D38" s="5">
        <v>801.6979401864647</v>
      </c>
      <c r="E38" s="5">
        <v>201.93606695422011</v>
      </c>
      <c r="F38" s="5">
        <v>154.07422619894911</v>
      </c>
      <c r="G38" s="5">
        <v>209.21595685400649</v>
      </c>
      <c r="H38" s="5">
        <v>14.86519623353772</v>
      </c>
    </row>
    <row r="39" spans="2:8" x14ac:dyDescent="0.25">
      <c r="B39" s="15">
        <v>700</v>
      </c>
      <c r="C39" s="5">
        <v>171.939784428871</v>
      </c>
      <c r="D39" s="5">
        <v>797.2120156646397</v>
      </c>
      <c r="E39" s="5">
        <v>202.68952782513051</v>
      </c>
      <c r="F39" s="5">
        <v>153.1858054508931</v>
      </c>
      <c r="G39" s="5">
        <v>209.28871177029879</v>
      </c>
      <c r="H39" s="5">
        <v>14.80299903763915</v>
      </c>
    </row>
    <row r="40" spans="2:8" x14ac:dyDescent="0.25">
      <c r="B40" s="15">
        <v>750</v>
      </c>
      <c r="C40" s="5">
        <v>175.8388032658045</v>
      </c>
      <c r="D40" s="5">
        <v>792.7895381834925</v>
      </c>
      <c r="E40" s="5">
        <v>203.4386755566926</v>
      </c>
      <c r="F40" s="5">
        <v>152.31477398758091</v>
      </c>
      <c r="G40" s="5">
        <v>209.36116304653191</v>
      </c>
      <c r="H40" s="5">
        <v>14.74136403035596</v>
      </c>
    </row>
    <row r="41" spans="2:8" x14ac:dyDescent="0.25">
      <c r="B41" s="15">
        <v>800</v>
      </c>
      <c r="C41" s="5">
        <v>179.71629403339674</v>
      </c>
      <c r="D41" s="5">
        <v>788.4315859598239</v>
      </c>
      <c r="E41" s="5">
        <v>204.1835941379002</v>
      </c>
      <c r="F41" s="5">
        <v>151.46062278661819</v>
      </c>
      <c r="G41" s="5">
        <v>209.43331341994849</v>
      </c>
      <c r="H41" s="5">
        <v>14.68028328057636</v>
      </c>
    </row>
    <row r="42" spans="2:8" x14ac:dyDescent="0.25">
      <c r="B42" s="15">
        <v>850</v>
      </c>
      <c r="C42" s="5">
        <v>183.57257551082256</v>
      </c>
      <c r="D42" s="5">
        <v>784.1390194017837</v>
      </c>
      <c r="E42" s="5">
        <v>204.92436510515191</v>
      </c>
      <c r="F42" s="5">
        <v>150.6228600583274</v>
      </c>
      <c r="G42" s="5">
        <v>209.50516558928081</v>
      </c>
      <c r="H42" s="5">
        <v>14.619749009929221</v>
      </c>
    </row>
    <row r="43" spans="2:8" x14ac:dyDescent="0.25">
      <c r="B43" s="15">
        <v>900</v>
      </c>
      <c r="C43" s="5">
        <v>187.40797015367133</v>
      </c>
      <c r="D43" s="5">
        <v>779.9124872965434</v>
      </c>
      <c r="E43" s="5">
        <v>205.66106762548699</v>
      </c>
      <c r="F43" s="5">
        <v>149.8010107390447</v>
      </c>
      <c r="G43" s="5">
        <v>209.57672221548941</v>
      </c>
      <c r="H43" s="5">
        <v>14.55975358905833</v>
      </c>
    </row>
    <row r="44" spans="2:8" x14ac:dyDescent="0.25">
      <c r="B44" s="15">
        <v>950</v>
      </c>
      <c r="C44" s="5">
        <v>191.22280308741125</v>
      </c>
      <c r="D44" s="5">
        <v>775.752440125478</v>
      </c>
      <c r="E44" s="5">
        <v>206.3937785773266</v>
      </c>
      <c r="F44" s="5">
        <v>148.9946159813571</v>
      </c>
      <c r="G44" s="5">
        <v>209.6479859224853</v>
      </c>
      <c r="H44" s="5">
        <v>14.50028953400642</v>
      </c>
    </row>
    <row r="45" spans="2:8" x14ac:dyDescent="0.25">
      <c r="B45" s="15">
        <v>1000</v>
      </c>
      <c r="C45" s="5">
        <v>195.01740117986344</v>
      </c>
      <c r="D45" s="5">
        <v>771.6591483966583</v>
      </c>
      <c r="E45" s="5">
        <v>207.1225726287141</v>
      </c>
      <c r="F45" s="5">
        <v>148.20323264432341</v>
      </c>
      <c r="G45" s="5">
        <v>209.71895929783389</v>
      </c>
      <c r="H45" s="5">
        <v>14.44134950270513</v>
      </c>
    </row>
    <row r="46" spans="2:8" x14ac:dyDescent="0.25">
      <c r="B46" s="15">
        <v>1050</v>
      </c>
      <c r="C46" s="5">
        <v>198.79209221167758</v>
      </c>
      <c r="D46" s="5">
        <v>767.6327238040142</v>
      </c>
      <c r="E46" s="5">
        <v>207.84752231306001</v>
      </c>
      <c r="F46" s="5">
        <v>147.42643278627671</v>
      </c>
      <c r="G46" s="5">
        <v>209.78964489344239</v>
      </c>
      <c r="H46" s="5">
        <v>14.382926291567189</v>
      </c>
    </row>
    <row r="47" spans="2:8" x14ac:dyDescent="0.25">
      <c r="B47" s="15">
        <v>1100</v>
      </c>
      <c r="C47" s="5">
        <v>202.54720415346492</v>
      </c>
      <c r="D47" s="5">
        <v>763.6731412195195</v>
      </c>
      <c r="E47" s="5">
        <v>208.56869810241059</v>
      </c>
      <c r="F47" s="5">
        <v>146.6638031624037</v>
      </c>
      <c r="G47" s="5">
        <v>209.86004522623051</v>
      </c>
      <c r="H47" s="5">
        <v>14.32501283217746</v>
      </c>
    </row>
    <row r="48" spans="2:8" x14ac:dyDescent="0.25">
      <c r="B48" s="15">
        <v>1150</v>
      </c>
      <c r="C48" s="5">
        <v>206.2830645493646</v>
      </c>
      <c r="D48" s="5">
        <v>759.7802598970804</v>
      </c>
      <c r="E48" s="5">
        <v>209.28616847826811</v>
      </c>
      <c r="F48" s="5">
        <v>145.91494472894709</v>
      </c>
      <c r="G48" s="5">
        <v>209.93016277878519</v>
      </c>
      <c r="H48" s="5">
        <v>14.267602188079531</v>
      </c>
    </row>
    <row r="49" spans="2:8" x14ac:dyDescent="0.25">
      <c r="B49" s="15">
        <v>1200</v>
      </c>
      <c r="C49" s="5">
        <v>210.0</v>
      </c>
      <c r="D49" s="5">
        <v>755.9538427162327</v>
      </c>
      <c r="E49" s="5">
        <v>210</v>
      </c>
      <c r="F49" s="5">
        <v>145.1794721555662</v>
      </c>
      <c r="G49" s="5">
        <v>210</v>
      </c>
      <c r="H49" s="5">
        <v>14.21068755165444</v>
      </c>
    </row>
    <row r="50" spans="2:8" x14ac:dyDescent="0.25">
      <c r="B50" s="25" t="s">
        <v>208</v>
      </c>
    </row>
  </sheetData>
  <mergeCells count="1">
    <mergeCell ref="B4:H4"/>
  </mergeCells>
  <conditionalFormatting sqref="B8:E13">
    <cfRule type="expression" dxfId="26" priority="1">
      <formula>NOT(Stand_ok)</formula>
    </cfRule>
  </conditionalFormatting>
  <conditionalFormatting sqref="B25:H49">
    <cfRule type="expression" dxfId="25" priority="4">
      <formula>NOT(Stand_ok)</formula>
    </cfRule>
  </conditionalFormatting>
  <conditionalFormatting sqref="C18:C20">
    <cfRule type="expression" dxfId="24" priority="2">
      <formula>NOT(Stand_ok)</formula>
    </cfRule>
  </conditionalFormatting>
  <conditionalFormatting sqref="E18:F20">
    <cfRule type="expression" dxfId="23" priority="3">
      <formula>NOT(Stand_ok)</formula>
    </cfRule>
  </conditionalFormatting>
  <hyperlinks>
    <hyperlink ref="B3" location="'Übersicht'!A1" display="← zur Übersicht" xr:uid="{00000000-0004-0000-0200-000000000000}"/>
  </hyperlinks>
  <pageMargins left="0.4" right="0.4" top="0.5" bottom="0.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335"/>
    <pageSetUpPr fitToPage="1"/>
  </sheetPr>
  <dimension ref="B1:G29"/>
  <sheetViews>
    <sheetView showGridLines="0" topLeftCell="A3" workbookViewId="0">
      <selection activeCell="E23" sqref="E23"/>
    </sheetView>
  </sheetViews>
  <sheetFormatPr baseColWidth="10" defaultColWidth="9.140625" defaultRowHeight="15" x14ac:dyDescent="0.25"/>
  <cols>
    <col min="1" max="1" width="2.7109375" customWidth="1"/>
    <col min="2" max="2" width="5.7109375" customWidth="1"/>
    <col min="3" max="3" width="38.7109375" customWidth="1"/>
    <col min="4" max="4" width="34.7109375" customWidth="1"/>
    <col min="5" max="5" width="17.7109375" customWidth="1"/>
    <col min="6" max="6" width="10.7109375" customWidth="1"/>
    <col min="7" max="7" width="20.7109375" customWidth="1"/>
    <col min="8" max="31" width="9.7109375" customWidth="1"/>
  </cols>
  <sheetData>
    <row r="1" spans="2:7" ht="30" customHeight="1" x14ac:dyDescent="0.25">
      <c r="B1" s="1" t="s">
        <v>466</v>
      </c>
    </row>
    <row r="2" spans="2:7" x14ac:dyDescent="0.25">
      <c r="B2" s="2" t="s">
        <v>210</v>
      </c>
    </row>
    <row r="3" spans="2:7" x14ac:dyDescent="0.25">
      <c r="B3" s="9" t="s">
        <v>145</v>
      </c>
    </row>
    <row r="4" spans="2:7" ht="104.45" customHeight="1" x14ac:dyDescent="0.25">
      <c r="B4" s="32" t="s">
        <v>467</v>
      </c>
      <c r="C4" s="32"/>
      <c r="D4" s="32"/>
      <c r="E4" s="32"/>
      <c r="F4" s="32"/>
      <c r="G4" s="32"/>
    </row>
    <row r="6" spans="2:7" x14ac:dyDescent="0.25">
      <c r="B6" s="3" t="s">
        <v>212</v>
      </c>
    </row>
    <row r="7" spans="2:7" x14ac:dyDescent="0.25">
      <c r="B7" s="12" t="s">
        <v>213</v>
      </c>
      <c r="C7" s="12" t="s">
        <v>214</v>
      </c>
      <c r="D7" s="12" t="s">
        <v>215</v>
      </c>
      <c r="E7" s="12" t="s">
        <v>32</v>
      </c>
      <c r="F7" s="12" t="s">
        <v>33</v>
      </c>
      <c r="G7" s="12" t="s">
        <v>216</v>
      </c>
    </row>
    <row r="8" spans="2:7" x14ac:dyDescent="0.25">
      <c r="B8" s="13">
        <v>1</v>
      </c>
      <c r="C8" s="13" t="s">
        <v>217</v>
      </c>
      <c r="D8" s="13" t="s">
        <v>218</v>
      </c>
      <c r="E8" s="6">
        <f>p_S1</f>
        <v>91.0</v>
      </c>
      <c r="F8" s="13" t="s">
        <v>40</v>
      </c>
      <c r="G8" s="13" t="s">
        <v>219</v>
      </c>
    </row>
    <row r="9" spans="2:7" x14ac:dyDescent="0.25">
      <c r="B9" s="13">
        <v>2</v>
      </c>
      <c r="C9" s="13" t="s">
        <v>220</v>
      </c>
      <c r="D9" s="13" t="s">
        <v>221</v>
      </c>
      <c r="E9" s="6">
        <f>T_S1</f>
        <v>15.0</v>
      </c>
      <c r="F9" s="13" t="s">
        <v>44</v>
      </c>
      <c r="G9" s="13" t="s">
        <v>219</v>
      </c>
    </row>
    <row r="10" spans="2:7" x14ac:dyDescent="0.25">
      <c r="B10" s="13">
        <v>3</v>
      </c>
      <c r="C10" s="13" t="s">
        <v>222</v>
      </c>
      <c r="D10" s="13" t="s">
        <v>223</v>
      </c>
      <c r="E10" s="17">
        <v>246.62640532433457</v>
      </c>
      <c r="F10" s="13" t="s">
        <v>128</v>
      </c>
      <c r="G10" s="13" t="s">
        <v>224</v>
      </c>
    </row>
    <row r="11" spans="2:7" x14ac:dyDescent="0.25">
      <c r="B11" s="13">
        <v>4</v>
      </c>
      <c r="C11" s="13" t="s">
        <v>225</v>
      </c>
      <c r="D11" s="13" t="s">
        <v>226</v>
      </c>
      <c r="E11" s="26">
        <v>1.2726354460540883</v>
      </c>
      <c r="F11" s="13" t="s">
        <v>227</v>
      </c>
      <c r="G11" s="13" t="s">
        <v>224</v>
      </c>
    </row>
    <row r="12" spans="2:7" x14ac:dyDescent="0.25">
      <c r="B12" s="13">
        <v>5</v>
      </c>
      <c r="C12" s="13" t="s">
        <v>228</v>
      </c>
      <c r="D12" s="13" t="s">
        <v>229</v>
      </c>
      <c r="E12" s="6">
        <f>Kopf_voll</f>
        <v>114.931301982089</v>
      </c>
      <c r="F12" s="13" t="s">
        <v>40</v>
      </c>
      <c r="G12" s="13" t="s">
        <v>219</v>
      </c>
    </row>
    <row r="13" spans="2:7" x14ac:dyDescent="0.25">
      <c r="B13" s="13">
        <v>6</v>
      </c>
      <c r="C13" s="13" t="s">
        <v>230</v>
      </c>
      <c r="D13" s="13" t="s">
        <v>231</v>
      </c>
      <c r="E13" s="17">
        <v>249.6052150095392</v>
      </c>
      <c r="F13" s="13" t="s">
        <v>128</v>
      </c>
      <c r="G13" s="13" t="s">
        <v>224</v>
      </c>
    </row>
    <row r="14" spans="2:7" x14ac:dyDescent="0.25">
      <c r="B14" s="13">
        <v>7</v>
      </c>
      <c r="C14" s="13" t="s">
        <v>232</v>
      </c>
      <c r="D14" s="13" t="s">
        <v>233</v>
      </c>
      <c r="E14" s="24">
        <f>eta</f>
        <v>0.8</v>
      </c>
      <c r="F14" s="13" t="s">
        <v>87</v>
      </c>
      <c r="G14" s="13" t="s">
        <v>219</v>
      </c>
    </row>
    <row r="15" spans="2:7" x14ac:dyDescent="0.25">
      <c r="B15" s="13">
        <v>8</v>
      </c>
      <c r="C15" s="13" t="s">
        <v>234</v>
      </c>
      <c r="D15" s="13" t="s">
        <v>235</v>
      </c>
      <c r="E15" s="24">
        <f>Szen1_h1+(Szen1_h2s-Szen1_h1)/eta</f>
        <v>250.34991743084</v>
      </c>
      <c r="F15" s="13" t="s">
        <v>128</v>
      </c>
      <c r="G15" s="13" t="s">
        <v>236</v>
      </c>
    </row>
    <row r="16" spans="2:7" x14ac:dyDescent="0.25">
      <c r="B16" s="13">
        <v>9</v>
      </c>
      <c r="C16" s="13" t="s">
        <v>237</v>
      </c>
      <c r="D16" s="13" t="s">
        <v>238</v>
      </c>
      <c r="E16" s="17">
        <v>18.39561922670189</v>
      </c>
      <c r="F16" s="13" t="s">
        <v>44</v>
      </c>
      <c r="G16" s="13" t="s">
        <v>224</v>
      </c>
    </row>
    <row r="17" spans="2:7" x14ac:dyDescent="0.25">
      <c r="B17" s="13">
        <v>10</v>
      </c>
      <c r="C17" s="13" t="s">
        <v>239</v>
      </c>
      <c r="D17" s="13" t="s">
        <v>240</v>
      </c>
      <c r="E17" s="27" t="s">
        <v>468</v>
      </c>
      <c r="F17" s="13" t="s">
        <v>87</v>
      </c>
      <c r="G17" s="13" t="s">
        <v>224</v>
      </c>
    </row>
    <row r="18" spans="2:7" x14ac:dyDescent="0.25">
      <c r="B18" s="13">
        <v>11</v>
      </c>
      <c r="C18" s="13" t="s">
        <v>242</v>
      </c>
      <c r="D18" s="13" t="s">
        <v>243</v>
      </c>
      <c r="E18" s="21">
        <f>Szen1_h2-Szen1_h1</f>
        <v>3.72351210650578</v>
      </c>
      <c r="F18" s="13" t="s">
        <v>128</v>
      </c>
      <c r="G18" s="13" t="s">
        <v>244</v>
      </c>
    </row>
    <row r="19" spans="2:7" x14ac:dyDescent="0.25">
      <c r="B19" s="13">
        <v>12</v>
      </c>
      <c r="C19" s="13" t="s">
        <v>469</v>
      </c>
      <c r="D19" s="13" t="s">
        <v>246</v>
      </c>
      <c r="E19" s="26">
        <v>1.9342849983910624</v>
      </c>
      <c r="F19" s="13" t="s">
        <v>83</v>
      </c>
      <c r="G19" s="13" t="s">
        <v>224</v>
      </c>
    </row>
    <row r="20" spans="2:7" x14ac:dyDescent="0.25">
      <c r="B20" s="13">
        <v>13</v>
      </c>
      <c r="C20" s="13" t="s">
        <v>247</v>
      </c>
      <c r="D20" s="13" t="s">
        <v>248</v>
      </c>
      <c r="E20" s="24">
        <f>V_min*rho_n/3600</f>
        <v>26.8650694220981</v>
      </c>
      <c r="F20" s="13" t="s">
        <v>249</v>
      </c>
      <c r="G20" s="13" t="s">
        <v>236</v>
      </c>
    </row>
    <row r="21" spans="2:7" x14ac:dyDescent="0.25">
      <c r="B21" s="13">
        <v>14</v>
      </c>
      <c r="C21" s="13" t="s">
        <v>250</v>
      </c>
      <c r="D21" s="13" t="s">
        <v>251</v>
      </c>
      <c r="E21" s="24">
        <f>V_max*rho_n/3600</f>
        <v>53.7301388441962</v>
      </c>
      <c r="F21" s="13" t="s">
        <v>249</v>
      </c>
      <c r="G21" s="13" t="s">
        <v>236</v>
      </c>
    </row>
    <row r="22" spans="2:7" x14ac:dyDescent="0.25">
      <c r="B22" s="13">
        <v>15</v>
      </c>
      <c r="C22" s="13" t="s">
        <v>252</v>
      </c>
      <c r="D22" s="13" t="s">
        <v>253</v>
      </c>
      <c r="E22" s="7">
        <f>Szen1_mmin*Szen1_w</f>
        <v>100.0324112353</v>
      </c>
      <c r="F22" s="13" t="s">
        <v>131</v>
      </c>
      <c r="G22" s="13" t="s">
        <v>244</v>
      </c>
    </row>
    <row r="23" spans="2:7" x14ac:dyDescent="0.25">
      <c r="B23" s="13">
        <v>16</v>
      </c>
      <c r="C23" s="13" t="s">
        <v>254</v>
      </c>
      <c r="D23" s="13" t="s">
        <v>253</v>
      </c>
      <c r="E23" s="7">
        <f>Szen1_mmax*Szen1_w</f>
        <v>200.064822470601</v>
      </c>
      <c r="F23" s="13" t="s">
        <v>131</v>
      </c>
      <c r="G23" s="13" t="s">
        <v>244</v>
      </c>
    </row>
    <row r="24" spans="2:7" x14ac:dyDescent="0.25">
      <c r="B24" s="25" t="s">
        <v>255</v>
      </c>
    </row>
    <row r="26" spans="2:7" x14ac:dyDescent="0.25">
      <c r="B26" s="3" t="s">
        <v>256</v>
      </c>
    </row>
    <row r="27" spans="2:7" x14ac:dyDescent="0.25">
      <c r="B27" s="12"/>
      <c r="C27" s="12" t="s">
        <v>257</v>
      </c>
      <c r="D27" s="12" t="s">
        <v>258</v>
      </c>
      <c r="E27" s="12" t="s">
        <v>171</v>
      </c>
      <c r="F27" s="12" t="s">
        <v>259</v>
      </c>
      <c r="G27" s="12" t="s">
        <v>260</v>
      </c>
    </row>
    <row r="28" spans="2:7" x14ac:dyDescent="0.25">
      <c r="B28" s="13"/>
      <c r="C28" s="10" t="s">
        <v>261</v>
      </c>
      <c r="D28" s="5">
        <v>91</v>
      </c>
      <c r="E28" s="17">
        <v>15</v>
      </c>
      <c r="F28" s="17">
        <v>246.62640532433457</v>
      </c>
      <c r="G28" s="27" t="s">
        <v>470</v>
      </c>
    </row>
    <row r="29" spans="2:7" x14ac:dyDescent="0.25">
      <c r="B29" s="13"/>
      <c r="C29" s="10" t="s">
        <v>262</v>
      </c>
      <c r="D29" s="5">
        <v>114.93130198208927</v>
      </c>
      <c r="E29" s="17">
        <v>18.39561922670189</v>
      </c>
      <c r="F29" s="17">
        <v>250.34991743084035</v>
      </c>
      <c r="G29" s="27" t="s">
        <v>471</v>
      </c>
    </row>
  </sheetData>
  <mergeCells count="1">
    <mergeCell ref="B4:G4"/>
  </mergeCells>
  <conditionalFormatting sqref="D28:G29">
    <cfRule type="expression" dxfId="22" priority="7">
      <formula>NOT(Stand_ok)</formula>
    </cfRule>
  </conditionalFormatting>
  <conditionalFormatting sqref="E10:E11">
    <cfRule type="expression" dxfId="21" priority="1">
      <formula>NOT(Stand_ok)</formula>
    </cfRule>
  </conditionalFormatting>
  <conditionalFormatting sqref="E13">
    <cfRule type="expression" dxfId="20" priority="3">
      <formula>NOT(Stand_ok)</formula>
    </cfRule>
  </conditionalFormatting>
  <conditionalFormatting sqref="E16:E17">
    <cfRule type="expression" dxfId="19" priority="4">
      <formula>NOT(Stand_ok)</formula>
    </cfRule>
  </conditionalFormatting>
  <conditionalFormatting sqref="E19">
    <cfRule type="expression" dxfId="18" priority="6">
      <formula>NOT(Stand_ok)</formula>
    </cfRule>
  </conditionalFormatting>
  <hyperlinks>
    <hyperlink ref="B3" location="'Übersicht'!A1" display="← zur Übersicht" xr:uid="{00000000-0004-0000-0300-000000000000}"/>
  </hyperlinks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476D9"/>
    <pageSetUpPr fitToPage="1"/>
  </sheetPr>
  <dimension ref="B1:I109"/>
  <sheetViews>
    <sheetView showGridLines="0" tabSelected="1" topLeftCell="A3" workbookViewId="0">
      <selection activeCell="S5" sqref="S5"/>
    </sheetView>
  </sheetViews>
  <sheetFormatPr baseColWidth="10" defaultColWidth="9.140625" defaultRowHeight="15" x14ac:dyDescent="0.25"/>
  <cols>
    <col min="1" max="1" width="2.7109375" customWidth="1"/>
    <col min="2" max="2" width="5.7109375" customWidth="1"/>
    <col min="3" max="3" width="38.7109375" customWidth="1"/>
    <col min="4" max="4" width="30.28515625" customWidth="1"/>
    <col min="5" max="5" width="27.7109375" customWidth="1"/>
    <col min="6" max="6" width="19.28515625" customWidth="1"/>
    <col min="7" max="7" width="20.7109375" customWidth="1"/>
    <col min="8" max="31" width="9.7109375" customWidth="1"/>
  </cols>
  <sheetData>
    <row r="1" spans="2:7" ht="30" customHeight="1" x14ac:dyDescent="0.25">
      <c r="B1" s="1" t="s">
        <v>472</v>
      </c>
    </row>
    <row r="2" spans="2:7" x14ac:dyDescent="0.25">
      <c r="B2" s="2" t="s">
        <v>474</v>
      </c>
    </row>
    <row r="3" spans="2:7" x14ac:dyDescent="0.25">
      <c r="B3" s="9" t="s">
        <v>145</v>
      </c>
    </row>
    <row r="4" spans="2:7" ht="225.95" customHeight="1" x14ac:dyDescent="0.25">
      <c r="B4" s="32" t="s">
        <v>473</v>
      </c>
      <c r="C4" s="32"/>
      <c r="D4" s="32"/>
      <c r="E4" s="32"/>
      <c r="F4" s="32"/>
      <c r="G4" s="32"/>
    </row>
    <row r="6" spans="2:7" x14ac:dyDescent="0.25">
      <c r="B6" s="3" t="s">
        <v>212</v>
      </c>
    </row>
    <row r="7" spans="2:7" x14ac:dyDescent="0.25">
      <c r="B7" s="12" t="s">
        <v>213</v>
      </c>
      <c r="C7" s="12" t="s">
        <v>214</v>
      </c>
      <c r="D7" s="12" t="s">
        <v>215</v>
      </c>
      <c r="E7" s="12" t="s">
        <v>32</v>
      </c>
      <c r="F7" s="12" t="s">
        <v>33</v>
      </c>
      <c r="G7" s="12" t="s">
        <v>216</v>
      </c>
    </row>
    <row r="8" spans="2:7" x14ac:dyDescent="0.25">
      <c r="B8" s="30" t="s">
        <v>265</v>
      </c>
      <c r="C8" s="30"/>
      <c r="D8" s="30"/>
      <c r="E8" s="30"/>
      <c r="F8" s="30"/>
      <c r="G8" s="30"/>
    </row>
    <row r="9" spans="2:7" x14ac:dyDescent="0.25">
      <c r="B9" s="13">
        <v>1</v>
      </c>
      <c r="C9" s="13" t="s">
        <v>217</v>
      </c>
      <c r="D9" s="13" t="s">
        <v>266</v>
      </c>
      <c r="E9" s="6">
        <f>p_S2</f>
        <v>30.0</v>
      </c>
      <c r="F9" s="13" t="s">
        <v>40</v>
      </c>
      <c r="G9" s="13" t="s">
        <v>219</v>
      </c>
    </row>
    <row r="10" spans="2:7" x14ac:dyDescent="0.25">
      <c r="B10" s="13">
        <v>2</v>
      </c>
      <c r="C10" s="13" t="s">
        <v>220</v>
      </c>
      <c r="D10" s="13" t="s">
        <v>266</v>
      </c>
      <c r="E10" s="6">
        <f>T_S2</f>
        <v>15.0</v>
      </c>
      <c r="F10" s="13" t="s">
        <v>44</v>
      </c>
      <c r="G10" s="13" t="s">
        <v>219</v>
      </c>
    </row>
    <row r="11" spans="2:7" x14ac:dyDescent="0.25">
      <c r="B11" s="13">
        <v>3</v>
      </c>
      <c r="C11" s="13" t="s">
        <v>476</v>
      </c>
      <c r="D11" s="13" t="s">
        <v>233</v>
      </c>
      <c r="E11" s="6">
        <f>p_verfl</f>
        <v>90.0</v>
      </c>
      <c r="F11" s="13" t="s">
        <v>40</v>
      </c>
      <c r="G11" s="13" t="s">
        <v>219</v>
      </c>
    </row>
    <row r="12" spans="2:7" x14ac:dyDescent="0.25">
      <c r="B12" s="13">
        <v>4</v>
      </c>
      <c r="C12" s="13" t="s">
        <v>268</v>
      </c>
      <c r="D12" s="13" t="s">
        <v>269</v>
      </c>
      <c r="E12" s="17">
        <v>460.1284000400906</v>
      </c>
      <c r="F12" s="13" t="s">
        <v>128</v>
      </c>
      <c r="G12" s="13" t="s">
        <v>224</v>
      </c>
    </row>
    <row r="13" spans="2:7" x14ac:dyDescent="0.25">
      <c r="B13" s="13">
        <v>5</v>
      </c>
      <c r="C13" s="13" t="s">
        <v>270</v>
      </c>
      <c r="D13" s="13" t="s">
        <v>271</v>
      </c>
      <c r="E13" s="24">
        <f>eta_V1</f>
        <v>0.84</v>
      </c>
      <c r="F13" s="13" t="s">
        <v>87</v>
      </c>
      <c r="G13" s="13" t="s">
        <v>219</v>
      </c>
    </row>
    <row r="14" spans="2:7" x14ac:dyDescent="0.25">
      <c r="B14" s="13">
        <v>6</v>
      </c>
      <c r="C14" s="13" t="s">
        <v>272</v>
      </c>
      <c r="D14" s="13" t="s">
        <v>273</v>
      </c>
      <c r="E14" s="17">
        <v>516.9215185149139</v>
      </c>
      <c r="F14" s="13" t="s">
        <v>128</v>
      </c>
      <c r="G14" s="13" t="s">
        <v>224</v>
      </c>
    </row>
    <row r="15" spans="2:7" x14ac:dyDescent="0.25">
      <c r="B15" s="13">
        <v>7</v>
      </c>
      <c r="C15" s="13" t="s">
        <v>274</v>
      </c>
      <c r="D15" s="13" t="s">
        <v>275</v>
      </c>
      <c r="E15" s="24">
        <f>Szen2_h1+(Szen2_h1s-Szen2_h1)/eta_V1</f>
        <v>527.739255367261</v>
      </c>
      <c r="F15" s="13" t="s">
        <v>128</v>
      </c>
      <c r="G15" s="13" t="s">
        <v>236</v>
      </c>
    </row>
    <row r="16" spans="2:7" x14ac:dyDescent="0.25">
      <c r="B16" s="13">
        <v>8</v>
      </c>
      <c r="C16" s="13" t="s">
        <v>276</v>
      </c>
      <c r="D16" s="13" t="s">
        <v>277</v>
      </c>
      <c r="E16" s="5">
        <v>111.64303153577754</v>
      </c>
      <c r="F16" s="13" t="s">
        <v>44</v>
      </c>
      <c r="G16" s="13" t="s">
        <v>224</v>
      </c>
    </row>
    <row r="17" spans="2:9" x14ac:dyDescent="0.25">
      <c r="B17" s="13">
        <v>9</v>
      </c>
      <c r="C17" s="13" t="s">
        <v>278</v>
      </c>
      <c r="D17" s="13" t="s">
        <v>279</v>
      </c>
      <c r="E17" s="19" t="str">
        <f>IF(Szen2_T1a&lt;=T_maxV,"✔ eingehalten – eine Stufe reicht","⚠ überschritten – weitere Stufe nötig")</f>
        <v>⚠ überschritten – weitere Stufe nötig</v>
      </c>
      <c r="F17" s="13" t="s">
        <v>87</v>
      </c>
      <c r="G17" s="13" t="s">
        <v>236</v>
      </c>
    </row>
    <row r="18" spans="2:9" x14ac:dyDescent="0.25">
      <c r="B18" s="13">
        <v>10</v>
      </c>
      <c r="C18" s="13" t="s">
        <v>280</v>
      </c>
      <c r="D18" s="13" t="s">
        <v>281</v>
      </c>
      <c r="E18" s="21">
        <f>Szen2_h1a-Szen2_h1</f>
        <v>67.6108553271706</v>
      </c>
      <c r="F18" s="13" t="s">
        <v>128</v>
      </c>
      <c r="G18" s="13" t="s">
        <v>244</v>
      </c>
    </row>
    <row r="19" spans="2:9" x14ac:dyDescent="0.25">
      <c r="B19" s="30" t="s">
        <v>475</v>
      </c>
      <c r="C19" s="30"/>
      <c r="D19" s="30"/>
      <c r="E19" s="30"/>
      <c r="F19" s="30"/>
      <c r="G19" s="30"/>
    </row>
    <row r="20" spans="2:9" x14ac:dyDescent="0.25">
      <c r="B20" s="13">
        <v>11</v>
      </c>
      <c r="C20" s="13" t="s">
        <v>477</v>
      </c>
      <c r="D20" s="13" t="s">
        <v>478</v>
      </c>
      <c r="E20" s="5">
        <v>82.17759431791859</v>
      </c>
      <c r="F20" s="13" t="s">
        <v>40</v>
      </c>
      <c r="G20" s="13" t="s">
        <v>224</v>
      </c>
    </row>
    <row r="21" spans="2:9" x14ac:dyDescent="0.25">
      <c r="B21" s="13">
        <v>12</v>
      </c>
      <c r="C21" s="13" t="s">
        <v>479</v>
      </c>
      <c r="D21" s="13" t="s">
        <v>480</v>
      </c>
      <c r="E21" s="6">
        <f>p_verfl-Szen2_psatK</f>
        <v>7.82240568208141</v>
      </c>
      <c r="F21" s="13" t="s">
        <v>40</v>
      </c>
      <c r="G21" s="13" t="s">
        <v>236</v>
      </c>
    </row>
    <row r="22" spans="2:9" x14ac:dyDescent="0.25">
      <c r="B22" s="13">
        <v>13</v>
      </c>
      <c r="C22" s="13" t="s">
        <v>481</v>
      </c>
      <c r="D22" s="13" t="s">
        <v>482</v>
      </c>
      <c r="E22" s="5">
        <v>76.65085109900227</v>
      </c>
      <c r="F22" s="13" t="s">
        <v>44</v>
      </c>
      <c r="G22" s="13" t="s">
        <v>224</v>
      </c>
    </row>
    <row r="23" spans="2:9" x14ac:dyDescent="0.25">
      <c r="B23" s="13">
        <v>14</v>
      </c>
      <c r="C23" s="13" t="s">
        <v>483</v>
      </c>
      <c r="D23" s="13" t="s">
        <v>290</v>
      </c>
      <c r="E23" s="17">
        <v>263.1108198972053</v>
      </c>
      <c r="F23" s="13" t="s">
        <v>128</v>
      </c>
      <c r="G23" s="13" t="s">
        <v>224</v>
      </c>
    </row>
    <row r="24" spans="2:9" x14ac:dyDescent="0.25">
      <c r="B24" s="13">
        <v>15</v>
      </c>
      <c r="C24" s="13" t="s">
        <v>484</v>
      </c>
      <c r="D24" s="13" t="s">
        <v>292</v>
      </c>
      <c r="E24" s="27" t="s">
        <v>485</v>
      </c>
      <c r="F24" s="13" t="s">
        <v>87</v>
      </c>
      <c r="G24" s="13" t="s">
        <v>224</v>
      </c>
      <c r="I24" s="25" t="s">
        <v>487</v>
      </c>
    </row>
    <row r="25" spans="2:9" x14ac:dyDescent="0.25">
      <c r="B25" s="13">
        <v>16</v>
      </c>
      <c r="C25" s="13" t="s">
        <v>294</v>
      </c>
      <c r="D25" s="13" t="s">
        <v>295</v>
      </c>
      <c r="E25" s="24">
        <f>Szen2_h1a-Szen2_hV</f>
        <v>264.628435470056</v>
      </c>
      <c r="F25" s="13" t="s">
        <v>128</v>
      </c>
      <c r="G25" s="13" t="s">
        <v>236</v>
      </c>
    </row>
    <row r="26" spans="2:9" x14ac:dyDescent="0.25">
      <c r="B26" s="30" t="s">
        <v>296</v>
      </c>
      <c r="C26" s="30"/>
      <c r="D26" s="30"/>
      <c r="E26" s="30"/>
      <c r="F26" s="30"/>
      <c r="G26" s="30"/>
    </row>
    <row r="27" spans="2:9" x14ac:dyDescent="0.25">
      <c r="B27" s="13">
        <v>17</v>
      </c>
      <c r="C27" s="13" t="s">
        <v>297</v>
      </c>
      <c r="D27" s="13" t="s">
        <v>233</v>
      </c>
      <c r="E27" s="24">
        <f>eta</f>
        <v>0.8</v>
      </c>
      <c r="F27" s="13" t="s">
        <v>87</v>
      </c>
      <c r="G27" s="13" t="s">
        <v>219</v>
      </c>
    </row>
    <row r="28" spans="2:9" x14ac:dyDescent="0.25">
      <c r="B28" s="13">
        <v>18</v>
      </c>
      <c r="C28" s="13" t="s">
        <v>298</v>
      </c>
      <c r="D28" s="13" t="s">
        <v>299</v>
      </c>
      <c r="E28" s="17">
        <v>266.42357229030523</v>
      </c>
      <c r="F28" s="13" t="s">
        <v>128</v>
      </c>
      <c r="G28" s="13" t="s">
        <v>224</v>
      </c>
    </row>
    <row r="29" spans="2:9" x14ac:dyDescent="0.25">
      <c r="B29" s="13">
        <v>19</v>
      </c>
      <c r="C29" s="13" t="s">
        <v>274</v>
      </c>
      <c r="D29" s="13" t="s">
        <v>300</v>
      </c>
      <c r="E29" s="24">
        <f>Szen2_hV+(Szen2_hPs-Szen2_hV)/eta</f>
        <v>267.25176038858</v>
      </c>
      <c r="F29" s="13" t="s">
        <v>128</v>
      </c>
      <c r="G29" s="13" t="s">
        <v>236</v>
      </c>
    </row>
    <row r="30" spans="2:9" x14ac:dyDescent="0.25">
      <c r="B30" s="13">
        <v>20</v>
      </c>
      <c r="C30" s="13" t="s">
        <v>276</v>
      </c>
      <c r="D30" s="13" t="s">
        <v>301</v>
      </c>
      <c r="E30" s="17">
        <v>24.35642319690257</v>
      </c>
      <c r="F30" s="13" t="s">
        <v>44</v>
      </c>
      <c r="G30" s="13" t="s">
        <v>224</v>
      </c>
    </row>
    <row r="31" spans="2:9" x14ac:dyDescent="0.25">
      <c r="B31" s="13">
        <v>21</v>
      </c>
      <c r="C31" s="13" t="s">
        <v>302</v>
      </c>
      <c r="D31" s="13" t="s">
        <v>303</v>
      </c>
      <c r="E31" s="21">
        <f>Szen2_hPa-Szen2_hV</f>
        <v>4.14094049137492</v>
      </c>
      <c r="F31" s="13" t="s">
        <v>128</v>
      </c>
      <c r="G31" s="13" t="s">
        <v>244</v>
      </c>
    </row>
    <row r="32" spans="2:9" x14ac:dyDescent="0.25">
      <c r="B32" s="30" t="s">
        <v>304</v>
      </c>
      <c r="C32" s="30"/>
      <c r="D32" s="30"/>
      <c r="E32" s="30"/>
      <c r="F32" s="30"/>
      <c r="G32" s="30"/>
    </row>
    <row r="33" spans="2:7" x14ac:dyDescent="0.25">
      <c r="B33" s="13">
        <v>22</v>
      </c>
      <c r="C33" s="13" t="s">
        <v>305</v>
      </c>
      <c r="D33" s="13" t="s">
        <v>306</v>
      </c>
      <c r="E33" s="21">
        <f>Szen2_w1+Szen2_wP</f>
        <v>71.7517958185455</v>
      </c>
      <c r="F33" s="13" t="s">
        <v>128</v>
      </c>
      <c r="G33" s="13" t="s">
        <v>244</v>
      </c>
    </row>
    <row r="34" spans="2:7" x14ac:dyDescent="0.25">
      <c r="B34" s="13">
        <v>23</v>
      </c>
      <c r="C34" s="13" t="s">
        <v>307</v>
      </c>
      <c r="D34" s="13" t="s">
        <v>308</v>
      </c>
      <c r="E34" s="22">
        <f>Szen1_mmin*Szen2_w_ges</f>
        <v>1927.61697582543</v>
      </c>
      <c r="F34" s="13" t="s">
        <v>131</v>
      </c>
      <c r="G34" s="13" t="s">
        <v>244</v>
      </c>
    </row>
    <row r="35" spans="2:7" x14ac:dyDescent="0.25">
      <c r="B35" s="13">
        <v>24</v>
      </c>
      <c r="C35" s="13" t="s">
        <v>309</v>
      </c>
      <c r="D35" s="13" t="s">
        <v>310</v>
      </c>
      <c r="E35" s="22">
        <f>Szen1_mmax*Szen2_w_ges</f>
        <v>3855.23395165087</v>
      </c>
      <c r="F35" s="13" t="s">
        <v>131</v>
      </c>
      <c r="G35" s="13" t="s">
        <v>244</v>
      </c>
    </row>
    <row r="36" spans="2:7" x14ac:dyDescent="0.25">
      <c r="B36" s="13">
        <v>25</v>
      </c>
      <c r="C36" s="13" t="s">
        <v>486</v>
      </c>
      <c r="D36" s="13" t="s">
        <v>312</v>
      </c>
      <c r="E36" s="22">
        <f>Szen1_mmax*Szen2_qV</f>
        <v>14218.5225799285</v>
      </c>
      <c r="F36" s="13" t="s">
        <v>131</v>
      </c>
      <c r="G36" s="13" t="s">
        <v>244</v>
      </c>
    </row>
    <row r="37" spans="2:7" x14ac:dyDescent="0.25">
      <c r="B37" s="25" t="s">
        <v>313</v>
      </c>
    </row>
    <row r="39" spans="2:7" ht="15.75" x14ac:dyDescent="0.25">
      <c r="B39" s="31" t="s">
        <v>489</v>
      </c>
      <c r="C39" s="31"/>
      <c r="D39" s="31"/>
      <c r="E39" s="31"/>
      <c r="F39" s="31"/>
      <c r="G39" s="31"/>
    </row>
    <row r="40" spans="2:7" ht="36.950000000000003" customHeight="1" x14ac:dyDescent="0.25">
      <c r="B40" s="32" t="s">
        <v>488</v>
      </c>
      <c r="C40" s="32"/>
      <c r="D40" s="32"/>
      <c r="E40" s="32"/>
      <c r="F40" s="32"/>
      <c r="G40" s="32"/>
    </row>
    <row r="41" spans="2:7" x14ac:dyDescent="0.25">
      <c r="B41" s="12" t="s">
        <v>213</v>
      </c>
      <c r="C41" s="12" t="s">
        <v>214</v>
      </c>
      <c r="D41" s="12" t="s">
        <v>215</v>
      </c>
      <c r="E41" s="12" t="s">
        <v>32</v>
      </c>
      <c r="F41" s="12" t="s">
        <v>33</v>
      </c>
      <c r="G41" s="12" t="s">
        <v>216</v>
      </c>
    </row>
    <row r="42" spans="2:7" x14ac:dyDescent="0.25">
      <c r="B42" s="30" t="s">
        <v>316</v>
      </c>
      <c r="C42" s="30"/>
      <c r="D42" s="30"/>
      <c r="E42" s="30"/>
      <c r="F42" s="30"/>
      <c r="G42" s="30"/>
    </row>
    <row r="43" spans="2:7" x14ac:dyDescent="0.25">
      <c r="B43" s="13">
        <v>1</v>
      </c>
      <c r="C43" s="13" t="s">
        <v>317</v>
      </c>
      <c r="D43" s="13" t="s">
        <v>318</v>
      </c>
      <c r="E43" s="6">
        <f>SQRT(p_S2*p_verfl)</f>
        <v>51.9615242270663</v>
      </c>
      <c r="F43" s="13" t="s">
        <v>40</v>
      </c>
      <c r="G43" s="13" t="s">
        <v>236</v>
      </c>
    </row>
    <row r="44" spans="2:7" x14ac:dyDescent="0.25">
      <c r="B44" s="13">
        <v>2</v>
      </c>
      <c r="C44" s="13" t="s">
        <v>268</v>
      </c>
      <c r="D44" s="13" t="s">
        <v>319</v>
      </c>
      <c r="E44" s="24">
        <f>Szen2_h1</f>
        <v>460.128400040091</v>
      </c>
      <c r="F44" s="13" t="s">
        <v>128</v>
      </c>
      <c r="G44" s="13" t="s">
        <v>219</v>
      </c>
    </row>
    <row r="45" spans="2:7" x14ac:dyDescent="0.25">
      <c r="B45" s="13">
        <v>3</v>
      </c>
      <c r="C45" s="13" t="s">
        <v>320</v>
      </c>
      <c r="D45" s="13" t="s">
        <v>321</v>
      </c>
      <c r="E45" s="17">
        <v>486.7613752582456</v>
      </c>
      <c r="F45" s="13" t="s">
        <v>128</v>
      </c>
      <c r="G45" s="13" t="s">
        <v>224</v>
      </c>
    </row>
    <row r="46" spans="2:7" x14ac:dyDescent="0.25">
      <c r="B46" s="13">
        <v>4</v>
      </c>
      <c r="C46" s="13" t="s">
        <v>274</v>
      </c>
      <c r="D46" s="13" t="s">
        <v>275</v>
      </c>
      <c r="E46" s="24">
        <f>Szen2_h1+(Szen2v_h1s-Szen2_h1)/eta_V1</f>
        <v>491.834322918847</v>
      </c>
      <c r="F46" s="13" t="s">
        <v>128</v>
      </c>
      <c r="G46" s="13" t="s">
        <v>236</v>
      </c>
    </row>
    <row r="47" spans="2:7" x14ac:dyDescent="0.25">
      <c r="B47" s="13">
        <v>5</v>
      </c>
      <c r="C47" s="13" t="s">
        <v>276</v>
      </c>
      <c r="D47" s="13" t="s">
        <v>322</v>
      </c>
      <c r="E47" s="5">
        <v>60.87327000646022</v>
      </c>
      <c r="F47" s="13" t="s">
        <v>44</v>
      </c>
      <c r="G47" s="13" t="s">
        <v>224</v>
      </c>
    </row>
    <row r="48" spans="2:7" x14ac:dyDescent="0.25">
      <c r="B48" s="13">
        <v>6</v>
      </c>
      <c r="C48" s="13" t="s">
        <v>323</v>
      </c>
      <c r="D48" s="13" t="s">
        <v>324</v>
      </c>
      <c r="E48" s="21">
        <f>Szen2v_h1a-Szen2_h1</f>
        <v>31.705922878756</v>
      </c>
      <c r="F48" s="13" t="s">
        <v>128</v>
      </c>
      <c r="G48" s="13" t="s">
        <v>244</v>
      </c>
    </row>
    <row r="49" spans="2:7" x14ac:dyDescent="0.25">
      <c r="B49" s="30" t="s">
        <v>325</v>
      </c>
      <c r="C49" s="30"/>
      <c r="D49" s="30"/>
      <c r="E49" s="30"/>
      <c r="F49" s="30"/>
      <c r="G49" s="30"/>
    </row>
    <row r="50" spans="2:7" x14ac:dyDescent="0.25">
      <c r="B50" s="13">
        <v>7</v>
      </c>
      <c r="C50" s="13" t="s">
        <v>326</v>
      </c>
      <c r="D50" s="13" t="s">
        <v>327</v>
      </c>
      <c r="E50" s="17">
        <v>430.8017410524622</v>
      </c>
      <c r="F50" s="13" t="s">
        <v>128</v>
      </c>
      <c r="G50" s="13" t="s">
        <v>224</v>
      </c>
    </row>
    <row r="51" spans="2:7" x14ac:dyDescent="0.25">
      <c r="B51" s="13">
        <v>8</v>
      </c>
      <c r="C51" s="13" t="s">
        <v>294</v>
      </c>
      <c r="D51" s="13" t="s">
        <v>295</v>
      </c>
      <c r="E51" s="24">
        <f>Szen2v_h1a-Szen2v_hZK</f>
        <v>61.0325818663844</v>
      </c>
      <c r="F51" s="13" t="s">
        <v>128</v>
      </c>
      <c r="G51" s="13" t="s">
        <v>236</v>
      </c>
    </row>
    <row r="52" spans="2:7" x14ac:dyDescent="0.25">
      <c r="B52" s="30" t="s">
        <v>328</v>
      </c>
      <c r="C52" s="30"/>
      <c r="D52" s="30"/>
      <c r="E52" s="30"/>
      <c r="F52" s="30"/>
      <c r="G52" s="30"/>
    </row>
    <row r="53" spans="2:7" x14ac:dyDescent="0.25">
      <c r="B53" s="13">
        <v>9</v>
      </c>
      <c r="C53" s="13" t="s">
        <v>329</v>
      </c>
      <c r="D53" s="13" t="s">
        <v>271</v>
      </c>
      <c r="E53" s="24">
        <f>eta_V2</f>
        <v>0.82</v>
      </c>
      <c r="F53" s="13" t="s">
        <v>87</v>
      </c>
      <c r="G53" s="13" t="s">
        <v>219</v>
      </c>
    </row>
    <row r="54" spans="2:7" x14ac:dyDescent="0.25">
      <c r="B54" s="13">
        <v>10</v>
      </c>
      <c r="C54" s="13" t="s">
        <v>272</v>
      </c>
      <c r="D54" s="13" t="s">
        <v>330</v>
      </c>
      <c r="E54" s="17">
        <v>452.8792553404791</v>
      </c>
      <c r="F54" s="13" t="s">
        <v>128</v>
      </c>
      <c r="G54" s="13" t="s">
        <v>224</v>
      </c>
    </row>
    <row r="55" spans="2:7" x14ac:dyDescent="0.25">
      <c r="B55" s="13">
        <v>11</v>
      </c>
      <c r="C55" s="13" t="s">
        <v>274</v>
      </c>
      <c r="D55" s="13" t="s">
        <v>331</v>
      </c>
      <c r="E55" s="24">
        <f>Szen2v_hZK+(Szen2v_h2s-Szen2v_hZK)/eta_V2</f>
        <v>457.725538964678</v>
      </c>
      <c r="F55" s="13" t="s">
        <v>128</v>
      </c>
      <c r="G55" s="13" t="s">
        <v>236</v>
      </c>
    </row>
    <row r="56" spans="2:7" x14ac:dyDescent="0.25">
      <c r="B56" s="13">
        <v>12</v>
      </c>
      <c r="C56" s="13" t="s">
        <v>276</v>
      </c>
      <c r="D56" s="13" t="s">
        <v>277</v>
      </c>
      <c r="E56" s="5">
        <v>65.20295326498872</v>
      </c>
      <c r="F56" s="13" t="s">
        <v>44</v>
      </c>
      <c r="G56" s="13" t="s">
        <v>224</v>
      </c>
    </row>
    <row r="57" spans="2:7" x14ac:dyDescent="0.25">
      <c r="B57" s="13">
        <v>13</v>
      </c>
      <c r="C57" s="13" t="s">
        <v>332</v>
      </c>
      <c r="D57" s="13" t="s">
        <v>333</v>
      </c>
      <c r="E57" s="21">
        <f>Szen2v_h2a-Szen2v_hZK</f>
        <v>26.9237979122158</v>
      </c>
      <c r="F57" s="13" t="s">
        <v>128</v>
      </c>
      <c r="G57" s="13" t="s">
        <v>244</v>
      </c>
    </row>
    <row r="58" spans="2:7" x14ac:dyDescent="0.25">
      <c r="B58" s="30" t="s">
        <v>490</v>
      </c>
      <c r="C58" s="30"/>
      <c r="D58" s="30"/>
      <c r="E58" s="30"/>
      <c r="F58" s="30"/>
      <c r="G58" s="30"/>
    </row>
    <row r="59" spans="2:7" x14ac:dyDescent="0.25">
      <c r="B59" s="13">
        <v>14</v>
      </c>
      <c r="C59" s="13" t="s">
        <v>491</v>
      </c>
      <c r="D59" s="13" t="s">
        <v>295</v>
      </c>
      <c r="E59" s="24">
        <f>Szen2v_h2a-Szen2_hV</f>
        <v>194.614719067473</v>
      </c>
      <c r="F59" s="13" t="s">
        <v>128</v>
      </c>
      <c r="G59" s="13" t="s">
        <v>236</v>
      </c>
    </row>
    <row r="60" spans="2:7" x14ac:dyDescent="0.25">
      <c r="B60" s="13">
        <v>15</v>
      </c>
      <c r="C60" s="13" t="s">
        <v>302</v>
      </c>
      <c r="D60" s="13" t="s">
        <v>319</v>
      </c>
      <c r="E60" s="24">
        <f>Szen2_wP</f>
        <v>4.14094049137492</v>
      </c>
      <c r="F60" s="13" t="s">
        <v>128</v>
      </c>
      <c r="G60" s="13" t="s">
        <v>219</v>
      </c>
    </row>
    <row r="61" spans="2:7" x14ac:dyDescent="0.25">
      <c r="B61" s="30" t="s">
        <v>336</v>
      </c>
      <c r="C61" s="30"/>
      <c r="D61" s="30"/>
      <c r="E61" s="30"/>
      <c r="F61" s="30"/>
      <c r="G61" s="30"/>
    </row>
    <row r="62" spans="2:7" x14ac:dyDescent="0.25">
      <c r="B62" s="13">
        <v>16</v>
      </c>
      <c r="C62" s="13" t="s">
        <v>305</v>
      </c>
      <c r="D62" s="13" t="s">
        <v>337</v>
      </c>
      <c r="E62" s="21">
        <f>Szen2v_w1+Szen2v_w2+Szen2_wP</f>
        <v>62.7706612823467</v>
      </c>
      <c r="F62" s="13" t="s">
        <v>128</v>
      </c>
      <c r="G62" s="13" t="s">
        <v>244</v>
      </c>
    </row>
    <row r="63" spans="2:7" x14ac:dyDescent="0.25">
      <c r="B63" s="13">
        <v>17</v>
      </c>
      <c r="C63" s="13" t="s">
        <v>309</v>
      </c>
      <c r="D63" s="13" t="s">
        <v>310</v>
      </c>
      <c r="E63" s="22">
        <f>Szen1_mmax*Szen2v_w_ges</f>
        <v>3372.6763460425</v>
      </c>
      <c r="F63" s="13" t="s">
        <v>131</v>
      </c>
      <c r="G63" s="13" t="s">
        <v>244</v>
      </c>
    </row>
    <row r="64" spans="2:7" x14ac:dyDescent="0.25">
      <c r="B64" s="13">
        <v>18</v>
      </c>
      <c r="C64" s="13" t="s">
        <v>338</v>
      </c>
      <c r="D64" s="13" t="s">
        <v>339</v>
      </c>
      <c r="E64" s="28">
        <f>1-Szen2v_w_ges/Szen2_w_ges</f>
        <v>0.125169473930819</v>
      </c>
      <c r="F64" s="13" t="s">
        <v>87</v>
      </c>
      <c r="G64" s="13" t="s">
        <v>244</v>
      </c>
    </row>
    <row r="67" spans="2:7" ht="15.75" x14ac:dyDescent="0.25">
      <c r="B67" s="31" t="s">
        <v>340</v>
      </c>
      <c r="C67" s="31"/>
      <c r="D67" s="31"/>
      <c r="E67" s="31"/>
      <c r="F67" s="31"/>
      <c r="G67" s="31"/>
    </row>
    <row r="68" spans="2:7" ht="63.95" customHeight="1" x14ac:dyDescent="0.25">
      <c r="B68" s="32" t="s">
        <v>492</v>
      </c>
      <c r="C68" s="32"/>
      <c r="D68" s="32"/>
      <c r="E68" s="32"/>
      <c r="F68" s="32"/>
      <c r="G68" s="32"/>
    </row>
    <row r="69" spans="2:7" x14ac:dyDescent="0.25">
      <c r="B69" s="12" t="s">
        <v>213</v>
      </c>
      <c r="C69" s="12" t="s">
        <v>214</v>
      </c>
      <c r="D69" s="12" t="s">
        <v>215</v>
      </c>
      <c r="E69" s="12" t="s">
        <v>32</v>
      </c>
      <c r="F69" s="12" t="s">
        <v>33</v>
      </c>
      <c r="G69" s="12" t="s">
        <v>216</v>
      </c>
    </row>
    <row r="70" spans="2:7" x14ac:dyDescent="0.25">
      <c r="B70" s="30" t="s">
        <v>316</v>
      </c>
      <c r="C70" s="30"/>
      <c r="D70" s="30"/>
      <c r="E70" s="30"/>
      <c r="F70" s="30"/>
      <c r="G70" s="30"/>
    </row>
    <row r="71" spans="2:7" x14ac:dyDescent="0.25">
      <c r="B71" s="13">
        <v>1</v>
      </c>
      <c r="C71" s="13" t="s">
        <v>217</v>
      </c>
      <c r="D71" s="13" t="s">
        <v>266</v>
      </c>
      <c r="E71" s="6">
        <f>p_S2</f>
        <v>30.0</v>
      </c>
      <c r="F71" s="13" t="s">
        <v>40</v>
      </c>
      <c r="G71" s="13" t="s">
        <v>219</v>
      </c>
    </row>
    <row r="72" spans="2:7" x14ac:dyDescent="0.25">
      <c r="B72" s="13">
        <v>2</v>
      </c>
      <c r="C72" s="13" t="s">
        <v>317</v>
      </c>
      <c r="D72" s="13" t="s">
        <v>233</v>
      </c>
      <c r="E72" s="6">
        <f>p_zw</f>
        <v>50.0</v>
      </c>
      <c r="F72" s="13" t="s">
        <v>40</v>
      </c>
      <c r="G72" s="13" t="s">
        <v>219</v>
      </c>
    </row>
    <row r="73" spans="2:7" x14ac:dyDescent="0.25">
      <c r="B73" s="13">
        <v>3</v>
      </c>
      <c r="C73" s="13" t="s">
        <v>268</v>
      </c>
      <c r="D73" s="13" t="s">
        <v>342</v>
      </c>
      <c r="E73" s="24">
        <f>Szen2_h1</f>
        <v>460.128400040091</v>
      </c>
      <c r="F73" s="13" t="s">
        <v>128</v>
      </c>
      <c r="G73" s="13" t="s">
        <v>219</v>
      </c>
    </row>
    <row r="74" spans="2:7" x14ac:dyDescent="0.25">
      <c r="B74" s="13">
        <v>4</v>
      </c>
      <c r="C74" s="13" t="s">
        <v>270</v>
      </c>
      <c r="D74" s="13" t="s">
        <v>271</v>
      </c>
      <c r="E74" s="24">
        <f>eta_V1</f>
        <v>0.84</v>
      </c>
      <c r="F74" s="13" t="s">
        <v>87</v>
      </c>
      <c r="G74" s="13" t="s">
        <v>219</v>
      </c>
    </row>
    <row r="75" spans="2:7" x14ac:dyDescent="0.25">
      <c r="B75" s="13">
        <v>5</v>
      </c>
      <c r="C75" s="13" t="s">
        <v>320</v>
      </c>
      <c r="D75" s="13" t="s">
        <v>321</v>
      </c>
      <c r="E75" s="17">
        <v>484.7884337630884</v>
      </c>
      <c r="F75" s="13" t="s">
        <v>128</v>
      </c>
      <c r="G75" s="13" t="s">
        <v>224</v>
      </c>
    </row>
    <row r="76" spans="2:7" x14ac:dyDescent="0.25">
      <c r="B76" s="13">
        <v>6</v>
      </c>
      <c r="C76" s="13" t="s">
        <v>274</v>
      </c>
      <c r="D76" s="13" t="s">
        <v>275</v>
      </c>
      <c r="E76" s="24">
        <f>Szen2_h1+(Dv_h1s-Szen2_h1)/eta_V1</f>
        <v>489.485583043659</v>
      </c>
      <c r="F76" s="13" t="s">
        <v>128</v>
      </c>
      <c r="G76" s="13" t="s">
        <v>236</v>
      </c>
    </row>
    <row r="77" spans="2:7" x14ac:dyDescent="0.25">
      <c r="B77" s="13">
        <v>7</v>
      </c>
      <c r="C77" s="13" t="s">
        <v>276</v>
      </c>
      <c r="D77" s="13" t="s">
        <v>322</v>
      </c>
      <c r="E77" s="5">
        <v>57.49998447867844</v>
      </c>
      <c r="F77" s="13" t="s">
        <v>44</v>
      </c>
      <c r="G77" s="13" t="s">
        <v>224</v>
      </c>
    </row>
    <row r="78" spans="2:7" x14ac:dyDescent="0.25">
      <c r="B78" s="13">
        <v>8</v>
      </c>
      <c r="C78" s="13" t="s">
        <v>323</v>
      </c>
      <c r="D78" s="13" t="s">
        <v>324</v>
      </c>
      <c r="E78" s="21">
        <f>Dv_h1a-Szen2_h1</f>
        <v>29.3571830035688</v>
      </c>
      <c r="F78" s="13" t="s">
        <v>128</v>
      </c>
      <c r="G78" s="13" t="s">
        <v>244</v>
      </c>
    </row>
    <row r="79" spans="2:7" x14ac:dyDescent="0.25">
      <c r="B79" s="30" t="s">
        <v>325</v>
      </c>
      <c r="C79" s="30"/>
      <c r="D79" s="30"/>
      <c r="E79" s="30"/>
      <c r="F79" s="30"/>
      <c r="G79" s="30"/>
    </row>
    <row r="80" spans="2:7" x14ac:dyDescent="0.25">
      <c r="B80" s="13">
        <v>9</v>
      </c>
      <c r="C80" s="13" t="s">
        <v>343</v>
      </c>
      <c r="D80" s="13" t="s">
        <v>493</v>
      </c>
      <c r="E80" s="19" t="str">
        <f>IF(p_zw&lt;=p_tau_TK-U_PG,"✔ gasförmig (≥ 3 bar unter der Taulinie)","⚠ zu nah an der Taulinie – Zwischendruck senken")</f>
        <v>✔ gasförmig (≥ 3 bar unter der Taulinie)</v>
      </c>
      <c r="F80" s="13" t="s">
        <v>87</v>
      </c>
      <c r="G80" s="13" t="s">
        <v>236</v>
      </c>
    </row>
    <row r="81" spans="2:7" x14ac:dyDescent="0.25">
      <c r="B81" s="13">
        <v>10</v>
      </c>
      <c r="C81" s="13" t="s">
        <v>326</v>
      </c>
      <c r="D81" s="13" t="s">
        <v>327</v>
      </c>
      <c r="E81" s="17">
        <v>434.81472759068254</v>
      </c>
      <c r="F81" s="13" t="s">
        <v>128</v>
      </c>
      <c r="G81" s="13" t="s">
        <v>224</v>
      </c>
    </row>
    <row r="82" spans="2:7" x14ac:dyDescent="0.25">
      <c r="B82" s="13">
        <v>11</v>
      </c>
      <c r="C82" s="13" t="s">
        <v>294</v>
      </c>
      <c r="D82" s="13" t="s">
        <v>295</v>
      </c>
      <c r="E82" s="24">
        <f>Dv_h1a-Dv_hZK1</f>
        <v>54.6708554529769</v>
      </c>
      <c r="F82" s="13" t="s">
        <v>128</v>
      </c>
      <c r="G82" s="13" t="s">
        <v>236</v>
      </c>
    </row>
    <row r="83" spans="2:7" x14ac:dyDescent="0.25">
      <c r="B83" s="30" t="s">
        <v>328</v>
      </c>
      <c r="C83" s="30"/>
      <c r="D83" s="30"/>
      <c r="E83" s="30"/>
      <c r="F83" s="30"/>
      <c r="G83" s="30"/>
    </row>
    <row r="84" spans="2:7" x14ac:dyDescent="0.25">
      <c r="B84" s="13">
        <v>12</v>
      </c>
      <c r="C84" s="13" t="s">
        <v>345</v>
      </c>
      <c r="D84" s="13" t="s">
        <v>229</v>
      </c>
      <c r="E84" s="6">
        <f>Kopf_voll</f>
        <v>114.931301982089</v>
      </c>
      <c r="F84" s="13" t="s">
        <v>40</v>
      </c>
      <c r="G84" s="13" t="s">
        <v>219</v>
      </c>
    </row>
    <row r="85" spans="2:7" x14ac:dyDescent="0.25">
      <c r="B85" s="13">
        <v>13</v>
      </c>
      <c r="C85" s="13" t="s">
        <v>329</v>
      </c>
      <c r="D85" s="13" t="s">
        <v>271</v>
      </c>
      <c r="E85" s="24">
        <f>eta_V2</f>
        <v>0.82</v>
      </c>
      <c r="F85" s="13" t="s">
        <v>87</v>
      </c>
      <c r="G85" s="13" t="s">
        <v>219</v>
      </c>
    </row>
    <row r="86" spans="2:7" x14ac:dyDescent="0.25">
      <c r="B86" s="13">
        <v>14</v>
      </c>
      <c r="C86" s="13" t="s">
        <v>320</v>
      </c>
      <c r="D86" s="13" t="s">
        <v>346</v>
      </c>
      <c r="E86" s="17">
        <v>470.5187095265019</v>
      </c>
      <c r="F86" s="13" t="s">
        <v>128</v>
      </c>
      <c r="G86" s="13" t="s">
        <v>224</v>
      </c>
    </row>
    <row r="87" spans="2:7" x14ac:dyDescent="0.25">
      <c r="B87" s="13">
        <v>15</v>
      </c>
      <c r="C87" s="13" t="s">
        <v>274</v>
      </c>
      <c r="D87" s="13" t="s">
        <v>331</v>
      </c>
      <c r="E87" s="24">
        <f>Dv_hZK1+(Dv_h2s-Dv_hZK1)/eta_V2</f>
        <v>478.356168975828</v>
      </c>
      <c r="F87" s="13" t="s">
        <v>128</v>
      </c>
      <c r="G87" s="13" t="s">
        <v>236</v>
      </c>
    </row>
    <row r="88" spans="2:7" x14ac:dyDescent="0.25">
      <c r="B88" s="13">
        <v>16</v>
      </c>
      <c r="C88" s="13" t="s">
        <v>276</v>
      </c>
      <c r="D88" s="13" t="s">
        <v>301</v>
      </c>
      <c r="E88" s="5">
        <v>90.81008584982852</v>
      </c>
      <c r="F88" s="13" t="s">
        <v>44</v>
      </c>
      <c r="G88" s="13" t="s">
        <v>224</v>
      </c>
    </row>
    <row r="89" spans="2:7" x14ac:dyDescent="0.25">
      <c r="B89" s="13">
        <v>17</v>
      </c>
      <c r="C89" s="13" t="s">
        <v>278</v>
      </c>
      <c r="D89" s="13" t="s">
        <v>279</v>
      </c>
      <c r="E89" s="19" t="str">
        <f>IF(Dv_T2a&lt;=T_maxV,"✔ eingehalten","⚠ überschritten – Zwischendruck erhöhen")</f>
        <v>✔ eingehalten</v>
      </c>
      <c r="F89" s="13" t="s">
        <v>87</v>
      </c>
      <c r="G89" s="13" t="s">
        <v>236</v>
      </c>
    </row>
    <row r="90" spans="2:7" x14ac:dyDescent="0.25">
      <c r="B90" s="13">
        <v>18</v>
      </c>
      <c r="C90" s="13" t="s">
        <v>332</v>
      </c>
      <c r="D90" s="13" t="s">
        <v>333</v>
      </c>
      <c r="E90" s="21">
        <f>Dv_h2a-Dv_hZK1</f>
        <v>43.5414413851456</v>
      </c>
      <c r="F90" s="13" t="s">
        <v>128</v>
      </c>
      <c r="G90" s="13" t="s">
        <v>244</v>
      </c>
    </row>
    <row r="91" spans="2:7" x14ac:dyDescent="0.25">
      <c r="B91" s="30" t="s">
        <v>347</v>
      </c>
      <c r="C91" s="30"/>
      <c r="D91" s="30"/>
      <c r="E91" s="30"/>
      <c r="F91" s="30"/>
      <c r="G91" s="30"/>
    </row>
    <row r="92" spans="2:7" x14ac:dyDescent="0.25">
      <c r="B92" s="13">
        <v>19</v>
      </c>
      <c r="C92" s="13" t="s">
        <v>348</v>
      </c>
      <c r="D92" s="13" t="s">
        <v>349</v>
      </c>
      <c r="E92" s="24">
        <f>Szen2_TPa</f>
        <v>24.3564231969026</v>
      </c>
      <c r="F92" s="13" t="s">
        <v>44</v>
      </c>
      <c r="G92" s="13" t="s">
        <v>219</v>
      </c>
    </row>
    <row r="93" spans="2:7" x14ac:dyDescent="0.25">
      <c r="B93" s="13">
        <v>20</v>
      </c>
      <c r="C93" s="13" t="s">
        <v>350</v>
      </c>
      <c r="D93" s="13" t="s">
        <v>351</v>
      </c>
      <c r="E93" s="17">
        <v>267.2517603885796</v>
      </c>
      <c r="F93" s="13" t="s">
        <v>128</v>
      </c>
      <c r="G93" s="13" t="s">
        <v>224</v>
      </c>
    </row>
    <row r="94" spans="2:7" x14ac:dyDescent="0.25">
      <c r="B94" s="13">
        <v>21</v>
      </c>
      <c r="C94" s="13" t="s">
        <v>294</v>
      </c>
      <c r="D94" s="13" t="s">
        <v>295</v>
      </c>
      <c r="E94" s="24">
        <f>Dv_h2a-Dv_hN</f>
        <v>211.104408587248</v>
      </c>
      <c r="F94" s="13" t="s">
        <v>128</v>
      </c>
      <c r="G94" s="13" t="s">
        <v>236</v>
      </c>
    </row>
    <row r="95" spans="2:7" x14ac:dyDescent="0.25">
      <c r="B95" s="30" t="s">
        <v>352</v>
      </c>
      <c r="C95" s="30"/>
      <c r="D95" s="30"/>
      <c r="E95" s="30"/>
      <c r="F95" s="30"/>
      <c r="G95" s="30"/>
    </row>
    <row r="96" spans="2:7" x14ac:dyDescent="0.25">
      <c r="B96" s="13">
        <v>22</v>
      </c>
      <c r="C96" s="13" t="s">
        <v>305</v>
      </c>
      <c r="D96" s="13" t="s">
        <v>353</v>
      </c>
      <c r="E96" s="21">
        <f>Dv_w1+Dv_w2</f>
        <v>72.8986243887144</v>
      </c>
      <c r="F96" s="13" t="s">
        <v>128</v>
      </c>
      <c r="G96" s="13" t="s">
        <v>244</v>
      </c>
    </row>
    <row r="97" spans="2:7" x14ac:dyDescent="0.25">
      <c r="B97" s="13">
        <v>23</v>
      </c>
      <c r="C97" s="13" t="s">
        <v>354</v>
      </c>
      <c r="D97" s="13" t="s">
        <v>355</v>
      </c>
      <c r="E97" s="21">
        <f>Dv_qZK1+Dv_qN</f>
        <v>265.775264040225</v>
      </c>
      <c r="F97" s="13" t="s">
        <v>128</v>
      </c>
      <c r="G97" s="13" t="s">
        <v>244</v>
      </c>
    </row>
    <row r="98" spans="2:7" x14ac:dyDescent="0.25">
      <c r="B98" s="13">
        <v>24</v>
      </c>
      <c r="C98" s="13" t="s">
        <v>309</v>
      </c>
      <c r="D98" s="13" t="s">
        <v>310</v>
      </c>
      <c r="E98" s="22">
        <f>Szen1_mmax*Dv_w_ges</f>
        <v>3916.85320995653</v>
      </c>
      <c r="F98" s="13" t="s">
        <v>131</v>
      </c>
      <c r="G98" s="13" t="s">
        <v>244</v>
      </c>
    </row>
    <row r="101" spans="2:7" x14ac:dyDescent="0.25">
      <c r="B101" s="3" t="s">
        <v>356</v>
      </c>
    </row>
    <row r="102" spans="2:7" ht="48" customHeight="1" x14ac:dyDescent="0.25">
      <c r="B102" s="12"/>
      <c r="C102" s="12" t="s">
        <v>357</v>
      </c>
      <c r="D102" s="12" t="s">
        <v>439</v>
      </c>
      <c r="E102" s="12" t="s">
        <v>494</v>
      </c>
      <c r="F102" s="12" t="s">
        <v>495</v>
      </c>
      <c r="G102" s="12" t="s">
        <v>360</v>
      </c>
    </row>
    <row r="103" spans="2:7" x14ac:dyDescent="0.25">
      <c r="B103" s="13"/>
      <c r="C103" s="13" t="s">
        <v>316</v>
      </c>
      <c r="D103" s="24">
        <v>0</v>
      </c>
      <c r="E103" s="24">
        <f>Szen2_w1</f>
        <v>67.6108553271706</v>
      </c>
      <c r="F103" s="24">
        <f>Szen2v_w1</f>
        <v>31.705922878756</v>
      </c>
      <c r="G103" s="24">
        <f>Dv_w1</f>
        <v>29.3571830035688</v>
      </c>
    </row>
    <row r="104" spans="2:7" x14ac:dyDescent="0.25">
      <c r="B104" s="13"/>
      <c r="C104" s="13" t="s">
        <v>328</v>
      </c>
      <c r="D104" s="24">
        <v>0</v>
      </c>
      <c r="E104" s="24">
        <v>0</v>
      </c>
      <c r="F104" s="24">
        <f>Szen2v_w2</f>
        <v>26.9237979122158</v>
      </c>
      <c r="G104" s="24">
        <f>Dv_w2</f>
        <v>43.5414413851456</v>
      </c>
    </row>
    <row r="105" spans="2:7" x14ac:dyDescent="0.25">
      <c r="B105" s="13"/>
      <c r="C105" s="13" t="s">
        <v>296</v>
      </c>
      <c r="D105" s="24">
        <f>Szen1_w</f>
        <v>3.72351210650578</v>
      </c>
      <c r="E105" s="24">
        <f>Szen2_wP</f>
        <v>4.14094049137492</v>
      </c>
      <c r="F105" s="24">
        <f>Szen2_wP</f>
        <v>4.14094049137492</v>
      </c>
      <c r="G105" s="24">
        <v>0</v>
      </c>
    </row>
    <row r="106" spans="2:7" x14ac:dyDescent="0.25">
      <c r="B106" s="13"/>
      <c r="C106" s="10" t="s">
        <v>361</v>
      </c>
      <c r="D106" s="21">
        <f>SUM(D103:D105)</f>
        <v>3.72351210650578</v>
      </c>
      <c r="E106" s="21">
        <f>SUM(E103:E105)</f>
        <v>71.7517958185455</v>
      </c>
      <c r="F106" s="21">
        <f>SUM(F103:F105)</f>
        <v>62.7706612823467</v>
      </c>
      <c r="G106" s="21">
        <f>SUM(G103:G105)</f>
        <v>72.8986243887144</v>
      </c>
    </row>
    <row r="107" spans="2:7" x14ac:dyDescent="0.25">
      <c r="B107" s="13"/>
      <c r="C107" s="10" t="s">
        <v>362</v>
      </c>
      <c r="D107" s="24">
        <v>0</v>
      </c>
      <c r="E107" s="24">
        <f>Szen2_qV</f>
        <v>264.628435470056</v>
      </c>
      <c r="F107" s="24">
        <f>Szen2v_qZK+Szen2v_qV</f>
        <v>255.647300933857</v>
      </c>
      <c r="G107" s="24">
        <f>Dv_q_ges</f>
        <v>265.775264040225</v>
      </c>
    </row>
    <row r="108" spans="2:7" x14ac:dyDescent="0.25">
      <c r="B108" s="13"/>
      <c r="C108" s="10" t="s">
        <v>363</v>
      </c>
      <c r="D108" s="13"/>
      <c r="E108" s="20">
        <f>1-E106/G106</f>
        <v>0.0157318273120445</v>
      </c>
      <c r="F108" s="20">
        <f>1-F106/G106</f>
        <v>0.138932156694244</v>
      </c>
      <c r="G108" s="13"/>
    </row>
    <row r="109" spans="2:7" x14ac:dyDescent="0.25">
      <c r="B109" s="29" t="str">
        <f>"Ergebnis: Die zweite Verdichterstufe ist beim Gemisch Pflicht (1 Stufe &gt; 95 °C) und spart "&amp;TEXT(1-Szen2v_w_ges/Szen2_w_ges,"0%")&amp;" gegenüber einer Stufe. Dicht kühlen und pumpen (2 Stufen) braucht "&amp;TEXT(1-Szen2v_w_ges/Dv_w_ges,"0%")&amp;" weniger Arbeit als Durchverdichten."</f>
        <v>Ergebnis: Die zweite Verdichterstufe ist beim Gemisch Pflicht (1 Stufe &gt; 95 °C) und spart 13% gegenüber einer Stufe. Dicht kühlen und pumpen (2 Stufen) braucht 14% weniger Arbeit als Durchverdichten.</v>
      </c>
    </row>
  </sheetData>
  <mergeCells count="19">
    <mergeCell ref="B4:G4"/>
    <mergeCell ref="B8:G8"/>
    <mergeCell ref="B19:G19"/>
    <mergeCell ref="B26:G26"/>
    <mergeCell ref="B32:G32"/>
    <mergeCell ref="B39:G39"/>
    <mergeCell ref="B40:G40"/>
    <mergeCell ref="B42:G42"/>
    <mergeCell ref="B49:G49"/>
    <mergeCell ref="B52:G52"/>
    <mergeCell ref="B79:G79"/>
    <mergeCell ref="B83:G83"/>
    <mergeCell ref="B91:G91"/>
    <mergeCell ref="B95:G95"/>
    <mergeCell ref="B58:G58"/>
    <mergeCell ref="B61:G61"/>
    <mergeCell ref="B67:G67"/>
    <mergeCell ref="B68:G68"/>
    <mergeCell ref="B70:G70"/>
  </mergeCells>
  <conditionalFormatting sqref="E12">
    <cfRule type="expression" dxfId="17" priority="1">
      <formula>NOT(Stand_ok)</formula>
    </cfRule>
  </conditionalFormatting>
  <conditionalFormatting sqref="E14">
    <cfRule type="expression" dxfId="16" priority="2">
      <formula>NOT(Stand_ok)</formula>
    </cfRule>
  </conditionalFormatting>
  <conditionalFormatting sqref="E16">
    <cfRule type="expression" dxfId="15" priority="3">
      <formula>NOT(Stand_ok)</formula>
    </cfRule>
  </conditionalFormatting>
  <conditionalFormatting sqref="E20">
    <cfRule type="expression" dxfId="14" priority="4">
      <formula>NOT(Stand_ok)</formula>
    </cfRule>
  </conditionalFormatting>
  <conditionalFormatting sqref="E22:E24">
    <cfRule type="expression" dxfId="13" priority="5">
      <formula>NOT(Stand_ok)</formula>
    </cfRule>
  </conditionalFormatting>
  <conditionalFormatting sqref="E28">
    <cfRule type="expression" dxfId="12" priority="8">
      <formula>NOT(Stand_ok)</formula>
    </cfRule>
  </conditionalFormatting>
  <conditionalFormatting sqref="E30">
    <cfRule type="expression" dxfId="11" priority="9">
      <formula>NOT(Stand_ok)</formula>
    </cfRule>
  </conditionalFormatting>
  <conditionalFormatting sqref="E45">
    <cfRule type="expression" dxfId="10" priority="10">
      <formula>NOT(Stand_ok)</formula>
    </cfRule>
  </conditionalFormatting>
  <conditionalFormatting sqref="E47">
    <cfRule type="expression" dxfId="9" priority="11">
      <formula>NOT(Stand_ok)</formula>
    </cfRule>
  </conditionalFormatting>
  <conditionalFormatting sqref="E50">
    <cfRule type="expression" dxfId="8" priority="12">
      <formula>NOT(Stand_ok)</formula>
    </cfRule>
  </conditionalFormatting>
  <conditionalFormatting sqref="E54">
    <cfRule type="expression" dxfId="7" priority="13">
      <formula>NOT(Stand_ok)</formula>
    </cfRule>
  </conditionalFormatting>
  <conditionalFormatting sqref="E56">
    <cfRule type="expression" dxfId="6" priority="14">
      <formula>NOT(Stand_ok)</formula>
    </cfRule>
  </conditionalFormatting>
  <conditionalFormatting sqref="E75">
    <cfRule type="expression" dxfId="5" priority="15">
      <formula>NOT(Stand_ok)</formula>
    </cfRule>
  </conditionalFormatting>
  <conditionalFormatting sqref="E77">
    <cfRule type="expression" dxfId="4" priority="16">
      <formula>NOT(Stand_ok)</formula>
    </cfRule>
  </conditionalFormatting>
  <conditionalFormatting sqref="E81">
    <cfRule type="expression" dxfId="3" priority="17">
      <formula>NOT(Stand_ok)</formula>
    </cfRule>
  </conditionalFormatting>
  <conditionalFormatting sqref="E86">
    <cfRule type="expression" dxfId="2" priority="18">
      <formula>NOT(Stand_ok)</formula>
    </cfRule>
  </conditionalFormatting>
  <conditionalFormatting sqref="E88">
    <cfRule type="expression" dxfId="1" priority="19">
      <formula>NOT(Stand_ok)</formula>
    </cfRule>
  </conditionalFormatting>
  <conditionalFormatting sqref="E93">
    <cfRule type="expression" dxfId="0" priority="20">
      <formula>NOT(Stand_ok)</formula>
    </cfRule>
  </conditionalFormatting>
  <hyperlinks>
    <hyperlink ref="B3" location="'Übersicht'!A1" display="← zur Übersicht" xr:uid="{00000000-0004-0000-0400-000000000000}"/>
  </hyperlinks>
  <pageMargins left="0.4" right="0.4" top="0.5" bottom="0.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7203"/>
    <pageSetUpPr fitToPage="1"/>
  </sheetPr>
  <dimension ref="B1:Q72"/>
  <sheetViews>
    <sheetView showGridLines="0" topLeftCell="A36" workbookViewId="0">
      <selection activeCell="V19" sqref="V19"/>
    </sheetView>
  </sheetViews>
  <sheetFormatPr baseColWidth="10" defaultColWidth="9.140625" defaultRowHeight="15" x14ac:dyDescent="0.25"/>
  <cols>
    <col min="1" max="1" width="2.7109375" customWidth="1"/>
    <col min="2" max="31" width="9.7109375" customWidth="1"/>
  </cols>
  <sheetData>
    <row r="1" spans="2:2" ht="30" customHeight="1" x14ac:dyDescent="0.25">
      <c r="B1" s="1" t="s">
        <v>496</v>
      </c>
    </row>
    <row r="2" spans="2:2" x14ac:dyDescent="0.25">
      <c r="B2" s="2" t="s">
        <v>497</v>
      </c>
    </row>
    <row r="3" spans="2:2" x14ac:dyDescent="0.25">
      <c r="B3" s="9" t="s">
        <v>145</v>
      </c>
    </row>
    <row r="4" spans="2:2" x14ac:dyDescent="0.25">
      <c r="B4" s="3" t="s">
        <v>397</v>
      </c>
    </row>
    <row r="36" spans="2:17" ht="50.45" customHeight="1" x14ac:dyDescent="0.25">
      <c r="B36" s="32" t="s">
        <v>498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9" spans="2:17" x14ac:dyDescent="0.25">
      <c r="B39" s="3" t="s">
        <v>399</v>
      </c>
    </row>
    <row r="40" spans="2:17" ht="36" customHeight="1" x14ac:dyDescent="0.25">
      <c r="B40" s="40" t="s">
        <v>400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72" spans="2:17" ht="158.44999999999999" customHeight="1" x14ac:dyDescent="0.25">
      <c r="B72" s="32" t="s">
        <v>499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</row>
  </sheetData>
  <mergeCells count="3">
    <mergeCell ref="B36:Q36"/>
    <mergeCell ref="B40:Q40"/>
    <mergeCell ref="B72:Q72"/>
  </mergeCells>
  <hyperlinks>
    <hyperlink ref="B3" location="'Übersicht'!A1" display="← zur Übersicht" xr:uid="{00000000-0004-0000-0500-000000000000}"/>
  </hyperlinks>
  <pageMargins left="0.4" right="0.4" top="0.5" bottom="0.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  <pageSetUpPr fitToPage="1"/>
  </sheetPr>
  <dimension ref="B1:D19"/>
  <sheetViews>
    <sheetView showGridLines="0" workbookViewId="0"/>
  </sheetViews>
  <sheetFormatPr baseColWidth="10" defaultColWidth="9.140625" defaultRowHeight="15" x14ac:dyDescent="0.25"/>
  <cols>
    <col min="1" max="1" width="2.7109375" customWidth="1"/>
    <col min="2" max="2" width="16.7109375" customWidth="1"/>
    <col min="3" max="3" width="70.7109375" customWidth="1"/>
    <col min="4" max="4" width="60.7109375" customWidth="1"/>
  </cols>
  <sheetData>
    <row r="1" spans="2:4" ht="30" customHeight="1" x14ac:dyDescent="0.25">
      <c r="B1" s="1" t="s">
        <v>402</v>
      </c>
    </row>
    <row r="2" spans="2:4" x14ac:dyDescent="0.25">
      <c r="B2" s="2" t="s">
        <v>403</v>
      </c>
    </row>
    <row r="3" spans="2:4" x14ac:dyDescent="0.25">
      <c r="B3" s="9" t="s">
        <v>145</v>
      </c>
    </row>
    <row r="4" spans="2:4" x14ac:dyDescent="0.25">
      <c r="B4" s="12" t="s">
        <v>404</v>
      </c>
      <c r="C4" s="12" t="s">
        <v>405</v>
      </c>
      <c r="D4" s="12" t="s">
        <v>406</v>
      </c>
    </row>
    <row r="5" spans="2:4" ht="45" customHeight="1" x14ac:dyDescent="0.25">
      <c r="B5" s="10" t="s">
        <v>407</v>
      </c>
      <c r="C5" s="13" t="s">
        <v>408</v>
      </c>
      <c r="D5" s="13" t="s">
        <v>409</v>
      </c>
    </row>
    <row r="6" spans="2:4" ht="45" customHeight="1" x14ac:dyDescent="0.25">
      <c r="B6" s="10" t="s">
        <v>410</v>
      </c>
      <c r="C6" s="13" t="s">
        <v>411</v>
      </c>
      <c r="D6" s="13" t="s">
        <v>412</v>
      </c>
    </row>
    <row r="7" spans="2:4" ht="45" customHeight="1" x14ac:dyDescent="0.25">
      <c r="B7" s="10" t="s">
        <v>74</v>
      </c>
      <c r="C7" s="13" t="s">
        <v>413</v>
      </c>
      <c r="D7" s="13" t="s">
        <v>414</v>
      </c>
    </row>
    <row r="8" spans="2:4" ht="45" customHeight="1" x14ac:dyDescent="0.25">
      <c r="B8" s="10" t="s">
        <v>415</v>
      </c>
      <c r="C8" s="13" t="s">
        <v>416</v>
      </c>
      <c r="D8" s="13" t="s">
        <v>417</v>
      </c>
    </row>
    <row r="9" spans="2:4" ht="45" customHeight="1" x14ac:dyDescent="0.25">
      <c r="B9" s="10" t="s">
        <v>418</v>
      </c>
      <c r="C9" s="13" t="s">
        <v>419</v>
      </c>
      <c r="D9" s="13" t="s">
        <v>420</v>
      </c>
    </row>
    <row r="10" spans="2:4" ht="45" customHeight="1" x14ac:dyDescent="0.25">
      <c r="B10" s="10" t="s">
        <v>421</v>
      </c>
      <c r="C10" s="13" t="s">
        <v>422</v>
      </c>
      <c r="D10" s="13" t="s">
        <v>423</v>
      </c>
    </row>
    <row r="11" spans="2:4" ht="45" customHeight="1" x14ac:dyDescent="0.25">
      <c r="B11" s="10" t="s">
        <v>424</v>
      </c>
      <c r="C11" s="13" t="s">
        <v>425</v>
      </c>
      <c r="D11" s="13" t="s">
        <v>426</v>
      </c>
    </row>
    <row r="12" spans="2:4" ht="45" customHeight="1" x14ac:dyDescent="0.25">
      <c r="B12" s="10" t="s">
        <v>427</v>
      </c>
      <c r="C12" s="13" t="s">
        <v>428</v>
      </c>
      <c r="D12" s="13" t="s">
        <v>429</v>
      </c>
    </row>
    <row r="13" spans="2:4" ht="45" customHeight="1" x14ac:dyDescent="0.25">
      <c r="B13" s="10" t="s">
        <v>430</v>
      </c>
      <c r="C13" s="13" t="s">
        <v>431</v>
      </c>
      <c r="D13" s="13" t="s">
        <v>432</v>
      </c>
    </row>
    <row r="14" spans="2:4" ht="45" customHeight="1" x14ac:dyDescent="0.25">
      <c r="B14" s="10" t="s">
        <v>430</v>
      </c>
      <c r="C14" s="13" t="s">
        <v>433</v>
      </c>
      <c r="D14" s="13" t="s">
        <v>434</v>
      </c>
    </row>
    <row r="15" spans="2:4" ht="45" customHeight="1" x14ac:dyDescent="0.25">
      <c r="B15" s="10" t="s">
        <v>435</v>
      </c>
      <c r="C15" s="13" t="s">
        <v>436</v>
      </c>
      <c r="D15" s="13" t="s">
        <v>437</v>
      </c>
    </row>
    <row r="16">
      <c r="B16" s="10" t="s">
        <v>500</v>
      </c>
      <c r="C16" s="13" t="s">
        <v>501</v>
      </c>
      <c r="D16" s="13" t="s">
        <v>502</v>
      </c>
    </row>
    <row r="17">
      <c r="B17" s="10" t="s">
        <v>503</v>
      </c>
      <c r="C17" s="13" t="s">
        <v>504</v>
      </c>
      <c r="D17" s="13" t="s">
        <v>505</v>
      </c>
    </row>
    <row r="18">
      <c r="B18" s="10" t="s">
        <v>506</v>
      </c>
      <c r="C18" s="13" t="s">
        <v>507</v>
      </c>
      <c r="D18" s="13" t="s">
        <v>508</v>
      </c>
    </row>
    <row r="19">
      <c r="B19" s="10" t="s">
        <v>509</v>
      </c>
      <c r="C19" s="13" t="s">
        <v>510</v>
      </c>
      <c r="D19" s="13" t="s">
        <v>511</v>
      </c>
    </row>
  </sheetData>
  <hyperlinks>
    <hyperlink ref="B3" location="'Übersicht'!A1" display="← zur Übersicht" xr:uid="{00000000-0004-0000-0600-000000000000}"/>
  </hyperlinks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D9D9"/>
    <pageSetUpPr fitToPage="1"/>
  </sheetPr>
  <dimension ref="B1:L408"/>
  <sheetViews>
    <sheetView showGridLines="0" workbookViewId="0"/>
  </sheetViews>
  <sheetFormatPr baseColWidth="10" defaultColWidth="9.140625" defaultRowHeight="15" x14ac:dyDescent="0.25"/>
  <cols>
    <col min="1" max="1" width="2.7109375" customWidth="1"/>
    <col min="2" max="7" width="12.7109375" customWidth="1"/>
    <col min="8" max="8" width="12.7109375" customWidth="1"/>
    <col min="9" max="9" width="34.7109375" customWidth="1"/>
    <col min="10" max="12" width="12.7109375" customWidth="1"/>
  </cols>
  <sheetData>
    <row r="1" spans="2:12" ht="30" customHeight="1" x14ac:dyDescent="0.25">
      <c r="B1" s="1" t="s">
        <v>365</v>
      </c>
    </row>
    <row r="2" spans="2:12" x14ac:dyDescent="0.25">
      <c r="B2" s="2" t="s">
        <v>512</v>
      </c>
    </row>
    <row r="3" spans="2:12" x14ac:dyDescent="0.25">
      <c r="B3" s="9" t="s">
        <v>145</v>
      </c>
    </row>
    <row r="4" spans="2:12" x14ac:dyDescent="0.25">
      <c r="B4" s="13" t="s">
        <v>367</v>
      </c>
      <c r="C4" s="6">
        <v>-80</v>
      </c>
      <c r="D4" s="36" t="s">
        <v>369</v>
      </c>
      <c r="E4" s="36"/>
      <c r="F4" s="36"/>
      <c r="G4" s="36"/>
    </row>
    <row r="5" spans="2:12" x14ac:dyDescent="0.25">
      <c r="B5" s="13" t="s">
        <v>368</v>
      </c>
      <c r="C5" s="6">
        <v>0.5</v>
      </c>
      <c r="D5" s="36"/>
      <c r="E5" s="36"/>
      <c r="F5" s="36"/>
      <c r="G5" s="36"/>
    </row>
    <row r="7" ht="25.5" x14ac:dyDescent="0.25">
      <c r="B7" s="12" t="s">
        <v>171</v>
      </c>
      <c r="C7" s="12" t="s">
        <v>370</v>
      </c>
      <c r="D7" s="12" t="s">
        <v>371</v>
      </c>
      <c r="E7" s="12" t="s">
        <v>372</v>
      </c>
      <c r="F7" s="12" t="s">
        <v>373</v>
      </c>
      <c r="G7" s="12" t="s">
        <v>374</v>
      </c>
      <c r="H7" s="12" t="s">
        <v>513</v>
      </c>
      <c r="I7" s="12" t="s">
        <v>375</v>
      </c>
      <c r="J7" s="12" t="s">
        <v>171</v>
      </c>
      <c r="K7" s="12" t="s">
        <v>258</v>
      </c>
      <c r="L7" s="12" t="s">
        <v>376</v>
      </c>
    </row>
    <row r="8" x14ac:dyDescent="0.25">
      <c r="B8">
        <v>-80</v>
      </c>
      <c r="C8" t="str">
        <f t="shared" ref="C8:C71" si="0">IF(MOD(B8,20)=0,TEXT(B8,"0"),"")</f>
        <v>-80</v>
      </c>
      <c r="D8">
        <v>0.8924156797180202</v>
      </c>
      <c r="E8">
        <v>0.0</v>
      </c>
      <c r="F8">
        <v>0.0</v>
      </c>
      <c r="G8">
        <v>249.10758432028197</v>
      </c>
      <c r="H8">
        <v>0.0</v>
      </c>
      <c r="I8" s="10" t="s">
        <v>514</v>
      </c>
      <c r="J8">
        <v>-56.557999999999964</v>
      </c>
      <c r="K8">
        <v>5.478005125992963</v>
      </c>
      <c r="L8">
        <f t="shared" ref="L8:L39" si="1">(J8-Diagramm_Tmin)/Diagramm_dT+1</f>
        <v>47.8840000000001</v>
      </c>
    </row>
    <row r="9" x14ac:dyDescent="0.25">
      <c r="B9">
        <v>-79.5</v>
      </c>
      <c r="C9">
        <f t="shared" si="0"/>
      </c>
      <c r="D9">
        <v>0.930297974030403</v>
      </c>
      <c r="E9">
        <v>0.0</v>
      </c>
      <c r="F9">
        <v>0.0</v>
      </c>
      <c r="G9">
        <v>249.0697020259696</v>
      </c>
      <c r="H9">
        <v>0.0</v>
      </c>
      <c r="J9">
        <v>-53.50197328612838</v>
      </c>
      <c r="K9">
        <v>6.246528366430996</v>
      </c>
      <c r="L9">
        <f t="shared" si="1"/>
        <v>53.9960534277432</v>
      </c>
    </row>
    <row r="10" x14ac:dyDescent="0.25">
      <c r="B10">
        <v>-79</v>
      </c>
      <c r="C10">
        <f t="shared" si="0"/>
      </c>
      <c r="D10">
        <v>0.9695883738102294</v>
      </c>
      <c r="E10">
        <v>0.0</v>
      </c>
      <c r="F10">
        <v>0.0</v>
      </c>
      <c r="G10">
        <v>249.03041162618976</v>
      </c>
      <c r="H10">
        <v>0.0</v>
      </c>
      <c r="J10">
        <v>-50.4459465722568</v>
      </c>
      <c r="K10">
        <v>7.094026716138905</v>
      </c>
      <c r="L10">
        <f t="shared" si="1"/>
        <v>60.1081068554864</v>
      </c>
    </row>
    <row r="11" x14ac:dyDescent="0.25">
      <c r="B11">
        <v>-78.5</v>
      </c>
      <c r="C11">
        <f t="shared" si="0"/>
      </c>
      <c r="D11">
        <v>1.010331934508877</v>
      </c>
      <c r="E11">
        <v>0.0</v>
      </c>
      <c r="F11">
        <v>0.0</v>
      </c>
      <c r="G11">
        <v>248.98966806549112</v>
      </c>
      <c r="H11">
        <v>0.0</v>
      </c>
      <c r="J11">
        <v>-47.38991985838522</v>
      </c>
      <c r="K11">
        <v>8.025557941262479</v>
      </c>
      <c r="L11">
        <f t="shared" si="1"/>
        <v>66.2201602832296</v>
      </c>
    </row>
    <row r="12" x14ac:dyDescent="0.25">
      <c r="B12">
        <v>-78</v>
      </c>
      <c r="C12">
        <f t="shared" si="0"/>
      </c>
      <c r="D12">
        <v>1.0525749397826214</v>
      </c>
      <c r="E12">
        <v>0.0</v>
      </c>
      <c r="F12">
        <v>0.0</v>
      </c>
      <c r="G12">
        <v>248.94742506021737</v>
      </c>
      <c r="H12">
        <v>0.0</v>
      </c>
      <c r="J12">
        <v>-44.33389314451364</v>
      </c>
      <c r="K12">
        <v>9.046304980626127</v>
      </c>
      <c r="L12">
        <f t="shared" si="1"/>
        <v>72.3322137109727</v>
      </c>
    </row>
    <row r="13" x14ac:dyDescent="0.25">
      <c r="B13">
        <v>-77.5</v>
      </c>
      <c r="C13">
        <f t="shared" si="0"/>
      </c>
      <c r="D13">
        <v>1.0963649308553405</v>
      </c>
      <c r="E13">
        <v>0.0</v>
      </c>
      <c r="F13">
        <v>0.0</v>
      </c>
      <c r="G13">
        <v>248.90363506914466</v>
      </c>
      <c r="H13">
        <v>0.0</v>
      </c>
      <c r="J13">
        <v>-41.27786643064206</v>
      </c>
      <c r="K13">
        <v>10.161580260227899</v>
      </c>
      <c r="L13">
        <f t="shared" si="1"/>
        <v>78.4442671387159</v>
      </c>
    </row>
    <row r="14" x14ac:dyDescent="0.25">
      <c r="B14">
        <v>-77</v>
      </c>
      <c r="C14">
        <f t="shared" si="0"/>
      </c>
      <c r="D14">
        <v>1.1417507366031867</v>
      </c>
      <c r="E14">
        <v>0.0</v>
      </c>
      <c r="F14">
        <v>0.0</v>
      </c>
      <c r="G14">
        <v>248.8582492633968</v>
      </c>
      <c r="H14">
        <v>0.0</v>
      </c>
      <c r="J14">
        <v>-38.221839716770475</v>
      </c>
      <c r="K14">
        <v>11.376832494554185</v>
      </c>
      <c r="L14">
        <f t="shared" si="1"/>
        <v>84.5563205664591</v>
      </c>
    </row>
    <row r="15" x14ac:dyDescent="0.25">
      <c r="B15">
        <v>-76.5</v>
      </c>
      <c r="C15">
        <f t="shared" si="0"/>
      </c>
      <c r="D15">
        <v>1.1887825043863187</v>
      </c>
      <c r="E15">
        <v>0.0</v>
      </c>
      <c r="F15">
        <v>0.0</v>
      </c>
      <c r="G15">
        <v>248.81121749561368</v>
      </c>
      <c r="H15">
        <v>0.0</v>
      </c>
      <c r="J15">
        <v>-35.16581300289889</v>
      </c>
      <c r="K15">
        <v>12.697656236143098</v>
      </c>
      <c r="L15">
        <f t="shared" si="1"/>
        <v>90.6683739942022</v>
      </c>
    </row>
    <row r="16" x14ac:dyDescent="0.25">
      <c r="B16">
        <v>-76</v>
      </c>
      <c r="C16">
        <f t="shared" si="0"/>
      </c>
      <c r="D16">
        <v>1.2375117316542428</v>
      </c>
      <c r="E16">
        <v>0.0</v>
      </c>
      <c r="F16">
        <v>0.0</v>
      </c>
      <c r="G16">
        <v>248.76248826834575</v>
      </c>
      <c r="H16">
        <v>0.0</v>
      </c>
      <c r="J16">
        <v>-32.10978628902731</v>
      </c>
      <c r="K16">
        <v>14.129804656079587</v>
      </c>
      <c r="L16">
        <f t="shared" si="1"/>
        <v>96.7804274219454</v>
      </c>
    </row>
    <row r="17" x14ac:dyDescent="0.25">
      <c r="B17">
        <v>-75.5</v>
      </c>
      <c r="C17">
        <f t="shared" si="0"/>
      </c>
      <c r="D17">
        <v>1.2879912983528754</v>
      </c>
      <c r="E17">
        <v>0.0</v>
      </c>
      <c r="F17">
        <v>0.0</v>
      </c>
      <c r="G17">
        <v>248.71200870164714</v>
      </c>
      <c r="H17">
        <v>0.0</v>
      </c>
      <c r="J17">
        <v>-29.053759575155727</v>
      </c>
      <c r="K17">
        <v>15.67923451447156</v>
      </c>
      <c r="L17">
        <f t="shared" si="1"/>
        <v>102.892480849689</v>
      </c>
    </row>
    <row r="18" x14ac:dyDescent="0.25">
      <c r="B18">
        <v>-75</v>
      </c>
      <c r="C18">
        <f t="shared" si="0"/>
      </c>
      <c r="D18">
        <v>1.340275500163288</v>
      </c>
      <c r="E18">
        <v>0.0</v>
      </c>
      <c r="F18">
        <v>0.0</v>
      </c>
      <c r="G18">
        <v>248.6597244998367</v>
      </c>
      <c r="H18">
        <v>0.0</v>
      </c>
      <c r="J18">
        <v>-25.997732861284145</v>
      </c>
      <c r="K18">
        <v>17.352406968327372</v>
      </c>
      <c r="L18">
        <f t="shared" si="1"/>
        <v>109.004534277432</v>
      </c>
    </row>
    <row r="19" x14ac:dyDescent="0.25">
      <c r="B19">
        <v>-74.5</v>
      </c>
      <c r="C19">
        <f t="shared" si="0"/>
      </c>
      <c r="D19">
        <v>1.3944200826039743</v>
      </c>
      <c r="E19">
        <v>0.0</v>
      </c>
      <c r="F19">
        <v>0.0</v>
      </c>
      <c r="G19">
        <v>248.60557991739603</v>
      </c>
      <c r="H19">
        <v>0.0</v>
      </c>
      <c r="J19">
        <v>-22.94170614741256</v>
      </c>
      <c r="K19">
        <v>19.155353708527862</v>
      </c>
      <c r="L19">
        <f t="shared" si="1"/>
        <v>115.116587705175</v>
      </c>
    </row>
    <row r="20" x14ac:dyDescent="0.25">
      <c r="B20">
        <v>-74</v>
      </c>
      <c r="C20">
        <f t="shared" si="0"/>
      </c>
      <c r="D20">
        <v>1.4504822760307026</v>
      </c>
      <c r="E20">
        <v>0.0</v>
      </c>
      <c r="F20">
        <v>0.0</v>
      </c>
      <c r="G20">
        <v>248.5495177239693</v>
      </c>
      <c r="H20">
        <v>0.0</v>
      </c>
      <c r="J20">
        <v>-19.88567943354098</v>
      </c>
      <c r="K20">
        <v>21.09469987572158</v>
      </c>
      <c r="L20">
        <f t="shared" si="1"/>
        <v>121.228641132918</v>
      </c>
    </row>
    <row r="21" x14ac:dyDescent="0.25">
      <c r="B21">
        <v>-73.5</v>
      </c>
      <c r="C21">
        <f t="shared" si="0"/>
      </c>
      <c r="D21">
        <v>1.5085208315704552</v>
      </c>
      <c r="E21">
        <v>0.0</v>
      </c>
      <c r="F21">
        <v>0.0</v>
      </c>
      <c r="G21">
        <v>248.49147916842955</v>
      </c>
      <c r="H21">
        <v>0.0</v>
      </c>
      <c r="J21">
        <v>-16.829652719669397</v>
      </c>
      <c r="K21">
        <v>23.1773901306104</v>
      </c>
      <c r="L21">
        <f t="shared" si="1"/>
        <v>127.340694560661</v>
      </c>
    </row>
    <row r="22" x14ac:dyDescent="0.25">
      <c r="B22">
        <v>-73</v>
      </c>
      <c r="C22">
        <f t="shared" si="0"/>
      </c>
      <c r="D22">
        <v>1.568596058028639</v>
      </c>
      <c r="E22">
        <v>0.0</v>
      </c>
      <c r="F22">
        <v>0.0</v>
      </c>
      <c r="G22">
        <v>248.43140394197135</v>
      </c>
      <c r="H22">
        <v>0.0</v>
      </c>
      <c r="J22">
        <v>-13.773626005797816</v>
      </c>
      <c r="K22">
        <v>25.41075592285367</v>
      </c>
      <c r="L22">
        <f t="shared" si="1"/>
        <v>133.452747988404</v>
      </c>
    </row>
    <row r="23" x14ac:dyDescent="0.25">
      <c r="B23">
        <v>-72.5</v>
      </c>
      <c r="C23">
        <f t="shared" si="0"/>
      </c>
      <c r="D23">
        <v>1.6307698598119242</v>
      </c>
      <c r="E23">
        <v>0.0</v>
      </c>
      <c r="F23">
        <v>0.0</v>
      </c>
      <c r="G23">
        <v>248.36923014018808</v>
      </c>
      <c r="H23">
        <v>0.0</v>
      </c>
      <c r="J23">
        <v>-10.717599291926234</v>
      </c>
      <c r="K23">
        <v>27.80260400330453</v>
      </c>
      <c r="L23">
        <f t="shared" si="1"/>
        <v>139.564801416148</v>
      </c>
    </row>
    <row r="24" x14ac:dyDescent="0.25">
      <c r="B24">
        <v>-72</v>
      </c>
      <c r="C24">
        <f t="shared" si="0"/>
      </c>
      <c r="D24">
        <v>1.6951057759124981</v>
      </c>
      <c r="E24">
        <v>0.0</v>
      </c>
      <c r="F24">
        <v>0.0</v>
      </c>
      <c r="G24">
        <v>248.3048942240875</v>
      </c>
      <c r="H24">
        <v>0.0</v>
      </c>
      <c r="J24">
        <v>-7.661572578054653</v>
      </c>
      <c r="K24">
        <v>30.363205999893026</v>
      </c>
      <c r="L24">
        <f t="shared" si="1"/>
        <v>145.676854843891</v>
      </c>
    </row>
    <row r="25" x14ac:dyDescent="0.25">
      <c r="B25">
        <v>-71.5</v>
      </c>
      <c r="C25">
        <f t="shared" si="0"/>
      </c>
      <c r="D25">
        <v>1.7616690200035732</v>
      </c>
      <c r="E25">
        <v>0.0</v>
      </c>
      <c r="F25">
        <v>0.0</v>
      </c>
      <c r="G25">
        <v>248.23833097999642</v>
      </c>
      <c r="H25">
        <v>0.0</v>
      </c>
      <c r="J25">
        <v>-4.605545864183071</v>
      </c>
      <c r="K25">
        <v>33.09610182622754</v>
      </c>
      <c r="L25">
        <f t="shared" si="1"/>
        <v>151.788908271634</v>
      </c>
    </row>
    <row r="26" x14ac:dyDescent="0.25">
      <c r="B26">
        <v>-71</v>
      </c>
      <c r="C26">
        <f t="shared" si="0"/>
      </c>
      <c r="D26">
        <v>1.8305265217005857</v>
      </c>
      <c r="E26">
        <v>0.0</v>
      </c>
      <c r="F26">
        <v>0.0</v>
      </c>
      <c r="G26">
        <v>248.1694734782994</v>
      </c>
      <c r="H26">
        <v>0.0</v>
      </c>
      <c r="J26">
        <v>-1.5495191503114896</v>
      </c>
      <c r="K26">
        <v>36.017129110207115</v>
      </c>
      <c r="L26">
        <f t="shared" si="1"/>
        <v>157.900961699377</v>
      </c>
    </row>
    <row r="27" x14ac:dyDescent="0.25">
      <c r="B27">
        <v>-70.5</v>
      </c>
      <c r="C27">
        <f t="shared" si="0"/>
      </c>
      <c r="D27">
        <v>1.901746969047835</v>
      </c>
      <c r="E27">
        <v>0.0</v>
      </c>
      <c r="F27">
        <v>0.0</v>
      </c>
      <c r="G27">
        <v>248.09825303095215</v>
      </c>
      <c r="H27">
        <v>0.0</v>
      </c>
      <c r="J27">
        <v>1.506507563560092</v>
      </c>
      <c r="K27">
        <v>39.136313339837116</v>
      </c>
      <c r="L27">
        <f t="shared" si="1"/>
        <v>164.01301512712</v>
      </c>
    </row>
    <row r="28" x14ac:dyDescent="0.25">
      <c r="B28">
        <v>-70</v>
      </c>
      <c r="C28">
        <f t="shared" si="0"/>
      </c>
      <c r="D28">
        <v>1.975400852296597</v>
      </c>
      <c r="E28">
        <v>0.0</v>
      </c>
      <c r="F28">
        <v>0.0</v>
      </c>
      <c r="G28">
        <v>248.0245991477034</v>
      </c>
      <c r="H28">
        <v>0.0</v>
      </c>
      <c r="J28">
        <v>4.5625342774316735</v>
      </c>
      <c r="K28">
        <v>42.46643915922298</v>
      </c>
      <c r="L28">
        <f t="shared" si="1"/>
        <v>170.125068554863</v>
      </c>
    </row>
    <row r="29" x14ac:dyDescent="0.25">
      <c r="B29">
        <v>-69.5</v>
      </c>
      <c r="C29">
        <f t="shared" si="0"/>
      </c>
      <c r="D29">
        <v>2.0515605090479743</v>
      </c>
      <c r="E29">
        <v>0.0</v>
      </c>
      <c r="F29">
        <v>0.0</v>
      </c>
      <c r="G29">
        <v>247.948439490952</v>
      </c>
      <c r="H29">
        <v>0.0</v>
      </c>
      <c r="J29">
        <v>7.618560991303255</v>
      </c>
      <c r="K29">
        <v>46.02336053062399</v>
      </c>
      <c r="L29">
        <f t="shared" si="1"/>
        <v>176.237121982607</v>
      </c>
    </row>
    <row r="30" x14ac:dyDescent="0.25">
      <c r="B30">
        <v>-69</v>
      </c>
      <c r="C30">
        <f t="shared" si="0"/>
      </c>
      <c r="D30">
        <v>2.1303001708424727</v>
      </c>
      <c r="E30">
        <v>0.0</v>
      </c>
      <c r="F30">
        <v>0.0</v>
      </c>
      <c r="G30">
        <v>247.86969982915753</v>
      </c>
      <c r="H30">
        <v>0.0</v>
      </c>
      <c r="J30">
        <v>10.674587705174844</v>
      </c>
      <c r="K30">
        <v>49.8265932984247</v>
      </c>
      <c r="L30">
        <f t="shared" si="1"/>
        <v>182.34917541035</v>
      </c>
    </row>
    <row r="31" x14ac:dyDescent="0.25">
      <c r="B31">
        <v>-68.5</v>
      </c>
      <c r="C31">
        <f t="shared" si="0"/>
      </c>
      <c r="D31">
        <v>2.211696011288603</v>
      </c>
      <c r="E31">
        <v>0.0</v>
      </c>
      <c r="F31">
        <v>0.0</v>
      </c>
      <c r="G31">
        <v>247.7883039887114</v>
      </c>
      <c r="H31">
        <v>0.0</v>
      </c>
      <c r="J31">
        <v>13.730614419046418</v>
      </c>
      <c r="K31">
        <v>53.9029170386769</v>
      </c>
      <c r="L31">
        <f t="shared" si="1"/>
        <v>188.461228838093</v>
      </c>
    </row>
    <row r="32" x14ac:dyDescent="0.25">
      <c r="B32">
        <v>-68</v>
      </c>
      <c r="C32">
        <f t="shared" si="0"/>
      </c>
      <c r="D32">
        <v>2.295826195835248</v>
      </c>
      <c r="E32">
        <v>0.0</v>
      </c>
      <c r="F32">
        <v>0.0</v>
      </c>
      <c r="G32">
        <v>247.70417380416475</v>
      </c>
      <c r="H32">
        <v>0.0</v>
      </c>
      <c r="J32">
        <v>16.786641132918007</v>
      </c>
      <c r="K32">
        <v>58.28858850085284</v>
      </c>
      <c r="L32">
        <f t="shared" si="1"/>
        <v>194.573282265836</v>
      </c>
    </row>
    <row r="33" x14ac:dyDescent="0.25">
      <c r="B33">
        <v>-67.5</v>
      </c>
      <c r="C33">
        <f t="shared" si="0"/>
      </c>
      <c r="D33">
        <v>2.3827709333077967</v>
      </c>
      <c r="E33">
        <v>0.0</v>
      </c>
      <c r="F33">
        <v>0.0</v>
      </c>
      <c r="G33">
        <v>247.6172290666922</v>
      </c>
      <c r="H33">
        <v>0.0</v>
      </c>
      <c r="J33">
        <v>19.84266784678958</v>
      </c>
      <c r="K33">
        <v>63.115296932976065</v>
      </c>
      <c r="L33">
        <f t="shared" si="1"/>
        <v>200.685335693579</v>
      </c>
    </row>
    <row r="34" x14ac:dyDescent="0.25">
      <c r="B34">
        <v>-67</v>
      </c>
      <c r="C34">
        <f t="shared" si="0"/>
      </c>
      <c r="D34">
        <v>2.4726125293466135</v>
      </c>
      <c r="E34">
        <v>0.0</v>
      </c>
      <c r="F34">
        <v>0.0</v>
      </c>
      <c r="G34">
        <v>247.5273874706534</v>
      </c>
      <c r="H34">
        <v>0.0</v>
      </c>
      <c r="J34">
        <v>22.89869456066117</v>
      </c>
      <c r="K34">
        <v>68.29643981056283</v>
      </c>
      <c r="L34">
        <f t="shared" si="1"/>
        <v>206.797389121322</v>
      </c>
    </row>
    <row r="35" x14ac:dyDescent="0.25">
      <c r="B35">
        <v>-66.5</v>
      </c>
      <c r="C35">
        <f t="shared" si="0"/>
      </c>
      <c r="D35">
        <v>2.5654354419096896</v>
      </c>
      <c r="E35">
        <v>0.0</v>
      </c>
      <c r="F35">
        <v>0.0</v>
      </c>
      <c r="G35">
        <v>247.4345645580903</v>
      </c>
      <c r="H35">
        <v>0.0</v>
      </c>
      <c r="J35">
        <v>25.954721274532744</v>
      </c>
      <c r="K35">
        <v>74.33955546051001</v>
      </c>
      <c r="L35">
        <f t="shared" si="1"/>
        <v>212.909442549066</v>
      </c>
    </row>
    <row r="36" x14ac:dyDescent="0.25">
      <c r="B36">
        <v>-66</v>
      </c>
      <c r="C36">
        <f t="shared" si="0"/>
      </c>
      <c r="D36">
        <v>2.6613263390304978</v>
      </c>
      <c r="E36">
        <v>0.0</v>
      </c>
      <c r="F36">
        <v>0.0</v>
      </c>
      <c r="G36">
        <v>247.3386736609695</v>
      </c>
      <c r="H36">
        <v>0.0</v>
      </c>
      <c r="J36">
        <v>26.057651672672023</v>
      </c>
      <c r="K36">
        <v>74.55672393046727</v>
      </c>
      <c r="L36">
        <f t="shared" si="1"/>
        <v>213.115303345344</v>
      </c>
    </row>
    <row r="37" x14ac:dyDescent="0.25">
      <c r="B37">
        <v>-65.5</v>
      </c>
      <c r="C37">
        <f t="shared" si="0"/>
      </c>
      <c r="D37">
        <v>2.7603741590594004</v>
      </c>
      <c r="E37">
        <v>0.0</v>
      </c>
      <c r="F37">
        <v>0.0</v>
      </c>
      <c r="G37">
        <v>247.2396258409406</v>
      </c>
      <c r="H37">
        <v>0.0</v>
      </c>
      <c r="J37">
        <v>27.048355436591578</v>
      </c>
      <c r="K37">
        <v>76.9339535021573</v>
      </c>
      <c r="L37">
        <f t="shared" si="1"/>
        <v>215.096710873183</v>
      </c>
    </row>
    <row r="38" x14ac:dyDescent="0.25">
      <c r="B38">
        <v>-65</v>
      </c>
      <c r="C38">
        <f t="shared" si="0"/>
      </c>
      <c r="D38">
        <v>2.862670173664994</v>
      </c>
      <c r="E38">
        <v>0.0</v>
      </c>
      <c r="F38">
        <v>0.0</v>
      </c>
      <c r="G38">
        <v>247.13732982633502</v>
      </c>
      <c r="H38">
        <v>0.0</v>
      </c>
      <c r="J38">
        <v>27.734889984125346</v>
      </c>
      <c r="K38">
        <v>78.94115650279056</v>
      </c>
      <c r="L38">
        <f t="shared" si="1"/>
        <v>216.469779968251</v>
      </c>
    </row>
    <row r="39" x14ac:dyDescent="0.25">
      <c r="B39">
        <v>-64.5</v>
      </c>
      <c r="C39">
        <f t="shared" si="0"/>
      </c>
      <c r="D39">
        <v>2.968308053935253</v>
      </c>
      <c r="E39">
        <v>0.0</v>
      </c>
      <c r="F39">
        <v>0.0</v>
      </c>
      <c r="G39">
        <v>247.03169194606474</v>
      </c>
      <c r="H39">
        <v>0.0</v>
      </c>
      <c r="J39">
        <v>28.073541864743618</v>
      </c>
      <c r="K39">
        <v>80.494760566134</v>
      </c>
      <c r="L39">
        <f t="shared" si="1"/>
        <v>217.147083729487</v>
      </c>
    </row>
    <row r="40" x14ac:dyDescent="0.25">
      <c r="B40">
        <v>-64</v>
      </c>
      <c r="C40">
        <f t="shared" si="0"/>
      </c>
      <c r="D40">
        <v>3.0773839400026244</v>
      </c>
      <c r="E40">
        <v>0.0</v>
      </c>
      <c r="F40">
        <v>0.0</v>
      </c>
      <c r="G40">
        <v>246.92261605999738</v>
      </c>
      <c r="H40">
        <v>0.0</v>
      </c>
      <c r="J40">
        <v>28.093324350116518</v>
      </c>
      <c r="K40">
        <v>80.8964737626687</v>
      </c>
      <c r="L40">
        <f t="shared" ref="L40:L71" si="2">(J40-Diagramm_Tmin)/Diagramm_dT+1</f>
        <v>217.186648700233</v>
      </c>
    </row>
    <row r="41" x14ac:dyDescent="0.25">
      <c r="B41">
        <v>-63.5</v>
      </c>
      <c r="C41">
        <f t="shared" si="0"/>
      </c>
      <c r="D41">
        <v>3.1899965147323135</v>
      </c>
      <c r="E41">
        <v>0.0</v>
      </c>
      <c r="F41">
        <v>0.0</v>
      </c>
      <c r="G41">
        <v>246.81000348526769</v>
      </c>
      <c r="H41">
        <v>0.0</v>
      </c>
      <c r="J41">
        <v>28.05988229179121</v>
      </c>
      <c r="K41">
        <v>81.22476703705271</v>
      </c>
      <c r="L41">
        <f t="shared" si="2"/>
        <v>217.119764583582</v>
      </c>
    </row>
    <row r="42" x14ac:dyDescent="0.25">
      <c r="B42">
        <v>-63</v>
      </c>
      <c r="C42">
        <f t="shared" si="0"/>
      </c>
      <c r="D42">
        <v>3.3062470821726935</v>
      </c>
      <c r="E42">
        <v>0.0</v>
      </c>
      <c r="F42">
        <v>0.0</v>
      </c>
      <c r="G42">
        <v>246.6937529178273</v>
      </c>
      <c r="H42">
        <v>0.0</v>
      </c>
      <c r="J42">
        <v>27.84956025727422</v>
      </c>
      <c r="K42">
        <v>81.68534440677382</v>
      </c>
      <c r="L42">
        <f t="shared" si="2"/>
        <v>216.699120514548</v>
      </c>
    </row>
    <row r="43" x14ac:dyDescent="0.25">
      <c r="B43">
        <v>-62.5</v>
      </c>
      <c r="C43">
        <f t="shared" si="0"/>
      </c>
      <c r="D43">
        <v>3.426239651693705</v>
      </c>
      <c r="E43">
        <v>0.0</v>
      </c>
      <c r="F43">
        <v>0.0</v>
      </c>
      <c r="G43">
        <v>246.5737603483063</v>
      </c>
      <c r="H43">
        <v>0.0</v>
      </c>
      <c r="J43">
        <v>27.76666564421936</v>
      </c>
      <c r="K43">
        <v>81.83831957803791</v>
      </c>
      <c r="L43">
        <f t="shared" si="2"/>
        <v>216.533331288439</v>
      </c>
    </row>
    <row r="44" x14ac:dyDescent="0.25">
      <c r="B44">
        <v>-62</v>
      </c>
      <c r="C44">
        <f t="shared" si="0"/>
      </c>
      <c r="D44">
        <v>3.5500810290707134</v>
      </c>
      <c r="E44">
        <v>0.0</v>
      </c>
      <c r="F44">
        <v>0.0</v>
      </c>
      <c r="G44">
        <v>246.44991897092928</v>
      </c>
      <c r="H44">
        <v>0.0</v>
      </c>
      <c r="J44">
        <v>27.54550628587981</v>
      </c>
      <c r="K44">
        <v>82.0753015969954</v>
      </c>
      <c r="L44">
        <f t="shared" si="2"/>
        <v>216.09101257176</v>
      </c>
    </row>
    <row r="45" x14ac:dyDescent="0.25">
      <c r="B45">
        <v>-61.5</v>
      </c>
      <c r="C45">
        <f t="shared" si="0"/>
      </c>
      <c r="D45">
        <v>3.6778809162695403</v>
      </c>
      <c r="E45">
        <v>0.0</v>
      </c>
      <c r="F45">
        <v>0.0</v>
      </c>
      <c r="G45">
        <v>246.32211908373046</v>
      </c>
      <c r="H45">
        <v>0.0</v>
      </c>
      <c r="J45">
        <v>27.44783356695052</v>
      </c>
      <c r="K45">
        <v>82.1274401291867</v>
      </c>
      <c r="L45">
        <f t="shared" si="2"/>
        <v>215.895667133901</v>
      </c>
    </row>
    <row r="46" x14ac:dyDescent="0.25">
      <c r="B46">
        <v>-61</v>
      </c>
      <c r="C46">
        <f t="shared" si="0"/>
      </c>
      <c r="D46">
        <v>3.8097520224647976</v>
      </c>
      <c r="E46">
        <v>0.0</v>
      </c>
      <c r="F46">
        <v>0.0</v>
      </c>
      <c r="G46">
        <v>246.1902479775352</v>
      </c>
      <c r="H46">
        <v>0.0</v>
      </c>
      <c r="J46">
        <v>27.21311799338457</v>
      </c>
      <c r="K46">
        <v>82.17759431791859</v>
      </c>
      <c r="L46">
        <f t="shared" si="2"/>
        <v>215.426235986769</v>
      </c>
    </row>
    <row r="47" x14ac:dyDescent="0.25">
      <c r="B47">
        <v>-60.5</v>
      </c>
      <c r="C47">
        <f t="shared" si="0"/>
      </c>
      <c r="D47">
        <v>3.9458101900827693</v>
      </c>
      <c r="E47">
        <v>0.0</v>
      </c>
      <c r="F47">
        <v>0.0</v>
      </c>
      <c r="G47">
        <v>246.05418980991723</v>
      </c>
      <c r="H47">
        <v>0.0</v>
      </c>
      <c r="J47">
        <v>26.914682352240902</v>
      </c>
      <c r="K47">
        <v>82.1425686730715</v>
      </c>
      <c r="L47">
        <f t="shared" si="2"/>
        <v>214.829364704482</v>
      </c>
    </row>
    <row r="48" x14ac:dyDescent="0.25">
      <c r="B48">
        <v>-60</v>
      </c>
      <c r="C48" t="str">
        <f t="shared" si="0"/>
        <v>-60</v>
      </c>
      <c r="D48">
        <v>4.086174541804222</v>
      </c>
      <c r="E48">
        <v>0.0</v>
      </c>
      <c r="F48">
        <v>0.0</v>
      </c>
      <c r="G48">
        <v>245.9138254581958</v>
      </c>
      <c r="H48">
        <v>0.0</v>
      </c>
      <c r="J48">
        <v>26.112170954875467</v>
      </c>
      <c r="K48">
        <v>81.79028637846925</v>
      </c>
      <c r="L48">
        <f t="shared" si="2"/>
        <v>213.224341909751</v>
      </c>
    </row>
    <row r="49" x14ac:dyDescent="0.25">
      <c r="B49">
        <v>-59.5</v>
      </c>
      <c r="C49">
        <f t="shared" si="0"/>
      </c>
      <c r="D49">
        <v>4.230967658336528</v>
      </c>
      <c r="E49">
        <v>0.0</v>
      </c>
      <c r="F49">
        <v>0.0</v>
      </c>
      <c r="G49">
        <v>245.76903234166346</v>
      </c>
      <c r="H49">
        <v>0.0</v>
      </c>
      <c r="J49">
        <v>25.954721274532744</v>
      </c>
      <c r="K49">
        <v>81.6863260498552</v>
      </c>
      <c r="L49">
        <f t="shared" si="2"/>
        <v>212.909442549066</v>
      </c>
    </row>
    <row r="50" x14ac:dyDescent="0.25">
      <c r="B50">
        <v>-59</v>
      </c>
      <c r="C50">
        <f t="shared" si="0"/>
      </c>
      <c r="D50">
        <v>4.3803158042993156</v>
      </c>
      <c r="E50">
        <v>0.0</v>
      </c>
      <c r="F50">
        <v>0.0</v>
      </c>
      <c r="G50">
        <v>245.61968419570067</v>
      </c>
      <c r="H50">
        <v>0.0</v>
      </c>
      <c r="J50">
        <v>23.00783837187086</v>
      </c>
      <c r="K50">
        <v>79.40389630617204</v>
      </c>
      <c r="L50">
        <f t="shared" si="2"/>
        <v>207.015676743742</v>
      </c>
    </row>
    <row r="51" x14ac:dyDescent="0.25">
      <c r="B51">
        <v>-58.5</v>
      </c>
      <c r="C51">
        <f t="shared" si="0"/>
      </c>
      <c r="D51">
        <v>4.534349235691668</v>
      </c>
      <c r="E51">
        <v>0.0</v>
      </c>
      <c r="F51">
        <v>0.0</v>
      </c>
      <c r="G51">
        <v>245.46565076430832</v>
      </c>
      <c r="H51">
        <v>0.0</v>
      </c>
      <c r="J51">
        <v>20.060955469208977</v>
      </c>
      <c r="K51">
        <v>76.7066430471089</v>
      </c>
      <c r="L51">
        <f t="shared" si="2"/>
        <v>201.121910938418</v>
      </c>
    </row>
    <row r="52" x14ac:dyDescent="0.25">
      <c r="B52">
        <v>-58</v>
      </c>
      <c r="C52">
        <f t="shared" si="0"/>
      </c>
      <c r="D52">
        <v>4.693202661676246</v>
      </c>
      <c r="E52">
        <v>0.0</v>
      </c>
      <c r="F52">
        <v>0.0</v>
      </c>
      <c r="G52">
        <v>245.30679733832375</v>
      </c>
      <c r="H52">
        <v>0.0</v>
      </c>
      <c r="J52">
        <v>17.114072566547097</v>
      </c>
      <c r="K52">
        <v>73.91727316067251</v>
      </c>
      <c r="L52">
        <f t="shared" si="2"/>
        <v>195.228145133094</v>
      </c>
    </row>
    <row r="53" x14ac:dyDescent="0.25">
      <c r="B53">
        <v>-57.5</v>
      </c>
      <c r="C53">
        <f t="shared" si="0"/>
      </c>
      <c r="D53">
        <v>4.85701604896072</v>
      </c>
      <c r="E53">
        <v>0.0</v>
      </c>
      <c r="F53">
        <v>0.0</v>
      </c>
      <c r="G53">
        <v>245.14298395103927</v>
      </c>
      <c r="H53">
        <v>0.0</v>
      </c>
      <c r="J53">
        <v>14.167189663885214</v>
      </c>
      <c r="K53">
        <v>71.16224132812172</v>
      </c>
      <c r="L53">
        <f t="shared" si="2"/>
        <v>189.33437932777</v>
      </c>
    </row>
    <row r="54" x14ac:dyDescent="0.25">
      <c r="B54">
        <v>-57</v>
      </c>
      <c r="C54">
        <f t="shared" si="0"/>
      </c>
      <c r="D54">
        <v>5.025936424969898</v>
      </c>
      <c r="E54">
        <v>0.0</v>
      </c>
      <c r="F54">
        <v>0.0</v>
      </c>
      <c r="G54">
        <v>244.9740635750301</v>
      </c>
      <c r="H54">
        <v>0.0</v>
      </c>
      <c r="J54">
        <v>11.22030676122333</v>
      </c>
      <c r="K54">
        <v>68.4991054496131</v>
      </c>
      <c r="L54">
        <f t="shared" si="2"/>
        <v>183.440613522447</v>
      </c>
    </row>
    <row r="55" x14ac:dyDescent="0.25">
      <c r="B55">
        <v>-56.5</v>
      </c>
      <c r="C55">
        <f t="shared" si="0"/>
      </c>
      <c r="D55">
        <v>5.491986079944975</v>
      </c>
      <c r="E55">
        <v>-43.321938775399936</v>
      </c>
      <c r="F55">
        <v>0.0</v>
      </c>
      <c r="G55">
        <v>242.1072044087119</v>
      </c>
      <c r="H55">
        <v>45.722748286743055</v>
      </c>
      <c r="J55">
        <v>8.27342385856145</v>
      </c>
      <c r="K55">
        <v>65.9508686829668</v>
      </c>
      <c r="L55">
        <f t="shared" si="2"/>
        <v>177.546847717123</v>
      </c>
    </row>
    <row r="56" x14ac:dyDescent="0.25">
      <c r="B56">
        <v>-56</v>
      </c>
      <c r="C56">
        <f t="shared" si="0"/>
      </c>
      <c r="D56">
        <v>5.612743937180197</v>
      </c>
      <c r="E56">
        <v>-19.57365776923474</v>
      </c>
      <c r="F56">
        <v>0.0</v>
      </c>
      <c r="G56">
        <v>218.6546435409031</v>
      </c>
      <c r="H56">
        <v>45.30627029115145</v>
      </c>
      <c r="J56">
        <v>5.326540955899567</v>
      </c>
      <c r="K56">
        <v>63.532027644965225</v>
      </c>
      <c r="L56">
        <f t="shared" si="2"/>
        <v>171.653081911799</v>
      </c>
    </row>
    <row r="57" x14ac:dyDescent="0.25">
      <c r="B57">
        <v>-55.5</v>
      </c>
      <c r="C57">
        <f t="shared" si="0"/>
      </c>
      <c r="D57">
        <v>5.735507668238733</v>
      </c>
      <c r="E57">
        <v>4.277647848094631</v>
      </c>
      <c r="F57">
        <v>0.0</v>
      </c>
      <c r="G57">
        <v>195.08860930988234</v>
      </c>
      <c r="H57">
        <v>44.89823517378429</v>
      </c>
      <c r="J57">
        <v>2.3796580532376836</v>
      </c>
      <c r="K57">
        <v>61.252710857907914</v>
      </c>
      <c r="L57">
        <f t="shared" si="2"/>
        <v>165.759316106475</v>
      </c>
    </row>
    <row r="58" x14ac:dyDescent="0.25">
      <c r="B58">
        <v>-55</v>
      </c>
      <c r="C58">
        <f t="shared" si="0"/>
      </c>
      <c r="D58">
        <v>5.860298777967014</v>
      </c>
      <c r="E58">
        <v>28.232206246358245</v>
      </c>
      <c r="F58">
        <v>0.0</v>
      </c>
      <c r="G58">
        <v>171.40910171565417</v>
      </c>
      <c r="H58">
        <v>44.49839326002055</v>
      </c>
      <c r="J58">
        <v>-0.5672248494241998</v>
      </c>
      <c r="K58">
        <v>59.11911153019464</v>
      </c>
      <c r="L58">
        <f t="shared" si="2"/>
        <v>159.865550301152</v>
      </c>
    </row>
    <row r="59" x14ac:dyDescent="0.25">
      <c r="B59">
        <v>-54.5</v>
      </c>
      <c r="C59">
        <f t="shared" si="0"/>
      </c>
      <c r="D59">
        <v>5.987138859180044</v>
      </c>
      <c r="E59">
        <v>52.290236706728436</v>
      </c>
      <c r="F59">
        <v>0.0</v>
      </c>
      <c r="G59">
        <v>147.61612075821634</v>
      </c>
      <c r="H59">
        <v>44.10650367587518</v>
      </c>
      <c r="J59">
        <v>-3.5141077520860833</v>
      </c>
      <c r="K59">
        <v>57.13569820573583</v>
      </c>
      <c r="L59">
        <f t="shared" si="2"/>
        <v>153.971784495828</v>
      </c>
    </row>
    <row r="60" x14ac:dyDescent="0.25">
      <c r="B60">
        <v>-54</v>
      </c>
      <c r="C60">
        <f t="shared" si="0"/>
      </c>
      <c r="D60">
        <v>6.116049592664322</v>
      </c>
      <c r="E60">
        <v>76.45195000624881</v>
      </c>
      <c r="F60">
        <v>0.0</v>
      </c>
      <c r="G60">
        <v>123.70966643756657</v>
      </c>
      <c r="H60">
        <v>43.722333963520306</v>
      </c>
      <c r="J60">
        <v>-6.460990654747967</v>
      </c>
      <c r="K60">
        <v>55.304834874033894</v>
      </c>
      <c r="L60">
        <f t="shared" si="2"/>
        <v>148.078018690504</v>
      </c>
    </row>
    <row r="61" x14ac:dyDescent="0.25">
      <c r="B61">
        <v>-53.5</v>
      </c>
      <c r="C61">
        <f t="shared" si="0"/>
      </c>
      <c r="D61">
        <v>6.2470527471981425</v>
      </c>
      <c r="E61">
        <v>100.71754902042227</v>
      </c>
      <c r="F61">
        <v>0.0</v>
      </c>
      <c r="G61">
        <v>99.68973875370938</v>
      </c>
      <c r="H61">
        <v>43.345659478670214</v>
      </c>
      <c r="J61">
        <v>-9.407873557409843</v>
      </c>
      <c r="K61">
        <v>53.62849446525079</v>
      </c>
      <c r="L61">
        <f t="shared" si="2"/>
        <v>142.18425288518</v>
      </c>
    </row>
    <row r="62" x14ac:dyDescent="0.25">
      <c r="B62">
        <v>-53</v>
      </c>
      <c r="C62">
        <f t="shared" si="0"/>
      </c>
      <c r="D62">
        <v>6.380170179576498</v>
      </c>
      <c r="E62">
        <v>125.08722989143178</v>
      </c>
      <c r="F62">
        <v>0.0</v>
      </c>
      <c r="G62">
        <v>75.55633770664022</v>
      </c>
      <c r="H62">
        <v>42.9762622223515</v>
      </c>
      <c r="J62">
        <v>-12.354756460071727</v>
      </c>
      <c r="K62">
        <v>52.10856685825704</v>
      </c>
      <c r="L62">
        <f t="shared" si="2"/>
        <v>136.290487079857</v>
      </c>
    </row>
    <row r="63" x14ac:dyDescent="0.25">
      <c r="B63">
        <v>-52.5</v>
      </c>
      <c r="C63">
        <f t="shared" si="0"/>
      </c>
      <c r="D63">
        <v>6.515423834789724</v>
      </c>
      <c r="E63">
        <v>149.56117636254928</v>
      </c>
      <c r="F63">
        <v>0.0</v>
      </c>
      <c r="G63">
        <v>51.3094632963637</v>
      </c>
      <c r="H63">
        <v>42.6139365062973</v>
      </c>
      <c r="J63">
        <v>-15.30163936273361</v>
      </c>
      <c r="K63">
        <v>50.74701781693424</v>
      </c>
      <c r="L63">
        <f t="shared" si="2"/>
        <v>130.396721274533</v>
      </c>
    </row>
    <row r="64" x14ac:dyDescent="0.25">
      <c r="B64">
        <v>-52</v>
      </c>
      <c r="C64">
        <f t="shared" si="0"/>
      </c>
      <c r="D64">
        <v>6.652835746076767</v>
      </c>
      <c r="E64">
        <v>174.1395708202001</v>
      </c>
      <c r="F64">
        <v>0.0</v>
      </c>
      <c r="G64">
        <v>26.94911552287752</v>
      </c>
      <c r="H64">
        <v>42.25847791084562</v>
      </c>
      <c r="J64">
        <v>-18.248522265395493</v>
      </c>
      <c r="K64">
        <v>49.54604618081325</v>
      </c>
      <c r="L64">
        <f t="shared" si="2"/>
        <v>124.502955469209</v>
      </c>
    </row>
    <row r="65" x14ac:dyDescent="0.25">
      <c r="B65">
        <v>-51.5</v>
      </c>
      <c r="C65">
        <f t="shared" si="0"/>
      </c>
      <c r="D65">
        <v>6.792428035143282</v>
      </c>
      <c r="E65">
        <v>198.8225866314224</v>
      </c>
      <c r="F65">
        <v>0.0</v>
      </c>
      <c r="G65">
        <v>2.475294386179314</v>
      </c>
      <c r="H65">
        <v>41.90969094725499</v>
      </c>
      <c r="J65">
        <v>-21.195405168057377</v>
      </c>
      <c r="K65">
        <v>48.5082279609618</v>
      </c>
      <c r="L65">
        <f t="shared" si="2"/>
        <v>118.609189663885</v>
      </c>
    </row>
    <row r="66" x14ac:dyDescent="0.25">
      <c r="B66">
        <v>-51</v>
      </c>
      <c r="C66">
        <f t="shared" si="0"/>
      </c>
      <c r="D66">
        <v>6.934222912389705</v>
      </c>
      <c r="E66">
        <v>201.49839048002895</v>
      </c>
      <c r="F66">
        <v>0.0</v>
      </c>
      <c r="G66">
        <v>0.0</v>
      </c>
      <c r="H66">
        <v>41.567386607581334</v>
      </c>
      <c r="J66">
        <v>-24.14228807071926</v>
      </c>
      <c r="K66">
        <v>47.63667813891892</v>
      </c>
      <c r="L66">
        <f t="shared" si="2"/>
        <v>112.715423858561</v>
      </c>
    </row>
    <row r="67" x14ac:dyDescent="0.25">
      <c r="B67">
        <v>-50.5</v>
      </c>
      <c r="C67">
        <f t="shared" si="0"/>
      </c>
      <c r="D67">
        <v>7.078242677101972</v>
      </c>
      <c r="E67">
        <v>201.69061626761874</v>
      </c>
      <c r="F67">
        <v>0.0</v>
      </c>
      <c r="G67">
        <v>0.0</v>
      </c>
      <c r="H67">
        <v>41.23114105527928</v>
      </c>
      <c r="J67">
        <v>-27.089170973381144</v>
      </c>
      <c r="K67">
        <v>46.935238191457664</v>
      </c>
      <c r="L67">
        <f t="shared" si="2"/>
        <v>106.821658053238</v>
      </c>
    </row>
    <row r="68" x14ac:dyDescent="0.25">
      <c r="B68">
        <v>-50</v>
      </c>
      <c r="C68">
        <f t="shared" si="0"/>
      </c>
      <c r="D68">
        <v>7.224509717848902</v>
      </c>
      <c r="E68">
        <v>201.87398971257522</v>
      </c>
      <c r="F68">
        <v>0.0</v>
      </c>
      <c r="G68">
        <v>0.0</v>
      </c>
      <c r="H68">
        <v>40.901500569575866</v>
      </c>
      <c r="J68">
        <v>-30.036053876043027</v>
      </c>
      <c r="K68">
        <v>46.40892779619076</v>
      </c>
      <c r="L68">
        <f t="shared" si="2"/>
        <v>100.927892247914</v>
      </c>
    </row>
    <row r="69" x14ac:dyDescent="0.25">
      <c r="B69">
        <v>-49.5</v>
      </c>
      <c r="C69">
        <f t="shared" si="0"/>
      </c>
      <c r="D69">
        <v>7.37304651271035</v>
      </c>
      <c r="E69">
        <v>202.04938258815807</v>
      </c>
      <c r="F69">
        <v>0.0</v>
      </c>
      <c r="G69">
        <v>0.0</v>
      </c>
      <c r="H69">
        <v>40.57757089913159</v>
      </c>
      <c r="J69">
        <v>-32.98293677870491</v>
      </c>
      <c r="K69">
        <v>46.063863329321116</v>
      </c>
      <c r="L69">
        <f t="shared" si="2"/>
        <v>95.0341264425902</v>
      </c>
    </row>
    <row r="70" x14ac:dyDescent="0.25">
      <c r="B70">
        <v>-49</v>
      </c>
      <c r="C70">
        <f t="shared" si="0"/>
      </c>
      <c r="D70">
        <v>7.523875629724679</v>
      </c>
      <c r="E70">
        <v>202.21669693946419</v>
      </c>
      <c r="F70">
        <v>0.0</v>
      </c>
      <c r="G70">
        <v>0.0</v>
      </c>
      <c r="H70">
        <v>40.25942743081113</v>
      </c>
      <c r="J70">
        <v>-35.92981968136679</v>
      </c>
      <c r="K70">
        <v>45.90723594075885</v>
      </c>
      <c r="L70">
        <f t="shared" si="2"/>
        <v>89.1403606372664</v>
      </c>
    </row>
    <row r="71" x14ac:dyDescent="0.25">
      <c r="B71">
        <v>-48.5</v>
      </c>
      <c r="C71">
        <f t="shared" si="0"/>
      </c>
      <c r="D71">
        <v>7.677019727294373</v>
      </c>
      <c r="E71">
        <v>202.37607050637166</v>
      </c>
      <c r="F71">
        <v>0.0</v>
      </c>
      <c r="G71">
        <v>0.0</v>
      </c>
      <c r="H71">
        <v>39.946909766333974</v>
      </c>
      <c r="J71">
        <v>-38.87670258402868</v>
      </c>
      <c r="K71">
        <v>45.94841211929595</v>
      </c>
      <c r="L71">
        <f t="shared" si="2"/>
        <v>83.2465948319426</v>
      </c>
    </row>
    <row r="72" x14ac:dyDescent="0.25">
      <c r="B72">
        <v>-48</v>
      </c>
      <c r="C72">
        <f t="shared" ref="C72:C135" si="3">IF(MOD(B72,20)=0,TEXT(B72,"0"),"")</f>
      </c>
      <c r="D72">
        <v>7.832421860423638</v>
      </c>
      <c r="E72">
        <v>202.52763589515823</v>
      </c>
      <c r="F72">
        <v>0.0</v>
      </c>
      <c r="G72">
        <v>0.0</v>
      </c>
      <c r="H72">
        <v>39.639942244418144</v>
      </c>
      <c r="J72">
        <v>-41.82358548669056</v>
      </c>
      <c r="K72">
        <v>46.19906548188036</v>
      </c>
      <c r="L72">
        <f t="shared" ref="L72:L77" si="4">(J72-Diagramm_Tmin)/Diagramm_dT+1</f>
        <v>77.3528290266189</v>
      </c>
    </row>
    <row r="73" x14ac:dyDescent="0.25">
      <c r="B73">
        <v>-47.5</v>
      </c>
      <c r="C73">
        <f t="shared" si="3"/>
      </c>
      <c r="D73">
        <v>7.990343952466392</v>
      </c>
      <c r="E73">
        <v>202.67152078069856</v>
      </c>
      <c r="F73">
        <v>0.0</v>
      </c>
      <c r="G73">
        <v>0.0</v>
      </c>
      <c r="H73">
        <v>39.33813526683506</v>
      </c>
      <c r="J73">
        <v>-44.77046838935243</v>
      </c>
      <c r="K73">
        <v>46.67373477512266</v>
      </c>
      <c r="L73">
        <f t="shared" si="4"/>
        <v>71.4590632212951</v>
      </c>
    </row>
    <row r="74" x14ac:dyDescent="0.25">
      <c r="B74">
        <v>-47</v>
      </c>
      <c r="C74">
        <f t="shared" si="3"/>
      </c>
      <c r="D74">
        <v>8.150569853168372</v>
      </c>
      <c r="E74">
        <v>202.8078480995598</v>
      </c>
      <c r="F74">
        <v>0.0</v>
      </c>
      <c r="G74">
        <v>0.0</v>
      </c>
      <c r="H74">
        <v>39.04158204727181</v>
      </c>
      <c r="J74">
        <v>-47.717351292014314</v>
      </c>
      <c r="K74">
        <v>47.39052986281504</v>
      </c>
      <c r="L74">
        <f t="shared" si="4"/>
        <v>65.5652974159714</v>
      </c>
    </row>
    <row r="75" x14ac:dyDescent="0.25">
      <c r="B75">
        <v>-46.5</v>
      </c>
      <c r="C75">
        <f t="shared" si="3"/>
      </c>
      <c r="D75">
        <v>8.313202281845648</v>
      </c>
      <c r="E75">
        <v>202.93673623452793</v>
      </c>
      <c r="F75">
        <v>0.0</v>
      </c>
      <c r="G75">
        <v>0.0</v>
      </c>
      <c r="H75">
        <v>38.750061483626425</v>
      </c>
      <c r="J75">
        <v>-50.6642341946762</v>
      </c>
      <c r="K75">
        <v>48.37203232032768</v>
      </c>
      <c r="L75">
        <f t="shared" si="4"/>
        <v>59.6715316106476</v>
      </c>
    </row>
    <row r="76" x14ac:dyDescent="0.25">
      <c r="B76">
        <v>-46</v>
      </c>
      <c r="C76">
        <f t="shared" si="3"/>
      </c>
      <c r="D76">
        <v>8.47826435672414</v>
      </c>
      <c r="E76">
        <v>203.05829919095555</v>
      </c>
      <c r="F76">
        <v>0.0</v>
      </c>
      <c r="G76">
        <v>0.0</v>
      </c>
      <c r="H76">
        <v>38.463436452320316</v>
      </c>
      <c r="J76">
        <v>-53.61111709733808</v>
      </c>
      <c r="K76">
        <v>49.64645956322123</v>
      </c>
      <c r="L76">
        <f t="shared" si="4"/>
        <v>53.7777658053238</v>
      </c>
    </row>
    <row r="77" x14ac:dyDescent="0.25">
      <c r="B77">
        <v>-45.5</v>
      </c>
      <c r="C77">
        <f t="shared" si="3"/>
      </c>
      <c r="D77">
        <v>8.645779289903516</v>
      </c>
      <c r="E77">
        <v>203.17264676543894</v>
      </c>
      <c r="F77">
        <v>0.0</v>
      </c>
      <c r="G77">
        <v>0.0</v>
      </c>
      <c r="H77">
        <v>38.18157394465755</v>
      </c>
      <c r="J77">
        <v>-56.557999999999964</v>
      </c>
      <c r="K77">
        <v>51.24917885891172</v>
      </c>
      <c r="L77">
        <f t="shared" si="4"/>
        <v>47.8840000000001</v>
      </c>
    </row>
    <row r="78" x14ac:dyDescent="0.25">
      <c r="B78">
        <v>-45</v>
      </c>
      <c r="C78">
        <f t="shared" si="3"/>
      </c>
      <c r="D78">
        <v>8.81577038817785</v>
      </c>
      <c r="E78">
        <v>203.27988470717835</v>
      </c>
      <c r="F78">
        <v>0.0</v>
      </c>
      <c r="G78">
        <v>0.0</v>
      </c>
      <c r="H78">
        <v>37.90434490464379</v>
      </c>
    </row>
    <row r="79" x14ac:dyDescent="0.25">
      <c r="B79">
        <v>-44.5</v>
      </c>
      <c r="C79">
        <f t="shared" si="3"/>
      </c>
      <c r="D79">
        <v>8.98826105374781</v>
      </c>
      <c r="E79">
        <v>203.38011487239996</v>
      </c>
      <c r="F79">
        <v>0.0</v>
      </c>
      <c r="G79">
        <v>0.0</v>
      </c>
      <c r="H79">
        <v>37.63162407385224</v>
      </c>
      <c r="I79" s="10" t="s">
        <v>378</v>
      </c>
      <c r="J79">
        <v>-80</v>
      </c>
      <c r="K79">
        <v>0.89239999999999997</v>
      </c>
      <c r="L79">
        <f t="shared" ref="L79:L103" si="5">(J79-Diagramm_Tmin)/Diagramm_dT+1</f>
        <v>1.0</v>
      </c>
    </row>
    <row r="80" x14ac:dyDescent="0.25">
      <c r="B80">
        <v>-44</v>
      </c>
      <c r="C80">
        <f t="shared" si="3"/>
      </c>
      <c r="D80">
        <v>9.163274785136231</v>
      </c>
      <c r="E80">
        <v>203.4734353722308</v>
      </c>
      <c r="F80">
        <v>0.0</v>
      </c>
      <c r="G80">
        <v>0.0</v>
      </c>
      <c r="H80">
        <v>37.36328984263298</v>
      </c>
      <c r="J80">
        <v>-79.023200000000003</v>
      </c>
      <c r="K80">
        <v>0.9677</v>
      </c>
      <c r="L80">
        <f t="shared" si="5"/>
        <v>2.95359999999999</v>
      </c>
    </row>
    <row r="81" x14ac:dyDescent="0.25">
      <c r="B81">
        <v>-43.5</v>
      </c>
      <c r="C81">
        <f t="shared" si="3"/>
      </c>
      <c r="D81">
        <v>9.340835178114794</v>
      </c>
      <c r="E81">
        <v>203.5599407143332</v>
      </c>
      <c r="F81">
        <v>0.0</v>
      </c>
      <c r="G81">
        <v>0.0</v>
      </c>
      <c r="H81">
        <v>37.09922410755198</v>
      </c>
      <c r="J81">
        <v>-78.046499999999995</v>
      </c>
      <c r="K81">
        <v>1.0486</v>
      </c>
      <c r="L81">
        <f t="shared" si="5"/>
        <v>4.90700000000001</v>
      </c>
    </row>
    <row r="82" x14ac:dyDescent="0.25">
      <c r="B82">
        <v>-43</v>
      </c>
      <c r="C82">
        <f t="shared" si="3"/>
      </c>
      <c r="D82">
        <v>9.520965926582747</v>
      </c>
      <c r="E82">
        <v>203.63972193860764</v>
      </c>
      <c r="F82">
        <v>0.0</v>
      </c>
      <c r="G82">
        <v>0.0</v>
      </c>
      <c r="H82">
        <v>36.8393121348096</v>
      </c>
      <c r="J82">
        <v>-77.069699999999997</v>
      </c>
      <c r="K82">
        <v>1.1353</v>
      </c>
      <c r="L82">
        <f t="shared" si="5"/>
        <v>6.86060000000001</v>
      </c>
    </row>
    <row r="83" x14ac:dyDescent="0.25">
      <c r="B83">
        <v>-42.5</v>
      </c>
      <c r="C83">
        <f t="shared" si="3"/>
      </c>
      <c r="D83">
        <v>9.703690823646632</v>
      </c>
      <c r="E83">
        <v>203.71286674726446</v>
      </c>
      <c r="F83">
        <v>0.0</v>
      </c>
      <c r="G83">
        <v>0.0</v>
      </c>
      <c r="H83">
        <v>36.5834424290889</v>
      </c>
      <c r="J83">
        <v>-76.093000000000004</v>
      </c>
      <c r="K83">
        <v>1.2282999999999999</v>
      </c>
      <c r="L83">
        <f t="shared" si="5"/>
        <v>8.81399999999999</v>
      </c>
    </row>
    <row r="84" x14ac:dyDescent="0.25">
      <c r="B84">
        <v>-42</v>
      </c>
      <c r="C84">
        <f t="shared" si="3"/>
      </c>
      <c r="D84">
        <v>9.889033762673316</v>
      </c>
      <c r="E84">
        <v>203.77945962955687</v>
      </c>
      <c r="F84">
        <v>0.0</v>
      </c>
      <c r="G84">
        <v>0.0</v>
      </c>
      <c r="H84">
        <v>36.331506607769825</v>
      </c>
      <c r="J84">
        <v>-75.116200000000006</v>
      </c>
      <c r="K84">
        <v>1.3280000000000001</v>
      </c>
      <c r="L84">
        <f t="shared" si="5"/>
        <v>10.7676</v>
      </c>
    </row>
    <row r="85" x14ac:dyDescent="0.25">
      <c r="B85">
        <v>-41.5</v>
      </c>
      <c r="C85">
        <f t="shared" si="3"/>
      </c>
      <c r="D85">
        <v>10.077018738400762</v>
      </c>
      <c r="E85">
        <v>203.83958198140675</v>
      </c>
      <c r="F85">
        <v>0.0</v>
      </c>
      <c r="G85">
        <v>0.0</v>
      </c>
      <c r="H85">
        <v>36.0833992801925</v>
      </c>
      <c r="J85">
        <v>-74.139499999999998</v>
      </c>
      <c r="K85">
        <v>1.4346000000000001</v>
      </c>
      <c r="L85">
        <f t="shared" si="5"/>
        <v>12.721</v>
      </c>
    </row>
    <row r="86" x14ac:dyDescent="0.25">
      <c r="B86">
        <v>-41</v>
      </c>
      <c r="C86">
        <f t="shared" si="3"/>
      </c>
      <c r="D86">
        <v>10.26766984805528</v>
      </c>
      <c r="E86">
        <v>203.89331222017265</v>
      </c>
      <c r="F86">
        <v>0.0</v>
      </c>
      <c r="G86">
        <v>0.0</v>
      </c>
      <c r="H86">
        <v>35.83901793177208</v>
      </c>
      <c r="J86">
        <v>-73.162700000000001</v>
      </c>
      <c r="K86">
        <v>1.5488</v>
      </c>
      <c r="L86">
        <f t="shared" si="5"/>
        <v>14.6746</v>
      </c>
    </row>
    <row r="87" x14ac:dyDescent="0.25">
      <c r="B87">
        <v>-40.5</v>
      </c>
      <c r="C87">
        <f t="shared" si="3"/>
      </c>
      <c r="D87">
        <v>10.461011292705777</v>
      </c>
      <c r="E87">
        <v>203.94072589478492</v>
      </c>
      <c r="F87">
        <v>0.0</v>
      </c>
      <c r="G87">
        <v>0.0</v>
      </c>
      <c r="H87">
        <v>35.59826281250931</v>
      </c>
      <c r="J87">
        <v>-72.186000000000007</v>
      </c>
      <c r="K87">
        <v>1.6709000000000001</v>
      </c>
      <c r="L87">
        <f t="shared" si="5"/>
        <v>16.628</v>
      </c>
    </row>
    <row r="88" x14ac:dyDescent="0.25">
      <c r="B88">
        <v>-40</v>
      </c>
      <c r="C88" t="str">
        <f t="shared" si="3"/>
        <v>-40</v>
      </c>
      <c r="D88">
        <v>10.65706737848825</v>
      </c>
      <c r="E88">
        <v>203.98189579147686</v>
      </c>
      <c r="F88">
        <v>0.0</v>
      </c>
      <c r="G88">
        <v>0.0</v>
      </c>
      <c r="H88">
        <v>35.3610368300349</v>
      </c>
      <c r="J88">
        <v>-71.209199999999996</v>
      </c>
      <c r="K88">
        <v>1.8013999999999999</v>
      </c>
      <c r="L88">
        <f t="shared" si="5"/>
        <v>18.5816</v>
      </c>
    </row>
    <row r="89" x14ac:dyDescent="0.25">
      <c r="B89">
        <v>-39.5</v>
      </c>
      <c r="C89">
        <f t="shared" si="3"/>
      </c>
      <c r="D89">
        <v>10.855862517881613</v>
      </c>
      <c r="E89">
        <v>204.01689203529736</v>
      </c>
      <c r="F89">
        <v>0.0</v>
      </c>
      <c r="G89">
        <v>0.0</v>
      </c>
      <c r="H89">
        <v>35.127245446821036</v>
      </c>
      <c r="J89">
        <v>-70.232500000000002</v>
      </c>
      <c r="K89">
        <v>1.9408000000000001</v>
      </c>
      <c r="L89">
        <f t="shared" si="5"/>
        <v>20.535</v>
      </c>
    </row>
    <row r="90" x14ac:dyDescent="0.25">
      <c r="B90">
        <v>-39</v>
      </c>
      <c r="C90">
        <f t="shared" si="3"/>
      </c>
      <c r="D90">
        <v>11.057421231298767</v>
      </c>
      <c r="E90">
        <v>204.04578218759835</v>
      </c>
      <c r="F90">
        <v>0.0</v>
      </c>
      <c r="G90">
        <v>0.0</v>
      </c>
      <c r="H90">
        <v>34.89679658110288</v>
      </c>
      <c r="J90">
        <v>-69.255700000000004</v>
      </c>
      <c r="K90">
        <v>2.0897000000000001</v>
      </c>
      <c r="L90">
        <f t="shared" si="5"/>
        <v>22.4886</v>
      </c>
    </row>
    <row r="91" x14ac:dyDescent="0.25">
      <c r="B91">
        <v>-38.5</v>
      </c>
      <c r="C91">
        <f t="shared" si="3"/>
      </c>
      <c r="D91">
        <v>11.261768148424618</v>
      </c>
      <c r="E91">
        <v>204.068631339663</v>
      </c>
      <c r="F91">
        <v>0.0</v>
      </c>
      <c r="G91">
        <v>0.0</v>
      </c>
      <c r="H91">
        <v>34.66960051191238</v>
      </c>
      <c r="J91">
        <v>-68.278999999999996</v>
      </c>
      <c r="K91">
        <v>2.2484999999999999</v>
      </c>
      <c r="L91">
        <f t="shared" si="5"/>
        <v>24.442</v>
      </c>
    </row>
    <row r="92" x14ac:dyDescent="0.25">
      <c r="B92">
        <v>-38</v>
      </c>
      <c r="C92">
        <f t="shared" si="3"/>
      </c>
      <c r="D92">
        <v>11.46892800980112</v>
      </c>
      <c r="E92">
        <v>204.08550220266577</v>
      </c>
      <c r="F92">
        <v>0.0</v>
      </c>
      <c r="G92">
        <v>0.0</v>
      </c>
      <c r="H92">
        <v>34.445569787533124</v>
      </c>
      <c r="J92">
        <v>-67.302199999999999</v>
      </c>
      <c r="K92">
        <v>2.4180000000000001</v>
      </c>
      <c r="L92">
        <f t="shared" si="5"/>
        <v>26.3956</v>
      </c>
    </row>
    <row r="93" x14ac:dyDescent="0.25">
      <c r="B93">
        <v>-37.5</v>
      </c>
      <c r="C93">
        <f t="shared" si="3"/>
      </c>
      <c r="D93">
        <v>11.678925668469054</v>
      </c>
      <c r="E93">
        <v>204.0964551941201</v>
      </c>
      <c r="F93">
        <v>0.0</v>
      </c>
      <c r="G93">
        <v>0.0</v>
      </c>
      <c r="H93">
        <v>34.22461913741085</v>
      </c>
      <c r="J93">
        <v>-66.325500000000005</v>
      </c>
      <c r="K93">
        <v>2.5985</v>
      </c>
      <c r="L93">
        <f t="shared" si="5"/>
        <v>28.349</v>
      </c>
    </row>
    <row r="94" x14ac:dyDescent="0.25">
      <c r="B94">
        <v>-37</v>
      </c>
      <c r="C94">
        <f t="shared" si="3"/>
      </c>
      <c r="D94">
        <v>11.891786091679583</v>
      </c>
      <c r="E94">
        <v>204.10154852094416</v>
      </c>
      <c r="F94">
        <v>0.0</v>
      </c>
      <c r="G94">
        <v>0.0</v>
      </c>
      <c r="H94">
        <v>34.006665387376245</v>
      </c>
      <c r="J94">
        <v>-65.348699999999994</v>
      </c>
      <c r="K94">
        <v>2.7909999999999999</v>
      </c>
      <c r="L94">
        <f t="shared" si="5"/>
        <v>30.3026</v>
      </c>
    </row>
    <row r="95" x14ac:dyDescent="0.25">
      <c r="B95">
        <v>-36.5</v>
      </c>
      <c r="C95">
        <f t="shared" si="3"/>
      </c>
      <c r="D95">
        <v>12.10753436260065</v>
      </c>
      <c r="E95">
        <v>204.10083825931736</v>
      </c>
      <c r="F95">
        <v>0.0</v>
      </c>
      <c r="G95">
        <v>0.0</v>
      </c>
      <c r="H95">
        <v>33.791627378081984</v>
      </c>
      <c r="J95">
        <v>-64.372</v>
      </c>
      <c r="K95">
        <v>2.9958999999999998</v>
      </c>
      <c r="L95">
        <f t="shared" si="5"/>
        <v>32.256</v>
      </c>
    </row>
    <row r="96" x14ac:dyDescent="0.25">
      <c r="B96">
        <v>-36</v>
      </c>
      <c r="C96">
        <f t="shared" si="3"/>
      </c>
      <c r="D96">
        <v>12.326195682274205</v>
      </c>
      <c r="E96">
        <v>204.09437843144002</v>
      </c>
      <c r="F96">
        <v>0.0</v>
      </c>
      <c r="G96">
        <v>0.0</v>
      </c>
      <c r="H96">
        <v>33.57942588628576</v>
      </c>
      <c r="J96">
        <v>-63.395200000000003</v>
      </c>
      <c r="K96">
        <v>3.214</v>
      </c>
      <c r="L96">
        <f t="shared" si="5"/>
        <v>34.2096</v>
      </c>
    </row>
    <row r="97" x14ac:dyDescent="0.25">
      <c r="B97">
        <v>-35.5</v>
      </c>
      <c r="C97">
        <f t="shared" si="3"/>
      </c>
      <c r="D97">
        <v>12.547795371500028</v>
      </c>
      <c r="E97">
        <v>204.08222107936075</v>
      </c>
      <c r="F97">
        <v>0.0</v>
      </c>
      <c r="G97">
        <v>0.0</v>
      </c>
      <c r="H97">
        <v>33.36998354913921</v>
      </c>
      <c r="J97">
        <v>-62.418500000000002</v>
      </c>
      <c r="K97">
        <v>3.4462000000000002</v>
      </c>
      <c r="L97">
        <f t="shared" si="5"/>
        <v>36.163</v>
      </c>
    </row>
    <row r="98" x14ac:dyDescent="0.25">
      <c r="B98">
        <v>-35</v>
      </c>
      <c r="C98">
        <f t="shared" si="3"/>
      </c>
      <c r="D98">
        <v>12.772358872889802</v>
      </c>
      <c r="E98">
        <v>204.06441633599323</v>
      </c>
      <c r="F98">
        <v>0.0</v>
      </c>
      <c r="G98">
        <v>0.0</v>
      </c>
      <c r="H98">
        <v>33.163224791116974</v>
      </c>
      <c r="J98">
        <v>-61.441699999999997</v>
      </c>
      <c r="K98">
        <v>3.6930000000000001</v>
      </c>
      <c r="L98">
        <f t="shared" si="5"/>
        <v>38.1166</v>
      </c>
    </row>
    <row r="99" x14ac:dyDescent="0.25">
      <c r="B99">
        <v>-34.5</v>
      </c>
      <c r="C99">
        <f t="shared" si="3"/>
      </c>
      <c r="D99">
        <v>12.999911753042955</v>
      </c>
      <c r="E99">
        <v>204.04101249339703</v>
      </c>
      <c r="F99">
        <v>0.0</v>
      </c>
      <c r="G99">
        <v>0.0</v>
      </c>
      <c r="H99">
        <v>32.95907575356</v>
      </c>
      <c r="J99">
        <v>-60.465000000000003</v>
      </c>
      <c r="K99">
        <v>3.9554999999999998</v>
      </c>
      <c r="L99">
        <f t="shared" si="5"/>
        <v>40.07</v>
      </c>
    </row>
    <row r="100" x14ac:dyDescent="0.25">
      <c r="B100">
        <v>-34</v>
      </c>
      <c r="C100">
        <f t="shared" si="3"/>
      </c>
      <c r="D100">
        <v>13.230479704752533</v>
      </c>
      <c r="E100">
        <v>204.0120560685381</v>
      </c>
      <c r="F100">
        <v>0.0</v>
      </c>
      <c r="G100">
        <v>0.0</v>
      </c>
      <c r="H100">
        <v>32.75746422670937</v>
      </c>
      <c r="J100">
        <v>-59.488199999999999</v>
      </c>
      <c r="K100">
        <v>4.2343999999999999</v>
      </c>
      <c r="L100">
        <f t="shared" si="5"/>
        <v>42.0236</v>
      </c>
    </row>
    <row r="101" x14ac:dyDescent="0.25">
      <c r="B101">
        <v>-33.5</v>
      </c>
      <c r="C101">
        <f t="shared" si="3"/>
      </c>
      <c r="D101">
        <v>13.464088549338307</v>
      </c>
      <c r="E101">
        <v>203.97759186657498</v>
      </c>
      <c r="F101">
        <v>0.0</v>
      </c>
      <c r="G101">
        <v>0.0</v>
      </c>
      <c r="H101">
        <v>32.55831958408672</v>
      </c>
      <c r="J101">
        <v>-58.511499999999998</v>
      </c>
      <c r="K101">
        <v>4.5308000000000002</v>
      </c>
      <c r="L101">
        <f t="shared" si="5"/>
        <v>43.977</v>
      </c>
    </row>
    <row r="102" x14ac:dyDescent="0.25">
      <c r="B102">
        <v>-33</v>
      </c>
      <c r="C102">
        <f t="shared" si="3"/>
      </c>
      <c r="D102">
        <v>13.70076423918927</v>
      </c>
      <c r="E102">
        <v>203.93766304177774</v>
      </c>
      <c r="F102">
        <v>0.0</v>
      </c>
      <c r="G102">
        <v>0.0</v>
      </c>
      <c r="H102">
        <v>32.361572719033006</v>
      </c>
      <c r="J102">
        <v>-57.534700000000001</v>
      </c>
      <c r="K102">
        <v>4.8455000000000004</v>
      </c>
      <c r="L102">
        <f t="shared" si="5"/>
        <v>45.9306</v>
      </c>
    </row>
    <row r="103" x14ac:dyDescent="0.25">
      <c r="B103">
        <v>-32.5</v>
      </c>
      <c r="C103">
        <f t="shared" si="3"/>
      </c>
      <c r="D103">
        <v>13.940532860287671</v>
      </c>
      <c r="E103">
        <v>203.8923111562753</v>
      </c>
      <c r="F103">
        <v>0.0</v>
      </c>
      <c r="G103">
        <v>0.0</v>
      </c>
      <c r="H103">
        <v>32.16715598343704</v>
      </c>
      <c r="J103">
        <v>-56.558</v>
      </c>
      <c r="K103">
        <v>5.1795999999999998</v>
      </c>
      <c r="L103">
        <f t="shared" si="5"/>
        <v>47.884</v>
      </c>
    </row>
    <row r="104" x14ac:dyDescent="0.25">
      <c r="B104">
        <v>-32</v>
      </c>
      <c r="C104">
        <f t="shared" si="3"/>
      </c>
      <c r="D104">
        <v>14.183351703185131</v>
      </c>
      <c r="E104">
        <v>203.8415762366523</v>
      </c>
      <c r="F104">
        <v>0.0</v>
      </c>
      <c r="G104">
        <v>0.0</v>
      </c>
      <c r="H104">
        <v>31.975072060162574</v>
      </c>
    </row>
    <row r="105" x14ac:dyDescent="0.25">
      <c r="B105">
        <v>-31.5</v>
      </c>
      <c r="C105">
        <f t="shared" si="3"/>
      </c>
      <c r="D105">
        <v>14.429453924659507</v>
      </c>
      <c r="E105">
        <v>203.7854968285251</v>
      </c>
      <c r="F105">
        <v>0.0</v>
      </c>
      <c r="G105">
        <v>0.0</v>
      </c>
      <c r="H105">
        <v>31.785049246815383</v>
      </c>
      <c r="I105" s="10" t="s">
        <v>379</v>
      </c>
      <c r="J105">
        <v>-56.558</v>
      </c>
      <c r="K105">
        <v>5.1795999999999998</v>
      </c>
      <c r="L105">
        <f t="shared" ref="L105:L119" si="6">(J105-Diagramm_Tmin)/Diagramm_dT+1</f>
        <v>47.884</v>
      </c>
    </row>
    <row r="106" x14ac:dyDescent="0.25">
      <c r="B106">
        <v>-31</v>
      </c>
      <c r="C106">
        <f t="shared" si="3"/>
      </c>
      <c r="D106">
        <v>14.678659233038044</v>
      </c>
      <c r="E106">
        <v>203.7241100492744</v>
      </c>
      <c r="F106">
        <v>0.0</v>
      </c>
      <c r="G106">
        <v>0.0</v>
      </c>
      <c r="H106">
        <v>31.597230717687562</v>
      </c>
      <c r="J106">
        <v>-56.193100000000001</v>
      </c>
      <c r="K106">
        <v>22.274000000000001</v>
      </c>
      <c r="L106">
        <f t="shared" si="6"/>
        <v>48.6138</v>
      </c>
    </row>
    <row r="107" x14ac:dyDescent="0.25">
      <c r="B107">
        <v>-30.5</v>
      </c>
      <c r="C107">
        <f t="shared" si="3"/>
      </c>
      <c r="D107">
        <v>14.931063208978326</v>
      </c>
      <c r="E107">
        <v>203.65745163889017</v>
      </c>
      <c r="F107">
        <v>0.0</v>
      </c>
      <c r="G107">
        <v>0.0</v>
      </c>
      <c r="H107">
        <v>31.4114851521315</v>
      </c>
      <c r="J107">
        <v>-55.828200000000002</v>
      </c>
      <c r="K107">
        <v>39.428800000000003</v>
      </c>
      <c r="L107">
        <f t="shared" si="6"/>
        <v>49.3436</v>
      </c>
    </row>
    <row r="108" x14ac:dyDescent="0.25">
      <c r="B108">
        <v>-30</v>
      </c>
      <c r="C108">
        <f t="shared" si="3"/>
      </c>
      <c r="D108">
        <v>15.186692649944018</v>
      </c>
      <c r="E108">
        <v>203.5855560091868</v>
      </c>
      <c r="F108">
        <v>0.0</v>
      </c>
      <c r="G108">
        <v>0.0</v>
      </c>
      <c r="H108">
        <v>31.22775134086918</v>
      </c>
      <c r="J108">
        <v>-55.463299999999997</v>
      </c>
      <c r="K108">
        <v>56.643999999999998</v>
      </c>
      <c r="L108">
        <f t="shared" si="6"/>
        <v>50.0734</v>
      </c>
    </row>
    <row r="109" x14ac:dyDescent="0.25">
      <c r="B109">
        <v>-29.5</v>
      </c>
      <c r="C109">
        <f t="shared" si="3"/>
      </c>
      <c r="D109">
        <v>15.44557450534102</v>
      </c>
      <c r="E109">
        <v>203.5084562913788</v>
      </c>
      <c r="F109">
        <v>0.0</v>
      </c>
      <c r="G109">
        <v>0.0</v>
      </c>
      <c r="H109">
        <v>31.045969203280194</v>
      </c>
      <c r="J109">
        <v>-55.098399999999998</v>
      </c>
      <c r="K109">
        <v>73.919700000000006</v>
      </c>
      <c r="L109">
        <f t="shared" si="6"/>
        <v>50.8032</v>
      </c>
    </row>
    <row r="110" x14ac:dyDescent="0.25">
      <c r="B110">
        <v>-29</v>
      </c>
      <c r="C110">
        <f t="shared" si="3"/>
      </c>
      <c r="D110">
        <v>15.707735880186359</v>
      </c>
      <c r="E110">
        <v>203.4261843821331</v>
      </c>
      <c r="F110">
        <v>0.0</v>
      </c>
      <c r="G110">
        <v>0.0</v>
      </c>
      <c r="H110">
        <v>30.866079737680554</v>
      </c>
      <c r="J110">
        <v>-54.733600000000003</v>
      </c>
      <c r="K110">
        <v>91.255700000000004</v>
      </c>
      <c r="L110">
        <f t="shared" si="6"/>
        <v>51.5328</v>
      </c>
    </row>
    <row r="111" x14ac:dyDescent="0.25">
      <c r="B111">
        <v>-28.5</v>
      </c>
      <c r="C111">
        <f t="shared" si="3"/>
      </c>
      <c r="D111">
        <v>15.973204038727578</v>
      </c>
      <c r="E111">
        <v>203.33877098820264</v>
      </c>
      <c r="F111">
        <v>0.0</v>
      </c>
      <c r="G111">
        <v>0.0</v>
      </c>
      <c r="H111">
        <v>30.688024973069787</v>
      </c>
      <c r="J111">
        <v>-54.368699999999997</v>
      </c>
      <c r="K111">
        <v>108.6523</v>
      </c>
      <c r="L111">
        <f t="shared" si="6"/>
        <v>52.2626</v>
      </c>
    </row>
    <row r="112" x14ac:dyDescent="0.25">
      <c r="B112">
        <v>-28</v>
      </c>
      <c r="C112">
        <f t="shared" si="3"/>
      </c>
      <c r="D112">
        <v>16.242006408537232</v>
      </c>
      <c r="E112">
        <v>203.2462457539538</v>
      </c>
      <c r="F112">
        <v>0.0</v>
      </c>
      <c r="G112">
        <v>0.0</v>
      </c>
      <c r="H112">
        <v>30.511747837508988</v>
      </c>
      <c r="J112">
        <v>-54.003799999999998</v>
      </c>
      <c r="K112">
        <v>126.1092</v>
      </c>
      <c r="L112">
        <f t="shared" si="6"/>
        <v>52.9924</v>
      </c>
    </row>
    <row r="113" x14ac:dyDescent="0.25">
      <c r="B113">
        <v>-27.5</v>
      </c>
      <c r="C113">
        <f t="shared" si="3"/>
      </c>
      <c r="D113">
        <v>16.514170584509827</v>
      </c>
      <c r="E113">
        <v>203.14863760064185</v>
      </c>
      <c r="F113">
        <v>0.0</v>
      </c>
      <c r="G113">
        <v>0.0</v>
      </c>
      <c r="H113">
        <v>30.33719181484833</v>
      </c>
      <c r="J113">
        <v>-53.6389</v>
      </c>
      <c r="K113">
        <v>143.6266</v>
      </c>
      <c r="L113">
        <f t="shared" si="6"/>
        <v>53.7222</v>
      </c>
    </row>
    <row r="114" x14ac:dyDescent="0.25">
      <c r="B114">
        <v>-27</v>
      </c>
      <c r="C114">
        <f t="shared" si="3"/>
      </c>
      <c r="D114">
        <v>16.78972433319777</v>
      </c>
      <c r="E114">
        <v>203.0459726703199</v>
      </c>
      <c r="F114">
        <v>0.0</v>
      </c>
      <c r="G114">
        <v>0.0</v>
      </c>
      <c r="H114">
        <v>30.164302996482316</v>
      </c>
      <c r="J114">
        <v>-53.274000000000001</v>
      </c>
      <c r="K114">
        <v>161.20439999999999</v>
      </c>
      <c r="L114">
        <f t="shared" si="6"/>
        <v>54.452</v>
      </c>
    </row>
    <row r="115" x14ac:dyDescent="0.25">
      <c r="B115">
        <v>-26.5</v>
      </c>
      <c r="C115">
        <f t="shared" si="3"/>
      </c>
      <c r="D115">
        <v>17.06869559729407</v>
      </c>
      <c r="E115">
        <v>202.9382794071176</v>
      </c>
      <c r="F115">
        <v>0.0</v>
      </c>
      <c r="G115">
        <v>0.0</v>
      </c>
      <c r="H115">
        <v>29.99302499558834</v>
      </c>
      <c r="J115">
        <v>-52.909100000000002</v>
      </c>
      <c r="K115">
        <v>178.84270000000001</v>
      </c>
      <c r="L115">
        <f t="shared" si="6"/>
        <v>55.1818</v>
      </c>
    </row>
    <row r="116" x14ac:dyDescent="0.25">
      <c r="B116">
        <v>-26</v>
      </c>
      <c r="C116">
        <f t="shared" si="3"/>
      </c>
      <c r="D116">
        <v>17.3511125003475</v>
      </c>
      <c r="E116">
        <v>202.82557854484836</v>
      </c>
      <c r="F116">
        <v>0.0</v>
      </c>
      <c r="G116">
        <v>0.0</v>
      </c>
      <c r="H116">
        <v>29.823308954804144</v>
      </c>
      <c r="J116">
        <v>-52.544199999999996</v>
      </c>
      <c r="K116">
        <v>196.54130000000001</v>
      </c>
      <c r="L116">
        <f t="shared" si="6"/>
        <v>55.9116</v>
      </c>
    </row>
    <row r="117" x14ac:dyDescent="0.25">
      <c r="B117">
        <v>-25.5</v>
      </c>
      <c r="C117">
        <f t="shared" si="3"/>
      </c>
      <c r="D117">
        <v>17.63700335161945</v>
      </c>
      <c r="E117">
        <v>202.7078997500766</v>
      </c>
      <c r="F117">
        <v>0.0</v>
      </c>
      <c r="G117">
        <v>0.0</v>
      </c>
      <c r="H117">
        <v>29.65509689830397</v>
      </c>
      <c r="J117">
        <v>-52.179299999999998</v>
      </c>
      <c r="K117">
        <v>214.3005</v>
      </c>
      <c r="L117">
        <f t="shared" si="6"/>
        <v>56.6414</v>
      </c>
    </row>
    <row r="118" x14ac:dyDescent="0.25">
      <c r="B118">
        <v>-25</v>
      </c>
      <c r="C118">
        <f t="shared" si="3"/>
      </c>
      <c r="D118">
        <v>17.92639665124926</v>
      </c>
      <c r="E118">
        <v>202.58526458550972</v>
      </c>
      <c r="F118">
        <v>0.0</v>
      </c>
      <c r="G118">
        <v>0.0</v>
      </c>
      <c r="H118">
        <v>29.488338763241014</v>
      </c>
      <c r="J118">
        <v>-51.814399999999999</v>
      </c>
      <c r="K118">
        <v>232.12</v>
      </c>
      <c r="L118">
        <f t="shared" si="6"/>
        <v>57.3712</v>
      </c>
    </row>
    <row r="119" x14ac:dyDescent="0.25">
      <c r="B119">
        <v>-24.5</v>
      </c>
      <c r="C119">
        <f t="shared" si="3"/>
      </c>
      <c r="D119">
        <v>18.21932109557289</v>
      </c>
      <c r="E119">
        <v>202.45769569754702</v>
      </c>
      <c r="F119">
        <v>0.0</v>
      </c>
      <c r="G119">
        <v>0.0</v>
      </c>
      <c r="H119">
        <v>29.322983206880078</v>
      </c>
      <c r="J119">
        <v>-51.449599999999997</v>
      </c>
      <c r="K119">
        <v>250</v>
      </c>
      <c r="L119">
        <f t="shared" si="6"/>
        <v>58.1008</v>
      </c>
    </row>
    <row r="120" x14ac:dyDescent="0.25">
      <c r="B120">
        <v>-24</v>
      </c>
      <c r="C120">
        <f t="shared" si="3"/>
      </c>
      <c r="D120">
        <v>18.51580558271216</v>
      </c>
      <c r="E120">
        <v>202.32521489797176</v>
      </c>
      <c r="F120">
        <v>0.0</v>
      </c>
      <c r="G120">
        <v>0.0</v>
      </c>
      <c r="H120">
        <v>29.158979519316084</v>
      </c>
    </row>
    <row r="121" x14ac:dyDescent="0.25">
      <c r="B121">
        <v>-23.5</v>
      </c>
      <c r="C121">
        <f t="shared" si="3"/>
      </c>
      <c r="D121">
        <v>18.81587921840704</v>
      </c>
      <c r="E121">
        <v>202.18784332174496</v>
      </c>
      <c r="F121">
        <v>0.0</v>
      </c>
      <c r="G121">
        <v>0.0</v>
      </c>
      <c r="H121">
        <v>28.996277459847995</v>
      </c>
      <c r="I121" s="10" t="s">
        <v>380</v>
      </c>
      <c r="J121">
        <v>-56.558</v>
      </c>
      <c r="K121">
        <v>5.1795999999999998</v>
      </c>
      <c r="L121">
        <f>(J121-Diagramm_Tmin)/Diagramm_dT+1</f>
        <v>47.884</v>
      </c>
    </row>
    <row r="122" x14ac:dyDescent="0.25">
      <c r="B122">
        <v>-23</v>
      </c>
      <c r="C122">
        <f t="shared" si="3"/>
      </c>
      <c r="D122">
        <v>19.119571322090206</v>
      </c>
      <c r="E122">
        <v>202.0456019571549</v>
      </c>
      <c r="F122">
        <v>0.0</v>
      </c>
      <c r="G122">
        <v>0.0</v>
      </c>
      <c r="H122">
        <v>28.834826720754894</v>
      </c>
    </row>
    <row r="123" x14ac:dyDescent="0.25">
      <c r="B123">
        <v>-22.5</v>
      </c>
      <c r="C123">
        <f t="shared" si="3"/>
      </c>
      <c r="D123">
        <v>19.426911433245074</v>
      </c>
      <c r="E123">
        <v>201.8985083145781</v>
      </c>
      <c r="F123">
        <v>0.0</v>
      </c>
      <c r="G123">
        <v>0.0</v>
      </c>
      <c r="H123">
        <v>28.674580252176824</v>
      </c>
      <c r="I123" s="10" t="s">
        <v>515</v>
      </c>
      <c r="J123">
        <v>27.954721274532744</v>
      </c>
      <c r="K123">
        <v>81.45505572191325</v>
      </c>
      <c r="L123">
        <f>(J123-Diagramm_Tmin)/Diagramm_dT+1</f>
        <v>216.909442549066</v>
      </c>
    </row>
    <row r="124" x14ac:dyDescent="0.25">
      <c r="B124">
        <v>-22</v>
      </c>
      <c r="C124">
        <f t="shared" si="3"/>
      </c>
      <c r="D124">
        <v>19.7379293180572</v>
      </c>
      <c r="E124">
        <v>201.74658214138174</v>
      </c>
      <c r="F124">
        <v>0.0</v>
      </c>
      <c r="G124">
        <v>0.0</v>
      </c>
      <c r="H124">
        <v>28.515488540561048</v>
      </c>
    </row>
    <row r="125" x14ac:dyDescent="0.25">
      <c r="B125">
        <v>-21.5</v>
      </c>
      <c r="C125">
        <f t="shared" si="3"/>
      </c>
      <c r="D125">
        <v>20.052654976276475</v>
      </c>
      <c r="E125">
        <v>201.5898409128585</v>
      </c>
      <c r="F125">
        <v>0.0</v>
      </c>
      <c r="G125">
        <v>0.0</v>
      </c>
      <c r="H125">
        <v>28.357504110865033</v>
      </c>
      <c r="I125" s="10" t="s">
        <v>382</v>
      </c>
      <c r="J125">
        <f>Szen1_T1</f>
        <v>15.0</v>
      </c>
      <c r="K125">
        <f>Szen1_p1</f>
        <v>91.0</v>
      </c>
      <c r="L125">
        <f>(J125-Diagramm_Tmin)/Diagramm_dT+1</f>
        <v>191.0</v>
      </c>
    </row>
    <row r="126" x14ac:dyDescent="0.25">
      <c r="B126">
        <v>-21</v>
      </c>
      <c r="C126">
        <f t="shared" si="3"/>
      </c>
      <c r="D126">
        <v>20.371118648517893</v>
      </c>
      <c r="E126">
        <v>201.4283037051779</v>
      </c>
      <c r="F126">
        <v>0.0</v>
      </c>
      <c r="G126">
        <v>0.0</v>
      </c>
      <c r="H126">
        <v>28.20057764630419</v>
      </c>
      <c r="J126">
        <f>Szen1_T2</f>
        <v>18.3956192267019</v>
      </c>
      <c r="K126">
        <f>Szen1_p2</f>
        <v>114.931301982089</v>
      </c>
      <c r="L126">
        <f>(J126-Diagramm_Tmin)/Diagramm_dT+1</f>
        <v>197.791238453404</v>
      </c>
    </row>
    <row r="127" x14ac:dyDescent="0.25">
      <c r="B127">
        <v>-20.5</v>
      </c>
      <c r="C127">
        <f t="shared" si="3"/>
      </c>
      <c r="D127">
        <v>20.693350823792674</v>
      </c>
      <c r="E127">
        <v>201.26198642266996</v>
      </c>
      <c r="F127">
        <v>0.0</v>
      </c>
      <c r="G127">
        <v>0.0</v>
      </c>
      <c r="H127">
        <v>28.044662753537356</v>
      </c>
    </row>
    <row r="128" x14ac:dyDescent="0.25">
      <c r="B128">
        <v>-20</v>
      </c>
      <c r="C128" t="str">
        <f t="shared" si="3"/>
        <v>-20</v>
      </c>
      <c r="D128">
        <v>21.019382247337123</v>
      </c>
      <c r="E128">
        <v>201.0909054067243</v>
      </c>
      <c r="F128">
        <v>0.0</v>
      </c>
      <c r="G128">
        <v>0.0</v>
      </c>
      <c r="H128">
        <v>27.8897123459386</v>
      </c>
      <c r="I128" s="10" t="s">
        <v>516</v>
      </c>
      <c r="J128">
        <f>T_S2</f>
        <v>15.0</v>
      </c>
      <c r="K128">
        <f>p_S2</f>
        <v>30.0</v>
      </c>
      <c r="L128">
        <f>(J128-Diagramm_Tmin)/Diagramm_dT+1</f>
        <v>191.0</v>
      </c>
    </row>
    <row r="129" x14ac:dyDescent="0.25">
      <c r="B129">
        <v>-19.5</v>
      </c>
      <c r="C129">
        <f t="shared" si="3"/>
      </c>
      <c r="D129">
        <v>21.349243928996074</v>
      </c>
      <c r="E129">
        <v>200.91507628805502</v>
      </c>
      <c r="F129">
        <v>0.0</v>
      </c>
      <c r="G129">
        <v>0.0</v>
      </c>
      <c r="H129">
        <v>27.7356797829489</v>
      </c>
      <c r="J129">
        <f>Szen2_T1a</f>
        <v>111.643031535778</v>
      </c>
      <c r="K129">
        <f>p_verfl</f>
        <v>90.0</v>
      </c>
      <c r="L129">
        <f>(J129-Diagramm_Tmin)/Diagramm_dT+1</f>
        <v>384.286063071555</v>
      </c>
    </row>
    <row r="130" x14ac:dyDescent="0.25">
      <c r="B130">
        <v>-19</v>
      </c>
      <c r="C130">
        <f t="shared" si="3"/>
      </c>
      <c r="D130">
        <v>21.68296715169065</v>
      </c>
      <c r="E130">
        <v>200.73451421436408</v>
      </c>
      <c r="F130">
        <v>0.0</v>
      </c>
      <c r="G130">
        <v>0.0</v>
      </c>
      <c r="H130">
        <v>27.582518633945266</v>
      </c>
      <c r="J130">
        <f>T_K</f>
        <v>20.0</v>
      </c>
      <c r="K130">
        <f>p_verfl</f>
        <v>90.0</v>
      </c>
      <c r="L130">
        <f>(J130-Diagramm_Tmin)/Diagramm_dT+1</f>
        <v>201.0</v>
      </c>
    </row>
    <row r="131" x14ac:dyDescent="0.25">
      <c r="B131">
        <v>-18.5</v>
      </c>
      <c r="C131">
        <f t="shared" si="3"/>
      </c>
      <c r="D131">
        <v>22.020583480496693</v>
      </c>
      <c r="E131">
        <v>200.5492338336084</v>
      </c>
      <c r="F131">
        <v>0.0</v>
      </c>
      <c r="G131">
        <v>0.0</v>
      </c>
      <c r="H131">
        <v>27.430182685894895</v>
      </c>
      <c r="J131">
        <f>Szen2_TPa</f>
        <v>24.3564231969026</v>
      </c>
      <c r="K131">
        <f>Kopf_voll</f>
        <v>114.931301982089</v>
      </c>
      <c r="L131">
        <f>(J131-Diagramm_Tmin)/Diagramm_dT+1</f>
        <v>209.712846393805</v>
      </c>
    </row>
    <row r="132" x14ac:dyDescent="0.25">
      <c r="B132">
        <v>-18</v>
      </c>
      <c r="C132">
        <f t="shared" si="3"/>
      </c>
      <c r="D132">
        <v>22.362124772082222</v>
      </c>
      <c r="E132">
        <v>200.35924930374262</v>
      </c>
      <c r="F132">
        <v>0.0</v>
      </c>
      <c r="G132">
        <v>0.0</v>
      </c>
      <c r="H132">
        <v>27.278625924175163</v>
      </c>
    </row>
    <row r="133" x14ac:dyDescent="0.25">
      <c r="B133">
        <v>-17.5</v>
      </c>
      <c r="C133">
        <f t="shared" si="3"/>
      </c>
      <c r="D133">
        <v>22.70762318452608</v>
      </c>
      <c r="E133">
        <v>200.16457433004936</v>
      </c>
      <c r="F133">
        <v>0.0</v>
      </c>
      <c r="G133">
        <v>0.0</v>
      </c>
      <c r="H133">
        <v>27.127802485424557</v>
      </c>
      <c r="I133" s="10" t="s">
        <v>384</v>
      </c>
      <c r="J133">
        <f>T_S2</f>
        <v>15.0</v>
      </c>
      <c r="K133">
        <f>p_S2</f>
        <v>30.0</v>
      </c>
      <c r="L133">
        <f>(J133-Diagramm_Tmin)/Diagramm_dT+1</f>
        <v>191.0</v>
      </c>
    </row>
    <row r="134" x14ac:dyDescent="0.25">
      <c r="B134">
        <v>-17</v>
      </c>
      <c r="C134">
        <f t="shared" si="3"/>
      </c>
      <c r="D134">
        <v>23.057111187672984</v>
      </c>
      <c r="E134">
        <v>199.9652221857022</v>
      </c>
      <c r="F134">
        <v>0.0</v>
      </c>
      <c r="G134">
        <v>0.0</v>
      </c>
      <c r="H134">
        <v>26.977666626624814</v>
      </c>
      <c r="J134">
        <f>Szen2v_T1a</f>
        <v>60.8732700064602</v>
      </c>
      <c r="K134">
        <f>Szen2v_pzw</f>
        <v>51.9615242270663</v>
      </c>
      <c r="L134">
        <f>(J134-Diagramm_Tmin)/Diagramm_dT+1</f>
        <v>282.74654001292</v>
      </c>
    </row>
    <row r="135" x14ac:dyDescent="0.25">
      <c r="B135">
        <v>-16.5</v>
      </c>
      <c r="C135">
        <f t="shared" si="3"/>
      </c>
      <c r="D135">
        <v>23.41062157386636</v>
      </c>
      <c r="E135">
        <v>199.76120573631954</v>
      </c>
      <c r="F135">
        <v>0.0</v>
      </c>
      <c r="G135">
        <v>0.0</v>
      </c>
      <c r="H135">
        <v>26.828172689814085</v>
      </c>
      <c r="J135">
        <f>T_K</f>
        <v>20.0</v>
      </c>
      <c r="K135">
        <f>Szen2v_pzw</f>
        <v>51.9615242270663</v>
      </c>
      <c r="L135">
        <f>(J135-Diagramm_Tmin)/Diagramm_dT+1</f>
        <v>201.0</v>
      </c>
    </row>
    <row r="136" x14ac:dyDescent="0.25">
      <c r="B136">
        <v>-16</v>
      </c>
      <c r="C136">
        <f t="shared" ref="C136:C199" si="7">IF(MOD(B136,20)=0,TEXT(B136,"0"),"")</f>
      </c>
      <c r="D136">
        <v>23.768187469338002</v>
      </c>
      <c r="E136">
        <v>199.55253746297512</v>
      </c>
      <c r="F136">
        <v>0.0</v>
      </c>
      <c r="G136">
        <v>0.0</v>
      </c>
      <c r="H136">
        <v>26.67927506768686</v>
      </c>
      <c r="J136">
        <f>Szen2v_T2a</f>
        <v>65.2029532649887</v>
      </c>
      <c r="K136">
        <f>p_verfl</f>
        <v>90.0</v>
      </c>
      <c r="L136">
        <f>(J136-Diagramm_Tmin)/Diagramm_dT+1</f>
        <v>291.405906529977</v>
      </c>
    </row>
    <row r="137" x14ac:dyDescent="0.25">
      <c r="B137">
        <v>-15.5</v>
      </c>
      <c r="C137">
        <f t="shared" si="7"/>
      </c>
      <c r="D137">
        <v>24.12984234599627</v>
      </c>
      <c r="E137">
        <v>199.33922948474554</v>
      </c>
      <c r="F137">
        <v>0.0</v>
      </c>
      <c r="G137">
        <v>0.0</v>
      </c>
      <c r="H137">
        <v>26.53092816925817</v>
      </c>
    </row>
    <row r="138" x14ac:dyDescent="0.25">
      <c r="B138">
        <v>-15</v>
      </c>
      <c r="C138">
        <f t="shared" si="7"/>
      </c>
      <c r="D138">
        <v>24.495620033870402</v>
      </c>
      <c r="E138">
        <v>199.12129358059838</v>
      </c>
      <c r="F138">
        <v>0.0</v>
      </c>
      <c r="G138">
        <v>0.0</v>
      </c>
      <c r="H138">
        <v>26.383086385531215</v>
      </c>
      <c r="I138" s="10" t="s">
        <v>385</v>
      </c>
      <c r="J138">
        <f>T_S2</f>
        <v>15.0</v>
      </c>
      <c r="K138">
        <f>p_S2</f>
        <v>30.0</v>
      </c>
      <c r="L138">
        <f>(J138-Diagramm_Tmin)/Diagramm_dT+1</f>
        <v>191.0</v>
      </c>
    </row>
    <row r="139" x14ac:dyDescent="0.25">
      <c r="B139">
        <v>-14.5</v>
      </c>
      <c r="C139">
        <f t="shared" si="7"/>
      </c>
      <c r="D139">
        <v>24.865534504483</v>
      </c>
      <c r="E139">
        <v>198.89874121071978</v>
      </c>
      <c r="F139">
        <v>0.0</v>
      </c>
      <c r="G139">
        <v>0.0</v>
      </c>
      <c r="H139">
        <v>26.23572428479723</v>
      </c>
      <c r="J139">
        <f>Dv_T1a</f>
        <v>57.4999844786784</v>
      </c>
      <c r="K139">
        <f>Dv_p1</f>
        <v>50.0</v>
      </c>
      <c r="L139">
        <f>(J139-Diagramm_Tmin)/Diagramm_dT+1</f>
        <v>275.999968957357</v>
      </c>
    </row>
    <row r="140" x14ac:dyDescent="0.25">
      <c r="B140">
        <v>-14</v>
      </c>
      <c r="C140">
        <f t="shared" si="7"/>
      </c>
      <c r="D140">
        <v>25.239681032717183</v>
      </c>
      <c r="E140">
        <v>198.6715835373057</v>
      </c>
      <c r="F140">
        <v>0.0</v>
      </c>
      <c r="G140">
        <v>0.0</v>
      </c>
      <c r="H140">
        <v>26.088735429977124</v>
      </c>
      <c r="J140">
        <f>T_K</f>
        <v>20.0</v>
      </c>
      <c r="K140">
        <f>Dv_p1</f>
        <v>50.0</v>
      </c>
      <c r="L140">
        <f>(J140-Diagramm_Tmin)/Diagramm_dT+1</f>
        <v>201.0</v>
      </c>
    </row>
    <row r="141" x14ac:dyDescent="0.25">
      <c r="B141">
        <v>-13.5</v>
      </c>
      <c r="C141">
        <f t="shared" si="7"/>
      </c>
      <c r="D141">
        <v>25.618033914754317</v>
      </c>
      <c r="E141">
        <v>198.43983144484085</v>
      </c>
      <c r="F141">
        <v>0.0</v>
      </c>
      <c r="G141">
        <v>0.0</v>
      </c>
      <c r="H141">
        <v>25.94213464040484</v>
      </c>
      <c r="J141">
        <f>Dv_T2a</f>
        <v>90.8100858498285</v>
      </c>
      <c r="K141">
        <f>Kopf_voll</f>
        <v>114.931301982089</v>
      </c>
      <c r="L141">
        <f>(J141-Diagramm_Tmin)/Diagramm_dT+1</f>
        <v>342.620171699657</v>
      </c>
    </row>
    <row r="142" x14ac:dyDescent="0.25">
      <c r="B142">
        <v>-13</v>
      </c>
      <c r="C142">
        <f t="shared" si="7"/>
      </c>
      <c r="D142">
        <v>26.000648779532593</v>
      </c>
      <c r="E142">
        <v>198.20349555995858</v>
      </c>
      <c r="F142">
        <v>0.0</v>
      </c>
      <c r="G142">
        <v>0.0</v>
      </c>
      <c r="H142">
        <v>25.795855660508817</v>
      </c>
      <c r="J142">
        <f>Szen2_TPa</f>
        <v>24.3564231969026</v>
      </c>
      <c r="K142">
        <f>Kopf_voll</f>
        <v>114.931301982089</v>
      </c>
      <c r="L142">
        <f>(J142-Diagramm_Tmin)/Diagramm_dT+1</f>
        <v>209.712846393805</v>
      </c>
    </row>
    <row r="143" x14ac:dyDescent="0.25">
      <c r="B143">
        <v>-12.5</v>
      </c>
      <c r="C143">
        <f t="shared" si="7"/>
      </c>
      <c r="D143">
        <v>26.387561456360864</v>
      </c>
      <c r="E143">
        <v>197.9625862709377</v>
      </c>
      <c r="F143">
        <v>0.0</v>
      </c>
      <c r="G143">
        <v>0.0</v>
      </c>
      <c r="H143">
        <v>25.64985227270145</v>
      </c>
    </row>
    <row r="144" x14ac:dyDescent="0.25">
      <c r="B144">
        <v>-12</v>
      </c>
      <c r="C144">
        <f t="shared" si="7"/>
      </c>
      <c r="D144">
        <v>26.77880822122118</v>
      </c>
      <c r="E144">
        <v>197.7171137470621</v>
      </c>
      <c r="F144">
        <v>0.0</v>
      </c>
      <c r="G144">
        <v>0.0</v>
      </c>
      <c r="H144">
        <v>25.504078031716734</v>
      </c>
      <c r="I144" s="10" t="s">
        <v>386</v>
      </c>
      <c r="J144">
        <v>-71.0</v>
      </c>
      <c r="K144">
        <v>70.0</v>
      </c>
      <c r="L144">
        <f>(J144-Diagramm_Tmin)/Diagramm_dT+1</f>
        <v>19.0</v>
      </c>
    </row>
    <row r="145" x14ac:dyDescent="0.25">
      <c r="B145">
        <v>-11.5</v>
      </c>
      <c r="C145">
        <f t="shared" si="7"/>
      </c>
      <c r="D145">
        <v>27.174425814219134</v>
      </c>
      <c r="E145">
        <v>197.46708795775592</v>
      </c>
      <c r="F145">
        <v>0.0</v>
      </c>
      <c r="G145">
        <v>0.0</v>
      </c>
      <c r="H145">
        <v>25.35848622802495</v>
      </c>
      <c r="J145">
        <v>-30.0</v>
      </c>
      <c r="K145">
        <v>105.0</v>
      </c>
      <c r="L145">
        <f>(J145-Diagramm_Tmin)/Diagramm_dT+1</f>
        <v>101.0</v>
      </c>
    </row>
    <row r="146" x14ac:dyDescent="0.25">
      <c r="B146">
        <v>-11</v>
      </c>
      <c r="C146">
        <f t="shared" si="7"/>
      </c>
      <c r="D146">
        <v>27.57445145807483</v>
      </c>
      <c r="E146">
        <v>197.21251869183223</v>
      </c>
      <c r="F146">
        <v>0.0</v>
      </c>
      <c r="G146">
        <v>0.0</v>
      </c>
      <c r="H146">
        <v>25.213029850092948</v>
      </c>
      <c r="J146">
        <v>72.0</v>
      </c>
      <c r="K146">
        <v>12.0</v>
      </c>
      <c r="L146">
        <f>(J146-Diagramm_Tmin)/Diagramm_dT+1</f>
        <v>305.0</v>
      </c>
    </row>
    <row r="147" x14ac:dyDescent="0.25">
      <c r="B147">
        <v>-10.5</v>
      </c>
      <c r="C147">
        <f t="shared" si="7"/>
      </c>
      <c r="D147">
        <v>27.978922877476542</v>
      </c>
      <c r="E147">
        <v>196.95341557692242</v>
      </c>
      <c r="F147">
        <v>0.0</v>
      </c>
      <c r="G147">
        <v>0.0</v>
      </c>
      <c r="H147">
        <v>25.06766154560104</v>
      </c>
      <c r="J147">
        <v>85.0</v>
      </c>
      <c r="K147">
        <v>120.0</v>
      </c>
      <c r="L147">
        <f>(J147-Diagramm_Tmin)/Diagramm_dT+1</f>
        <v>331.0</v>
      </c>
    </row>
    <row r="148" x14ac:dyDescent="0.25">
      <c r="B148">
        <v>-10</v>
      </c>
      <c r="C148">
        <f t="shared" si="7"/>
      </c>
      <c r="D148">
        <v>28.387878319565097</v>
      </c>
      <c r="E148">
        <v>196.68978809933753</v>
      </c>
      <c r="F148">
        <v>0.0</v>
      </c>
      <c r="G148">
        <v>0.0</v>
      </c>
      <c r="H148">
        <v>24.922333581097384</v>
      </c>
      <c r="J148">
        <v>-22.0</v>
      </c>
      <c r="K148">
        <v>34.0</v>
      </c>
      <c r="L148">
        <f>(J148-Diagramm_Tmin)/Diagramm_dT+1</f>
        <v>117.0</v>
      </c>
    </row>
    <row r="149" x14ac:dyDescent="0.25">
      <c r="B149">
        <v>-9.5</v>
      </c>
      <c r="C149">
        <f t="shared" si="7"/>
      </c>
      <c r="D149">
        <v>28.801356575535983</v>
      </c>
      <c r="E149">
        <v>196.42164562456736</v>
      </c>
      <c r="F149">
        <v>0.0</v>
      </c>
      <c r="G149">
        <v>0.0</v>
      </c>
      <c r="H149">
        <v>24.776997799896648</v>
      </c>
      <c r="I149" s="10" t="s">
        <v>387</v>
      </c>
      <c r="J149">
        <v>1.0</v>
      </c>
      <c r="K149">
        <v>91.0</v>
      </c>
      <c r="L149">
        <f t="shared" ref="L149:L156" si="8">(J149-Diagramm_Tmin)/Diagramm_dT+1</f>
        <v>163.0</v>
      </c>
    </row>
    <row r="150" x14ac:dyDescent="0.25">
      <c r="B150">
        <v>-9</v>
      </c>
      <c r="C150">
        <f t="shared" si="7"/>
      </c>
      <c r="D150">
        <v>29.21966600247509</v>
      </c>
      <c r="E150">
        <v>196.14899741868678</v>
      </c>
      <c r="F150">
        <v>0.0</v>
      </c>
      <c r="G150">
        <v>0.0</v>
      </c>
      <c r="H150">
        <v>24.631336578838134</v>
      </c>
      <c r="J150">
        <v>15.0</v>
      </c>
      <c r="K150">
        <v>25.0</v>
      </c>
      <c r="L150">
        <f t="shared" si="8"/>
        <v>191.0</v>
      </c>
    </row>
    <row r="151" x14ac:dyDescent="0.25">
      <c r="B151">
        <v>-8.5</v>
      </c>
      <c r="C151">
        <f t="shared" si="7"/>
      </c>
      <c r="D151">
        <v>29.644089510561468</v>
      </c>
      <c r="E151">
        <v>195.87185267098772</v>
      </c>
      <c r="F151">
        <v>0.0</v>
      </c>
      <c r="G151">
        <v>0.0</v>
      </c>
      <c r="H151">
        <v>24.484057818450818</v>
      </c>
      <c r="J151">
        <v>99.64303153577754</v>
      </c>
      <c r="K151">
        <v>95.0</v>
      </c>
      <c r="L151">
        <f t="shared" si="8"/>
        <v>360.286063071555</v>
      </c>
    </row>
    <row r="152" x14ac:dyDescent="0.25">
      <c r="B152">
        <v>-8</v>
      </c>
      <c r="C152">
        <f t="shared" si="7"/>
      </c>
      <c r="D152">
        <v>30.06959859614439</v>
      </c>
      <c r="E152">
        <v>195.5904247397802</v>
      </c>
      <c r="F152">
        <v>0.0</v>
      </c>
      <c r="G152">
        <v>0.0</v>
      </c>
      <c r="H152">
        <v>24.339976664075426</v>
      </c>
      <c r="J152">
        <v>45.0</v>
      </c>
      <c r="K152">
        <v>94.0</v>
      </c>
      <c r="L152">
        <f t="shared" si="8"/>
        <v>251.0</v>
      </c>
    </row>
    <row r="153" x14ac:dyDescent="0.25">
      <c r="B153">
        <v>-7.5</v>
      </c>
      <c r="C153">
        <f t="shared" si="7"/>
      </c>
      <c r="D153">
        <v>30.503380530925153</v>
      </c>
      <c r="E153">
        <v>195.30411007077186</v>
      </c>
      <c r="F153">
        <v>0.0</v>
      </c>
      <c r="G153">
        <v>0.0</v>
      </c>
      <c r="H153">
        <v>24.19250939830299</v>
      </c>
      <c r="J153">
        <v>23.0</v>
      </c>
      <c r="K153">
        <v>120.93130198208927</v>
      </c>
      <c r="L153">
        <f t="shared" si="8"/>
        <v>207.0</v>
      </c>
    </row>
    <row r="154" x14ac:dyDescent="0.25">
      <c r="B154">
        <v>-7</v>
      </c>
      <c r="C154">
        <f t="shared" si="7"/>
      </c>
      <c r="D154">
        <v>30.937988822707315</v>
      </c>
      <c r="E154">
        <v>195.01353044112622</v>
      </c>
      <c r="F154">
        <v>0.0</v>
      </c>
      <c r="G154">
        <v>0.0</v>
      </c>
      <c r="H154">
        <v>24.04848073616647</v>
      </c>
      <c r="J154">
        <v>66.49998447867844</v>
      </c>
      <c r="K154">
        <v>46.0</v>
      </c>
      <c r="L154">
        <f t="shared" si="8"/>
        <v>293.999968957357</v>
      </c>
    </row>
    <row r="155" x14ac:dyDescent="0.25">
      <c r="B155">
        <v>-6.5</v>
      </c>
      <c r="C155">
        <f t="shared" si="7"/>
      </c>
      <c r="D155">
        <v>31.379452087235325</v>
      </c>
      <c r="E155">
        <v>194.71849077537172</v>
      </c>
      <c r="F155">
        <v>0.0</v>
      </c>
      <c r="G155">
        <v>0.0</v>
      </c>
      <c r="H155">
        <v>23.902057137392948</v>
      </c>
      <c r="J155">
        <v>36.0</v>
      </c>
      <c r="K155">
        <v>53.0</v>
      </c>
      <c r="L155">
        <f t="shared" si="8"/>
        <v>233.0</v>
      </c>
    </row>
    <row r="156" x14ac:dyDescent="0.25">
      <c r="B156">
        <v>-6</v>
      </c>
      <c r="C156">
        <f t="shared" si="7"/>
      </c>
      <c r="D156">
        <v>31.82572702823888</v>
      </c>
      <c r="E156">
        <v>194.4190002879202</v>
      </c>
      <c r="F156">
        <v>0.0</v>
      </c>
      <c r="G156">
        <v>0.0</v>
      </c>
      <c r="H156">
        <v>23.755272683840936</v>
      </c>
      <c r="J156">
        <v>99.81008584982852</v>
      </c>
      <c r="K156">
        <v>110.93130198208927</v>
      </c>
      <c r="L156">
        <f t="shared" si="8"/>
        <v>360.620171699657</v>
      </c>
    </row>
    <row r="157" x14ac:dyDescent="0.25">
      <c r="B157">
        <v>-5.5</v>
      </c>
      <c r="C157">
        <f t="shared" si="7"/>
      </c>
      <c r="D157">
        <v>32.27685773216921</v>
      </c>
      <c r="E157">
        <v>194.11506830024717</v>
      </c>
      <c r="F157">
        <v>0.0</v>
      </c>
      <c r="G157">
        <v>0.0</v>
      </c>
      <c r="H157">
        <v>23.608073967583614</v>
      </c>
    </row>
    <row r="158" x14ac:dyDescent="0.25">
      <c r="B158">
        <v>-5</v>
      </c>
      <c r="C158">
        <f t="shared" si="7"/>
      </c>
      <c r="D158">
        <v>32.732889090722054</v>
      </c>
      <c r="E158">
        <v>193.8067042840632</v>
      </c>
      <c r="F158">
        <v>0.0</v>
      </c>
      <c r="G158">
        <v>0.0</v>
      </c>
      <c r="H158">
        <v>23.460406625214745</v>
      </c>
      <c r="I158" s="10" t="s">
        <v>388</v>
      </c>
      <c r="J158">
        <f>'Kaverne &amp; Gassäule'!$C$49</f>
        <v>10.0</v>
      </c>
      <c r="K158">
        <f>'Kaverne &amp; Gassäule'!$D$49</f>
        <v>114.931301982089</v>
      </c>
      <c r="L158">
        <f t="shared" ref="L158:L182" si="9">(J158-Diagramm_Tmin)/Diagramm_dT+1</f>
        <v>181.0</v>
      </c>
    </row>
    <row r="159" x14ac:dyDescent="0.25">
      <c r="B159">
        <v>-4.5</v>
      </c>
      <c r="C159">
        <f t="shared" si="7"/>
      </c>
      <c r="D159">
        <v>33.193866839690045</v>
      </c>
      <c r="E159">
        <v>193.49391790963293</v>
      </c>
      <c r="F159">
        <v>0.0</v>
      </c>
      <c r="G159">
        <v>0.0</v>
      </c>
      <c r="H159">
        <v>23.31221525067702</v>
      </c>
      <c r="J159">
        <f>'Kaverne &amp; Gassäule'!$C$50</f>
        <v>11.5</v>
      </c>
      <c r="K159">
        <f>'Kaverne &amp; Gassäule'!$D$50</f>
        <v>119.161009241152</v>
      </c>
      <c r="L159">
        <f t="shared" si="9"/>
        <v>184.0</v>
      </c>
    </row>
    <row r="160" x14ac:dyDescent="0.25">
      <c r="B160">
        <v>-4</v>
      </c>
      <c r="C160">
        <f t="shared" si="7"/>
      </c>
      <c r="D160">
        <v>33.659837600410995</v>
      </c>
      <c r="E160">
        <v>193.17671909986115</v>
      </c>
      <c r="F160">
        <v>0.0</v>
      </c>
      <c r="G160">
        <v>0.0</v>
      </c>
      <c r="H160">
        <v>23.163443299727874</v>
      </c>
      <c r="J160">
        <f>'Kaverne &amp; Gassäule'!$C$51</f>
        <v>13.0</v>
      </c>
      <c r="K160">
        <f>'Kaverne &amp; Gassäule'!$D$51</f>
        <v>123.3655718217</v>
      </c>
      <c r="L160">
        <f t="shared" si="9"/>
        <v>187.0</v>
      </c>
    </row>
    <row r="161" x14ac:dyDescent="0.25">
      <c r="B161">
        <v>-3.5</v>
      </c>
      <c r="C161">
        <f t="shared" si="7"/>
      </c>
      <c r="D161">
        <v>34.13084892398813</v>
      </c>
      <c r="E161">
        <v>192.85511809070925</v>
      </c>
      <c r="F161">
        <v>0.0</v>
      </c>
      <c r="G161">
        <v>0.0</v>
      </c>
      <c r="H161">
        <v>23.014032985302606</v>
      </c>
      <c r="J161">
        <f>'Kaverne &amp; Gassäule'!$C$52</f>
        <v>14.5</v>
      </c>
      <c r="K161">
        <f>'Kaverne &amp; Gassäule'!$D$52</f>
        <v>127.545182519363</v>
      </c>
      <c r="L161">
        <f t="shared" si="9"/>
        <v>190.0</v>
      </c>
    </row>
    <row r="162" x14ac:dyDescent="0.25">
      <c r="B162">
        <v>-3</v>
      </c>
      <c r="C162">
        <f t="shared" si="7"/>
      </c>
      <c r="D162">
        <v>34.60694933862124</v>
      </c>
      <c r="E162">
        <v>192.5291254986524</v>
      </c>
      <c r="F162">
        <v>0.0</v>
      </c>
      <c r="G162">
        <v>0.0</v>
      </c>
      <c r="H162">
        <v>22.86392516272636</v>
      </c>
      <c r="J162">
        <f>'Kaverne &amp; Gassäule'!$C$53</f>
        <v>16.0</v>
      </c>
      <c r="K162">
        <f>'Kaverne &amp; Gassäule'!$D$53</f>
        <v>131.700045003542</v>
      </c>
      <c r="L162">
        <f t="shared" si="9"/>
        <v>193.0</v>
      </c>
    </row>
    <row r="163" x14ac:dyDescent="0.25">
      <c r="B163">
        <v>-2.5</v>
      </c>
      <c r="C163">
        <f t="shared" si="7"/>
      </c>
      <c r="D163">
        <v>35.088188400233264</v>
      </c>
      <c r="E163">
        <v>192.1987523957415</v>
      </c>
      <c r="F163">
        <v>0.0</v>
      </c>
      <c r="G163">
        <v>0.0</v>
      </c>
      <c r="H163">
        <v>22.713059204025228</v>
      </c>
      <c r="J163">
        <f>'Kaverne &amp; Gassäule'!$C$54</f>
        <v>17.5</v>
      </c>
      <c r="K163">
        <f>'Kaverne &amp; Gassäule'!$D$54</f>
        <v>135.830373587553</v>
      </c>
      <c r="L163">
        <f t="shared" si="9"/>
        <v>196.0</v>
      </c>
    </row>
    <row r="164" x14ac:dyDescent="0.25">
      <c r="B164">
        <v>-2</v>
      </c>
      <c r="C164">
        <f t="shared" si="7"/>
      </c>
      <c r="D164">
        <v>35.57461674677692</v>
      </c>
      <c r="E164">
        <v>191.86401039275356</v>
      </c>
      <c r="F164">
        <v>0.0</v>
      </c>
      <c r="G164">
        <v>0.0</v>
      </c>
      <c r="H164">
        <v>22.561372860469525</v>
      </c>
      <c r="J164">
        <f>'Kaverne &amp; Gassäule'!$C$55</f>
        <v>19.0</v>
      </c>
      <c r="K164">
        <f>'Kaverne &amp; Gassäule'!$D$55</f>
        <v>139.936393093194</v>
      </c>
      <c r="L164">
        <f t="shared" si="9"/>
        <v>199.0</v>
      </c>
    </row>
    <row r="165" x14ac:dyDescent="0.25">
      <c r="B165">
        <v>-1.5</v>
      </c>
      <c r="C165">
        <f t="shared" si="7"/>
      </c>
      <c r="D165">
        <v>36.06628615642573</v>
      </c>
      <c r="E165">
        <v>191.52491173106893</v>
      </c>
      <c r="F165">
        <v>0.0</v>
      </c>
      <c r="G165">
        <v>0.0</v>
      </c>
      <c r="H165">
        <v>22.408802112505327</v>
      </c>
      <c r="J165">
        <f>'Kaverne &amp; Gassäule'!$C$56</f>
        <v>20.5</v>
      </c>
      <c r="K165">
        <f>'Kaverne &amp; Gassäule'!$D$56</f>
        <v>144.018338778759</v>
      </c>
      <c r="L165">
        <f t="shared" si="9"/>
        <v>202.0</v>
      </c>
    </row>
    <row r="166" x14ac:dyDescent="0.25">
      <c r="B166">
        <v>-1</v>
      </c>
      <c r="C166">
        <f t="shared" si="7"/>
      </c>
      <c r="D166">
        <v>36.56324961020073</v>
      </c>
      <c r="E166">
        <v>191.18146938348454</v>
      </c>
      <c r="F166">
        <v>0.0</v>
      </c>
      <c r="G166">
        <v>0.0</v>
      </c>
      <c r="H166">
        <v>22.255281006314725</v>
      </c>
      <c r="J166">
        <f>'Kaverne &amp; Gassäule'!$C$57</f>
        <v>22.0</v>
      </c>
      <c r="K166">
        <f>'Kaverne &amp; Gassäule'!$D$57</f>
        <v>148.076456282723</v>
      </c>
      <c r="L166">
        <f t="shared" si="9"/>
        <v>205.0</v>
      </c>
    </row>
    <row r="167" x14ac:dyDescent="0.25">
      <c r="B167">
        <v>-0.5</v>
      </c>
      <c r="C167">
        <f t="shared" si="7"/>
      </c>
      <c r="D167">
        <v>37.065561359218584</v>
      </c>
      <c r="E167">
        <v>190.8336971643151</v>
      </c>
      <c r="F167">
        <v>0.0</v>
      </c>
      <c r="G167">
        <v>0.0</v>
      </c>
      <c r="H167">
        <v>22.100741476466304</v>
      </c>
      <c r="J167">
        <f>'Kaverne &amp; Gassäule'!$C$58</f>
        <v>23.5</v>
      </c>
      <c r="K167">
        <f>'Kaverne &amp; Gassäule'!$D$58</f>
        <v>152.111001527094</v>
      </c>
      <c r="L167">
        <f t="shared" si="9"/>
        <v>208.0</v>
      </c>
    </row>
    <row r="168" x14ac:dyDescent="0.25">
      <c r="B168">
        <v>0</v>
      </c>
      <c r="C168" t="str">
        <f t="shared" si="7"/>
        <v>0</v>
      </c>
      <c r="D168">
        <v>37.57327699721018</v>
      </c>
      <c r="E168">
        <v>190.48160984888668</v>
      </c>
      <c r="F168">
        <v>0.0</v>
      </c>
      <c r="G168">
        <v>0.0</v>
      </c>
      <c r="H168">
        <v>21.945113153903144</v>
      </c>
      <c r="J168">
        <f>'Kaverne &amp; Gassäule'!$C$59</f>
        <v>25.0</v>
      </c>
      <c r="K168">
        <f>'Kaverne &amp; Gassäule'!$D$59</f>
        <v>156.122240525962</v>
      </c>
      <c r="L168">
        <f t="shared" si="9"/>
        <v>211.0</v>
      </c>
    </row>
    <row r="169" x14ac:dyDescent="0.25">
      <c r="B169">
        <v>0.5</v>
      </c>
      <c r="C169">
        <f t="shared" si="7"/>
      </c>
      <c r="D169">
        <v>38.08645353863347</v>
      </c>
      <c r="E169">
        <v>190.12522330227574</v>
      </c>
      <c r="F169">
        <v>0.0</v>
      </c>
      <c r="G169">
        <v>0.0</v>
      </c>
      <c r="H169">
        <v>21.7883231590908</v>
      </c>
      <c r="J169">
        <f>'Kaverne &amp; Gassäule'!$C$60</f>
        <v>26.5</v>
      </c>
      <c r="K169">
        <f>'Kaverne &amp; Gassäule'!$D$60</f>
        <v>160.110449055332</v>
      </c>
      <c r="L169">
        <f t="shared" si="9"/>
        <v>214.0</v>
      </c>
    </row>
    <row r="170" x14ac:dyDescent="0.25">
      <c r="B170">
        <v>1</v>
      </c>
      <c r="C170">
        <f t="shared" si="7"/>
      </c>
      <c r="D170">
        <v>38.60514950304249</v>
      </c>
      <c r="E170">
        <v>189.76455461698157</v>
      </c>
      <c r="F170">
        <v>0.0</v>
      </c>
      <c r="G170">
        <v>0.0</v>
      </c>
      <c r="H170">
        <v>21.630295879975947</v>
      </c>
      <c r="J170">
        <f>'Kaverne &amp; Gassäule'!$C$61</f>
        <v>28.0</v>
      </c>
      <c r="K170">
        <f>'Kaverne &amp; Gassäule'!$D$61</f>
        <v>164.075912157726</v>
      </c>
      <c r="L170">
        <f t="shared" si="9"/>
        <v>217.0</v>
      </c>
    </row>
    <row r="171" x14ac:dyDescent="0.25">
      <c r="B171">
        <v>1.5</v>
      </c>
      <c r="C171">
        <f t="shared" si="7"/>
      </c>
      <c r="D171">
        <v>39.12942500629254</v>
      </c>
      <c r="E171">
        <v>189.39962225913962</v>
      </c>
      <c r="F171">
        <v>0.0</v>
      </c>
      <c r="G171">
        <v>0.0</v>
      </c>
      <c r="H171">
        <v>21.470952734567852</v>
      </c>
      <c r="J171">
        <f>'Kaverne &amp; Gassäule'!$C$62</f>
        <v>29.5</v>
      </c>
      <c r="K171">
        <f>'Kaverne &amp; Gassäule'!$D$62</f>
        <v>168.018923475702</v>
      </c>
      <c r="L171">
        <f t="shared" si="9"/>
        <v>220.0</v>
      </c>
    </row>
    <row r="172" x14ac:dyDescent="0.25">
      <c r="B172">
        <v>2</v>
      </c>
      <c r="C172">
        <f t="shared" si="7"/>
      </c>
      <c r="D172">
        <v>39.65934185916281</v>
      </c>
      <c r="E172">
        <v>189.03044622218147</v>
      </c>
      <c r="F172">
        <v>0.0</v>
      </c>
      <c r="G172">
        <v>0.0</v>
      </c>
      <c r="H172">
        <v>21.310211918655718</v>
      </c>
      <c r="J172">
        <f>'Kaverne &amp; Gassäule'!$C$63</f>
        <v>31.0</v>
      </c>
      <c r="K172">
        <f>'Kaverne &amp; Gassäule'!$D$63</f>
        <v>171.939784428871</v>
      </c>
      <c r="L172">
        <f t="shared" si="9"/>
        <v>223.0</v>
      </c>
    </row>
    <row r="173" x14ac:dyDescent="0.25">
      <c r="B173">
        <v>2.5</v>
      </c>
      <c r="C173">
        <f t="shared" si="7"/>
      </c>
      <c r="D173">
        <v>40.19496367434504</v>
      </c>
      <c r="E173">
        <v>188.6570481871035</v>
      </c>
      <c r="F173">
        <v>0.0</v>
      </c>
      <c r="G173">
        <v>0.0</v>
      </c>
      <c r="H173">
        <v>21.14798813855146</v>
      </c>
      <c r="J173">
        <f>'Kaverne &amp; Gassäule'!$C$64</f>
        <v>32.5</v>
      </c>
      <c r="K173">
        <f>'Kaverne &amp; Gassäule'!$D$64</f>
        <v>175.838803265805</v>
      </c>
      <c r="L173">
        <f t="shared" si="9"/>
        <v>226.0</v>
      </c>
    </row>
    <row r="174" x14ac:dyDescent="0.25">
      <c r="B174">
        <v>3</v>
      </c>
      <c r="C174">
        <f t="shared" si="7"/>
      </c>
      <c r="D174">
        <v>40.73635598241886</v>
      </c>
      <c r="E174">
        <v>188.27945168778555</v>
      </c>
      <c r="F174">
        <v>0.0</v>
      </c>
      <c r="G174">
        <v>0.0</v>
      </c>
      <c r="H174">
        <v>20.984192329795583</v>
      </c>
      <c r="J174">
        <f>'Kaverne &amp; Gassäule'!$C$65</f>
        <v>34.0</v>
      </c>
      <c r="K174">
        <f>'Kaverne &amp; Gassäule'!$D$65</f>
        <v>179.716294033397</v>
      </c>
      <c r="L174">
        <f t="shared" si="9"/>
        <v>229.0</v>
      </c>
    </row>
    <row r="175" x14ac:dyDescent="0.25">
      <c r="B175">
        <v>3.5</v>
      </c>
      <c r="C175">
        <f t="shared" si="7"/>
      </c>
      <c r="D175">
        <v>41.28358635790144</v>
      </c>
      <c r="E175">
        <v>187.89768227974054</v>
      </c>
      <c r="F175">
        <v>0.0</v>
      </c>
      <c r="G175">
        <v>0.0</v>
      </c>
      <c r="H175">
        <v>20.818731362358008</v>
      </c>
      <c r="J175">
        <f>'Kaverne &amp; Gassäule'!$C$66</f>
        <v>35.5</v>
      </c>
      <c r="K175">
        <f>'Kaverne &amp; Gassäule'!$D$66</f>
        <v>183.572575510823</v>
      </c>
      <c r="L175">
        <f t="shared" si="9"/>
        <v>232.0</v>
      </c>
    </row>
    <row r="176" x14ac:dyDescent="0.25">
      <c r="B176">
        <v>4</v>
      </c>
      <c r="C176">
        <f t="shared" si="7"/>
      </c>
      <c r="D176">
        <v>41.83642063344759</v>
      </c>
      <c r="E176">
        <v>187.51176771041108</v>
      </c>
      <c r="F176">
        <v>0.0</v>
      </c>
      <c r="G176">
        <v>0.0</v>
      </c>
      <c r="H176">
        <v>20.651811656141327</v>
      </c>
      <c r="J176">
        <f>'Kaverne &amp; Gassäule'!$C$67</f>
        <v>37.0</v>
      </c>
      <c r="K176">
        <f>'Kaverne &amp; Gassäule'!$D$67</f>
        <v>187.407970153671</v>
      </c>
      <c r="L176">
        <f t="shared" si="9"/>
        <v>235.0</v>
      </c>
    </row>
    <row r="177" x14ac:dyDescent="0.25">
      <c r="B177">
        <v>4.5</v>
      </c>
      <c r="C177">
        <f t="shared" si="7"/>
      </c>
      <c r="D177">
        <v>42.3958426640854</v>
      </c>
      <c r="E177">
        <v>187.1217380888113</v>
      </c>
      <c r="F177">
        <v>0.0</v>
      </c>
      <c r="G177">
        <v>0.0</v>
      </c>
      <c r="H177">
        <v>20.482419247103287</v>
      </c>
      <c r="J177">
        <f>'Kaverne &amp; Gassäule'!$C$68</f>
        <v>38.5</v>
      </c>
      <c r="K177">
        <f>'Kaverne &amp; Gassäule'!$D$68</f>
        <v>191.222803087411</v>
      </c>
      <c r="L177">
        <f t="shared" si="9"/>
        <v>238.0</v>
      </c>
    </row>
    <row r="178" x14ac:dyDescent="0.25">
      <c r="B178">
        <v>5</v>
      </c>
      <c r="C178">
        <f t="shared" si="7"/>
      </c>
      <c r="D178">
        <v>42.961015260630354</v>
      </c>
      <c r="E178">
        <v>186.72782367161105</v>
      </c>
      <c r="F178">
        <v>0.0</v>
      </c>
      <c r="G178">
        <v>0.0</v>
      </c>
      <c r="H178">
        <v>20.311161067758604</v>
      </c>
      <c r="J178">
        <f>'Kaverne &amp; Gassäule'!$C$69</f>
        <v>40.0</v>
      </c>
      <c r="K178">
        <f>'Kaverne &amp; Gassäule'!$D$69</f>
        <v>195.017401179863</v>
      </c>
      <c r="L178">
        <f t="shared" si="9"/>
        <v>241.0</v>
      </c>
    </row>
    <row r="179" x14ac:dyDescent="0.25">
      <c r="B179">
        <v>5.5</v>
      </c>
      <c r="C179">
        <f t="shared" si="7"/>
      </c>
      <c r="D179">
        <v>43.53231959759026</v>
      </c>
      <c r="E179">
        <v>186.3294669286951</v>
      </c>
      <c r="F179">
        <v>0.0</v>
      </c>
      <c r="G179">
        <v>0.0</v>
      </c>
      <c r="H179">
        <v>20.138213473714643</v>
      </c>
      <c r="J179">
        <f>'Kaverne &amp; Gassäule'!$C$70</f>
        <v>41.5</v>
      </c>
      <c r="K179">
        <f>'Kaverne &amp; Gassäule'!$D$70</f>
        <v>198.792092211678</v>
      </c>
      <c r="L179">
        <f t="shared" si="9"/>
        <v>244.0</v>
      </c>
    </row>
    <row r="180" x14ac:dyDescent="0.25">
      <c r="B180">
        <v>6</v>
      </c>
      <c r="C180">
        <f t="shared" si="7"/>
      </c>
      <c r="D180">
        <v>44.10983579358158</v>
      </c>
      <c r="E180">
        <v>185.92729889013117</v>
      </c>
      <c r="F180">
        <v>0.0</v>
      </c>
      <c r="G180">
        <v>0.0</v>
      </c>
      <c r="H180">
        <v>19.962865316287264</v>
      </c>
      <c r="J180">
        <f>'Kaverne &amp; Gassäule'!$C$71</f>
        <v>43.0</v>
      </c>
      <c r="K180">
        <f>'Kaverne &amp; Gassäule'!$D$71</f>
        <v>202.547204153465</v>
      </c>
      <c r="L180">
        <f t="shared" si="9"/>
        <v>247.0</v>
      </c>
    </row>
    <row r="181" x14ac:dyDescent="0.25">
      <c r="B181">
        <v>6.5</v>
      </c>
      <c r="C181">
        <f t="shared" si="7"/>
      </c>
      <c r="D181">
        <v>44.69364704840976</v>
      </c>
      <c r="E181">
        <v>185.52116309970603</v>
      </c>
      <c r="F181">
        <v>0.0</v>
      </c>
      <c r="G181">
        <v>0.0</v>
      </c>
      <c r="H181">
        <v>19.785189851884226</v>
      </c>
      <c r="J181">
        <f>'Kaverne &amp; Gassäule'!$C$72</f>
        <v>44.5</v>
      </c>
      <c r="K181">
        <f>'Kaverne &amp; Gassäule'!$D$72</f>
        <v>206.283064549365</v>
      </c>
      <c r="L181">
        <f t="shared" si="9"/>
        <v>250.0</v>
      </c>
    </row>
    <row r="182" x14ac:dyDescent="0.25">
      <c r="B182">
        <v>7</v>
      </c>
      <c r="C182">
        <f t="shared" si="7"/>
      </c>
      <c r="D182">
        <v>45.28383987859212</v>
      </c>
      <c r="E182">
        <v>185.11110384728153</v>
      </c>
      <c r="F182">
        <v>0.0</v>
      </c>
      <c r="G182">
        <v>0.0</v>
      </c>
      <c r="H182">
        <v>19.605056274126355</v>
      </c>
      <c r="J182">
        <f>'Kaverne &amp; Gassäule'!$C$73</f>
        <v>46.0</v>
      </c>
      <c r="K182">
        <f>'Kaverne &amp; Gassäule'!$D$73</f>
        <v>210.0</v>
      </c>
      <c r="L182">
        <f t="shared" si="9"/>
        <v>253.0</v>
      </c>
    </row>
    <row r="183" x14ac:dyDescent="0.25">
      <c r="B183">
        <v>7.5</v>
      </c>
      <c r="C183">
        <f t="shared" si="7"/>
      </c>
      <c r="D183">
        <v>45.880504376789766</v>
      </c>
      <c r="E183">
        <v>184.69716867616555</v>
      </c>
      <c r="F183">
        <v>0.0</v>
      </c>
      <c r="G183">
        <v>0.0</v>
      </c>
      <c r="H183">
        <v>19.422326947044688</v>
      </c>
    </row>
    <row r="184" x14ac:dyDescent="0.25">
      <c r="B184">
        <v>8</v>
      </c>
      <c r="C184">
        <f t="shared" si="7"/>
      </c>
      <c r="D184">
        <v>46.483734498420105</v>
      </c>
      <c r="E184">
        <v>184.27940850194264</v>
      </c>
      <c r="F184">
        <v>0.0</v>
      </c>
      <c r="G184">
        <v>0.0</v>
      </c>
      <c r="H184">
        <v>19.236856999637254</v>
      </c>
      <c r="I184" s="10" t="s">
        <v>517</v>
      </c>
      <c r="J184">
        <f>'Kaverne &amp; Gassäule'!$C$49</f>
        <v>10.0</v>
      </c>
      <c r="K184">
        <f>'Kaverne &amp; Gassäule'!$F$49</f>
        <v>82.1775943179183</v>
      </c>
      <c r="L184">
        <f t="shared" ref="L184:L208" si="10">(J184-Diagramm_Tmin)/Diagramm_dT+1</f>
        <v>181.0</v>
      </c>
    </row>
    <row r="185" x14ac:dyDescent="0.25">
      <c r="B185">
        <v>8.5</v>
      </c>
      <c r="C185">
        <f t="shared" si="7"/>
      </c>
      <c r="D185">
        <v>47.09362837908672</v>
      </c>
      <c r="E185">
        <v>183.85787772731845</v>
      </c>
      <c r="F185">
        <v>0.0</v>
      </c>
      <c r="G185">
        <v>0.0</v>
      </c>
      <c r="H185">
        <v>19.04849389359483</v>
      </c>
      <c r="J185">
        <f>'Kaverne &amp; Gassäule'!$C$50</f>
        <v>11.5</v>
      </c>
      <c r="K185">
        <f>'Kaverne &amp; Gassäule'!$F$50</f>
        <v>86.2096916518603</v>
      </c>
      <c r="L185">
        <f t="shared" si="10"/>
        <v>184.0</v>
      </c>
    </row>
    <row r="186" x14ac:dyDescent="0.25">
      <c r="B186">
        <v>9</v>
      </c>
      <c r="C186">
        <f t="shared" si="7"/>
      </c>
      <c r="D186">
        <v>47.71028868712408</v>
      </c>
      <c r="E186">
        <v>183.4326343597086</v>
      </c>
      <c r="F186">
        <v>0.0</v>
      </c>
      <c r="G186">
        <v>0.0</v>
      </c>
      <c r="H186">
        <v>18.857076953167322</v>
      </c>
      <c r="J186">
        <f>'Kaverne &amp; Gassäule'!$C$51</f>
        <v>13.0</v>
      </c>
      <c r="K186">
        <f>'Kaverne &amp; Gassäule'!$F$51</f>
        <v>90.2111771200678</v>
      </c>
      <c r="L186">
        <f t="shared" si="10"/>
        <v>187.0</v>
      </c>
    </row>
    <row r="187" x14ac:dyDescent="0.25">
      <c r="B187">
        <v>9.5</v>
      </c>
      <c r="C187">
        <f t="shared" si="7"/>
      </c>
      <c r="D187">
        <v>48.33382301638539</v>
      </c>
      <c r="E187">
        <v>183.00374014194477</v>
      </c>
      <c r="F187">
        <v>0.0</v>
      </c>
      <c r="G187">
        <v>0.0</v>
      </c>
      <c r="H187">
        <v>18.66243684166985</v>
      </c>
      <c r="J187">
        <f>'Kaverne &amp; Gassäule'!$C$52</f>
        <v>14.5</v>
      </c>
      <c r="K187">
        <f>'Kaverne &amp; Gassäule'!$F$52</f>
        <v>94.1822582434276</v>
      </c>
      <c r="L187">
        <f t="shared" si="10"/>
        <v>190.0</v>
      </c>
    </row>
    <row r="188" x14ac:dyDescent="0.25">
      <c r="B188">
        <v>10</v>
      </c>
      <c r="C188">
        <f t="shared" si="7"/>
      </c>
      <c r="D188">
        <v>48.964344325289865</v>
      </c>
      <c r="E188">
        <v>182.57126071127004</v>
      </c>
      <c r="F188">
        <v>0.0</v>
      </c>
      <c r="G188">
        <v>0.0</v>
      </c>
      <c r="H188">
        <v>18.464394963440107</v>
      </c>
      <c r="J188">
        <f>'Kaverne &amp; Gassäule'!$C$53</f>
        <v>16.0</v>
      </c>
      <c r="K188">
        <f>'Kaverne &amp; Gassäule'!$F$53</f>
        <v>98.123172361781</v>
      </c>
      <c r="L188">
        <f t="shared" si="10"/>
        <v>193.0</v>
      </c>
    </row>
    <row r="189" x14ac:dyDescent="0.25">
      <c r="B189">
        <v>10.5</v>
      </c>
      <c r="C189">
        <f t="shared" si="7"/>
      </c>
      <c r="D189">
        <v>49.60190930174599</v>
      </c>
      <c r="E189">
        <v>182.13526580728518</v>
      </c>
      <c r="F189">
        <v>0.0</v>
      </c>
      <c r="G189">
        <v>0.0</v>
      </c>
      <c r="H189">
        <v>18.262824890968815</v>
      </c>
      <c r="J189">
        <f>'Kaverne &amp; Gassäule'!$C$54</f>
        <v>17.5</v>
      </c>
      <c r="K189">
        <f>'Kaverne &amp; Gassäule'!$F$54</f>
        <v>102.0341867187</v>
      </c>
      <c r="L189">
        <f t="shared" si="10"/>
        <v>196.0</v>
      </c>
    </row>
    <row r="190" x14ac:dyDescent="0.25">
      <c r="B190">
        <v>11</v>
      </c>
      <c r="C190">
        <f t="shared" si="7"/>
      </c>
      <c r="D190">
        <v>50.2468295556813</v>
      </c>
      <c r="E190">
        <v>181.6958295565925</v>
      </c>
      <c r="F190">
        <v>0.0</v>
      </c>
      <c r="G190">
        <v>0.0</v>
      </c>
      <c r="H190">
        <v>18.057340887726184</v>
      </c>
      <c r="J190">
        <f>'Kaverne &amp; Gassäule'!$C$55</f>
        <v>19.0</v>
      </c>
      <c r="K190">
        <f>'Kaverne &amp; Gassäule'!$F$55</f>
        <v>105.915598274552</v>
      </c>
      <c r="L190">
        <f t="shared" si="10"/>
        <v>199.0</v>
      </c>
    </row>
    <row r="191" x14ac:dyDescent="0.25">
      <c r="B191">
        <v>11.5</v>
      </c>
      <c r="C191">
        <f t="shared" si="7"/>
      </c>
      <c r="D191">
        <v>50.89905097020633</v>
      </c>
      <c r="E191">
        <v>181.25303087001697</v>
      </c>
      <c r="F191">
        <v>0.0</v>
      </c>
      <c r="G191">
        <v>0.0</v>
      </c>
      <c r="H191">
        <v>17.847918159776697</v>
      </c>
      <c r="J191">
        <f>'Kaverne &amp; Gassäule'!$C$56</f>
        <v>20.5</v>
      </c>
      <c r="K191">
        <f>'Kaverne &amp; Gassäule'!$F$56</f>
        <v>109.767733128105</v>
      </c>
      <c r="L191">
        <f t="shared" si="10"/>
        <v>202.0</v>
      </c>
    </row>
    <row r="192" x14ac:dyDescent="0.25">
      <c r="B192">
        <v>12</v>
      </c>
      <c r="C192">
        <f t="shared" si="7"/>
      </c>
      <c r="D192">
        <v>51.558775689360345</v>
      </c>
      <c r="E192">
        <v>180.80695399747086</v>
      </c>
      <c r="F192">
        <v>0.0</v>
      </c>
      <c r="G192">
        <v>0.0</v>
      </c>
      <c r="H192">
        <v>17.6342703131688</v>
      </c>
      <c r="J192">
        <f>'Kaverne &amp; Gassäule'!$C$57</f>
        <v>22.0</v>
      </c>
      <c r="K192">
        <f>'Kaverne &amp; Gassäule'!$F$57</f>
        <v>113.590945465758</v>
      </c>
      <c r="L192">
        <f t="shared" si="10"/>
        <v>205.0</v>
      </c>
    </row>
    <row r="193" x14ac:dyDescent="0.25">
      <c r="B193">
        <v>12.5</v>
      </c>
      <c r="C193">
        <f t="shared" si="7"/>
      </c>
      <c r="D193">
        <v>52.226152292085246</v>
      </c>
      <c r="E193">
        <v>180.35768929609577</v>
      </c>
      <c r="F193">
        <v>0.0</v>
      </c>
      <c r="G193">
        <v>0.0</v>
      </c>
      <c r="H193">
        <v>17.41615841181897</v>
      </c>
      <c r="J193">
        <f>'Kaverne &amp; Gassäule'!$C$58</f>
        <v>23.5</v>
      </c>
      <c r="K193">
        <f>'Kaverne &amp; Gassäule'!$F$58</f>
        <v>117.385616023642</v>
      </c>
      <c r="L193">
        <f t="shared" si="10"/>
        <v>208.0</v>
      </c>
    </row>
    <row r="194" x14ac:dyDescent="0.25">
      <c r="B194">
        <v>13</v>
      </c>
      <c r="C194">
        <f t="shared" si="7"/>
      </c>
      <c r="D194">
        <v>52.901338850141386</v>
      </c>
      <c r="E194">
        <v>179.90533427798783</v>
      </c>
      <c r="F194">
        <v>0.0</v>
      </c>
      <c r="G194">
        <v>0.0</v>
      </c>
      <c r="H194">
        <v>17.19332687187078</v>
      </c>
      <c r="J194">
        <f>'Kaverne &amp; Gassäule'!$C$59</f>
        <v>25.0</v>
      </c>
      <c r="K194">
        <f>'Kaverne &amp; Gassäule'!$F$59</f>
        <v>121.152150120536</v>
      </c>
      <c r="L194">
        <f t="shared" si="10"/>
        <v>211.0</v>
      </c>
    </row>
    <row r="195" x14ac:dyDescent="0.25">
      <c r="B195">
        <v>13.5</v>
      </c>
      <c r="C195">
        <f t="shared" si="7"/>
      </c>
      <c r="D195">
        <v>53.58450399930288</v>
      </c>
      <c r="E195">
        <v>179.4499999134961</v>
      </c>
      <c r="F195">
        <v>0.0</v>
      </c>
      <c r="G195">
        <v>0.0</v>
      </c>
      <c r="H195">
        <v>16.965496087201018</v>
      </c>
      <c r="J195">
        <f>'Kaverne &amp; Gassäule'!$C$60</f>
        <v>26.5</v>
      </c>
      <c r="K195">
        <f>'Kaverne &amp; Gassäule'!$F$60</f>
        <v>124.890975377306</v>
      </c>
      <c r="L195">
        <f t="shared" si="10"/>
        <v>214.0</v>
      </c>
    </row>
    <row r="196" x14ac:dyDescent="0.25">
      <c r="B196">
        <v>14</v>
      </c>
      <c r="C196">
        <f t="shared" si="7"/>
      </c>
      <c r="D196">
        <v>54.27582817909341</v>
      </c>
      <c r="E196">
        <v>178.99178799473742</v>
      </c>
      <c r="F196">
        <v>0.0</v>
      </c>
      <c r="G196">
        <v>0.0</v>
      </c>
      <c r="H196">
        <v>16.732383826169155</v>
      </c>
      <c r="J196">
        <f>'Kaverne &amp; Gassäule'!$C$61</f>
        <v>28.0</v>
      </c>
      <c r="K196">
        <f>'Kaverne &amp; Gassäule'!$F$61</f>
        <v>128.602539266028</v>
      </c>
      <c r="L196">
        <f t="shared" si="10"/>
        <v>217.0</v>
      </c>
    </row>
    <row r="197" x14ac:dyDescent="0.25">
      <c r="B197">
        <v>14.5</v>
      </c>
      <c r="C197">
        <f t="shared" si="7"/>
      </c>
      <c r="D197">
        <v>54.97550507515759</v>
      </c>
      <c r="E197">
        <v>178.530842509588</v>
      </c>
      <c r="F197">
        <v>0.0</v>
      </c>
      <c r="G197">
        <v>0.0</v>
      </c>
      <c r="H197">
        <v>16.493652415254395</v>
      </c>
      <c r="J197">
        <f>'Kaverne &amp; Gassäule'!$C$62</f>
        <v>29.5</v>
      </c>
      <c r="K197">
        <f>'Kaverne &amp; Gassäule'!$F$62</f>
        <v>132.287306624681</v>
      </c>
      <c r="L197">
        <f t="shared" si="10"/>
        <v>220.0</v>
      </c>
    </row>
    <row r="198" x14ac:dyDescent="0.25">
      <c r="B198">
        <v>15</v>
      </c>
      <c r="C198">
        <f t="shared" si="7"/>
      </c>
      <c r="D198">
        <v>55.68374330669054</v>
      </c>
      <c r="E198">
        <v>178.06730371231544</v>
      </c>
      <c r="F198">
        <v>0.0</v>
      </c>
      <c r="G198">
        <v>0.0</v>
      </c>
      <c r="H198">
        <v>16.248952980994012</v>
      </c>
      <c r="J198">
        <f>'Kaverne &amp; Gassäule'!$C$63</f>
        <v>31.0</v>
      </c>
      <c r="K198">
        <f>'Kaverne &amp; Gassäule'!$F$63</f>
        <v>135.945757237683</v>
      </c>
      <c r="L198">
        <f t="shared" si="10"/>
        <v>223.0</v>
      </c>
    </row>
    <row r="199" x14ac:dyDescent="0.25">
      <c r="B199">
        <v>15.5</v>
      </c>
      <c r="C199">
        <f t="shared" si="7"/>
      </c>
      <c r="D199">
        <v>56.400768411846606</v>
      </c>
      <c r="E199">
        <v>177.60133641969122</v>
      </c>
      <c r="F199">
        <v>0.0</v>
      </c>
      <c r="G199">
        <v>0.0</v>
      </c>
      <c r="H199">
        <v>15.997895168462172</v>
      </c>
      <c r="J199">
        <f>'Kaverne &amp; Gassäule'!$C$64</f>
        <v>32.5</v>
      </c>
      <c r="K199">
        <f>'Kaverne &amp; Gassäule'!$F$64</f>
        <v>139.578383532847</v>
      </c>
      <c r="L199">
        <f t="shared" si="10"/>
        <v>226.0</v>
      </c>
    </row>
    <row r="200" x14ac:dyDescent="0.25">
      <c r="B200">
        <v>16</v>
      </c>
      <c r="C200">
        <f t="shared" ref="C200:C263" si="11">IF(MOD(B200,20)=0,TEXT(B200,"0"),"")</f>
      </c>
      <c r="D200">
        <v>57.126825197876414</v>
      </c>
      <c r="E200">
        <v>177.13312978986386</v>
      </c>
      <c r="F200">
        <v>0.0</v>
      </c>
      <c r="G200">
        <v>0.0</v>
      </c>
      <c r="H200">
        <v>15.740045012259728</v>
      </c>
      <c r="J200">
        <f>'Kaverne &amp; Gassäule'!$C$65</f>
        <v>34.0</v>
      </c>
      <c r="K200">
        <f>'Kaverne &amp; Gassäule'!$F$65</f>
        <v>143.185688397694</v>
      </c>
      <c r="L200">
        <f t="shared" si="10"/>
        <v>229.0</v>
      </c>
    </row>
    <row r="201" x14ac:dyDescent="0.25">
      <c r="B201">
        <v>16.5</v>
      </c>
      <c r="C201">
        <f t="shared" si="11"/>
      </c>
      <c r="D201">
        <v>57.86218054057978</v>
      </c>
      <c r="E201">
        <v>176.6629029740074</v>
      </c>
      <c r="F201">
        <v>0.0</v>
      </c>
      <c r="G201">
        <v>0.0</v>
      </c>
      <c r="H201">
        <v>15.474916485412827</v>
      </c>
      <c r="J201">
        <f>'Kaverne &amp; Gassäule'!$C$66</f>
        <v>35.5</v>
      </c>
      <c r="K201">
        <f>'Kaverne &amp; Gassäule'!$F$66</f>
        <v>146.768183085608</v>
      </c>
      <c r="L201">
        <f t="shared" si="10"/>
        <v>232.0</v>
      </c>
    </row>
    <row r="202" x14ac:dyDescent="0.25">
      <c r="B202">
        <v>17</v>
      </c>
      <c r="C202">
        <f t="shared" si="11"/>
      </c>
      <c r="D202">
        <v>58.607126741337744</v>
      </c>
      <c r="E202">
        <v>176.19084470872423</v>
      </c>
      <c r="F202">
        <v>0.0</v>
      </c>
      <c r="G202">
        <v>0.0</v>
      </c>
      <c r="H202">
        <v>15.202028549938014</v>
      </c>
      <c r="J202">
        <f>'Kaverne &amp; Gassäule'!$C$67</f>
        <v>37.0</v>
      </c>
      <c r="K202">
        <f>'Kaverne &amp; Gassäule'!$F$67</f>
        <v>150.326385171687</v>
      </c>
      <c r="L202">
        <f t="shared" si="10"/>
        <v>235.0</v>
      </c>
    </row>
    <row r="203" x14ac:dyDescent="0.25">
      <c r="B203">
        <v>17.5</v>
      </c>
      <c r="C203">
        <f t="shared" si="11"/>
      </c>
      <c r="D203">
        <v>59.36198558171351</v>
      </c>
      <c r="E203">
        <v>175.71694518726434</v>
      </c>
      <c r="F203">
        <v>0.0</v>
      </c>
      <c r="G203">
        <v>0.0</v>
      </c>
      <c r="H203">
        <v>14.921069231022145</v>
      </c>
      <c r="J203">
        <f>'Kaverne &amp; Gassäule'!$C$68</f>
        <v>38.5</v>
      </c>
      <c r="K203">
        <f>'Kaverne &amp; Gassäule'!$F$68</f>
        <v>153.86081652844</v>
      </c>
      <c r="L203">
        <f t="shared" si="10"/>
        <v>238.0</v>
      </c>
    </row>
    <row r="204" x14ac:dyDescent="0.25">
      <c r="B204">
        <v>18</v>
      </c>
      <c r="C204">
        <f t="shared" si="11"/>
      </c>
      <c r="D204">
        <v>60.13119778368839</v>
      </c>
      <c r="E204">
        <v>175.2429036976592</v>
      </c>
      <c r="F204">
        <v>0.0</v>
      </c>
      <c r="G204">
        <v>0.0</v>
      </c>
      <c r="H204">
        <v>14.62589851865242</v>
      </c>
      <c r="J204">
        <f>'Kaverne &amp; Gassäule'!$C$69</f>
        <v>40.0</v>
      </c>
      <c r="K204">
        <f>'Kaverne &amp; Gassäule'!$F$69</f>
        <v>157.372001316056</v>
      </c>
      <c r="L204">
        <f t="shared" si="10"/>
        <v>241.0</v>
      </c>
    </row>
    <row r="205" x14ac:dyDescent="0.25">
      <c r="B205">
        <v>18.5</v>
      </c>
      <c r="C205">
        <f t="shared" si="11"/>
      </c>
      <c r="D205">
        <v>60.94092026147699</v>
      </c>
      <c r="E205">
        <v>174.76778031287827</v>
      </c>
      <c r="F205">
        <v>0.0</v>
      </c>
      <c r="G205">
        <v>0.0</v>
      </c>
      <c r="H205">
        <v>14.291299425644738</v>
      </c>
      <c r="J205">
        <f>'Kaverne &amp; Gassäule'!$C$70</f>
        <v>41.5</v>
      </c>
      <c r="K205">
        <f>'Kaverne &amp; Gassäule'!$F$70</f>
        <v>160.860464010889</v>
      </c>
      <c r="L205">
        <f t="shared" si="10"/>
        <v>244.0</v>
      </c>
    </row>
    <row r="206" x14ac:dyDescent="0.25">
      <c r="B206">
        <v>19</v>
      </c>
      <c r="C206">
        <f t="shared" si="11"/>
      </c>
      <c r="D206">
        <v>61.75064273926559</v>
      </c>
      <c r="E206">
        <v>174.29265692809736</v>
      </c>
      <c r="F206">
        <v>0.0</v>
      </c>
      <c r="G206">
        <v>0.0</v>
      </c>
      <c r="H206">
        <v>13.956700332637055</v>
      </c>
      <c r="J206">
        <f>'Kaverne &amp; Gassäule'!$C$71</f>
        <v>43.0</v>
      </c>
      <c r="K206">
        <f>'Kaverne &amp; Gassäule'!$F$71</f>
        <v>164.326727519597</v>
      </c>
      <c r="L206">
        <f t="shared" si="10"/>
        <v>247.0</v>
      </c>
    </row>
    <row r="207" x14ac:dyDescent="0.25">
      <c r="B207">
        <v>19.5</v>
      </c>
      <c r="C207">
        <f t="shared" si="11"/>
      </c>
      <c r="D207">
        <v>62.56036521705418</v>
      </c>
      <c r="E207">
        <v>173.81753354331642</v>
      </c>
      <c r="F207">
        <v>0.0</v>
      </c>
      <c r="G207">
        <v>0.0</v>
      </c>
      <c r="H207">
        <v>13.622101239629387</v>
      </c>
      <c r="J207">
        <f>'Kaverne &amp; Gassäule'!$C$72</f>
        <v>44.5</v>
      </c>
      <c r="K207">
        <f>'Kaverne &amp; Gassäule'!$F$72</f>
        <v>167.771311438289</v>
      </c>
      <c r="L207">
        <f t="shared" si="10"/>
        <v>250.0</v>
      </c>
    </row>
    <row r="208" x14ac:dyDescent="0.25">
      <c r="B208">
        <v>20</v>
      </c>
      <c r="C208" t="str">
        <f t="shared" si="11"/>
        <v>20</v>
      </c>
      <c r="D208">
        <v>63.37008769484278</v>
      </c>
      <c r="E208">
        <v>173.34914890099773</v>
      </c>
      <c r="F208">
        <v>0.0</v>
      </c>
      <c r="G208">
        <v>0.0</v>
      </c>
      <c r="H208">
        <v>13.280763404159487</v>
      </c>
      <c r="J208">
        <f>'Kaverne &amp; Gassäule'!$C$73</f>
        <v>46.0</v>
      </c>
      <c r="K208">
        <f>'Kaverne &amp; Gassäule'!$F$73</f>
        <v>171.194730513698</v>
      </c>
      <c r="L208">
        <f t="shared" si="10"/>
        <v>253.0</v>
      </c>
    </row>
    <row r="209" x14ac:dyDescent="0.25">
      <c r="B209">
        <v>20.5</v>
      </c>
      <c r="C209">
        <f t="shared" si="11"/>
      </c>
      <c r="D209">
        <v>64.17981017263138</v>
      </c>
      <c r="E209">
        <v>172.89150376405883</v>
      </c>
      <c r="F209">
        <v>0.0</v>
      </c>
      <c r="G209">
        <v>0.0</v>
      </c>
      <c r="H209">
        <v>12.928686063309783</v>
      </c>
    </row>
    <row r="210" x14ac:dyDescent="0.25">
      <c r="B210">
        <v>21</v>
      </c>
      <c r="C210">
        <f t="shared" si="11"/>
      </c>
      <c r="D210">
        <v>64.98953265041997</v>
      </c>
      <c r="E210">
        <v>172.43385862711995</v>
      </c>
      <c r="F210">
        <v>0.0</v>
      </c>
      <c r="G210">
        <v>0.0</v>
      </c>
      <c r="H210">
        <v>12.576608722460065</v>
      </c>
      <c r="I210" s="10" t="s">
        <v>390</v>
      </c>
      <c r="J210">
        <f>'Kaverne &amp; Gassäule'!$C$49</f>
        <v>10.0</v>
      </c>
      <c r="K210">
        <f>'Kaverne &amp; Gassäule'!$H$49</f>
        <v>50.7054586727265</v>
      </c>
      <c r="L210">
        <f t="shared" ref="L210:L234" si="12">(J210-Diagramm_Tmin)/Diagramm_dT+1</f>
        <v>181.0</v>
      </c>
    </row>
    <row r="211" x14ac:dyDescent="0.25">
      <c r="B211">
        <v>21.5</v>
      </c>
      <c r="C211">
        <f t="shared" si="11"/>
      </c>
      <c r="D211">
        <v>65.81735455942597</v>
      </c>
      <c r="E211">
        <v>171.97621349018107</v>
      </c>
      <c r="F211">
        <v>0.0</v>
      </c>
      <c r="G211">
        <v>0.0</v>
      </c>
      <c r="H211">
        <v>12.206431950392968</v>
      </c>
      <c r="J211">
        <f>'Kaverne &amp; Gassäule'!$C$50</f>
        <v>11.5</v>
      </c>
      <c r="K211">
        <f>'Kaverne &amp; Gassäule'!$H$50</f>
        <v>51.6596295230599</v>
      </c>
      <c r="L211">
        <f t="shared" si="12"/>
        <v>184.0</v>
      </c>
    </row>
    <row r="212" x14ac:dyDescent="0.25">
      <c r="B212">
        <v>22</v>
      </c>
      <c r="C212">
        <f t="shared" si="11"/>
      </c>
      <c r="D212">
        <v>66.70356850522303</v>
      </c>
      <c r="E212">
        <v>171.5185683532422</v>
      </c>
      <c r="F212">
        <v>0.0</v>
      </c>
      <c r="G212">
        <v>0.0</v>
      </c>
      <c r="H212">
        <v>11.777863141534795</v>
      </c>
      <c r="J212">
        <f>'Kaverne &amp; Gassäule'!$C$51</f>
        <v>13.0</v>
      </c>
      <c r="K212">
        <f>'Kaverne &amp; Gassäule'!$H$51</f>
        <v>52.4700446839153</v>
      </c>
      <c r="L212">
        <f t="shared" si="12"/>
        <v>187.0</v>
      </c>
    </row>
    <row r="213" x14ac:dyDescent="0.25">
      <c r="B213">
        <v>22.5</v>
      </c>
      <c r="C213">
        <f t="shared" si="11"/>
      </c>
      <c r="D213">
        <v>67.5897824510201</v>
      </c>
      <c r="E213">
        <v>171.0609232163033</v>
      </c>
      <c r="F213">
        <v>0.0</v>
      </c>
      <c r="G213">
        <v>0.0</v>
      </c>
      <c r="H213">
        <v>11.349294332676607</v>
      </c>
      <c r="J213">
        <f>'Kaverne &amp; Gassäule'!$C$52</f>
        <v>14.5</v>
      </c>
      <c r="K213">
        <f>'Kaverne &amp; Gassäule'!$H$52</f>
        <v>53.2471393791399</v>
      </c>
      <c r="L213">
        <f t="shared" si="12"/>
        <v>190.0</v>
      </c>
    </row>
    <row r="214" x14ac:dyDescent="0.25">
      <c r="B214">
        <v>23</v>
      </c>
      <c r="C214">
        <f t="shared" si="11"/>
      </c>
      <c r="D214">
        <v>68.47599639681717</v>
      </c>
      <c r="E214">
        <v>170.6032780793644</v>
      </c>
      <c r="F214">
        <v>0.0</v>
      </c>
      <c r="G214">
        <v>0.0</v>
      </c>
      <c r="H214">
        <v>10.920725523818433</v>
      </c>
      <c r="J214">
        <f>'Kaverne &amp; Gassäule'!$C$53</f>
        <v>16.0</v>
      </c>
      <c r="K214">
        <f>'Kaverne &amp; Gassäule'!$H$53</f>
        <v>54.0258238394099</v>
      </c>
      <c r="L214">
        <f t="shared" si="12"/>
        <v>193.0</v>
      </c>
    </row>
    <row r="215" x14ac:dyDescent="0.25">
      <c r="B215">
        <v>23.5</v>
      </c>
      <c r="C215">
        <f t="shared" si="11"/>
      </c>
      <c r="D215">
        <v>69.40522495773665</v>
      </c>
      <c r="E215">
        <v>170.1456329424255</v>
      </c>
      <c r="F215">
        <v>0.0</v>
      </c>
      <c r="G215">
        <v>0.0</v>
      </c>
      <c r="H215">
        <v>10.449142099837843</v>
      </c>
      <c r="J215">
        <f>'Kaverne &amp; Gassäule'!$C$54</f>
        <v>17.5</v>
      </c>
      <c r="K215">
        <f>'Kaverne &amp; Gassäule'!$H$54</f>
        <v>54.8061814807064</v>
      </c>
      <c r="L215">
        <f t="shared" si="12"/>
        <v>196.0</v>
      </c>
    </row>
    <row r="216" x14ac:dyDescent="0.25">
      <c r="B216">
        <v>24</v>
      </c>
      <c r="C216">
        <f t="shared" si="11"/>
      </c>
      <c r="D216">
        <v>70.36380009302471</v>
      </c>
      <c r="E216">
        <v>169.7443694393384</v>
      </c>
      <c r="F216">
        <v>0.0</v>
      </c>
      <c r="G216">
        <v>0.0</v>
      </c>
      <c r="H216">
        <v>9.89183046763688</v>
      </c>
      <c r="J216">
        <f>'Kaverne &amp; Gassäule'!$C$55</f>
        <v>19.0</v>
      </c>
      <c r="K216">
        <f>'Kaverne &amp; Gassäule'!$H$55</f>
        <v>55.5882819245625</v>
      </c>
      <c r="L216">
        <f t="shared" si="12"/>
        <v>199.0</v>
      </c>
    </row>
    <row r="217" x14ac:dyDescent="0.25">
      <c r="B217">
        <v>24.5</v>
      </c>
      <c r="C217">
        <f t="shared" si="11"/>
      </c>
      <c r="D217">
        <v>71.32237522831277</v>
      </c>
      <c r="E217">
        <v>169.3445867885273</v>
      </c>
      <c r="F217">
        <v>0.0</v>
      </c>
      <c r="G217">
        <v>0.0</v>
      </c>
      <c r="H217">
        <v>9.333037983159954</v>
      </c>
      <c r="J217">
        <f>'Kaverne &amp; Gassäule'!$C$56</f>
        <v>20.5</v>
      </c>
      <c r="K217">
        <f>'Kaverne &amp; Gassäule'!$H$56</f>
        <v>56.3721833622051</v>
      </c>
      <c r="L217">
        <f t="shared" si="12"/>
        <v>202.0</v>
      </c>
    </row>
    <row r="218" x14ac:dyDescent="0.25">
      <c r="B218">
        <v>25</v>
      </c>
      <c r="C218">
        <f t="shared" si="11"/>
      </c>
      <c r="D218">
        <v>72.32522964253965</v>
      </c>
      <c r="E218">
        <v>168.94480413771618</v>
      </c>
      <c r="F218">
        <v>0.0</v>
      </c>
      <c r="G218">
        <v>0.0</v>
      </c>
      <c r="H218">
        <v>8.729966219744185</v>
      </c>
      <c r="J218">
        <f>'Kaverne &amp; Gassäule'!$C$57</f>
        <v>22.0</v>
      </c>
      <c r="K218">
        <f>'Kaverne &amp; Gassäule'!$H$57</f>
        <v>57.1579344122639</v>
      </c>
      <c r="L218">
        <f t="shared" si="12"/>
        <v>205.0</v>
      </c>
    </row>
    <row r="219" x14ac:dyDescent="0.25">
      <c r="B219">
        <v>25.5</v>
      </c>
      <c r="C219">
        <f t="shared" si="11"/>
      </c>
      <c r="D219">
        <v>73.38015838022605</v>
      </c>
      <c r="E219">
        <v>168.6139157354906</v>
      </c>
      <c r="F219">
        <v>0.0</v>
      </c>
      <c r="G219">
        <v>0.0</v>
      </c>
      <c r="H219">
        <v>8.005925884283371</v>
      </c>
      <c r="J219">
        <f>'Kaverne &amp; Gassäule'!$C$58</f>
        <v>23.5</v>
      </c>
      <c r="K219">
        <f>'Kaverne &amp; Gassäule'!$H$58</f>
        <v>57.9455756156579</v>
      </c>
      <c r="L219">
        <f t="shared" si="12"/>
        <v>208.0</v>
      </c>
    </row>
    <row r="220" x14ac:dyDescent="0.25">
      <c r="B220">
        <v>26</v>
      </c>
      <c r="C220">
        <f t="shared" si="11"/>
      </c>
      <c r="D220">
        <v>74.43508711791246</v>
      </c>
      <c r="E220">
        <v>168.28377747040247</v>
      </c>
      <c r="F220">
        <v>0.0</v>
      </c>
      <c r="G220">
        <v>0.0</v>
      </c>
      <c r="H220">
        <v>7.281135411685057</v>
      </c>
      <c r="J220">
        <f>'Kaverne &amp; Gassäule'!$C$59</f>
        <v>25.0</v>
      </c>
      <c r="K220">
        <f>'Kaverne &amp; Gassäule'!$H$59</f>
        <v>58.7351406608342</v>
      </c>
      <c r="L220">
        <f t="shared" si="12"/>
        <v>211.0</v>
      </c>
    </row>
    <row r="221" x14ac:dyDescent="0.25">
      <c r="B221">
        <v>26.5</v>
      </c>
      <c r="C221">
        <f t="shared" si="11"/>
      </c>
      <c r="D221">
        <v>75.61815476681673</v>
      </c>
      <c r="E221">
        <v>168.0394664370317</v>
      </c>
      <c r="F221">
        <v>0.0</v>
      </c>
      <c r="G221">
        <v>0.0</v>
      </c>
      <c r="H221">
        <v>6.3423787961515785</v>
      </c>
      <c r="J221">
        <f>'Kaverne &amp; Gassäule'!$C$60</f>
        <v>26.5</v>
      </c>
      <c r="K221">
        <f>'Kaverne &amp; Gassäule'!$H$60</f>
        <v>59.526657401485</v>
      </c>
      <c r="L221">
        <f t="shared" si="12"/>
        <v>214.0</v>
      </c>
    </row>
    <row r="222" x14ac:dyDescent="0.25">
      <c r="B222">
        <v>27</v>
      </c>
      <c r="C222">
        <f t="shared" si="11"/>
      </c>
      <c r="D222">
        <v>76.81792288028635</v>
      </c>
      <c r="E222">
        <v>167.84741809386375</v>
      </c>
      <c r="F222">
        <v>0.0</v>
      </c>
      <c r="G222">
        <v>0.0</v>
      </c>
      <c r="H222">
        <v>5.334659025849902</v>
      </c>
      <c r="J222">
        <f>'Kaverne &amp; Gassäule'!$C$61</f>
        <v>28.0</v>
      </c>
      <c r="K222">
        <f>'Kaverne &amp; Gassäule'!$H$61</f>
        <v>60.3201487095092</v>
      </c>
      <c r="L222">
        <f t="shared" si="12"/>
        <v>217.0</v>
      </c>
    </row>
    <row r="223" x14ac:dyDescent="0.25">
      <c r="B223">
        <v>27.5</v>
      </c>
      <c r="C223">
        <f t="shared" si="11"/>
      </c>
      <c r="D223">
        <v>78.25441483385524</v>
      </c>
      <c r="E223">
        <v>167.9004067586513</v>
      </c>
      <c r="F223">
        <v>0.0</v>
      </c>
      <c r="G223">
        <v>0.0</v>
      </c>
      <c r="H223">
        <v>3.845178407493478</v>
      </c>
      <c r="J223">
        <f>'Kaverne &amp; Gassäule'!$C$62</f>
        <v>29.5</v>
      </c>
      <c r="K223">
        <f>'Kaverne &amp; Gassäule'!$H$62</f>
        <v>61.1156331937486</v>
      </c>
      <c r="L223">
        <f t="shared" si="12"/>
        <v>220.0</v>
      </c>
    </row>
    <row r="224" x14ac:dyDescent="0.25">
      <c r="B224">
        <v>28</v>
      </c>
      <c r="C224">
        <f t="shared" si="11"/>
      </c>
      <c r="D224">
        <v>81.45505572191325</v>
      </c>
      <c r="E224">
        <v>0.0</v>
      </c>
      <c r="F224">
        <v>168.54494427808675</v>
      </c>
      <c r="G224">
        <v>0.0</v>
      </c>
      <c r="H224">
        <v>0.0</v>
      </c>
      <c r="J224">
        <f>'Kaverne &amp; Gassäule'!$C$63</f>
        <v>31.0</v>
      </c>
      <c r="K224">
        <f>'Kaverne &amp; Gassäule'!$H$63</f>
        <v>61.9131258072042</v>
      </c>
      <c r="L224">
        <f t="shared" si="12"/>
        <v>223.0</v>
      </c>
    </row>
    <row r="225" x14ac:dyDescent="0.25">
      <c r="B225">
        <v>28.5</v>
      </c>
      <c r="C225">
        <f t="shared" si="11"/>
      </c>
      <c r="D225">
        <v>81.45505572191325</v>
      </c>
      <c r="E225">
        <v>0.0</v>
      </c>
      <c r="F225">
        <v>168.54494427808675</v>
      </c>
      <c r="G225">
        <v>0.0</v>
      </c>
      <c r="H225">
        <v>0.0</v>
      </c>
      <c r="J225">
        <f>'Kaverne &amp; Gassäule'!$C$64</f>
        <v>32.5</v>
      </c>
      <c r="K225">
        <f>'Kaverne &amp; Gassäule'!$H$64</f>
        <v>62.7126383603626</v>
      </c>
      <c r="L225">
        <f t="shared" si="12"/>
        <v>226.0</v>
      </c>
    </row>
    <row r="226" x14ac:dyDescent="0.25">
      <c r="B226">
        <v>29</v>
      </c>
      <c r="C226">
        <f t="shared" si="11"/>
      </c>
      <c r="D226">
        <v>81.45505572191325</v>
      </c>
      <c r="E226">
        <v>0.0</v>
      </c>
      <c r="F226">
        <v>168.54494427808675</v>
      </c>
      <c r="G226">
        <v>0.0</v>
      </c>
      <c r="H226">
        <v>0.0</v>
      </c>
      <c r="J226">
        <f>'Kaverne &amp; Gassäule'!$C$65</f>
        <v>34.0</v>
      </c>
      <c r="K226">
        <f>'Kaverne &amp; Gassäule'!$H$65</f>
        <v>63.5141799548979</v>
      </c>
      <c r="L226">
        <f t="shared" si="12"/>
        <v>229.0</v>
      </c>
    </row>
    <row r="227" x14ac:dyDescent="0.25">
      <c r="B227">
        <v>29.5</v>
      </c>
      <c r="C227">
        <f t="shared" si="11"/>
      </c>
      <c r="D227">
        <v>81.45505572191325</v>
      </c>
      <c r="E227">
        <v>0.0</v>
      </c>
      <c r="F227">
        <v>168.54494427808675</v>
      </c>
      <c r="G227">
        <v>0.0</v>
      </c>
      <c r="H227">
        <v>0.0</v>
      </c>
      <c r="J227">
        <f>'Kaverne &amp; Gassäule'!$C$66</f>
        <v>35.5</v>
      </c>
      <c r="K227">
        <f>'Kaverne &amp; Gassäule'!$H$66</f>
        <v>64.3177573497143</v>
      </c>
      <c r="L227">
        <f t="shared" si="12"/>
        <v>232.0</v>
      </c>
    </row>
    <row r="228" x14ac:dyDescent="0.25">
      <c r="B228">
        <v>30</v>
      </c>
      <c r="C228">
        <f t="shared" si="11"/>
      </c>
      <c r="D228">
        <v>81.45505572191325</v>
      </c>
      <c r="E228">
        <v>0.0</v>
      </c>
      <c r="F228">
        <v>168.54494427808675</v>
      </c>
      <c r="G228">
        <v>0.0</v>
      </c>
      <c r="H228">
        <v>0.0</v>
      </c>
      <c r="J228">
        <f>'Kaverne &amp; Gassäule'!$C$67</f>
        <v>37.0</v>
      </c>
      <c r="K228">
        <f>'Kaverne &amp; Gassäule'!$H$67</f>
        <v>65.123375269629</v>
      </c>
      <c r="L228">
        <f t="shared" si="12"/>
        <v>235.0</v>
      </c>
    </row>
    <row r="229" x14ac:dyDescent="0.25">
      <c r="B229">
        <v>30.5</v>
      </c>
      <c r="C229">
        <f t="shared" si="11"/>
      </c>
      <c r="D229">
        <v>81.45505572191325</v>
      </c>
      <c r="E229">
        <v>0.0</v>
      </c>
      <c r="F229">
        <v>168.54494427808675</v>
      </c>
      <c r="G229">
        <v>0.0</v>
      </c>
      <c r="H229">
        <v>0.0</v>
      </c>
      <c r="J229">
        <f>'Kaverne &amp; Gassäule'!$C$68</f>
        <v>38.5</v>
      </c>
      <c r="K229">
        <f>'Kaverne &amp; Gassäule'!$H$68</f>
        <v>65.9310366656902</v>
      </c>
      <c r="L229">
        <f t="shared" si="12"/>
        <v>238.0</v>
      </c>
    </row>
    <row r="230" x14ac:dyDescent="0.25">
      <c r="B230">
        <v>31</v>
      </c>
      <c r="C230">
        <f t="shared" si="11"/>
      </c>
      <c r="D230">
        <v>81.45505572191325</v>
      </c>
      <c r="E230">
        <v>0.0</v>
      </c>
      <c r="F230">
        <v>168.54494427808675</v>
      </c>
      <c r="G230">
        <v>0.0</v>
      </c>
      <c r="H230">
        <v>0.0</v>
      </c>
      <c r="J230">
        <f>'Kaverne &amp; Gassäule'!$C$69</f>
        <v>40.0</v>
      </c>
      <c r="K230">
        <f>'Kaverne &amp; Gassäule'!$H$69</f>
        <v>66.7407429350304</v>
      </c>
      <c r="L230">
        <f t="shared" si="12"/>
        <v>241.0</v>
      </c>
    </row>
    <row r="231" x14ac:dyDescent="0.25">
      <c r="B231">
        <v>31.5</v>
      </c>
      <c r="C231">
        <f t="shared" si="11"/>
      </c>
      <c r="D231">
        <v>81.45505572191325</v>
      </c>
      <c r="E231">
        <v>0.0</v>
      </c>
      <c r="F231">
        <v>168.54494427808675</v>
      </c>
      <c r="G231">
        <v>0.0</v>
      </c>
      <c r="H231">
        <v>0.0</v>
      </c>
      <c r="J231">
        <f>'Kaverne &amp; Gassäule'!$C$70</f>
        <v>41.5</v>
      </c>
      <c r="K231">
        <f>'Kaverne &amp; Gassäule'!$H$70</f>
        <v>67.5524941071551</v>
      </c>
      <c r="L231">
        <f t="shared" si="12"/>
        <v>244.0</v>
      </c>
    </row>
    <row r="232" x14ac:dyDescent="0.25">
      <c r="B232">
        <v>32</v>
      </c>
      <c r="C232">
        <f t="shared" si="11"/>
      </c>
      <c r="D232">
        <v>81.45505572191325</v>
      </c>
      <c r="E232">
        <v>0.0</v>
      </c>
      <c r="F232">
        <v>168.54494427808675</v>
      </c>
      <c r="G232">
        <v>0.0</v>
      </c>
      <c r="H232">
        <v>0.0</v>
      </c>
      <c r="J232">
        <f>'Kaverne &amp; Gassäule'!$C$71</f>
        <v>43.0</v>
      </c>
      <c r="K232">
        <f>'Kaverne &amp; Gassäule'!$H$71</f>
        <v>68.3662890026341</v>
      </c>
      <c r="L232">
        <f t="shared" si="12"/>
        <v>247.0</v>
      </c>
    </row>
    <row r="233" x14ac:dyDescent="0.25">
      <c r="B233">
        <v>32.5</v>
      </c>
      <c r="C233">
        <f t="shared" si="11"/>
      </c>
      <c r="D233">
        <v>81.45505572191325</v>
      </c>
      <c r="E233">
        <v>0.0</v>
      </c>
      <c r="F233">
        <v>168.54494427808675</v>
      </c>
      <c r="G233">
        <v>0.0</v>
      </c>
      <c r="H233">
        <v>0.0</v>
      </c>
      <c r="J233">
        <f>'Kaverne &amp; Gassäule'!$C$72</f>
        <v>44.5</v>
      </c>
      <c r="K233">
        <f>'Kaverne &amp; Gassäule'!$H$72</f>
        <v>69.1821253692726</v>
      </c>
      <c r="L233">
        <f t="shared" si="12"/>
        <v>250.0</v>
      </c>
    </row>
    <row r="234" x14ac:dyDescent="0.25">
      <c r="B234">
        <v>33</v>
      </c>
      <c r="C234">
        <f t="shared" si="11"/>
      </c>
      <c r="D234">
        <v>81.45505572191325</v>
      </c>
      <c r="E234">
        <v>0.0</v>
      </c>
      <c r="F234">
        <v>168.54494427808675</v>
      </c>
      <c r="G234">
        <v>0.0</v>
      </c>
      <c r="H234">
        <v>0.0</v>
      </c>
      <c r="J234">
        <f>'Kaverne &amp; Gassäule'!$C$73</f>
        <v>46.0</v>
      </c>
      <c r="K234">
        <f>'Kaverne &amp; Gassäule'!$H$73</f>
        <v>70.0</v>
      </c>
      <c r="L234">
        <f t="shared" si="12"/>
        <v>253.0</v>
      </c>
    </row>
    <row r="235" x14ac:dyDescent="0.25">
      <c r="B235">
        <v>33.5</v>
      </c>
      <c r="C235">
        <f t="shared" si="11"/>
      </c>
      <c r="D235">
        <v>81.45505572191325</v>
      </c>
      <c r="E235">
        <v>0.0</v>
      </c>
      <c r="F235">
        <v>168.54494427808675</v>
      </c>
      <c r="G235">
        <v>0.0</v>
      </c>
      <c r="H235">
        <v>0.0</v>
      </c>
    </row>
    <row r="236" x14ac:dyDescent="0.25">
      <c r="B236">
        <v>34</v>
      </c>
      <c r="C236">
        <f t="shared" si="11"/>
      </c>
      <c r="D236">
        <v>81.45505572191325</v>
      </c>
      <c r="E236">
        <v>0.0</v>
      </c>
      <c r="F236">
        <v>168.54494427808675</v>
      </c>
      <c r="G236">
        <v>0.0</v>
      </c>
      <c r="H236">
        <v>0.0</v>
      </c>
      <c r="I236" s="10" t="s">
        <v>391</v>
      </c>
      <c r="J236">
        <f>T_Kav_V1</f>
        <v>46.0</v>
      </c>
      <c r="K236">
        <f>pmin_V1</f>
        <v>70.0</v>
      </c>
      <c r="L236">
        <f>(J236-Diagramm_Tmin)/Diagramm_dT+1</f>
        <v>253.0</v>
      </c>
    </row>
    <row r="237" x14ac:dyDescent="0.25">
      <c r="B237">
        <v>34.5</v>
      </c>
      <c r="C237">
        <f t="shared" si="11"/>
      </c>
      <c r="D237">
        <v>81.45505572191325</v>
      </c>
      <c r="E237">
        <v>0.0</v>
      </c>
      <c r="F237">
        <v>168.54494427808675</v>
      </c>
      <c r="G237">
        <v>0.0</v>
      </c>
      <c r="H237">
        <v>0.0</v>
      </c>
      <c r="J237">
        <f>T_Kav_V1</f>
        <v>46.0</v>
      </c>
      <c r="K237">
        <f>pmax_V1</f>
        <v>210.0</v>
      </c>
      <c r="L237">
        <f>(J237-Diagramm_Tmin)/Diagramm_dT+1</f>
        <v>253.0</v>
      </c>
    </row>
    <row r="238" x14ac:dyDescent="0.25">
      <c r="B238">
        <v>35</v>
      </c>
      <c r="C238">
        <f t="shared" si="11"/>
      </c>
      <c r="D238">
        <v>81.45505572191325</v>
      </c>
      <c r="E238">
        <v>0.0</v>
      </c>
      <c r="F238">
        <v>168.54494427808675</v>
      </c>
      <c r="G238">
        <v>0.0</v>
      </c>
      <c r="H238">
        <v>0.0</v>
      </c>
    </row>
    <row r="239" x14ac:dyDescent="0.25">
      <c r="B239">
        <v>35.5</v>
      </c>
      <c r="C239">
        <f t="shared" si="11"/>
      </c>
      <c r="D239">
        <v>81.45505572191325</v>
      </c>
      <c r="E239">
        <v>0.0</v>
      </c>
      <c r="F239">
        <v>168.54494427808675</v>
      </c>
      <c r="G239">
        <v>0.0</v>
      </c>
      <c r="H239">
        <v>0.0</v>
      </c>
      <c r="I239" s="10" t="s">
        <v>518</v>
      </c>
      <c r="J239">
        <f>Tober_V1</f>
        <v>10.0</v>
      </c>
      <c r="K239">
        <f>Kopf_leer</f>
        <v>50.7054586727265</v>
      </c>
      <c r="L239">
        <f>(J239-Diagramm_Tmin)/Diagramm_dT+1</f>
        <v>181.0</v>
      </c>
    </row>
    <row r="240" x14ac:dyDescent="0.25">
      <c r="B240">
        <v>36</v>
      </c>
      <c r="C240">
        <f t="shared" si="11"/>
      </c>
      <c r="D240">
        <v>81.45505572191325</v>
      </c>
      <c r="E240">
        <v>0.0</v>
      </c>
      <c r="F240">
        <v>168.54494427808675</v>
      </c>
      <c r="G240">
        <v>0.0</v>
      </c>
      <c r="H240">
        <v>0.0</v>
      </c>
      <c r="J240">
        <f>Tober_V1</f>
        <v>10.0</v>
      </c>
      <c r="K240">
        <f>Kopf_voll</f>
        <v>114.931301982089</v>
      </c>
      <c r="L240">
        <f>(J240-Diagramm_Tmin)/Diagramm_dT+1</f>
        <v>181.0</v>
      </c>
    </row>
    <row r="241" x14ac:dyDescent="0.25">
      <c r="B241">
        <v>36.5</v>
      </c>
      <c r="C241">
        <f t="shared" si="11"/>
      </c>
      <c r="D241">
        <v>81.45505572191325</v>
      </c>
      <c r="E241">
        <v>0.0</v>
      </c>
      <c r="F241">
        <v>168.54494427808675</v>
      </c>
      <c r="G241">
        <v>0.0</v>
      </c>
      <c r="H241">
        <v>0.0</v>
      </c>
    </row>
    <row r="242" x14ac:dyDescent="0.25">
      <c r="B242">
        <v>37</v>
      </c>
      <c r="C242">
        <f t="shared" si="11"/>
      </c>
      <c r="D242">
        <v>81.45505572191325</v>
      </c>
      <c r="E242">
        <v>0.0</v>
      </c>
      <c r="F242">
        <v>168.54494427808675</v>
      </c>
      <c r="G242">
        <v>0.0</v>
      </c>
      <c r="H242">
        <v>0.0</v>
      </c>
      <c r="I242" s="10" t="s">
        <v>393</v>
      </c>
      <c r="J242">
        <v>-71.0</v>
      </c>
      <c r="K242">
        <v>150.0</v>
      </c>
      <c r="L242">
        <f>(J242-Diagramm_Tmin)/Diagramm_dT+1</f>
        <v>19.0</v>
      </c>
    </row>
    <row r="243" x14ac:dyDescent="0.25">
      <c r="B243">
        <v>37.5</v>
      </c>
      <c r="C243">
        <f t="shared" si="11"/>
      </c>
      <c r="D243">
        <v>81.45505572191325</v>
      </c>
      <c r="E243">
        <v>0.0</v>
      </c>
      <c r="F243">
        <v>168.54494427808675</v>
      </c>
      <c r="G243">
        <v>0.0</v>
      </c>
      <c r="H243">
        <v>0.0</v>
      </c>
      <c r="J243">
        <v>-12.0</v>
      </c>
      <c r="K243">
        <v>170.0</v>
      </c>
      <c r="L243">
        <f>(J243-Diagramm_Tmin)/Diagramm_dT+1</f>
        <v>137.0</v>
      </c>
    </row>
    <row r="244" x14ac:dyDescent="0.25">
      <c r="B244">
        <v>38</v>
      </c>
      <c r="C244">
        <f t="shared" si="11"/>
      </c>
      <c r="D244">
        <v>81.45505572191325</v>
      </c>
      <c r="E244">
        <v>0.0</v>
      </c>
      <c r="F244">
        <v>168.54494427808675</v>
      </c>
      <c r="G244">
        <v>0.0</v>
      </c>
      <c r="H244">
        <v>0.0</v>
      </c>
      <c r="J244">
        <v>78.0</v>
      </c>
      <c r="K244">
        <v>25.0</v>
      </c>
      <c r="L244">
        <f>(J244-Diagramm_Tmin)/Diagramm_dT+1</f>
        <v>317.0</v>
      </c>
    </row>
    <row r="245" x14ac:dyDescent="0.25">
      <c r="B245">
        <v>38.5</v>
      </c>
      <c r="C245">
        <f t="shared" si="11"/>
      </c>
      <c r="D245">
        <v>81.45505572191325</v>
      </c>
      <c r="E245">
        <v>0.0</v>
      </c>
      <c r="F245">
        <v>168.54494427808675</v>
      </c>
      <c r="G245">
        <v>0.0</v>
      </c>
      <c r="H245">
        <v>0.0</v>
      </c>
      <c r="J245">
        <v>78.0</v>
      </c>
      <c r="K245">
        <v>160.0</v>
      </c>
      <c r="L245">
        <f>(J245-Diagramm_Tmin)/Diagramm_dT+1</f>
        <v>317.0</v>
      </c>
    </row>
    <row r="246" x14ac:dyDescent="0.25">
      <c r="B246">
        <v>39</v>
      </c>
      <c r="C246">
        <f t="shared" si="11"/>
      </c>
      <c r="D246">
        <v>81.45505572191325</v>
      </c>
      <c r="E246">
        <v>0.0</v>
      </c>
      <c r="F246">
        <v>168.54494427808675</v>
      </c>
      <c r="G246">
        <v>0.0</v>
      </c>
      <c r="H246">
        <v>0.0</v>
      </c>
      <c r="J246">
        <v>-25.0</v>
      </c>
      <c r="K246">
        <v>32.0</v>
      </c>
      <c r="L246">
        <f>(J246-Diagramm_Tmin)/Diagramm_dT+1</f>
        <v>111.0</v>
      </c>
    </row>
    <row r="247" x14ac:dyDescent="0.25">
      <c r="B247">
        <v>39.5</v>
      </c>
      <c r="C247">
        <f t="shared" si="11"/>
      </c>
      <c r="D247">
        <v>81.45505572191325</v>
      </c>
      <c r="E247">
        <v>0.0</v>
      </c>
      <c r="F247">
        <v>168.54494427808675</v>
      </c>
      <c r="G247">
        <v>0.0</v>
      </c>
      <c r="H247">
        <v>0.0</v>
      </c>
      <c r="I247" s="10" t="s">
        <v>394</v>
      </c>
      <c r="J247">
        <v>60.0</v>
      </c>
      <c r="K247">
        <v>216.0</v>
      </c>
      <c r="L247">
        <f t="shared" ref="L247:L253" si="13">(J247-Diagramm_Tmin)/Diagramm_dT+1</f>
        <v>281.0</v>
      </c>
    </row>
    <row r="248" x14ac:dyDescent="0.25">
      <c r="B248">
        <v>40</v>
      </c>
      <c r="C248" t="str">
        <f t="shared" si="11"/>
        <v>40</v>
      </c>
      <c r="D248">
        <v>81.45505572191325</v>
      </c>
      <c r="E248">
        <v>0.0</v>
      </c>
      <c r="F248">
        <v>168.54494427808675</v>
      </c>
      <c r="G248">
        <v>0.0</v>
      </c>
      <c r="H248">
        <v>0.0</v>
      </c>
      <c r="J248">
        <v>60.0</v>
      </c>
      <c r="K248">
        <v>172.0</v>
      </c>
      <c r="L248">
        <f t="shared" si="13"/>
        <v>281.0</v>
      </c>
    </row>
    <row r="249" x14ac:dyDescent="0.25">
      <c r="B249">
        <v>40.5</v>
      </c>
      <c r="C249">
        <f t="shared" si="11"/>
      </c>
      <c r="D249">
        <v>81.45505572191325</v>
      </c>
      <c r="E249">
        <v>0.0</v>
      </c>
      <c r="F249">
        <v>168.54494427808675</v>
      </c>
      <c r="G249">
        <v>0.0</v>
      </c>
      <c r="H249">
        <v>0.0</v>
      </c>
      <c r="J249">
        <v>58.0</v>
      </c>
      <c r="K249">
        <v>64.0</v>
      </c>
      <c r="L249">
        <f t="shared" si="13"/>
        <v>277.0</v>
      </c>
    </row>
    <row r="250" x14ac:dyDescent="0.25">
      <c r="B250">
        <v>41</v>
      </c>
      <c r="C250">
        <f t="shared" si="11"/>
      </c>
      <c r="D250">
        <v>81.45505572191325</v>
      </c>
      <c r="E250">
        <v>0.0</v>
      </c>
      <c r="F250">
        <v>168.54494427808675</v>
      </c>
      <c r="G250">
        <v>0.0</v>
      </c>
      <c r="H250">
        <v>0.0</v>
      </c>
      <c r="J250">
        <v>-6.0</v>
      </c>
      <c r="K250">
        <v>118.93130198208927</v>
      </c>
      <c r="L250">
        <f t="shared" si="13"/>
        <v>149.0</v>
      </c>
    </row>
    <row r="251" x14ac:dyDescent="0.25">
      <c r="B251">
        <v>41.5</v>
      </c>
      <c r="C251">
        <f t="shared" si="11"/>
      </c>
      <c r="D251">
        <v>81.45505572191325</v>
      </c>
      <c r="E251">
        <v>0.0</v>
      </c>
      <c r="F251">
        <v>168.54494427808675</v>
      </c>
      <c r="G251">
        <v>0.0</v>
      </c>
      <c r="H251">
        <v>0.0</v>
      </c>
      <c r="J251">
        <v>-8.0</v>
      </c>
      <c r="K251">
        <v>83.17759431791859</v>
      </c>
      <c r="L251">
        <f t="shared" si="13"/>
        <v>145.0</v>
      </c>
    </row>
    <row r="252" x14ac:dyDescent="0.25">
      <c r="B252">
        <v>42</v>
      </c>
      <c r="C252">
        <f t="shared" si="11"/>
      </c>
      <c r="D252">
        <v>81.45505572191325</v>
      </c>
      <c r="E252">
        <v>0.0</v>
      </c>
      <c r="F252">
        <v>168.54494427808675</v>
      </c>
      <c r="G252">
        <v>0.0</v>
      </c>
      <c r="H252">
        <v>0.0</v>
      </c>
      <c r="J252">
        <v>-11.0</v>
      </c>
      <c r="K252">
        <v>44.70545867272649</v>
      </c>
      <c r="L252">
        <f t="shared" si="13"/>
        <v>139.0</v>
      </c>
    </row>
    <row r="253" x14ac:dyDescent="0.25">
      <c r="B253">
        <v>42.5</v>
      </c>
      <c r="C253">
        <f t="shared" si="11"/>
      </c>
      <c r="D253">
        <v>81.45505572191325</v>
      </c>
      <c r="E253">
        <v>0.0</v>
      </c>
      <c r="F253">
        <v>168.54494427808675</v>
      </c>
      <c r="G253">
        <v>0.0</v>
      </c>
      <c r="H253">
        <v>0.0</v>
      </c>
      <c r="J253">
        <v>29.0</v>
      </c>
      <c r="K253">
        <v>100.0</v>
      </c>
      <c r="L253">
        <f t="shared" si="13"/>
        <v>219.0</v>
      </c>
    </row>
    <row r="254" x14ac:dyDescent="0.25">
      <c r="B254">
        <v>43</v>
      </c>
      <c r="C254">
        <f t="shared" si="11"/>
      </c>
      <c r="D254">
        <v>81.45505572191325</v>
      </c>
      <c r="E254">
        <v>0.0</v>
      </c>
      <c r="F254">
        <v>168.54494427808675</v>
      </c>
      <c r="G254">
        <v>0.0</v>
      </c>
      <c r="H254">
        <v>0.0</v>
      </c>
    </row>
    <row r="255" x14ac:dyDescent="0.25">
      <c r="B255">
        <v>43.5</v>
      </c>
      <c r="C255">
        <f t="shared" si="11"/>
      </c>
      <c r="D255">
        <v>81.45505572191325</v>
      </c>
      <c r="E255">
        <v>0.0</v>
      </c>
      <c r="F255">
        <v>168.54494427808675</v>
      </c>
      <c r="G255">
        <v>0.0</v>
      </c>
      <c r="H255">
        <v>0.0</v>
      </c>
    </row>
    <row r="256" x14ac:dyDescent="0.25">
      <c r="B256">
        <v>44</v>
      </c>
      <c r="C256">
        <f t="shared" si="11"/>
      </c>
      <c r="D256">
        <v>81.45505572191325</v>
      </c>
      <c r="E256">
        <v>0.0</v>
      </c>
      <c r="F256">
        <v>168.54494427808675</v>
      </c>
      <c r="G256">
        <v>0.0</v>
      </c>
      <c r="H256">
        <v>0.0</v>
      </c>
      <c r="I256" s="10" t="s">
        <v>519</v>
      </c>
      <c r="J256">
        <v>-56.557999999999964</v>
      </c>
      <c r="K256">
        <v>5.179643433349451</v>
      </c>
      <c r="L256">
        <f>(J256-Diagramm_Tmin)/Diagramm_dT+1</f>
        <v>47.8840000000001</v>
      </c>
    </row>
    <row r="257" x14ac:dyDescent="0.25">
      <c r="B257">
        <v>44.5</v>
      </c>
      <c r="C257">
        <f t="shared" si="11"/>
      </c>
      <c r="D257">
        <v>81.45505572191325</v>
      </c>
      <c r="E257">
        <v>0.0</v>
      </c>
      <c r="F257">
        <v>168.54494427808675</v>
      </c>
      <c r="G257">
        <v>0.0</v>
      </c>
      <c r="H257">
        <v>0.0</v>
      </c>
      <c r="J257">
        <v>-54.36961999992545</v>
      </c>
      <c r="K257">
        <v>5.690561898357319</v>
      </c>
      <c r="L257">
        <f>(J257-Diagramm_Tmin)/Diagramm_dT+1</f>
        <v>52.2607600001491</v>
      </c>
    </row>
    <row r="258" x14ac:dyDescent="0.25">
      <c r="B258">
        <v>45</v>
      </c>
      <c r="C258">
        <f t="shared" si="11"/>
      </c>
      <c r="D258">
        <v>81.45505572191325</v>
      </c>
      <c r="E258">
        <v>0.0</v>
      </c>
      <c r="F258">
        <v>168.54494427808675</v>
      </c>
      <c r="G258">
        <v>0.0</v>
      </c>
      <c r="H258">
        <v>0.0</v>
      </c>
      <c r="J258">
        <v>-52.18123999985093</v>
      </c>
      <c r="K258">
        <v>6.238592572564612</v>
      </c>
      <c r="L258">
        <f>(J258-Diagramm_Tmin)/Diagramm_dT+1</f>
        <v>56.6375200002981</v>
      </c>
    </row>
    <row r="259" x14ac:dyDescent="0.25">
      <c r="B259">
        <v>45.5</v>
      </c>
      <c r="C259">
        <f t="shared" si="11"/>
      </c>
      <c r="D259">
        <v>81.45505572191325</v>
      </c>
      <c r="E259">
        <v>0.0</v>
      </c>
      <c r="F259">
        <v>168.54494427808675</v>
      </c>
      <c r="G259">
        <v>0.0</v>
      </c>
      <c r="H259">
        <v>0.0</v>
      </c>
      <c r="J259">
        <v>-49.992859999776414</v>
      </c>
      <c r="K259">
        <v>6.825395560929695</v>
      </c>
      <c r="L259">
        <f>(J259-Diagramm_Tmin)/Diagramm_dT+1</f>
        <v>61.0142800004472</v>
      </c>
    </row>
    <row r="260" x14ac:dyDescent="0.25">
      <c r="B260">
        <v>46</v>
      </c>
      <c r="C260">
        <f t="shared" si="11"/>
      </c>
      <c r="D260">
        <v>81.45505572191325</v>
      </c>
      <c r="E260">
        <v>0.0</v>
      </c>
      <c r="F260">
        <v>168.54494427808675</v>
      </c>
      <c r="G260">
        <v>0.0</v>
      </c>
      <c r="H260">
        <v>0.0</v>
      </c>
      <c r="J260">
        <v>-47.8044799997019</v>
      </c>
      <c r="K260">
        <v>7.452652174898</v>
      </c>
      <c r="L260">
        <f>(J260-Diagramm_Tmin)/Diagramm_dT+1</f>
        <v>65.3910400005962</v>
      </c>
    </row>
    <row r="261" x14ac:dyDescent="0.25">
      <c r="B261">
        <v>46.5</v>
      </c>
      <c r="C261">
        <f t="shared" si="11"/>
      </c>
      <c r="D261">
        <v>81.45505572191325</v>
      </c>
      <c r="E261">
        <v>0.0</v>
      </c>
      <c r="F261">
        <v>168.54494427808675</v>
      </c>
      <c r="G261">
        <v>0.0</v>
      </c>
      <c r="H261">
        <v>0.0</v>
      </c>
      <c r="J261">
        <v>-45.61609999962738</v>
      </c>
      <c r="K261">
        <v>8.122064366231024</v>
      </c>
      <c r="L261">
        <f>(J261-Diagramm_Tmin)/Diagramm_dT+1</f>
        <v>69.7678000007452</v>
      </c>
    </row>
    <row r="262" x14ac:dyDescent="0.25">
      <c r="B262">
        <v>47</v>
      </c>
      <c r="C262">
        <f t="shared" si="11"/>
      </c>
      <c r="D262">
        <v>81.45505572191325</v>
      </c>
      <c r="E262">
        <v>0.0</v>
      </c>
      <c r="F262">
        <v>168.54494427808675</v>
      </c>
      <c r="G262">
        <v>0.0</v>
      </c>
      <c r="H262">
        <v>0.0</v>
      </c>
      <c r="J262">
        <v>-43.42771999955286</v>
      </c>
      <c r="K262">
        <v>8.835354320213177</v>
      </c>
      <c r="L262">
        <f>(J262-Diagramm_Tmin)/Diagramm_dT+1</f>
        <v>74.1445600008943</v>
      </c>
    </row>
    <row r="263" x14ac:dyDescent="0.25">
      <c r="B263">
        <v>47.5</v>
      </c>
      <c r="C263">
        <f t="shared" si="11"/>
      </c>
      <c r="D263">
        <v>81.45505572191325</v>
      </c>
      <c r="E263">
        <v>0.0</v>
      </c>
      <c r="F263">
        <v>168.54494427808675</v>
      </c>
      <c r="G263">
        <v>0.0</v>
      </c>
      <c r="H263">
        <v>0.0</v>
      </c>
      <c r="J263">
        <v>-41.23933999947835</v>
      </c>
      <c r="K263">
        <v>9.59426421914942</v>
      </c>
      <c r="L263">
        <f>(J263-Diagramm_Tmin)/Diagramm_dT+1</f>
        <v>78.5213200010433</v>
      </c>
    </row>
    <row r="264" x14ac:dyDescent="0.25">
      <c r="B264">
        <v>48</v>
      </c>
      <c r="C264">
        <f t="shared" ref="C264:C327" si="14">IF(MOD(B264,20)=0,TEXT(B264,"0"),"")</f>
      </c>
      <c r="D264">
        <v>81.45505572191325</v>
      </c>
      <c r="E264">
        <v>0.0</v>
      </c>
      <c r="F264">
        <v>168.54494427808675</v>
      </c>
      <c r="G264">
        <v>0.0</v>
      </c>
      <c r="H264">
        <v>0.0</v>
      </c>
      <c r="J264">
        <v>-39.05095999940383</v>
      </c>
      <c r="K264">
        <v>10.400556183845032</v>
      </c>
      <c r="L264">
        <f>(J264-Diagramm_Tmin)/Diagramm_dT+1</f>
        <v>82.8980800011923</v>
      </c>
    </row>
    <row r="265" x14ac:dyDescent="0.25">
      <c r="B265">
        <v>48.5</v>
      </c>
      <c r="C265">
        <f t="shared" si="14"/>
      </c>
      <c r="D265">
        <v>81.45505572191325</v>
      </c>
      <c r="E265">
        <v>0.0</v>
      </c>
      <c r="F265">
        <v>168.54494427808675</v>
      </c>
      <c r="G265">
        <v>0.0</v>
      </c>
      <c r="H265">
        <v>0.0</v>
      </c>
      <c r="J265">
        <v>-36.86257999932931</v>
      </c>
      <c r="K265">
        <v>11.256012395801237</v>
      </c>
      <c r="L265">
        <f>(J265-Diagramm_Tmin)/Diagramm_dT+1</f>
        <v>87.2748400013414</v>
      </c>
    </row>
    <row r="266" x14ac:dyDescent="0.25">
      <c r="B266">
        <v>49</v>
      </c>
      <c r="C266">
        <f t="shared" si="14"/>
      </c>
      <c r="D266">
        <v>81.45505572191325</v>
      </c>
      <c r="E266">
        <v>0.0</v>
      </c>
      <c r="F266">
        <v>168.54494427808675</v>
      </c>
      <c r="G266">
        <v>0.0</v>
      </c>
      <c r="H266">
        <v>0.0</v>
      </c>
      <c r="J266">
        <v>-34.674199999254796</v>
      </c>
      <c r="K266">
        <v>12.162435399008638</v>
      </c>
      <c r="L266">
        <f>(J266-Diagramm_Tmin)/Diagramm_dT+1</f>
        <v>91.6516000014904</v>
      </c>
    </row>
    <row r="267" x14ac:dyDescent="0.25">
      <c r="B267">
        <v>49.5</v>
      </c>
      <c r="C267">
        <f t="shared" si="14"/>
      </c>
      <c r="D267">
        <v>81.45505572191325</v>
      </c>
      <c r="E267">
        <v>0.0</v>
      </c>
      <c r="F267">
        <v>168.54494427808675</v>
      </c>
      <c r="G267">
        <v>0.0</v>
      </c>
      <c r="H267">
        <v>0.0</v>
      </c>
      <c r="J267">
        <v>-32.48581999918028</v>
      </c>
      <c r="K267">
        <v>13.12164858209297</v>
      </c>
      <c r="L267">
        <f>(J267-Diagramm_Tmin)/Diagramm_dT+1</f>
        <v>96.0283600016394</v>
      </c>
    </row>
    <row r="268" x14ac:dyDescent="0.25">
      <c r="B268">
        <v>50</v>
      </c>
      <c r="C268">
        <f t="shared" si="14"/>
      </c>
      <c r="D268">
        <v>81.45505572191325</v>
      </c>
      <c r="E268">
        <v>0.0</v>
      </c>
      <c r="F268">
        <v>168.54494427808675</v>
      </c>
      <c r="G268">
        <v>0.0</v>
      </c>
      <c r="H268">
        <v>0.0</v>
      </c>
      <c r="J268">
        <v>-30.297439999105762</v>
      </c>
      <c r="K268">
        <v>14.13549685310051</v>
      </c>
      <c r="L268">
        <f>(J268-Diagramm_Tmin)/Diagramm_dT+1</f>
        <v>100.405120001788</v>
      </c>
    </row>
    <row r="269" x14ac:dyDescent="0.25">
      <c r="B269">
        <v>50.5</v>
      </c>
      <c r="C269">
        <f t="shared" si="14"/>
      </c>
      <c r="D269">
        <v>81.45505572191325</v>
      </c>
      <c r="E269">
        <v>0.0</v>
      </c>
      <c r="F269">
        <v>168.54494427808675</v>
      </c>
      <c r="G269">
        <v>0.0</v>
      </c>
      <c r="H269">
        <v>0.0</v>
      </c>
      <c r="J269">
        <v>-28.109059999031246</v>
      </c>
      <c r="K269">
        <v>15.205847540490653</v>
      </c>
      <c r="L269">
        <f>(J269-Diagramm_Tmin)/Diagramm_dT+1</f>
        <v>104.781880001938</v>
      </c>
    </row>
    <row r="270" x14ac:dyDescent="0.25">
      <c r="B270">
        <v>51</v>
      </c>
      <c r="C270">
        <f t="shared" si="14"/>
      </c>
      <c r="D270">
        <v>81.45505572191325</v>
      </c>
      <c r="E270">
        <v>0.0</v>
      </c>
      <c r="F270">
        <v>168.54494427808675</v>
      </c>
      <c r="G270">
        <v>0.0</v>
      </c>
      <c r="H270">
        <v>0.0</v>
      </c>
      <c r="J270">
        <v>-25.9206799989567</v>
      </c>
      <c r="K270">
        <v>16.334591579694806</v>
      </c>
      <c r="L270">
        <f>(J270-Diagramm_Tmin)/Diagramm_dT+1</f>
        <v>109.158640002087</v>
      </c>
    </row>
    <row r="271" x14ac:dyDescent="0.25">
      <c r="B271">
        <v>51.5</v>
      </c>
      <c r="C271">
        <f t="shared" si="14"/>
      </c>
      <c r="D271">
        <v>81.45505572191325</v>
      </c>
      <c r="E271">
        <v>0.0</v>
      </c>
      <c r="F271">
        <v>168.54494427808675</v>
      </c>
      <c r="G271">
        <v>0.0</v>
      </c>
      <c r="H271">
        <v>0.0</v>
      </c>
      <c r="J271">
        <v>-23.732299998882183</v>
      </c>
      <c r="K271">
        <v>17.52364506618673</v>
      </c>
      <c r="L271">
        <f>(J271-Diagramm_Tmin)/Diagramm_dT+1</f>
        <v>113.535400002236</v>
      </c>
    </row>
    <row r="272" x14ac:dyDescent="0.25">
      <c r="B272">
        <v>52</v>
      </c>
      <c r="C272">
        <f t="shared" si="14"/>
      </c>
      <c r="D272">
        <v>81.45505572191325</v>
      </c>
      <c r="E272">
        <v>0.0</v>
      </c>
      <c r="F272">
        <v>168.54494427808675</v>
      </c>
      <c r="G272">
        <v>0.0</v>
      </c>
      <c r="H272">
        <v>0.0</v>
      </c>
      <c r="J272">
        <v>-21.543919998807667</v>
      </c>
      <c r="K272">
        <v>18.774951265593533</v>
      </c>
      <c r="L272">
        <f>(J272-Diagramm_Tmin)/Diagramm_dT+1</f>
        <v>117.912160002385</v>
      </c>
    </row>
    <row r="273" x14ac:dyDescent="0.25">
      <c r="B273">
        <v>52.5</v>
      </c>
      <c r="C273">
        <f t="shared" si="14"/>
      </c>
      <c r="D273">
        <v>81.45505572191325</v>
      </c>
      <c r="E273">
        <v>0.0</v>
      </c>
      <c r="F273">
        <v>168.54494427808675</v>
      </c>
      <c r="G273">
        <v>0.0</v>
      </c>
      <c r="H273">
        <v>0.0</v>
      </c>
      <c r="J273">
        <v>-19.35553999873315</v>
      </c>
      <c r="K273">
        <v>20.09048316632229</v>
      </c>
      <c r="L273">
        <f>(J273-Diagramm_Tmin)/Diagramm_dT+1</f>
        <v>122.288920002534</v>
      </c>
    </row>
    <row r="274" x14ac:dyDescent="0.25">
      <c r="B274">
        <v>53</v>
      </c>
      <c r="C274">
        <f t="shared" si="14"/>
      </c>
      <c r="D274">
        <v>81.45505572191325</v>
      </c>
      <c r="E274">
        <v>0.0</v>
      </c>
      <c r="F274">
        <v>168.54494427808675</v>
      </c>
      <c r="G274">
        <v>0.0</v>
      </c>
      <c r="H274">
        <v>0.0</v>
      </c>
      <c r="J274">
        <v>-17.167159998658633</v>
      </c>
      <c r="K274">
        <v>21.472246644534383</v>
      </c>
      <c r="L274">
        <f>(J274-Diagramm_Tmin)/Diagramm_dT+1</f>
        <v>126.665680002683</v>
      </c>
    </row>
    <row r="275" x14ac:dyDescent="0.25">
      <c r="B275">
        <v>53.5</v>
      </c>
      <c r="C275">
        <f t="shared" si="14"/>
      </c>
      <c r="D275">
        <v>81.45505572191325</v>
      </c>
      <c r="E275">
        <v>0.0</v>
      </c>
      <c r="F275">
        <v>168.54494427808675</v>
      </c>
      <c r="G275">
        <v>0.0</v>
      </c>
      <c r="H275">
        <v>0.0</v>
      </c>
      <c r="J275">
        <v>-14.978779998584116</v>
      </c>
      <c r="K275">
        <v>22.92228429401924</v>
      </c>
      <c r="L275">
        <f>(J275-Diagramm_Tmin)/Diagramm_dT+1</f>
        <v>131.042440002832</v>
      </c>
    </row>
    <row r="276" x14ac:dyDescent="0.25">
      <c r="B276">
        <v>54</v>
      </c>
      <c r="C276">
        <f t="shared" si="14"/>
      </c>
      <c r="D276">
        <v>81.45505572191325</v>
      </c>
      <c r="E276">
        <v>0.0</v>
      </c>
      <c r="F276">
        <v>168.54494427808675</v>
      </c>
      <c r="G276">
        <v>0.0</v>
      </c>
      <c r="H276">
        <v>0.0</v>
      </c>
      <c r="J276">
        <v>-12.7903999985096</v>
      </c>
      <c r="K276">
        <v>24.442679965043133</v>
      </c>
      <c r="L276">
        <f>(J276-Diagramm_Tmin)/Diagramm_dT+1</f>
        <v>135.419200002981</v>
      </c>
    </row>
    <row r="277" x14ac:dyDescent="0.25">
      <c r="B277">
        <v>54.5</v>
      </c>
      <c r="C277">
        <f t="shared" si="14"/>
      </c>
      <c r="D277">
        <v>81.45505572191325</v>
      </c>
      <c r="E277">
        <v>0.0</v>
      </c>
      <c r="F277">
        <v>168.54494427808675</v>
      </c>
      <c r="G277">
        <v>0.0</v>
      </c>
      <c r="H277">
        <v>0.0</v>
      </c>
      <c r="J277">
        <v>-10.602019998435082</v>
      </c>
      <c r="K277">
        <v>26.03556406565252</v>
      </c>
      <c r="L277">
        <f>(J277-Diagramm_Tmin)/Diagramm_dT+1</f>
        <v>139.79596000313</v>
      </c>
    </row>
    <row r="278" x14ac:dyDescent="0.25">
      <c r="B278">
        <v>55</v>
      </c>
      <c r="C278">
        <f t="shared" si="14"/>
      </c>
      <c r="D278">
        <v>81.45505572191325</v>
      </c>
      <c r="E278">
        <v>0.0</v>
      </c>
      <c r="F278">
        <v>168.54494427808675</v>
      </c>
      <c r="G278">
        <v>0.0</v>
      </c>
      <c r="H278">
        <v>0.0</v>
      </c>
      <c r="J278">
        <v>-8.413639998360566</v>
      </c>
      <c r="K278">
        <v>27.703119713043016</v>
      </c>
      <c r="L278">
        <f>(J278-Diagramm_Tmin)/Diagramm_dT+1</f>
        <v>144.172720003279</v>
      </c>
    </row>
    <row r="279" x14ac:dyDescent="0.25">
      <c r="B279">
        <v>55.5</v>
      </c>
      <c r="C279">
        <f t="shared" si="14"/>
      </c>
      <c r="D279">
        <v>81.45505572191325</v>
      </c>
      <c r="E279">
        <v>0.0</v>
      </c>
      <c r="F279">
        <v>168.54494427808675</v>
      </c>
      <c r="G279">
        <v>0.0</v>
      </c>
      <c r="H279">
        <v>0.0</v>
      </c>
      <c r="J279">
        <v>-6.225259998286049</v>
      </c>
      <c r="K279">
        <v>29.447589887066314</v>
      </c>
      <c r="L279">
        <f>(J279-Diagramm_Tmin)/Diagramm_dT+1</f>
        <v>148.549480003428</v>
      </c>
    </row>
    <row r="280" x14ac:dyDescent="0.25">
      <c r="B280">
        <v>56</v>
      </c>
      <c r="C280">
        <f t="shared" si="14"/>
      </c>
      <c r="D280">
        <v>81.45505572191325</v>
      </c>
      <c r="E280">
        <v>0.0</v>
      </c>
      <c r="F280">
        <v>168.54494427808675</v>
      </c>
      <c r="G280">
        <v>0.0</v>
      </c>
      <c r="H280">
        <v>0.0</v>
      </c>
      <c r="J280">
        <v>-4.036879998211532</v>
      </c>
      <c r="K280">
        <v>31.271285838462976</v>
      </c>
      <c r="L280">
        <f>(J280-Diagramm_Tmin)/Diagramm_dT+1</f>
        <v>152.926240003577</v>
      </c>
    </row>
    <row r="281" x14ac:dyDescent="0.25">
      <c r="B281">
        <v>56.5</v>
      </c>
      <c r="C281">
        <f t="shared" si="14"/>
      </c>
      <c r="D281">
        <v>81.45505572191325</v>
      </c>
      <c r="E281">
        <v>0.0</v>
      </c>
      <c r="F281">
        <v>168.54494427808675</v>
      </c>
      <c r="G281">
        <v>0.0</v>
      </c>
      <c r="H281">
        <v>0.0</v>
      </c>
      <c r="J281">
        <v>-1.8484999981370152</v>
      </c>
      <c r="K281">
        <v>33.17659714645595</v>
      </c>
      <c r="L281">
        <f>(J281-Diagramm_Tmin)/Diagramm_dT+1</f>
        <v>157.303000003726</v>
      </c>
    </row>
    <row r="282" x14ac:dyDescent="0.25">
      <c r="B282">
        <v>57</v>
      </c>
      <c r="C282">
        <f t="shared" si="14"/>
      </c>
      <c r="D282">
        <v>81.45505572191325</v>
      </c>
      <c r="E282">
        <v>0.0</v>
      </c>
      <c r="F282">
        <v>168.54494427808675</v>
      </c>
      <c r="G282">
        <v>0.0</v>
      </c>
      <c r="H282">
        <v>0.0</v>
      </c>
      <c r="J282">
        <v>0.3398800019375017</v>
      </c>
      <c r="K282">
        <v>35.16600400447688</v>
      </c>
      <c r="L282">
        <f>(J282-Diagramm_Tmin)/Diagramm_dT+1</f>
        <v>161.679760003875</v>
      </c>
    </row>
    <row r="283" x14ac:dyDescent="0.25">
      <c r="B283">
        <v>57.5</v>
      </c>
      <c r="C283">
        <f t="shared" si="14"/>
      </c>
      <c r="D283">
        <v>81.45505572191325</v>
      </c>
      <c r="E283">
        <v>0.0</v>
      </c>
      <c r="F283">
        <v>168.54494427808675</v>
      </c>
      <c r="G283">
        <v>0.0</v>
      </c>
      <c r="H283">
        <v>0.0</v>
      </c>
      <c r="J283">
        <v>2.5282600020120185</v>
      </c>
      <c r="K283">
        <v>37.24209252468288</v>
      </c>
      <c r="L283">
        <f>(J283-Diagramm_Tmin)/Diagramm_dT+1</f>
        <v>166.056520004024</v>
      </c>
    </row>
    <row r="284" x14ac:dyDescent="0.25">
      <c r="B284">
        <v>58</v>
      </c>
      <c r="C284">
        <f t="shared" si="14"/>
      </c>
      <c r="D284">
        <v>81.45505572191325</v>
      </c>
      <c r="E284">
        <v>0.0</v>
      </c>
      <c r="F284">
        <v>168.54494427808675</v>
      </c>
      <c r="G284">
        <v>0.0</v>
      </c>
      <c r="H284">
        <v>0.0</v>
      </c>
      <c r="J284">
        <v>4.716640002086535</v>
      </c>
      <c r="K284">
        <v>39.40757405146131</v>
      </c>
      <c r="L284">
        <f>(J284-Diagramm_Tmin)/Diagramm_dT+1</f>
        <v>170.433280004173</v>
      </c>
    </row>
    <row r="285" x14ac:dyDescent="0.25">
      <c r="B285">
        <v>58.5</v>
      </c>
      <c r="C285">
        <f t="shared" si="14"/>
      </c>
      <c r="D285">
        <v>81.45505572191325</v>
      </c>
      <c r="E285">
        <v>0.0</v>
      </c>
      <c r="F285">
        <v>168.54494427808675</v>
      </c>
      <c r="G285">
        <v>0.0</v>
      </c>
      <c r="H285">
        <v>0.0</v>
      </c>
      <c r="J285">
        <v>6.905020002161052</v>
      </c>
      <c r="K285">
        <v>41.66530960207515</v>
      </c>
      <c r="L285">
        <f>(J285-Diagramm_Tmin)/Diagramm_dT+1</f>
        <v>174.810040004322</v>
      </c>
    </row>
    <row r="286" x14ac:dyDescent="0.25">
      <c r="B286">
        <v>59</v>
      </c>
      <c r="C286">
        <f t="shared" si="14"/>
      </c>
      <c r="D286">
        <v>81.45505572191325</v>
      </c>
      <c r="E286">
        <v>0.0</v>
      </c>
      <c r="F286">
        <v>168.54494427808675</v>
      </c>
      <c r="G286">
        <v>0.0</v>
      </c>
      <c r="H286">
        <v>0.0</v>
      </c>
      <c r="J286">
        <v>9.093400002235569</v>
      </c>
      <c r="K286">
        <v>44.01834059574273</v>
      </c>
      <c r="L286">
        <f>(J286-Diagramm_Tmin)/Diagramm_dT+1</f>
        <v>179.186800004471</v>
      </c>
    </row>
    <row r="287" x14ac:dyDescent="0.25">
      <c r="B287">
        <v>59.5</v>
      </c>
      <c r="C287">
        <f t="shared" si="14"/>
      </c>
      <c r="D287">
        <v>81.45505572191325</v>
      </c>
      <c r="E287">
        <v>0.0</v>
      </c>
      <c r="F287">
        <v>168.54494427808675</v>
      </c>
      <c r="G287">
        <v>0.0</v>
      </c>
      <c r="H287">
        <v>0.0</v>
      </c>
      <c r="J287">
        <v>11.281780002310086</v>
      </c>
      <c r="K287">
        <v>46.46992720935107</v>
      </c>
      <c r="L287">
        <f>(J287-Diagramm_Tmin)/Diagramm_dT+1</f>
        <v>183.56356000462</v>
      </c>
    </row>
    <row r="288" x14ac:dyDescent="0.25">
      <c r="B288">
        <v>60</v>
      </c>
      <c r="C288" t="str">
        <f t="shared" si="14"/>
        <v>60</v>
      </c>
      <c r="D288">
        <v>81.45505572191325</v>
      </c>
      <c r="E288">
        <v>0.0</v>
      </c>
      <c r="F288">
        <v>168.54494427808675</v>
      </c>
      <c r="G288">
        <v>0.0</v>
      </c>
      <c r="H288">
        <v>0.0</v>
      </c>
      <c r="J288">
        <v>13.470160002384603</v>
      </c>
      <c r="K288">
        <v>49.023596810330844</v>
      </c>
      <c r="L288">
        <f>(J288-Diagramm_Tmin)/Diagramm_dT+1</f>
        <v>187.940320004769</v>
      </c>
    </row>
    <row r="289" x14ac:dyDescent="0.25">
      <c r="B289">
        <v>60.5</v>
      </c>
      <c r="C289">
        <f t="shared" si="14"/>
      </c>
      <c r="D289">
        <v>81.45505572191325</v>
      </c>
      <c r="E289">
        <v>0.0</v>
      </c>
      <c r="F289">
        <v>168.54494427808675</v>
      </c>
      <c r="G289">
        <v>0.0</v>
      </c>
      <c r="H289">
        <v>0.0</v>
      </c>
      <c r="J289">
        <v>15.65854000245912</v>
      </c>
      <c r="K289">
        <v>51.68320877589514</v>
      </c>
      <c r="L289">
        <f>(J289-Diagramm_Tmin)/Diagramm_dT+1</f>
        <v>192.317080004918</v>
      </c>
    </row>
    <row r="290" x14ac:dyDescent="0.25">
      <c r="B290">
        <v>61</v>
      </c>
      <c r="C290">
        <f t="shared" si="14"/>
      </c>
      <c r="D290">
        <v>81.45505572191325</v>
      </c>
      <c r="E290">
        <v>0.0</v>
      </c>
      <c r="F290">
        <v>168.54494427808675</v>
      </c>
      <c r="G290">
        <v>0.0</v>
      </c>
      <c r="H290">
        <v>0.0</v>
      </c>
      <c r="J290">
        <v>17.846920002533636</v>
      </c>
      <c r="K290">
        <v>54.45305144637702</v>
      </c>
      <c r="L290">
        <f>(J290-Diagramm_Tmin)/Diagramm_dT+1</f>
        <v>196.693840005067</v>
      </c>
    </row>
    <row r="291" x14ac:dyDescent="0.25">
      <c r="B291">
        <v>61.5</v>
      </c>
      <c r="C291">
        <f t="shared" si="14"/>
      </c>
      <c r="D291">
        <v>81.45505572191325</v>
      </c>
      <c r="E291">
        <v>0.0</v>
      </c>
      <c r="F291">
        <v>168.54494427808675</v>
      </c>
      <c r="G291">
        <v>0.0</v>
      </c>
      <c r="H291">
        <v>0.0</v>
      </c>
      <c r="J291">
        <v>20.035300002608153</v>
      </c>
      <c r="K291">
        <v>57.338004121264795</v>
      </c>
      <c r="L291">
        <f>(J291-Diagramm_Tmin)/Diagramm_dT+1</f>
        <v>201.070600005216</v>
      </c>
    </row>
    <row r="292" x14ac:dyDescent="0.25">
      <c r="B292">
        <v>62</v>
      </c>
      <c r="C292">
        <f t="shared" si="14"/>
      </c>
      <c r="D292">
        <v>81.45505572191325</v>
      </c>
      <c r="E292">
        <v>0.0</v>
      </c>
      <c r="F292">
        <v>168.54494427808675</v>
      </c>
      <c r="G292">
        <v>0.0</v>
      </c>
      <c r="H292">
        <v>0.0</v>
      </c>
      <c r="J292">
        <v>22.22368000268267</v>
      </c>
      <c r="K292">
        <v>60.343818172330835</v>
      </c>
      <c r="L292">
        <f>(J292-Diagramm_Tmin)/Diagramm_dT+1</f>
        <v>205.447360005365</v>
      </c>
    </row>
    <row r="293" x14ac:dyDescent="0.25">
      <c r="B293">
        <v>62.5</v>
      </c>
      <c r="C293">
        <f t="shared" si="14"/>
      </c>
      <c r="D293">
        <v>81.45505572191325</v>
      </c>
      <c r="E293">
        <v>0.0</v>
      </c>
      <c r="F293">
        <v>168.54494427808675</v>
      </c>
      <c r="G293">
        <v>0.0</v>
      </c>
      <c r="H293">
        <v>0.0</v>
      </c>
      <c r="J293">
        <v>24.412060002757187</v>
      </c>
      <c r="K293">
        <v>63.4775854036277</v>
      </c>
      <c r="L293">
        <f>(J293-Diagramm_Tmin)/Diagramm_dT+1</f>
        <v>209.824120005514</v>
      </c>
    </row>
    <row r="294" x14ac:dyDescent="0.25">
      <c r="B294">
        <v>63</v>
      </c>
      <c r="C294">
        <f t="shared" si="14"/>
      </c>
      <c r="D294">
        <v>81.45505572191325</v>
      </c>
      <c r="E294">
        <v>0.0</v>
      </c>
      <c r="F294">
        <v>168.54494427808675</v>
      </c>
      <c r="G294">
        <v>0.0</v>
      </c>
      <c r="H294">
        <v>0.0</v>
      </c>
      <c r="J294">
        <v>26.600440002831704</v>
      </c>
      <c r="K294">
        <v>66.74852424856364</v>
      </c>
      <c r="L294">
        <f>(J294-Diagramm_Tmin)/Diagramm_dT+1</f>
        <v>214.200880005663</v>
      </c>
    </row>
    <row r="295" x14ac:dyDescent="0.25">
      <c r="B295">
        <v>63.5</v>
      </c>
      <c r="C295">
        <f t="shared" si="14"/>
      </c>
      <c r="D295">
        <v>81.45505572191325</v>
      </c>
      <c r="E295">
        <v>0.0</v>
      </c>
      <c r="F295">
        <v>168.54494427808675</v>
      </c>
      <c r="G295">
        <v>0.0</v>
      </c>
      <c r="H295">
        <v>0.0</v>
      </c>
      <c r="J295">
        <v>28.78882000290622</v>
      </c>
      <c r="K295">
        <v>70.16998005950322</v>
      </c>
      <c r="L295">
        <f>(J295-Diagramm_Tmin)/Diagramm_dT+1</f>
        <v>218.577640005812</v>
      </c>
    </row>
    <row r="296" x14ac:dyDescent="0.25">
      <c r="B296">
        <v>64</v>
      </c>
      <c r="C296">
        <f t="shared" si="14"/>
      </c>
      <c r="D296">
        <v>81.45505572191325</v>
      </c>
      <c r="E296">
        <v>0.0</v>
      </c>
      <c r="F296">
        <v>168.54494427808675</v>
      </c>
      <c r="G296">
        <v>0.0</v>
      </c>
      <c r="H296">
        <v>0.0</v>
      </c>
      <c r="J296">
        <v>30.977200002980737</v>
      </c>
      <c r="K296">
        <v>73.77127810884261</v>
      </c>
      <c r="L296">
        <f>(J296-Diagramm_Tmin)/Diagramm_dT+1</f>
        <v>222.954400005961</v>
      </c>
    </row>
    <row r="297" x14ac:dyDescent="0.25">
      <c r="B297">
        <v>64.5</v>
      </c>
      <c r="C297">
        <f t="shared" si="14"/>
      </c>
      <c r="D297">
        <v>81.45505572191325</v>
      </c>
      <c r="E297">
        <v>0.0</v>
      </c>
      <c r="F297">
        <v>168.54494427808675</v>
      </c>
      <c r="G297">
        <v>0.0</v>
      </c>
      <c r="H297">
        <v>0.0</v>
      </c>
    </row>
    <row r="298" x14ac:dyDescent="0.25">
      <c r="B298">
        <v>65</v>
      </c>
      <c r="C298">
        <f t="shared" si="14"/>
      </c>
      <c r="D298">
        <v>81.45505572191325</v>
      </c>
      <c r="E298">
        <v>0.0</v>
      </c>
      <c r="F298">
        <v>168.54494427808675</v>
      </c>
      <c r="G298">
        <v>0.0</v>
      </c>
      <c r="H298">
        <v>0.0</v>
      </c>
      <c r="I298" s="10" t="s">
        <v>520</v>
      </c>
      <c r="J298">
        <v>-56.557999999999964</v>
      </c>
      <c r="K298">
        <v>54.24917885891172</v>
      </c>
      <c r="L298">
        <f>(J298-Diagramm_Tmin)/Diagramm_dT+1</f>
        <v>47.8840000000001</v>
      </c>
    </row>
    <row r="299" x14ac:dyDescent="0.25">
      <c r="B299">
        <v>65.5</v>
      </c>
      <c r="C299">
        <f t="shared" si="14"/>
      </c>
      <c r="D299">
        <v>81.45505572191325</v>
      </c>
      <c r="E299">
        <v>0.0</v>
      </c>
      <c r="F299">
        <v>168.54494427808675</v>
      </c>
      <c r="G299">
        <v>0.0</v>
      </c>
      <c r="H299">
        <v>0.0</v>
      </c>
      <c r="J299">
        <v>-53.64739447388706</v>
      </c>
      <c r="K299">
        <v>52.66436340757607</v>
      </c>
      <c r="L299">
        <f>(J299-Diagramm_Tmin)/Diagramm_dT+1</f>
        <v>53.7052110522259</v>
      </c>
    </row>
    <row r="300" x14ac:dyDescent="0.25">
      <c r="B300">
        <v>66</v>
      </c>
      <c r="C300">
        <f t="shared" si="14"/>
      </c>
      <c r="D300">
        <v>81.45505572191325</v>
      </c>
      <c r="E300">
        <v>0.0</v>
      </c>
      <c r="F300">
        <v>168.54494427808675</v>
      </c>
      <c r="G300">
        <v>0.0</v>
      </c>
      <c r="H300">
        <v>0.0</v>
      </c>
      <c r="J300">
        <v>-50.73678894777416</v>
      </c>
      <c r="K300">
        <v>51.40003231788009</v>
      </c>
      <c r="L300">
        <f>(J300-Diagramm_Tmin)/Diagramm_dT+1</f>
        <v>59.5264221044517</v>
      </c>
    </row>
    <row r="301" x14ac:dyDescent="0.25">
      <c r="B301">
        <v>66.5</v>
      </c>
      <c r="C301">
        <f t="shared" si="14"/>
      </c>
      <c r="D301">
        <v>81.45505572191325</v>
      </c>
      <c r="E301">
        <v>0.0</v>
      </c>
      <c r="F301">
        <v>168.54494427808675</v>
      </c>
      <c r="G301">
        <v>0.0</v>
      </c>
      <c r="H301">
        <v>0.0</v>
      </c>
      <c r="J301">
        <v>-47.826183421661256</v>
      </c>
      <c r="K301">
        <v>50.422039629483656</v>
      </c>
      <c r="L301">
        <f>(J301-Diagramm_Tmin)/Diagramm_dT+1</f>
        <v>65.3476331566775</v>
      </c>
    </row>
    <row r="302" x14ac:dyDescent="0.25">
      <c r="B302">
        <v>67</v>
      </c>
      <c r="C302">
        <f t="shared" si="14"/>
      </c>
      <c r="D302">
        <v>81.45505572191325</v>
      </c>
      <c r="E302">
        <v>0.0</v>
      </c>
      <c r="F302">
        <v>168.54494427808675</v>
      </c>
      <c r="G302">
        <v>0.0</v>
      </c>
      <c r="H302">
        <v>0.0</v>
      </c>
      <c r="J302">
        <v>-44.91557789554835</v>
      </c>
      <c r="K302">
        <v>49.70305646201983</v>
      </c>
      <c r="L302">
        <f>(J302-Diagramm_Tmin)/Diagramm_dT+1</f>
        <v>71.1688442089033</v>
      </c>
    </row>
    <row r="303" x14ac:dyDescent="0.25">
      <c r="B303">
        <v>67.5</v>
      </c>
      <c r="C303">
        <f t="shared" si="14"/>
      </c>
      <c r="D303">
        <v>81.45505572191325</v>
      </c>
      <c r="E303">
        <v>0.0</v>
      </c>
      <c r="F303">
        <v>168.54494427808675</v>
      </c>
      <c r="G303">
        <v>0.0</v>
      </c>
      <c r="H303">
        <v>0.0</v>
      </c>
      <c r="J303">
        <v>-42.00497236943545</v>
      </c>
      <c r="K303">
        <v>49.221145655561216</v>
      </c>
      <c r="L303">
        <f>(J303-Diagramm_Tmin)/Diagramm_dT+1</f>
        <v>76.9900552611291</v>
      </c>
    </row>
    <row r="304" x14ac:dyDescent="0.25">
      <c r="B304">
        <v>68</v>
      </c>
      <c r="C304">
        <f t="shared" si="14"/>
      </c>
      <c r="D304">
        <v>81.45505572191325</v>
      </c>
      <c r="E304">
        <v>0.0</v>
      </c>
      <c r="F304">
        <v>168.54494427808675</v>
      </c>
      <c r="G304">
        <v>0.0</v>
      </c>
      <c r="H304">
        <v>0.0</v>
      </c>
      <c r="J304">
        <v>-39.09436684332255</v>
      </c>
      <c r="K304">
        <v>48.95910117009728</v>
      </c>
      <c r="L304">
        <f>(J304-Diagramm_Tmin)/Diagramm_dT+1</f>
        <v>82.8112663133549</v>
      </c>
    </row>
    <row r="305" x14ac:dyDescent="0.25">
      <c r="B305">
        <v>68.5</v>
      </c>
      <c r="C305">
        <f t="shared" si="14"/>
      </c>
      <c r="D305">
        <v>81.45505572191325</v>
      </c>
      <c r="E305">
        <v>0.0</v>
      </c>
      <c r="F305">
        <v>168.54494427808675</v>
      </c>
      <c r="G305">
        <v>0.0</v>
      </c>
      <c r="H305">
        <v>0.0</v>
      </c>
      <c r="J305">
        <v>-36.183761317209644</v>
      </c>
      <c r="K305">
        <v>48.90282899472241</v>
      </c>
      <c r="L305">
        <f>(J305-Diagramm_Tmin)/Diagramm_dT+1</f>
        <v>88.6324773655807</v>
      </c>
    </row>
    <row r="306" x14ac:dyDescent="0.25">
      <c r="B306">
        <v>69</v>
      </c>
      <c r="C306">
        <f t="shared" si="14"/>
      </c>
      <c r="D306">
        <v>81.45505572191325</v>
      </c>
      <c r="E306">
        <v>0.0</v>
      </c>
      <c r="F306">
        <v>168.54494427808675</v>
      </c>
      <c r="G306">
        <v>0.0</v>
      </c>
      <c r="H306">
        <v>0.0</v>
      </c>
      <c r="J306">
        <v>-33.27315579109674</v>
      </c>
      <c r="K306">
        <v>49.0402377293031</v>
      </c>
      <c r="L306">
        <f>(J306-Diagramm_Tmin)/Diagramm_dT+1</f>
        <v>94.4536884178065</v>
      </c>
    </row>
    <row r="307" x14ac:dyDescent="0.25">
      <c r="B307">
        <v>69.5</v>
      </c>
      <c r="C307">
        <f t="shared" si="14"/>
      </c>
      <c r="D307">
        <v>81.45505572191325</v>
      </c>
      <c r="E307">
        <v>0.0</v>
      </c>
      <c r="F307">
        <v>168.54494427808675</v>
      </c>
      <c r="G307">
        <v>0.0</v>
      </c>
      <c r="H307">
        <v>0.0</v>
      </c>
      <c r="J307">
        <v>-30.362550264983838</v>
      </c>
      <c r="K307">
        <v>49.36214636338971</v>
      </c>
      <c r="L307">
        <f>(J307-Diagramm_Tmin)/Diagramm_dT+1</f>
        <v>100.274899470032</v>
      </c>
    </row>
    <row r="308" x14ac:dyDescent="0.25">
      <c r="B308">
        <v>70</v>
      </c>
      <c r="C308">
        <f t="shared" si="14"/>
      </c>
      <c r="D308">
        <v>81.45505572191325</v>
      </c>
      <c r="E308">
        <v>0.0</v>
      </c>
      <c r="F308">
        <v>168.54494427808675</v>
      </c>
      <c r="G308">
        <v>0.0</v>
      </c>
      <c r="H308">
        <v>0.0</v>
      </c>
      <c r="J308">
        <v>-27.451944738870935</v>
      </c>
      <c r="K308">
        <v>49.8611734711924</v>
      </c>
      <c r="L308">
        <f>(J308-Diagramm_Tmin)/Diagramm_dT+1</f>
        <v>106.096110522258</v>
      </c>
    </row>
    <row r="309" x14ac:dyDescent="0.25">
      <c r="B309">
        <v>70.5</v>
      </c>
      <c r="C309">
        <f t="shared" si="14"/>
      </c>
      <c r="D309">
        <v>81.45505572191325</v>
      </c>
      <c r="E309">
        <v>0.0</v>
      </c>
      <c r="F309">
        <v>168.54494427808675</v>
      </c>
      <c r="G309">
        <v>0.0</v>
      </c>
      <c r="H309">
        <v>0.0</v>
      </c>
      <c r="J309">
        <v>-24.541339212758032</v>
      </c>
      <c r="K309">
        <v>50.53139792839856</v>
      </c>
      <c r="L309">
        <f>(J309-Diagramm_Tmin)/Diagramm_dT+1</f>
        <v>111.917321574484</v>
      </c>
    </row>
    <row r="310" x14ac:dyDescent="0.25">
      <c r="B310">
        <v>71</v>
      </c>
      <c r="C310">
        <f t="shared" si="14"/>
      </c>
      <c r="D310">
        <v>81.45505572191325</v>
      </c>
      <c r="E310">
        <v>0.0</v>
      </c>
      <c r="F310">
        <v>168.54494427808675</v>
      </c>
      <c r="G310">
        <v>0.0</v>
      </c>
      <c r="H310">
        <v>0.0</v>
      </c>
      <c r="J310">
        <v>-21.63073368664513</v>
      </c>
      <c r="K310">
        <v>51.36876534196105</v>
      </c>
      <c r="L310">
        <f>(J310-Diagramm_Tmin)/Diagramm_dT+1</f>
        <v>117.73853262671</v>
      </c>
    </row>
    <row r="311" x14ac:dyDescent="0.25">
      <c r="B311">
        <v>71.5</v>
      </c>
      <c r="C311">
        <f t="shared" si="14"/>
      </c>
      <c r="D311">
        <v>81.45505572191325</v>
      </c>
      <c r="E311">
        <v>0.0</v>
      </c>
      <c r="F311">
        <v>168.54494427808675</v>
      </c>
      <c r="G311">
        <v>0.0</v>
      </c>
      <c r="H311">
        <v>0.0</v>
      </c>
      <c r="J311">
        <v>-18.720128160532227</v>
      </c>
      <c r="K311">
        <v>52.36888976233109</v>
      </c>
      <c r="L311">
        <f>(J311-Diagramm_Tmin)/Diagramm_dT+1</f>
        <v>123.559743678936</v>
      </c>
    </row>
    <row r="312" x14ac:dyDescent="0.25">
      <c r="B312">
        <v>72</v>
      </c>
      <c r="C312">
        <f t="shared" si="14"/>
      </c>
      <c r="D312">
        <v>81.45505572191325</v>
      </c>
      <c r="E312">
        <v>0.0</v>
      </c>
      <c r="F312">
        <v>168.54494427808675</v>
      </c>
      <c r="G312">
        <v>0.0</v>
      </c>
      <c r="H312">
        <v>0.0</v>
      </c>
      <c r="J312">
        <v>-15.809522634419324</v>
      </c>
      <c r="K312">
        <v>53.52851865008916</v>
      </c>
      <c r="L312">
        <f>(J312-Diagramm_Tmin)/Diagramm_dT+1</f>
        <v>129.380954731161</v>
      </c>
    </row>
    <row r="313" x14ac:dyDescent="0.25">
      <c r="B313">
        <v>72.5</v>
      </c>
      <c r="C313">
        <f t="shared" si="14"/>
      </c>
      <c r="D313">
        <v>81.45505572191325</v>
      </c>
      <c r="E313">
        <v>0.0</v>
      </c>
      <c r="F313">
        <v>168.54494427808675</v>
      </c>
      <c r="G313">
        <v>0.0</v>
      </c>
      <c r="H313">
        <v>0.0</v>
      </c>
      <c r="J313">
        <v>-12.89891710830642</v>
      </c>
      <c r="K313">
        <v>54.84510101452951</v>
      </c>
      <c r="L313">
        <f>(J313-Diagramm_Tmin)/Diagramm_dT+1</f>
        <v>135.202165783387</v>
      </c>
    </row>
    <row r="314" x14ac:dyDescent="0.25">
      <c r="B314">
        <v>73</v>
      </c>
      <c r="C314">
        <f t="shared" si="14"/>
      </c>
      <c r="D314">
        <v>81.45505572191325</v>
      </c>
      <c r="E314">
        <v>0.0</v>
      </c>
      <c r="F314">
        <v>168.54494427808675</v>
      </c>
      <c r="G314">
        <v>0.0</v>
      </c>
      <c r="H314">
        <v>0.0</v>
      </c>
      <c r="J314">
        <v>-9.988311582193518</v>
      </c>
      <c r="K314">
        <v>56.31646800207412</v>
      </c>
      <c r="L314">
        <f>(J314-Diagramm_Tmin)/Diagramm_dT+1</f>
        <v>141.023376835613</v>
      </c>
    </row>
    <row r="315" x14ac:dyDescent="0.25">
      <c r="B315">
        <v>73.5</v>
      </c>
      <c r="C315">
        <f t="shared" si="14"/>
      </c>
      <c r="D315">
        <v>81.45505572191325</v>
      </c>
      <c r="E315">
        <v>0.0</v>
      </c>
      <c r="F315">
        <v>168.54494427808675</v>
      </c>
      <c r="G315">
        <v>0.0</v>
      </c>
      <c r="H315">
        <v>0.0</v>
      </c>
      <c r="J315">
        <v>-7.077706056080615</v>
      </c>
      <c r="K315">
        <v>57.94087290076713</v>
      </c>
      <c r="L315">
        <f>(J315-Diagramm_Tmin)/Diagramm_dT+1</f>
        <v>146.844587887839</v>
      </c>
    </row>
    <row r="316" x14ac:dyDescent="0.25">
      <c r="B316">
        <v>74</v>
      </c>
      <c r="C316">
        <f t="shared" si="14"/>
      </c>
      <c r="D316">
        <v>81.45505572191325</v>
      </c>
      <c r="E316">
        <v>0.0</v>
      </c>
      <c r="F316">
        <v>168.54494427808675</v>
      </c>
      <c r="G316">
        <v>0.0</v>
      </c>
      <c r="H316">
        <v>0.0</v>
      </c>
      <c r="J316">
        <v>-4.167100529967712</v>
      </c>
      <c r="K316">
        <v>59.71693263341051</v>
      </c>
      <c r="L316">
        <f>(J316-Diagramm_Tmin)/Diagramm_dT+1</f>
        <v>152.665798940065</v>
      </c>
    </row>
    <row r="317" x14ac:dyDescent="0.25">
      <c r="B317">
        <v>74.5</v>
      </c>
      <c r="C317">
        <f t="shared" si="14"/>
      </c>
      <c r="D317">
        <v>81.45505572191325</v>
      </c>
      <c r="E317">
        <v>0.0</v>
      </c>
      <c r="F317">
        <v>168.54494427808675</v>
      </c>
      <c r="G317">
        <v>0.0</v>
      </c>
      <c r="H317">
        <v>0.0</v>
      </c>
      <c r="J317">
        <v>-1.256495003854809</v>
      </c>
      <c r="K317">
        <v>61.64210341984655</v>
      </c>
      <c r="L317">
        <f>(J317-Diagramm_Tmin)/Diagramm_dT+1</f>
        <v>158.48700999229</v>
      </c>
    </row>
    <row r="318" x14ac:dyDescent="0.25">
      <c r="B318">
        <v>75</v>
      </c>
      <c r="C318">
        <f t="shared" si="14"/>
      </c>
      <c r="D318">
        <v>81.45505572191325</v>
      </c>
      <c r="E318">
        <v>0.0</v>
      </c>
      <c r="F318">
        <v>168.54494427808675</v>
      </c>
      <c r="G318">
        <v>0.0</v>
      </c>
      <c r="H318">
        <v>0.0</v>
      </c>
      <c r="J318">
        <v>1.6541105222580939</v>
      </c>
      <c r="K318">
        <v>63.71401451613437</v>
      </c>
      <c r="L318">
        <f>(J318-Diagramm_Tmin)/Diagramm_dT+1</f>
        <v>164.308221044516</v>
      </c>
    </row>
    <row r="319" x14ac:dyDescent="0.25">
      <c r="B319">
        <v>75.5</v>
      </c>
      <c r="C319">
        <f t="shared" si="14"/>
      </c>
      <c r="D319">
        <v>81.45505572191325</v>
      </c>
      <c r="E319">
        <v>0.0</v>
      </c>
      <c r="F319">
        <v>168.54494427808675</v>
      </c>
      <c r="G319">
        <v>0.0</v>
      </c>
      <c r="H319">
        <v>0.0</v>
      </c>
      <c r="J319">
        <v>4.564716048370997</v>
      </c>
      <c r="K319">
        <v>65.92921182906787</v>
      </c>
      <c r="L319">
        <f>(J319-Diagramm_Tmin)/Diagramm_dT+1</f>
        <v>170.129432096742</v>
      </c>
    </row>
    <row r="320" x14ac:dyDescent="0.25">
      <c r="B320">
        <v>76</v>
      </c>
      <c r="C320">
        <f t="shared" si="14"/>
      </c>
      <c r="D320">
        <v>81.45505572191325</v>
      </c>
      <c r="E320">
        <v>0.0</v>
      </c>
      <c r="F320">
        <v>168.54494427808675</v>
      </c>
      <c r="G320">
        <v>0.0</v>
      </c>
      <c r="H320">
        <v>0.0</v>
      </c>
      <c r="J320">
        <v>7.4753215744839</v>
      </c>
      <c r="K320">
        <v>68.28223362356275</v>
      </c>
      <c r="L320">
        <f>(J320-Diagramm_Tmin)/Diagramm_dT+1</f>
        <v>175.950643148968</v>
      </c>
    </row>
    <row r="321" x14ac:dyDescent="0.25">
      <c r="B321">
        <v>76.5</v>
      </c>
      <c r="C321">
        <f t="shared" si="14"/>
      </c>
      <c r="D321">
        <v>81.45505572191325</v>
      </c>
      <c r="E321">
        <v>0.0</v>
      </c>
      <c r="F321">
        <v>168.54494427808675</v>
      </c>
      <c r="G321">
        <v>0.0</v>
      </c>
      <c r="H321">
        <v>0.0</v>
      </c>
      <c r="J321">
        <v>10.385927100596803</v>
      </c>
      <c r="K321">
        <v>70.76495485254775</v>
      </c>
      <c r="L321">
        <f>(J321-Diagramm_Tmin)/Diagramm_dT+1</f>
        <v>181.771854201194</v>
      </c>
    </row>
    <row r="322" x14ac:dyDescent="0.25">
      <c r="B322">
        <v>77</v>
      </c>
      <c r="C322">
        <f t="shared" si="14"/>
      </c>
      <c r="D322">
        <v>81.45505572191325</v>
      </c>
      <c r="E322">
        <v>0.0</v>
      </c>
      <c r="F322">
        <v>168.54494427808675</v>
      </c>
      <c r="G322">
        <v>0.0</v>
      </c>
      <c r="H322">
        <v>0.0</v>
      </c>
      <c r="J322">
        <v>13.296532626709705</v>
      </c>
      <c r="K322">
        <v>73.36451331030369</v>
      </c>
      <c r="L322">
        <f>(J322-Diagramm_Tmin)/Diagramm_dT+1</f>
        <v>187.593065253419</v>
      </c>
    </row>
    <row r="323" x14ac:dyDescent="0.25">
      <c r="B323">
        <v>77.5</v>
      </c>
      <c r="C323">
        <f t="shared" si="14"/>
      </c>
      <c r="D323">
        <v>81.45505572191325</v>
      </c>
      <c r="E323">
        <v>0.0</v>
      </c>
      <c r="F323">
        <v>168.54494427808675</v>
      </c>
      <c r="G323">
        <v>0.0</v>
      </c>
      <c r="H323">
        <v>0.0</v>
      </c>
      <c r="J323">
        <v>16.20713815282261</v>
      </c>
      <c r="K323">
        <v>76.06158761144769</v>
      </c>
      <c r="L323">
        <f>(J323-Diagramm_Tmin)/Diagramm_dT+1</f>
        <v>193.414276305645</v>
      </c>
    </row>
    <row r="324" x14ac:dyDescent="0.25">
      <c r="B324">
        <v>78</v>
      </c>
      <c r="C324">
        <f t="shared" si="14"/>
      </c>
      <c r="D324">
        <v>81.45505572191325</v>
      </c>
      <c r="E324">
        <v>0.0</v>
      </c>
      <c r="F324">
        <v>168.54494427808675</v>
      </c>
      <c r="G324">
        <v>0.0</v>
      </c>
      <c r="H324">
        <v>0.0</v>
      </c>
      <c r="J324">
        <v>19.11774367893551</v>
      </c>
      <c r="K324">
        <v>78.81922862244744</v>
      </c>
      <c r="L324">
        <f>(J324-Diagramm_Tmin)/Diagramm_dT+1</f>
        <v>199.235487357871</v>
      </c>
    </row>
    <row r="325" x14ac:dyDescent="0.25">
      <c r="B325">
        <v>78.5</v>
      </c>
      <c r="C325">
        <f t="shared" si="14"/>
      </c>
      <c r="D325">
        <v>81.45505572191325</v>
      </c>
      <c r="E325">
        <v>0.0</v>
      </c>
      <c r="F325">
        <v>168.54494427808675</v>
      </c>
      <c r="G325">
        <v>0.0</v>
      </c>
      <c r="H325">
        <v>0.0</v>
      </c>
      <c r="J325">
        <v>22.028349205048414</v>
      </c>
      <c r="K325">
        <v>81.5073793984108</v>
      </c>
      <c r="L325">
        <f>(J325-Diagramm_Tmin)/Diagramm_dT+1</f>
        <v>205.056698410097</v>
      </c>
    </row>
    <row r="326" x14ac:dyDescent="0.25">
      <c r="B326">
        <v>79</v>
      </c>
      <c r="C326">
        <f t="shared" si="14"/>
      </c>
      <c r="D326">
        <v>81.45505572191325</v>
      </c>
      <c r="E326">
        <v>0.0</v>
      </c>
      <c r="F326">
        <v>168.54494427808675</v>
      </c>
      <c r="G326">
        <v>0.0</v>
      </c>
      <c r="H326">
        <v>0.0</v>
      </c>
      <c r="J326">
        <v>24.938954731161317</v>
      </c>
      <c r="K326">
        <v>84.00638618349222</v>
      </c>
      <c r="L326">
        <f>(J326-Diagramm_Tmin)/Diagramm_dT+1</f>
        <v>210.877909462323</v>
      </c>
    </row>
    <row r="327" x14ac:dyDescent="0.25">
      <c r="B327">
        <v>79.5</v>
      </c>
      <c r="C327">
        <f t="shared" si="14"/>
      </c>
      <c r="D327">
        <v>81.45505572191325</v>
      </c>
      <c r="E327">
        <v>0.0</v>
      </c>
      <c r="F327">
        <v>168.54494427808675</v>
      </c>
      <c r="G327">
        <v>0.0</v>
      </c>
      <c r="H327">
        <v>0.0</v>
      </c>
      <c r="J327">
        <v>27.84956025727422</v>
      </c>
      <c r="K327">
        <v>84.68534440677382</v>
      </c>
      <c r="L327">
        <f>(J327-Diagramm_Tmin)/Diagramm_dT+1</f>
        <v>216.699120514548</v>
      </c>
    </row>
    <row r="328" x14ac:dyDescent="0.25">
      <c r="B328">
        <v>80</v>
      </c>
      <c r="C328" t="str">
        <f t="shared" ref="C328:C368" si="15">IF(MOD(B328,20)=0,TEXT(B328,"0"),"")</f>
        <v>80</v>
      </c>
      <c r="D328">
        <v>81.45505572191325</v>
      </c>
      <c r="E328">
        <v>0.0</v>
      </c>
      <c r="F328">
        <v>168.54494427808675</v>
      </c>
      <c r="G328">
        <v>0.0</v>
      </c>
      <c r="H328">
        <v>0.0</v>
      </c>
    </row>
    <row r="329" x14ac:dyDescent="0.25">
      <c r="B329">
        <v>80.5</v>
      </c>
      <c r="C329">
        <f t="shared" si="15"/>
      </c>
      <c r="D329">
        <v>81.45505572191325</v>
      </c>
      <c r="E329">
        <v>0.0</v>
      </c>
      <c r="F329">
        <v>168.54494427808675</v>
      </c>
      <c r="G329">
        <v>0.0</v>
      </c>
      <c r="H329">
        <v>0.0</v>
      </c>
      <c r="I329" s="10" t="s">
        <v>521</v>
      </c>
      <c r="J329">
        <v>-56.557999999999964</v>
      </c>
      <c r="K329">
        <v>2.478005125992963</v>
      </c>
      <c r="L329">
        <f>(J329-Diagramm_Tmin)/Diagramm_dT+1</f>
        <v>47.8840000000001</v>
      </c>
    </row>
    <row r="330" x14ac:dyDescent="0.25">
      <c r="B330">
        <v>81</v>
      </c>
      <c r="C330">
        <f t="shared" si="15"/>
      </c>
      <c r="D330">
        <v>81.45505572191325</v>
      </c>
      <c r="E330">
        <v>0.0</v>
      </c>
      <c r="F330">
        <v>168.54494427808675</v>
      </c>
      <c r="G330">
        <v>0.0</v>
      </c>
      <c r="H330">
        <v>0.0</v>
      </c>
      <c r="J330">
        <v>-53.63898881551319</v>
      </c>
      <c r="K330">
        <v>3.2104599332675336</v>
      </c>
      <c r="L330">
        <f>(J330-Diagramm_Tmin)/Diagramm_dT+1</f>
        <v>53.7220223689736</v>
      </c>
    </row>
    <row r="331" x14ac:dyDescent="0.25">
      <c r="B331">
        <v>81.5</v>
      </c>
      <c r="C331">
        <f t="shared" si="15"/>
      </c>
      <c r="D331">
        <v>81.45505572191325</v>
      </c>
      <c r="E331">
        <v>0.0</v>
      </c>
      <c r="F331">
        <v>168.54494427808675</v>
      </c>
      <c r="G331">
        <v>0.0</v>
      </c>
      <c r="H331">
        <v>0.0</v>
      </c>
      <c r="J331">
        <v>-50.71997763102641</v>
      </c>
      <c r="K331">
        <v>4.014734598378878</v>
      </c>
      <c r="L331">
        <f>(J331-Diagramm_Tmin)/Diagramm_dT+1</f>
        <v>59.5600447379472</v>
      </c>
    </row>
    <row r="332" x14ac:dyDescent="0.25">
      <c r="B332">
        <v>82</v>
      </c>
      <c r="C332">
        <f t="shared" si="15"/>
      </c>
      <c r="D332">
        <v>81.45505572191325</v>
      </c>
      <c r="E332">
        <v>0.0</v>
      </c>
      <c r="F332">
        <v>168.54494427808675</v>
      </c>
      <c r="G332">
        <v>0.0</v>
      </c>
      <c r="H332">
        <v>0.0</v>
      </c>
      <c r="J332">
        <v>-47.80096644653964</v>
      </c>
      <c r="K332">
        <v>4.894981804675645</v>
      </c>
      <c r="L332">
        <f>(J332-Diagramm_Tmin)/Diagramm_dT+1</f>
        <v>65.3980671069207</v>
      </c>
    </row>
    <row r="333" x14ac:dyDescent="0.25">
      <c r="B333">
        <v>82.5</v>
      </c>
      <c r="C333">
        <f t="shared" si="15"/>
      </c>
      <c r="D333">
        <v>81.45505572191325</v>
      </c>
      <c r="E333">
        <v>0.0</v>
      </c>
      <c r="F333">
        <v>168.54494427808675</v>
      </c>
      <c r="G333">
        <v>0.0</v>
      </c>
      <c r="H333">
        <v>0.0</v>
      </c>
      <c r="J333">
        <v>-44.88195526205286</v>
      </c>
      <c r="K333">
        <v>5.85642459629506</v>
      </c>
      <c r="L333">
        <f>(J333-Diagramm_Tmin)/Diagramm_dT+1</f>
        <v>71.2360894758943</v>
      </c>
    </row>
    <row r="334" x14ac:dyDescent="0.25">
      <c r="B334">
        <v>83</v>
      </c>
      <c r="C334">
        <f t="shared" si="15"/>
      </c>
      <c r="D334">
        <v>81.45505572191325</v>
      </c>
      <c r="E334">
        <v>0.0</v>
      </c>
      <c r="F334">
        <v>168.54494427808675</v>
      </c>
      <c r="G334">
        <v>0.0</v>
      </c>
      <c r="H334">
        <v>0.0</v>
      </c>
      <c r="J334">
        <v>-41.962944077566085</v>
      </c>
      <c r="K334">
        <v>6.9029427794702</v>
      </c>
      <c r="L334">
        <f>(J334-Diagramm_Tmin)/Diagramm_dT+1</f>
        <v>77.0741118448678</v>
      </c>
    </row>
    <row r="335" x14ac:dyDescent="0.25">
      <c r="B335">
        <v>83.5</v>
      </c>
      <c r="C335">
        <f t="shared" si="15"/>
      </c>
      <c r="D335">
        <v>81.45505572191325</v>
      </c>
      <c r="E335">
        <v>0.0</v>
      </c>
      <c r="F335">
        <v>168.54494427808675</v>
      </c>
      <c r="G335">
        <v>0.0</v>
      </c>
      <c r="H335">
        <v>0.0</v>
      </c>
      <c r="J335">
        <v>-39.043932893079315</v>
      </c>
      <c r="K335">
        <v>8.039494770148478</v>
      </c>
      <c r="L335">
        <f>(J335-Diagramm_Tmin)/Diagramm_dT+1</f>
        <v>82.9121342138414</v>
      </c>
    </row>
    <row r="336" x14ac:dyDescent="0.25">
      <c r="B336">
        <v>84</v>
      </c>
      <c r="C336">
        <f t="shared" si="15"/>
      </c>
      <c r="D336">
        <v>81.45505572191325</v>
      </c>
      <c r="E336">
        <v>0.0</v>
      </c>
      <c r="F336">
        <v>168.54494427808675</v>
      </c>
      <c r="G336">
        <v>0.0</v>
      </c>
      <c r="H336">
        <v>0.0</v>
      </c>
      <c r="J336">
        <v>-36.12492170859254</v>
      </c>
      <c r="K336">
        <v>9.271309156113892</v>
      </c>
      <c r="L336">
        <f>(J336-Diagramm_Tmin)/Diagramm_dT+1</f>
        <v>88.7501565828149</v>
      </c>
    </row>
    <row r="337" x14ac:dyDescent="0.25">
      <c r="B337">
        <v>84.5</v>
      </c>
      <c r="C337">
        <f t="shared" si="15"/>
      </c>
      <c r="D337">
        <v>81.45505572191325</v>
      </c>
      <c r="E337">
        <v>0.0</v>
      </c>
      <c r="F337">
        <v>168.54494427808675</v>
      </c>
      <c r="G337">
        <v>0.0</v>
      </c>
      <c r="H337">
        <v>0.0</v>
      </c>
      <c r="J337">
        <v>-33.20591052410576</v>
      </c>
      <c r="K337">
        <v>10.603085389059821</v>
      </c>
      <c r="L337">
        <f>(J337-Diagramm_Tmin)/Diagramm_dT+1</f>
        <v>94.5881789517885</v>
      </c>
    </row>
    <row r="338" x14ac:dyDescent="0.25">
      <c r="B338">
        <v>85</v>
      </c>
      <c r="C338">
        <f t="shared" si="15"/>
      </c>
      <c r="D338">
        <v>81.45505572191325</v>
      </c>
      <c r="E338">
        <v>0.0</v>
      </c>
      <c r="F338">
        <v>168.54494427808675</v>
      </c>
      <c r="G338">
        <v>0.0</v>
      </c>
      <c r="H338">
        <v>0.0</v>
      </c>
      <c r="J338">
        <v>-30.286899339618984</v>
      </c>
      <c r="K338">
        <v>12.039852172418426</v>
      </c>
      <c r="L338">
        <f>(J338-Diagramm_Tmin)/Diagramm_dT+1</f>
        <v>100.426201320762</v>
      </c>
    </row>
    <row r="339" x14ac:dyDescent="0.25">
      <c r="B339">
        <v>85.5</v>
      </c>
      <c r="C339">
        <f t="shared" si="15"/>
      </c>
      <c r="D339">
        <v>81.45505572191325</v>
      </c>
      <c r="E339">
        <v>0.0</v>
      </c>
      <c r="F339">
        <v>168.54494427808675</v>
      </c>
      <c r="G339">
        <v>0.0</v>
      </c>
      <c r="H339">
        <v>0.0</v>
      </c>
      <c r="J339">
        <v>-27.36788815513221</v>
      </c>
      <c r="K339">
        <v>13.586873765952987</v>
      </c>
      <c r="L339">
        <f>(J339-Diagramm_Tmin)/Diagramm_dT+1</f>
        <v>106.264223689736</v>
      </c>
    </row>
    <row r="340" x14ac:dyDescent="0.25">
      <c r="B340">
        <v>86</v>
      </c>
      <c r="C340">
        <f t="shared" si="15"/>
      </c>
      <c r="D340">
        <v>81.45505572191325</v>
      </c>
      <c r="E340">
        <v>0.0</v>
      </c>
      <c r="F340">
        <v>168.54494427808675</v>
      </c>
      <c r="G340">
        <v>0.0</v>
      </c>
      <c r="H340">
        <v>0.0</v>
      </c>
      <c r="J340">
        <v>-24.448876970645436</v>
      </c>
      <c r="K340">
        <v>15.249592936904534</v>
      </c>
      <c r="L340">
        <f>(J340-Diagramm_Tmin)/Diagramm_dT+1</f>
        <v>112.102246058709</v>
      </c>
    </row>
    <row r="341" x14ac:dyDescent="0.25">
      <c r="B341">
        <v>86.5</v>
      </c>
      <c r="C341">
        <f t="shared" si="15"/>
      </c>
      <c r="D341">
        <v>81.45505572191325</v>
      </c>
      <c r="E341">
        <v>0.0</v>
      </c>
      <c r="F341">
        <v>168.54494427808675</v>
      </c>
      <c r="G341">
        <v>0.0</v>
      </c>
      <c r="H341">
        <v>0.0</v>
      </c>
      <c r="J341">
        <v>-21.52986578615866</v>
      </c>
      <c r="K341">
        <v>17.033658727159636</v>
      </c>
      <c r="L341">
        <f>(J341-Diagramm_Tmin)/Diagramm_dT+1</f>
        <v>117.940268427683</v>
      </c>
    </row>
    <row r="342" x14ac:dyDescent="0.25">
      <c r="B342">
        <v>87</v>
      </c>
      <c r="C342">
        <f t="shared" si="15"/>
      </c>
      <c r="D342">
        <v>81.45505572191325</v>
      </c>
      <c r="E342">
        <v>0.0</v>
      </c>
      <c r="F342">
        <v>168.54494427808675</v>
      </c>
      <c r="G342">
        <v>0.0</v>
      </c>
      <c r="H342">
        <v>0.0</v>
      </c>
      <c r="J342">
        <v>-18.610854601671882</v>
      </c>
      <c r="K342">
        <v>18.945376817165933</v>
      </c>
      <c r="L342">
        <f>(J342-Diagramm_Tmin)/Diagramm_dT+1</f>
        <v>123.778290796656</v>
      </c>
    </row>
    <row r="343" x14ac:dyDescent="0.25">
      <c r="B343">
        <v>87.5</v>
      </c>
      <c r="C343">
        <f t="shared" si="15"/>
      </c>
      <c r="D343">
        <v>81.45505572191325</v>
      </c>
      <c r="E343">
        <v>0.0</v>
      </c>
      <c r="F343">
        <v>168.54494427808675</v>
      </c>
      <c r="G343">
        <v>0.0</v>
      </c>
      <c r="H343">
        <v>0.0</v>
      </c>
      <c r="J343">
        <v>-15.691843417185112</v>
      </c>
      <c r="K343">
        <v>20.990785665133657</v>
      </c>
      <c r="L343">
        <f>(J343-Diagramm_Tmin)/Diagramm_dT+1</f>
        <v>129.61631316563</v>
      </c>
    </row>
    <row r="344" x14ac:dyDescent="0.25">
      <c r="B344">
        <v>88</v>
      </c>
      <c r="C344">
        <f t="shared" si="15"/>
      </c>
      <c r="D344">
        <v>81.45505572191325</v>
      </c>
      <c r="E344">
        <v>0.0</v>
      </c>
      <c r="F344">
        <v>168.54494427808675</v>
      </c>
      <c r="G344">
        <v>0.0</v>
      </c>
      <c r="H344">
        <v>0.0</v>
      </c>
      <c r="J344">
        <v>-12.772832232698335</v>
      </c>
      <c r="K344">
        <v>23.176208762572006</v>
      </c>
      <c r="L344">
        <f>(J344-Diagramm_Tmin)/Diagramm_dT+1</f>
        <v>135.454335534603</v>
      </c>
    </row>
    <row r="345" x14ac:dyDescent="0.25">
      <c r="B345">
        <v>88.5</v>
      </c>
      <c r="C345">
        <f t="shared" si="15"/>
      </c>
      <c r="D345">
        <v>81.45505572191325</v>
      </c>
      <c r="E345">
        <v>0.0</v>
      </c>
      <c r="F345">
        <v>168.54494427808675</v>
      </c>
      <c r="G345">
        <v>0.0</v>
      </c>
      <c r="H345">
        <v>0.0</v>
      </c>
      <c r="J345">
        <v>-9.853821048211557</v>
      </c>
      <c r="K345">
        <v>25.50860739324004</v>
      </c>
      <c r="L345">
        <f>(J345-Diagramm_Tmin)/Diagramm_dT+1</f>
        <v>141.292357903577</v>
      </c>
    </row>
    <row r="346" x14ac:dyDescent="0.25">
      <c r="B346">
        <v>89</v>
      </c>
      <c r="C346">
        <f t="shared" si="15"/>
      </c>
      <c r="D346">
        <v>81.45505572191325</v>
      </c>
      <c r="E346">
        <v>0.0</v>
      </c>
      <c r="F346">
        <v>168.54494427808675</v>
      </c>
      <c r="G346">
        <v>0.0</v>
      </c>
      <c r="H346">
        <v>0.0</v>
      </c>
      <c r="J346">
        <v>-6.93480986372478</v>
      </c>
      <c r="K346">
        <v>27.995474228307575</v>
      </c>
      <c r="L346">
        <f>(J346-Diagramm_Tmin)/Diagramm_dT+1</f>
        <v>147.13038027255</v>
      </c>
    </row>
    <row r="347" x14ac:dyDescent="0.25">
      <c r="B347">
        <v>89.5</v>
      </c>
      <c r="C347">
        <f t="shared" si="15"/>
      </c>
      <c r="D347">
        <v>81.45505572191325</v>
      </c>
      <c r="E347">
        <v>0.0</v>
      </c>
      <c r="F347">
        <v>168.54494427808675</v>
      </c>
      <c r="G347">
        <v>0.0</v>
      </c>
      <c r="H347">
        <v>0.0</v>
      </c>
      <c r="J347">
        <v>-4.015798679238003</v>
      </c>
      <c r="K347">
        <v>30.64497351876961</v>
      </c>
      <c r="L347">
        <f>(J347-Diagramm_Tmin)/Diagramm_dT+1</f>
        <v>152.968402641524</v>
      </c>
    </row>
    <row r="348" x14ac:dyDescent="0.25">
      <c r="B348">
        <v>90</v>
      </c>
      <c r="C348">
        <f t="shared" si="15"/>
      </c>
      <c r="D348">
        <v>81.45505572191325</v>
      </c>
      <c r="E348">
        <v>0.0</v>
      </c>
      <c r="F348">
        <v>168.54494427808675</v>
      </c>
      <c r="G348">
        <v>0.0</v>
      </c>
      <c r="H348">
        <v>0.0</v>
      </c>
      <c r="J348">
        <v>-1.0967874947512328</v>
      </c>
      <c r="K348">
        <v>33.46655020844924</v>
      </c>
      <c r="L348">
        <f>(J348-Diagramm_Tmin)/Diagramm_dT+1</f>
        <v>158.806425010498</v>
      </c>
    </row>
    <row r="349" x14ac:dyDescent="0.25">
      <c r="B349">
        <v>90.5</v>
      </c>
      <c r="C349">
        <f t="shared" si="15"/>
      </c>
      <c r="D349">
        <v>81.45505572191325</v>
      </c>
      <c r="E349">
        <v>0.0</v>
      </c>
      <c r="F349">
        <v>168.54494427808675</v>
      </c>
      <c r="G349">
        <v>0.0</v>
      </c>
      <c r="H349">
        <v>0.0</v>
      </c>
      <c r="J349">
        <v>1.8222236897355444</v>
      </c>
      <c r="K349">
        <v>36.47050262011326</v>
      </c>
      <c r="L349">
        <f>(J349-Diagramm_Tmin)/Diagramm_dT+1</f>
        <v>164.644447379471</v>
      </c>
    </row>
    <row r="350" x14ac:dyDescent="0.25">
      <c r="B350">
        <v>91</v>
      </c>
      <c r="C350">
        <f t="shared" si="15"/>
      </c>
      <c r="D350">
        <v>81.45505572191325</v>
      </c>
      <c r="E350">
        <v>0.0</v>
      </c>
      <c r="F350">
        <v>168.54494427808675</v>
      </c>
      <c r="G350">
        <v>0.0</v>
      </c>
      <c r="H350">
        <v>0.0</v>
      </c>
      <c r="J350">
        <v>4.741234874222322</v>
      </c>
      <c r="K350">
        <v>39.668178690413654</v>
      </c>
      <c r="L350">
        <f>(J350-Diagramm_Tmin)/Diagramm_dT+1</f>
        <v>170.482469748445</v>
      </c>
    </row>
    <row r="351" x14ac:dyDescent="0.25">
      <c r="B351">
        <v>91.5</v>
      </c>
      <c r="C351">
        <f t="shared" si="15"/>
      </c>
      <c r="D351">
        <v>81.45505572191325</v>
      </c>
      <c r="E351">
        <v>0.0</v>
      </c>
      <c r="F351">
        <v>168.54494427808675</v>
      </c>
      <c r="G351">
        <v>0.0</v>
      </c>
      <c r="H351">
        <v>0.0</v>
      </c>
      <c r="J351">
        <v>7.660246058709092</v>
      </c>
      <c r="K351">
        <v>43.073587576943865</v>
      </c>
      <c r="L351">
        <f>(J351-Diagramm_Tmin)/Diagramm_dT+1</f>
        <v>176.320492117418</v>
      </c>
    </row>
    <row r="352" x14ac:dyDescent="0.25">
      <c r="B352">
        <v>92</v>
      </c>
      <c r="C352">
        <f t="shared" si="15"/>
      </c>
      <c r="D352">
        <v>81.45505572191325</v>
      </c>
      <c r="E352">
        <v>0.0</v>
      </c>
      <c r="F352">
        <v>168.54494427808675</v>
      </c>
      <c r="G352">
        <v>0.0</v>
      </c>
      <c r="H352">
        <v>0.0</v>
      </c>
      <c r="J352">
        <v>10.579257243195869</v>
      </c>
      <c r="K352">
        <v>46.70390866160441</v>
      </c>
      <c r="L352">
        <f>(J352-Diagramm_Tmin)/Diagramm_dT+1</f>
        <v>182.158514486392</v>
      </c>
    </row>
    <row r="353" x14ac:dyDescent="0.25">
      <c r="B353">
        <v>92.5</v>
      </c>
      <c r="C353">
        <f t="shared" si="15"/>
      </c>
      <c r="D353">
        <v>81.45505572191325</v>
      </c>
      <c r="E353">
        <v>0.0</v>
      </c>
      <c r="F353">
        <v>168.54494427808675</v>
      </c>
      <c r="G353">
        <v>0.0</v>
      </c>
      <c r="H353">
        <v>0.0</v>
      </c>
      <c r="J353">
        <v>13.498268427682646</v>
      </c>
      <c r="K353">
        <v>50.58211318954023</v>
      </c>
      <c r="L353">
        <f>(J353-Diagramm_Tmin)/Diagramm_dT+1</f>
        <v>187.996536855365</v>
      </c>
    </row>
    <row r="354" x14ac:dyDescent="0.25">
      <c r="B354">
        <v>93</v>
      </c>
      <c r="C354">
        <f t="shared" si="15"/>
      </c>
      <c r="D354">
        <v>81.45505572191325</v>
      </c>
      <c r="E354">
        <v>0.0</v>
      </c>
      <c r="F354">
        <v>168.54494427808675</v>
      </c>
      <c r="G354">
        <v>0.0</v>
      </c>
      <c r="H354">
        <v>0.0</v>
      </c>
      <c r="J354">
        <v>16.417279612169423</v>
      </c>
      <c r="K354">
        <v>54.739597871776695</v>
      </c>
      <c r="L354">
        <f>(J354-Diagramm_Tmin)/Diagramm_dT+1</f>
        <v>193.834559224339</v>
      </c>
    </row>
    <row r="355" x14ac:dyDescent="0.25">
      <c r="B355">
        <v>93.5</v>
      </c>
      <c r="C355">
        <f t="shared" si="15"/>
      </c>
      <c r="D355">
        <v>81.45505572191325</v>
      </c>
      <c r="E355">
        <v>0.0</v>
      </c>
      <c r="F355">
        <v>168.54494427808675</v>
      </c>
      <c r="G355">
        <v>0.0</v>
      </c>
      <c r="H355">
        <v>0.0</v>
      </c>
      <c r="J355">
        <v>19.3362907966562</v>
      </c>
      <c r="K355">
        <v>59.2952471735175</v>
      </c>
      <c r="L355">
        <f>(J355-Diagramm_Tmin)/Diagramm_dT+1</f>
        <v>199.672581593312</v>
      </c>
    </row>
    <row r="356" x14ac:dyDescent="0.25">
      <c r="B356">
        <v>94</v>
      </c>
      <c r="C356">
        <f t="shared" si="15"/>
      </c>
      <c r="D356">
        <v>81.45505572191325</v>
      </c>
      <c r="E356">
        <v>0.0</v>
      </c>
      <c r="F356">
        <v>168.54494427808675</v>
      </c>
      <c r="G356">
        <v>0.0</v>
      </c>
      <c r="H356">
        <v>0.0</v>
      </c>
      <c r="J356">
        <v>22.255301981142978</v>
      </c>
      <c r="K356">
        <v>64.1560728573801</v>
      </c>
      <c r="L356">
        <f>(J356-Diagramm_Tmin)/Diagramm_dT+1</f>
        <v>205.510603962286</v>
      </c>
    </row>
    <row r="357" x14ac:dyDescent="0.25">
      <c r="B357">
        <v>94.5</v>
      </c>
      <c r="C357">
        <f t="shared" si="15"/>
      </c>
      <c r="D357">
        <v>81.45505572191325</v>
      </c>
      <c r="E357">
        <v>0.0</v>
      </c>
      <c r="F357">
        <v>168.54494427808675</v>
      </c>
      <c r="G357">
        <v>0.0</v>
      </c>
      <c r="H357">
        <v>0.0</v>
      </c>
      <c r="J357">
        <v>25.17431316562974</v>
      </c>
      <c r="K357">
        <v>69.69300557809946</v>
      </c>
      <c r="L357">
        <f>(J357-Diagramm_Tmin)/Diagramm_dT+1</f>
        <v>211.348626331259</v>
      </c>
    </row>
    <row r="358" x14ac:dyDescent="0.25">
      <c r="B358">
        <v>95</v>
      </c>
      <c r="C358">
        <f t="shared" si="15"/>
      </c>
      <c r="D358">
        <v>81.45505572191325</v>
      </c>
      <c r="E358">
        <v>0.0</v>
      </c>
      <c r="F358">
        <v>168.54494427808675</v>
      </c>
      <c r="G358">
        <v>0.0</v>
      </c>
      <c r="H358">
        <v>0.0</v>
      </c>
      <c r="J358">
        <v>28.093324350116518</v>
      </c>
      <c r="K358">
        <v>77.8964737626687</v>
      </c>
      <c r="L358">
        <f>(J358-Diagramm_Tmin)/Diagramm_dT+1</f>
        <v>217.186648700233</v>
      </c>
    </row>
    <row r="359" x14ac:dyDescent="0.25">
      <c r="B359">
        <v>95.5</v>
      </c>
      <c r="C359">
        <f t="shared" si="15"/>
      </c>
      <c r="D359">
        <v>81.45505572191325</v>
      </c>
      <c r="E359">
        <v>0.0</v>
      </c>
      <c r="F359">
        <v>168.54494427808675</v>
      </c>
      <c r="G359">
        <v>0.0</v>
      </c>
      <c r="H359">
        <v>0.0</v>
      </c>
    </row>
    <row r="360" x14ac:dyDescent="0.25">
      <c r="B360">
        <v>96</v>
      </c>
      <c r="C360">
        <f t="shared" si="15"/>
      </c>
      <c r="D360">
        <v>81.45505572191325</v>
      </c>
      <c r="E360">
        <v>0.0</v>
      </c>
      <c r="F360">
        <v>168.54494427808675</v>
      </c>
      <c r="G360">
        <v>0.0</v>
      </c>
      <c r="H360">
        <v>0.0</v>
      </c>
      <c r="I360" s="10" t="s">
        <v>522</v>
      </c>
      <c r="J360">
        <v>15.0</v>
      </c>
      <c r="K360">
        <v>30.0</v>
      </c>
      <c r="L360">
        <f>(J360-Diagramm_Tmin)/Diagramm_dT+1</f>
        <v>191.0</v>
      </c>
    </row>
    <row r="361" x14ac:dyDescent="0.25">
      <c r="B361">
        <v>96.5</v>
      </c>
      <c r="C361">
        <f t="shared" si="15"/>
      </c>
      <c r="D361">
        <v>81.45505572191325</v>
      </c>
      <c r="E361">
        <v>0.0</v>
      </c>
      <c r="F361">
        <v>168.54494427808675</v>
      </c>
      <c r="G361">
        <v>0.0</v>
      </c>
      <c r="H361">
        <v>0.0</v>
      </c>
      <c r="J361">
        <v>73.69576974275476</v>
      </c>
      <c r="K361">
        <v>60.0</v>
      </c>
      <c r="L361">
        <f>(J361-Diagramm_Tmin)/Diagramm_dT+1</f>
        <v>308.39153948551</v>
      </c>
    </row>
    <row r="362" x14ac:dyDescent="0.25">
      <c r="B362">
        <v>97</v>
      </c>
      <c r="C362">
        <f t="shared" si="15"/>
      </c>
      <c r="D362">
        <v>81.45505572191325</v>
      </c>
      <c r="E362">
        <v>0.0</v>
      </c>
      <c r="F362">
        <v>168.54494427808675</v>
      </c>
      <c r="G362">
        <v>0.0</v>
      </c>
      <c r="H362">
        <v>0.0</v>
      </c>
      <c r="J362">
        <v>20.0</v>
      </c>
      <c r="K362">
        <v>60.0</v>
      </c>
      <c r="L362">
        <f>(J362-Diagramm_Tmin)/Diagramm_dT+1</f>
        <v>201.0</v>
      </c>
    </row>
    <row r="363" x14ac:dyDescent="0.25">
      <c r="B363">
        <v>97.5</v>
      </c>
      <c r="C363">
        <f t="shared" si="15"/>
      </c>
      <c r="D363">
        <v>81.45505572191325</v>
      </c>
      <c r="E363">
        <v>0.0</v>
      </c>
      <c r="F363">
        <v>168.54494427808675</v>
      </c>
      <c r="G363">
        <v>0.0</v>
      </c>
      <c r="H363">
        <v>0.0</v>
      </c>
    </row>
    <row r="364" x14ac:dyDescent="0.25">
      <c r="B364">
        <v>98</v>
      </c>
      <c r="C364">
        <f t="shared" si="15"/>
      </c>
      <c r="D364">
        <v>81.45505572191325</v>
      </c>
      <c r="E364">
        <v>0.0</v>
      </c>
      <c r="F364">
        <v>168.54494427808675</v>
      </c>
      <c r="G364">
        <v>0.0</v>
      </c>
      <c r="H364">
        <v>0.0</v>
      </c>
    </row>
    <row r="365" x14ac:dyDescent="0.25">
      <c r="B365">
        <v>98.5</v>
      </c>
      <c r="C365">
        <f t="shared" si="15"/>
      </c>
      <c r="D365">
        <v>81.45505572191325</v>
      </c>
      <c r="E365">
        <v>0.0</v>
      </c>
      <c r="F365">
        <v>168.54494427808675</v>
      </c>
      <c r="G365">
        <v>0.0</v>
      </c>
      <c r="H365">
        <v>0.0</v>
      </c>
    </row>
    <row r="366" x14ac:dyDescent="0.25">
      <c r="B366">
        <v>99</v>
      </c>
      <c r="C366">
        <f t="shared" si="15"/>
      </c>
      <c r="D366">
        <v>81.45505572191325</v>
      </c>
      <c r="E366">
        <v>0.0</v>
      </c>
      <c r="F366">
        <v>168.54494427808675</v>
      </c>
      <c r="G366">
        <v>0.0</v>
      </c>
      <c r="H366">
        <v>0.0</v>
      </c>
    </row>
    <row r="367" x14ac:dyDescent="0.25">
      <c r="B367">
        <v>99.5</v>
      </c>
      <c r="C367">
        <f t="shared" si="15"/>
      </c>
      <c r="D367">
        <v>81.45505572191325</v>
      </c>
      <c r="E367">
        <v>0.0</v>
      </c>
      <c r="F367">
        <v>168.54494427808675</v>
      </c>
      <c r="G367">
        <v>0.0</v>
      </c>
      <c r="H367">
        <v>0.0</v>
      </c>
    </row>
    <row r="368" x14ac:dyDescent="0.25">
      <c r="B368">
        <v>100</v>
      </c>
      <c r="C368" t="str">
        <f t="shared" si="15"/>
        <v>100</v>
      </c>
      <c r="D368">
        <v>81.45505572191325</v>
      </c>
      <c r="E368">
        <v>0.0</v>
      </c>
      <c r="F368">
        <v>168.54494427808675</v>
      </c>
      <c r="G368">
        <v>0.0</v>
      </c>
      <c r="H368">
        <v>0.0</v>
      </c>
    </row>
    <row r="369">
      <c r="B369">
        <v>100.5</v>
      </c>
      <c r="C369">
        <f>IF(MOD(B369,20)=0,TEXT(B369,"0"),"")</f>
      </c>
      <c r="D369">
        <v>81.45505572191325</v>
      </c>
      <c r="E369">
        <v>0.0</v>
      </c>
      <c r="F369">
        <v>168.54494427808675</v>
      </c>
      <c r="G369">
        <v>0.0</v>
      </c>
      <c r="H369">
        <v>0.0</v>
      </c>
    </row>
    <row r="370">
      <c r="B370">
        <v>101.0</v>
      </c>
      <c r="C370">
        <f>IF(MOD(B370,20)=0,TEXT(B370,"0"),"")</f>
      </c>
      <c r="D370">
        <v>81.45505572191325</v>
      </c>
      <c r="E370">
        <v>0.0</v>
      </c>
      <c r="F370">
        <v>168.54494427808675</v>
      </c>
      <c r="G370">
        <v>0.0</v>
      </c>
      <c r="H370">
        <v>0.0</v>
      </c>
    </row>
    <row r="371">
      <c r="B371">
        <v>101.5</v>
      </c>
      <c r="C371">
        <f>IF(MOD(B371,20)=0,TEXT(B371,"0"),"")</f>
      </c>
      <c r="D371">
        <v>81.45505572191325</v>
      </c>
      <c r="E371">
        <v>0.0</v>
      </c>
      <c r="F371">
        <v>168.54494427808675</v>
      </c>
      <c r="G371">
        <v>0.0</v>
      </c>
      <c r="H371">
        <v>0.0</v>
      </c>
    </row>
    <row r="372">
      <c r="B372">
        <v>102.0</v>
      </c>
      <c r="C372">
        <f>IF(MOD(B372,20)=0,TEXT(B372,"0"),"")</f>
      </c>
      <c r="D372">
        <v>81.45505572191325</v>
      </c>
      <c r="E372">
        <v>0.0</v>
      </c>
      <c r="F372">
        <v>168.54494427808675</v>
      </c>
      <c r="G372">
        <v>0.0</v>
      </c>
      <c r="H372">
        <v>0.0</v>
      </c>
    </row>
    <row r="373">
      <c r="B373">
        <v>102.5</v>
      </c>
      <c r="C373">
        <f>IF(MOD(B373,20)=0,TEXT(B373,"0"),"")</f>
      </c>
      <c r="D373">
        <v>81.45505572191325</v>
      </c>
      <c r="E373">
        <v>0.0</v>
      </c>
      <c r="F373">
        <v>168.54494427808675</v>
      </c>
      <c r="G373">
        <v>0.0</v>
      </c>
      <c r="H373">
        <v>0.0</v>
      </c>
    </row>
    <row r="374">
      <c r="B374">
        <v>103.0</v>
      </c>
      <c r="C374">
        <f>IF(MOD(B374,20)=0,TEXT(B374,"0"),"")</f>
      </c>
      <c r="D374">
        <v>81.45505572191325</v>
      </c>
      <c r="E374">
        <v>0.0</v>
      </c>
      <c r="F374">
        <v>168.54494427808675</v>
      </c>
      <c r="G374">
        <v>0.0</v>
      </c>
      <c r="H374">
        <v>0.0</v>
      </c>
    </row>
    <row r="375">
      <c r="B375">
        <v>103.5</v>
      </c>
      <c r="C375">
        <f>IF(MOD(B375,20)=0,TEXT(B375,"0"),"")</f>
      </c>
      <c r="D375">
        <v>81.45505572191325</v>
      </c>
      <c r="E375">
        <v>0.0</v>
      </c>
      <c r="F375">
        <v>168.54494427808675</v>
      </c>
      <c r="G375">
        <v>0.0</v>
      </c>
      <c r="H375">
        <v>0.0</v>
      </c>
    </row>
    <row r="376">
      <c r="B376">
        <v>104.0</v>
      </c>
      <c r="C376">
        <f>IF(MOD(B376,20)=0,TEXT(B376,"0"),"")</f>
      </c>
      <c r="D376">
        <v>81.45505572191325</v>
      </c>
      <c r="E376">
        <v>0.0</v>
      </c>
      <c r="F376">
        <v>168.54494427808675</v>
      </c>
      <c r="G376">
        <v>0.0</v>
      </c>
      <c r="H376">
        <v>0.0</v>
      </c>
    </row>
    <row r="377">
      <c r="B377">
        <v>104.5</v>
      </c>
      <c r="C377">
        <f>IF(MOD(B377,20)=0,TEXT(B377,"0"),"")</f>
      </c>
      <c r="D377">
        <v>81.45505572191325</v>
      </c>
      <c r="E377">
        <v>0.0</v>
      </c>
      <c r="F377">
        <v>168.54494427808675</v>
      </c>
      <c r="G377">
        <v>0.0</v>
      </c>
      <c r="H377">
        <v>0.0</v>
      </c>
    </row>
    <row r="378">
      <c r="B378">
        <v>105.0</v>
      </c>
      <c r="C378">
        <f>IF(MOD(B378,20)=0,TEXT(B378,"0"),"")</f>
      </c>
      <c r="D378">
        <v>81.45505572191325</v>
      </c>
      <c r="E378">
        <v>0.0</v>
      </c>
      <c r="F378">
        <v>168.54494427808675</v>
      </c>
      <c r="G378">
        <v>0.0</v>
      </c>
      <c r="H378">
        <v>0.0</v>
      </c>
    </row>
    <row r="379">
      <c r="B379">
        <v>105.5</v>
      </c>
      <c r="C379">
        <f>IF(MOD(B379,20)=0,TEXT(B379,"0"),"")</f>
      </c>
      <c r="D379">
        <v>81.45505572191325</v>
      </c>
      <c r="E379">
        <v>0.0</v>
      </c>
      <c r="F379">
        <v>168.54494427808675</v>
      </c>
      <c r="G379">
        <v>0.0</v>
      </c>
      <c r="H379">
        <v>0.0</v>
      </c>
    </row>
    <row r="380">
      <c r="B380">
        <v>106.0</v>
      </c>
      <c r="C380">
        <f>IF(MOD(B380,20)=0,TEXT(B380,"0"),"")</f>
      </c>
      <c r="D380">
        <v>81.45505572191325</v>
      </c>
      <c r="E380">
        <v>0.0</v>
      </c>
      <c r="F380">
        <v>168.54494427808675</v>
      </c>
      <c r="G380">
        <v>0.0</v>
      </c>
      <c r="H380">
        <v>0.0</v>
      </c>
    </row>
    <row r="381">
      <c r="B381">
        <v>106.5</v>
      </c>
      <c r="C381">
        <f>IF(MOD(B381,20)=0,TEXT(B381,"0"),"")</f>
      </c>
      <c r="D381">
        <v>81.45505572191325</v>
      </c>
      <c r="E381">
        <v>0.0</v>
      </c>
      <c r="F381">
        <v>168.54494427808675</v>
      </c>
      <c r="G381">
        <v>0.0</v>
      </c>
      <c r="H381">
        <v>0.0</v>
      </c>
    </row>
    <row r="382">
      <c r="B382">
        <v>107.0</v>
      </c>
      <c r="C382">
        <f>IF(MOD(B382,20)=0,TEXT(B382,"0"),"")</f>
      </c>
      <c r="D382">
        <v>81.45505572191325</v>
      </c>
      <c r="E382">
        <v>0.0</v>
      </c>
      <c r="F382">
        <v>168.54494427808675</v>
      </c>
      <c r="G382">
        <v>0.0</v>
      </c>
      <c r="H382">
        <v>0.0</v>
      </c>
    </row>
    <row r="383">
      <c r="B383">
        <v>107.5</v>
      </c>
      <c r="C383">
        <f>IF(MOD(B383,20)=0,TEXT(B383,"0"),"")</f>
      </c>
      <c r="D383">
        <v>81.45505572191325</v>
      </c>
      <c r="E383">
        <v>0.0</v>
      </c>
      <c r="F383">
        <v>168.54494427808675</v>
      </c>
      <c r="G383">
        <v>0.0</v>
      </c>
      <c r="H383">
        <v>0.0</v>
      </c>
    </row>
    <row r="384">
      <c r="B384">
        <v>108.0</v>
      </c>
      <c r="C384">
        <f>IF(MOD(B384,20)=0,TEXT(B384,"0"),"")</f>
      </c>
      <c r="D384">
        <v>81.45505572191325</v>
      </c>
      <c r="E384">
        <v>0.0</v>
      </c>
      <c r="F384">
        <v>168.54494427808675</v>
      </c>
      <c r="G384">
        <v>0.0</v>
      </c>
      <c r="H384">
        <v>0.0</v>
      </c>
    </row>
    <row r="385">
      <c r="B385">
        <v>108.5</v>
      </c>
      <c r="C385">
        <f>IF(MOD(B385,20)=0,TEXT(B385,"0"),"")</f>
      </c>
      <c r="D385">
        <v>81.45505572191325</v>
      </c>
      <c r="E385">
        <v>0.0</v>
      </c>
      <c r="F385">
        <v>168.54494427808675</v>
      </c>
      <c r="G385">
        <v>0.0</v>
      </c>
      <c r="H385">
        <v>0.0</v>
      </c>
    </row>
    <row r="386">
      <c r="B386">
        <v>109.0</v>
      </c>
      <c r="C386">
        <f>IF(MOD(B386,20)=0,TEXT(B386,"0"),"")</f>
      </c>
      <c r="D386">
        <v>81.45505572191325</v>
      </c>
      <c r="E386">
        <v>0.0</v>
      </c>
      <c r="F386">
        <v>168.54494427808675</v>
      </c>
      <c r="G386">
        <v>0.0</v>
      </c>
      <c r="H386">
        <v>0.0</v>
      </c>
    </row>
    <row r="387">
      <c r="B387">
        <v>109.5</v>
      </c>
      <c r="C387">
        <f>IF(MOD(B387,20)=0,TEXT(B387,"0"),"")</f>
      </c>
      <c r="D387">
        <v>81.45505572191325</v>
      </c>
      <c r="E387">
        <v>0.0</v>
      </c>
      <c r="F387">
        <v>168.54494427808675</v>
      </c>
      <c r="G387">
        <v>0.0</v>
      </c>
      <c r="H387">
        <v>0.0</v>
      </c>
    </row>
    <row r="388">
      <c r="B388">
        <v>110.0</v>
      </c>
      <c r="C388">
        <f>IF(MOD(B388,20)=0,TEXT(B388,"0"),"")</f>
      </c>
      <c r="D388">
        <v>81.45505572191325</v>
      </c>
      <c r="E388">
        <v>0.0</v>
      </c>
      <c r="F388">
        <v>168.54494427808675</v>
      </c>
      <c r="G388">
        <v>0.0</v>
      </c>
      <c r="H388">
        <v>0.0</v>
      </c>
    </row>
    <row r="389">
      <c r="B389">
        <v>110.5</v>
      </c>
      <c r="C389">
        <f>IF(MOD(B389,20)=0,TEXT(B389,"0"),"")</f>
      </c>
      <c r="D389">
        <v>81.45505572191325</v>
      </c>
      <c r="E389">
        <v>0.0</v>
      </c>
      <c r="F389">
        <v>168.54494427808675</v>
      </c>
      <c r="G389">
        <v>0.0</v>
      </c>
      <c r="H389">
        <v>0.0</v>
      </c>
    </row>
    <row r="390">
      <c r="B390">
        <v>111.0</v>
      </c>
      <c r="C390">
        <f>IF(MOD(B390,20)=0,TEXT(B390,"0"),"")</f>
      </c>
      <c r="D390">
        <v>81.45505572191325</v>
      </c>
      <c r="E390">
        <v>0.0</v>
      </c>
      <c r="F390">
        <v>168.54494427808675</v>
      </c>
      <c r="G390">
        <v>0.0</v>
      </c>
      <c r="H390">
        <v>0.0</v>
      </c>
    </row>
    <row r="391">
      <c r="B391">
        <v>111.5</v>
      </c>
      <c r="C391">
        <f>IF(MOD(B391,20)=0,TEXT(B391,"0"),"")</f>
      </c>
      <c r="D391">
        <v>81.45505572191325</v>
      </c>
      <c r="E391">
        <v>0.0</v>
      </c>
      <c r="F391">
        <v>168.54494427808675</v>
      </c>
      <c r="G391">
        <v>0.0</v>
      </c>
      <c r="H391">
        <v>0.0</v>
      </c>
    </row>
    <row r="392">
      <c r="B392">
        <v>112.0</v>
      </c>
      <c r="C392">
        <f>IF(MOD(B392,20)=0,TEXT(B392,"0"),"")</f>
      </c>
      <c r="D392">
        <v>81.45505572191325</v>
      </c>
      <c r="E392">
        <v>0.0</v>
      </c>
      <c r="F392">
        <v>168.54494427808675</v>
      </c>
      <c r="G392">
        <v>0.0</v>
      </c>
      <c r="H392">
        <v>0.0</v>
      </c>
    </row>
    <row r="393">
      <c r="B393">
        <v>112.5</v>
      </c>
      <c r="C393">
        <f>IF(MOD(B393,20)=0,TEXT(B393,"0"),"")</f>
      </c>
      <c r="D393">
        <v>81.45505572191325</v>
      </c>
      <c r="E393">
        <v>0.0</v>
      </c>
      <c r="F393">
        <v>168.54494427808675</v>
      </c>
      <c r="G393">
        <v>0.0</v>
      </c>
      <c r="H393">
        <v>0.0</v>
      </c>
    </row>
    <row r="394">
      <c r="B394">
        <v>113.0</v>
      </c>
      <c r="C394">
        <f>IF(MOD(B394,20)=0,TEXT(B394,"0"),"")</f>
      </c>
      <c r="D394">
        <v>81.45505572191325</v>
      </c>
      <c r="E394">
        <v>0.0</v>
      </c>
      <c r="F394">
        <v>168.54494427808675</v>
      </c>
      <c r="G394">
        <v>0.0</v>
      </c>
      <c r="H394">
        <v>0.0</v>
      </c>
    </row>
    <row r="395">
      <c r="B395">
        <v>113.5</v>
      </c>
      <c r="C395">
        <f>IF(MOD(B395,20)=0,TEXT(B395,"0"),"")</f>
      </c>
      <c r="D395">
        <v>81.45505572191325</v>
      </c>
      <c r="E395">
        <v>0.0</v>
      </c>
      <c r="F395">
        <v>168.54494427808675</v>
      </c>
      <c r="G395">
        <v>0.0</v>
      </c>
      <c r="H395">
        <v>0.0</v>
      </c>
    </row>
    <row r="396">
      <c r="B396">
        <v>114.0</v>
      </c>
      <c r="C396">
        <f>IF(MOD(B396,20)=0,TEXT(B396,"0"),"")</f>
      </c>
      <c r="D396">
        <v>81.45505572191325</v>
      </c>
      <c r="E396">
        <v>0.0</v>
      </c>
      <c r="F396">
        <v>168.54494427808675</v>
      </c>
      <c r="G396">
        <v>0.0</v>
      </c>
      <c r="H396">
        <v>0.0</v>
      </c>
    </row>
    <row r="397">
      <c r="B397">
        <v>114.5</v>
      </c>
      <c r="C397">
        <f>IF(MOD(B397,20)=0,TEXT(B397,"0"),"")</f>
      </c>
      <c r="D397">
        <v>81.45505572191325</v>
      </c>
      <c r="E397">
        <v>0.0</v>
      </c>
      <c r="F397">
        <v>168.54494427808675</v>
      </c>
      <c r="G397">
        <v>0.0</v>
      </c>
      <c r="H397">
        <v>0.0</v>
      </c>
    </row>
    <row r="398">
      <c r="B398">
        <v>115.0</v>
      </c>
      <c r="C398">
        <f>IF(MOD(B398,20)=0,TEXT(B398,"0"),"")</f>
      </c>
      <c r="D398">
        <v>81.45505572191325</v>
      </c>
      <c r="E398">
        <v>0.0</v>
      </c>
      <c r="F398">
        <v>168.54494427808675</v>
      </c>
      <c r="G398">
        <v>0.0</v>
      </c>
      <c r="H398">
        <v>0.0</v>
      </c>
    </row>
    <row r="399">
      <c r="B399">
        <v>115.5</v>
      </c>
      <c r="C399">
        <f>IF(MOD(B399,20)=0,TEXT(B399,"0"),"")</f>
      </c>
      <c r="D399">
        <v>81.45505572191325</v>
      </c>
      <c r="E399">
        <v>0.0</v>
      </c>
      <c r="F399">
        <v>168.54494427808675</v>
      </c>
      <c r="G399">
        <v>0.0</v>
      </c>
      <c r="H399">
        <v>0.0</v>
      </c>
    </row>
    <row r="400">
      <c r="B400">
        <v>116.0</v>
      </c>
      <c r="C400">
        <f>IF(MOD(B400,20)=0,TEXT(B400,"0"),"")</f>
      </c>
      <c r="D400">
        <v>81.45505572191325</v>
      </c>
      <c r="E400">
        <v>0.0</v>
      </c>
      <c r="F400">
        <v>168.54494427808675</v>
      </c>
      <c r="G400">
        <v>0.0</v>
      </c>
      <c r="H400">
        <v>0.0</v>
      </c>
    </row>
    <row r="401">
      <c r="B401">
        <v>116.5</v>
      </c>
      <c r="C401">
        <f>IF(MOD(B401,20)=0,TEXT(B401,"0"),"")</f>
      </c>
      <c r="D401">
        <v>81.45505572191325</v>
      </c>
      <c r="E401">
        <v>0.0</v>
      </c>
      <c r="F401">
        <v>168.54494427808675</v>
      </c>
      <c r="G401">
        <v>0.0</v>
      </c>
      <c r="H401">
        <v>0.0</v>
      </c>
    </row>
    <row r="402">
      <c r="B402">
        <v>117.0</v>
      </c>
      <c r="C402">
        <f>IF(MOD(B402,20)=0,TEXT(B402,"0"),"")</f>
      </c>
      <c r="D402">
        <v>81.45505572191325</v>
      </c>
      <c r="E402">
        <v>0.0</v>
      </c>
      <c r="F402">
        <v>168.54494427808675</v>
      </c>
      <c r="G402">
        <v>0.0</v>
      </c>
      <c r="H402">
        <v>0.0</v>
      </c>
    </row>
    <row r="403">
      <c r="B403">
        <v>117.5</v>
      </c>
      <c r="C403">
        <f>IF(MOD(B403,20)=0,TEXT(B403,"0"),"")</f>
      </c>
      <c r="D403">
        <v>81.45505572191325</v>
      </c>
      <c r="E403">
        <v>0.0</v>
      </c>
      <c r="F403">
        <v>168.54494427808675</v>
      </c>
      <c r="G403">
        <v>0.0</v>
      </c>
      <c r="H403">
        <v>0.0</v>
      </c>
    </row>
    <row r="404">
      <c r="B404">
        <v>118.0</v>
      </c>
      <c r="C404">
        <f>IF(MOD(B404,20)=0,TEXT(B404,"0"),"")</f>
      </c>
      <c r="D404">
        <v>81.45505572191325</v>
      </c>
      <c r="E404">
        <v>0.0</v>
      </c>
      <c r="F404">
        <v>168.54494427808675</v>
      </c>
      <c r="G404">
        <v>0.0</v>
      </c>
      <c r="H404">
        <v>0.0</v>
      </c>
    </row>
    <row r="405">
      <c r="B405">
        <v>118.5</v>
      </c>
      <c r="C405">
        <f>IF(MOD(B405,20)=0,TEXT(B405,"0"),"")</f>
      </c>
      <c r="D405">
        <v>81.45505572191325</v>
      </c>
      <c r="E405">
        <v>0.0</v>
      </c>
      <c r="F405">
        <v>168.54494427808675</v>
      </c>
      <c r="G405">
        <v>0.0</v>
      </c>
      <c r="H405">
        <v>0.0</v>
      </c>
    </row>
    <row r="406">
      <c r="B406">
        <v>119.0</v>
      </c>
      <c r="C406">
        <f>IF(MOD(B406,20)=0,TEXT(B406,"0"),"")</f>
      </c>
      <c r="D406">
        <v>81.45505572191325</v>
      </c>
      <c r="E406">
        <v>0.0</v>
      </c>
      <c r="F406">
        <v>168.54494427808675</v>
      </c>
      <c r="G406">
        <v>0.0</v>
      </c>
      <c r="H406">
        <v>0.0</v>
      </c>
    </row>
    <row r="407">
      <c r="B407">
        <v>119.5</v>
      </c>
      <c r="C407">
        <f>IF(MOD(B407,20)=0,TEXT(B407,"0"),"")</f>
      </c>
      <c r="D407">
        <v>81.45505572191325</v>
      </c>
      <c r="E407">
        <v>0.0</v>
      </c>
      <c r="F407">
        <v>168.54494427808675</v>
      </c>
      <c r="G407">
        <v>0.0</v>
      </c>
      <c r="H407">
        <v>0.0</v>
      </c>
    </row>
    <row r="408">
      <c r="B408">
        <v>120.0</v>
      </c>
      <c r="C408" t="str">
        <f>IF(MOD(B408,20)=0,TEXT(B408,"0"),"")</f>
        <v>120</v>
      </c>
      <c r="D408">
        <v>81.45505572191325</v>
      </c>
      <c r="E408">
        <v>0.0</v>
      </c>
      <c r="F408">
        <v>168.54494427808675</v>
      </c>
      <c r="G408">
        <v>0.0</v>
      </c>
      <c r="H408">
        <v>0.0</v>
      </c>
    </row>
  </sheetData>
  <mergeCells count="1">
    <mergeCell ref="D4:G5"/>
  </mergeCells>
  <hyperlinks>
    <hyperlink ref="B3" location="'Übersicht'!A1" display="← zur Übersicht" xr:uid="{00000000-0004-0000-0700-000000000000}"/>
  </hyperlinks>
  <pageMargins left="0.4" right="0.4" top="0.5" bottom="0.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A220E"/>
    <pageSetUpPr fitToPage="1"/>
  </sheetPr>
  <dimension ref="B1:J55"/>
  <sheetViews>
    <sheetView showGridLines="0" workbookViewId="0"/>
  </sheetViews>
  <sheetFormatPr defaultRowHeight="15"/>
  <cols>
    <col min="1" max="1" width="2.7109375" customWidth="1"/>
    <col min="2" max="2" width="36.7109375" customWidth="1"/>
    <col min="3" max="3" width="14.7109375" customWidth="1"/>
    <col min="4" max="5" width="26.7109375" customWidth="1"/>
    <col min="6" max="6" width="30.7109375" customWidth="1"/>
    <col min="7" max="9" width="14.7109375" customWidth="1"/>
    <col min="10" max="10" width="44.7109375" customWidth="1"/>
  </cols>
  <sheetData>
    <row r="1" ht="30" customHeight="1">
      <c r="B1" s="1" t="s">
        <v>523</v>
      </c>
    </row>
    <row r="2">
      <c r="B2" s="2" t="s">
        <v>524</v>
      </c>
    </row>
    <row r="3">
      <c r="B3" s="34" t="s">
        <v>525</v>
      </c>
    </row>
    <row r="5">
      <c r="B5" s="39" t="s">
        <v>526</v>
      </c>
    </row>
    <row r="6" ht="48" customHeight="1">
      <c r="B6" s="35" t="s">
        <v>527</v>
      </c>
    </row>
    <row r="8">
      <c r="B8" s="39" t="s">
        <v>528</v>
      </c>
      <c r="F8" s="39" t="s">
        <v>546</v>
      </c>
    </row>
    <row r="9">
      <c r="B9" s="37" t="s">
        <v>529</v>
      </c>
      <c r="C9" s="12" t="s">
        <v>530</v>
      </c>
      <c r="D9" s="12" t="s">
        <v>531</v>
      </c>
      <c r="F9" s="37" t="s">
        <v>547</v>
      </c>
      <c r="G9" s="12" t="s">
        <v>548</v>
      </c>
      <c r="H9" s="12" t="s">
        <v>549</v>
      </c>
      <c r="I9" s="12" t="s">
        <v>550</v>
      </c>
      <c r="J9" s="12" t="s">
        <v>551</v>
      </c>
    </row>
    <row r="10">
      <c r="B10" s="33" t="s">
        <v>532</v>
      </c>
      <c r="C10" s="4">
        <v>95.0</v>
      </c>
      <c r="D10" s="33" t="s">
        <v>533</v>
      </c>
      <c r="F10" s="33" t="s">
        <v>552</v>
      </c>
      <c r="G10" s="5">
        <v>27.954721274532744</v>
      </c>
      <c r="H10" s="5">
        <v>81.45505572191325</v>
      </c>
      <c r="I10" s="13" t="s">
        <v>553</v>
      </c>
      <c r="J10" s="33" t="s">
        <v>554</v>
      </c>
    </row>
    <row r="11">
      <c r="B11" s="33" t="s">
        <v>534</v>
      </c>
      <c r="C11" s="4">
        <v>2.4</v>
      </c>
      <c r="D11" s="33" t="s">
        <v>535</v>
      </c>
      <c r="F11" s="33" t="s">
        <v>555</v>
      </c>
      <c r="G11" s="5">
        <v>27.21311799338457</v>
      </c>
      <c r="H11" s="5">
        <v>82.17759431791859</v>
      </c>
      <c r="I11" s="13" t="s">
        <v>556</v>
      </c>
      <c r="J11" s="33" t="s">
        <v>557</v>
      </c>
    </row>
    <row r="12">
      <c r="B12" s="33" t="s">
        <v>536</v>
      </c>
      <c r="C12" s="4">
        <v>1.0</v>
      </c>
      <c r="D12" s="33" t="s">
        <v>537</v>
      </c>
      <c r="F12" s="33" t="s">
        <v>558</v>
      </c>
      <c r="G12" s="5">
        <v>28.093324350116518</v>
      </c>
      <c r="H12" s="5">
        <v>80.8964737626687</v>
      </c>
      <c r="I12" s="13" t="s">
        <v>559</v>
      </c>
      <c r="J12" s="33" t="s">
        <v>560</v>
      </c>
    </row>
    <row r="13">
      <c r="B13" s="33" t="s">
        <v>538</v>
      </c>
      <c r="C13" s="4">
        <v>1.0</v>
      </c>
      <c r="D13" s="33" t="s">
        <v>539</v>
      </c>
    </row>
    <row r="14">
      <c r="B14" s="33" t="s">
        <v>540</v>
      </c>
      <c r="C14" s="4">
        <v>0.5</v>
      </c>
      <c r="D14" s="33" t="s">
        <v>541</v>
      </c>
      <c r="F14" s="33" t="s">
        <v>561</v>
      </c>
      <c r="H14" s="4">
        <v>3.0</v>
      </c>
      <c r="I14" s="13" t="s">
        <v>562</v>
      </c>
      <c r="J14" s="33" t="s">
        <v>563</v>
      </c>
    </row>
    <row r="15">
      <c r="B15" s="33" t="s">
        <v>542</v>
      </c>
      <c r="C15" s="4">
        <v>0.1</v>
      </c>
      <c r="D15" s="33" t="s">
        <v>543</v>
      </c>
      <c r="F15" s="33" t="s">
        <v>564</v>
      </c>
      <c r="G15" s="5">
        <v>20.0</v>
      </c>
      <c r="H15" s="5">
        <v>76.65085109900227</v>
      </c>
      <c r="I15" s="13" t="s">
        <v>565</v>
      </c>
      <c r="J15" s="33" t="s">
        <v>566</v>
      </c>
    </row>
    <row r="16">
      <c r="B16" s="33" t="s">
        <v>544</v>
      </c>
      <c r="C16" s="6">
        <f>SUM(C11:C15)</f>
        <v>5.0</v>
      </c>
      <c r="D16" s="33" t="s">
        <v>545</v>
      </c>
      <c r="F16" s="33" t="s">
        <v>567</v>
      </c>
      <c r="G16" s="5">
        <v>20.0</v>
      </c>
      <c r="H16" s="5">
        <v>63.37008769484278</v>
      </c>
      <c r="I16" s="13" t="s">
        <v>568</v>
      </c>
      <c r="J16" s="33" t="s">
        <v>569</v>
      </c>
    </row>
    <row r="18">
      <c r="B18" s="39" t="s">
        <v>570</v>
      </c>
    </row>
    <row r="19" ht="30" customHeight="1">
      <c r="B19" s="37" t="s">
        <v>571</v>
      </c>
      <c r="C19" s="12" t="s">
        <v>572</v>
      </c>
      <c r="D19" s="12" t="s">
        <v>573</v>
      </c>
      <c r="E19" s="12" t="s">
        <v>574</v>
      </c>
      <c r="F19" s="12" t="s">
        <v>575</v>
      </c>
      <c r="G19" s="12" t="s">
        <v>576</v>
      </c>
    </row>
    <row r="20">
      <c r="B20" s="13">
        <v>-50.0</v>
      </c>
      <c r="C20" s="5">
        <v>6.8234161475719795</v>
      </c>
      <c r="D20" s="5">
        <v>7.224509717848902</v>
      </c>
      <c r="E20" s="5">
        <v>48.12601028742477</v>
      </c>
      <c r="F20" s="6">
        <f>D20-U_PG</f>
        <v>4.2245097178489</v>
      </c>
      <c r="G20" s="6">
        <f>E20+U_PG</f>
        <v>51.1260102874248</v>
      </c>
    </row>
    <row r="21">
      <c r="B21" s="13">
        <v>-40.0</v>
      </c>
      <c r="C21" s="5">
        <v>10.044957280440851</v>
      </c>
      <c r="D21" s="5">
        <v>10.65706737848825</v>
      </c>
      <c r="E21" s="5">
        <v>46.01810420852315</v>
      </c>
      <c r="F21" s="6">
        <f>D21-U_PG</f>
        <v>7.65706737848825</v>
      </c>
      <c r="G21" s="6">
        <f>E21+U_PG</f>
        <v>49.0181042085232</v>
      </c>
    </row>
    <row r="22">
      <c r="B22" s="13">
        <v>-30.0</v>
      </c>
      <c r="C22" s="5">
        <v>14.277616929031305</v>
      </c>
      <c r="D22" s="5">
        <v>15.186692649944018</v>
      </c>
      <c r="E22" s="5">
        <v>46.4144439908132</v>
      </c>
      <c r="F22" s="6">
        <f>D22-U_PG</f>
        <v>12.186692649944</v>
      </c>
      <c r="G22" s="6">
        <f>E22+U_PG</f>
        <v>49.4144439908132</v>
      </c>
    </row>
    <row r="23">
      <c r="B23" s="13">
        <v>-20.0</v>
      </c>
      <c r="C23" s="5">
        <v>19.696280019020698</v>
      </c>
      <c r="D23" s="5">
        <v>21.019382247337123</v>
      </c>
      <c r="E23" s="5">
        <v>48.909094593275725</v>
      </c>
      <c r="F23" s="6">
        <f>D23-U_PG</f>
        <v>18.0193822473371</v>
      </c>
      <c r="G23" s="6">
        <f>E23+U_PG</f>
        <v>51.9090945932757</v>
      </c>
    </row>
    <row r="24">
      <c r="B24" s="13">
        <v>-10.0</v>
      </c>
      <c r="C24" s="5">
        <v>26.486766706960875</v>
      </c>
      <c r="D24" s="5">
        <v>28.387878319565097</v>
      </c>
      <c r="E24" s="5">
        <v>53.31021190066248</v>
      </c>
      <c r="F24" s="6">
        <f>D24-U_PG</f>
        <v>25.3878783195651</v>
      </c>
      <c r="G24" s="6">
        <f>E24+U_PG</f>
        <v>56.3102119006625</v>
      </c>
    </row>
    <row r="25">
      <c r="B25" s="13">
        <v>0.0</v>
      </c>
      <c r="C25" s="5">
        <v>34.85140757663161</v>
      </c>
      <c r="D25" s="5">
        <v>37.57327699721018</v>
      </c>
      <c r="E25" s="5">
        <v>59.51839015111332</v>
      </c>
      <c r="F25" s="6">
        <f>D25-U_PG</f>
        <v>34.5732769972102</v>
      </c>
      <c r="G25" s="6">
        <f>E25+U_PG</f>
        <v>62.5183901511133</v>
      </c>
    </row>
    <row r="26">
      <c r="B26" s="13">
        <v>5.0</v>
      </c>
      <c r="C26" s="5">
        <v>39.69465254062399</v>
      </c>
      <c r="D26" s="5">
        <v>42.961015260630354</v>
      </c>
      <c r="E26" s="5">
        <v>63.27217632838896</v>
      </c>
      <c r="F26" s="6">
        <f>D26-U_PG</f>
        <v>39.9610152606304</v>
      </c>
      <c r="G26" s="6">
        <f>E26+U_PG</f>
        <v>66.272176328389</v>
      </c>
    </row>
    <row r="27">
      <c r="B27" s="13">
        <v>10.0</v>
      </c>
      <c r="C27" s="5">
        <v>45.021829141077745</v>
      </c>
      <c r="D27" s="5">
        <v>48.964344325289865</v>
      </c>
      <c r="E27" s="5">
        <v>67.42873928872997</v>
      </c>
      <c r="F27" s="6">
        <f>D27-U_PG</f>
        <v>45.9643443252899</v>
      </c>
      <c r="G27" s="6">
        <f>E27+U_PG</f>
        <v>70.42873928873</v>
      </c>
    </row>
    <row r="28">
      <c r="B28" s="13">
        <v>15.0</v>
      </c>
      <c r="C28" s="5">
        <v>50.87147357957962</v>
      </c>
      <c r="D28" s="5">
        <v>55.68374330669054</v>
      </c>
      <c r="E28" s="5">
        <v>71.93269628768455</v>
      </c>
      <c r="F28" s="6">
        <f>D28-U_PG</f>
        <v>52.6837433066905</v>
      </c>
      <c r="G28" s="6">
        <f>E28+U_PG</f>
        <v>74.9326962876846</v>
      </c>
    </row>
    <row r="29">
      <c r="B29" s="13">
        <v>20.0</v>
      </c>
      <c r="C29" s="5">
        <v>57.29052581475148</v>
      </c>
      <c r="D29" s="5">
        <v>63.37008769484278</v>
      </c>
      <c r="E29" s="5">
        <v>76.65085109900227</v>
      </c>
      <c r="F29" s="6">
        <f>D29-U_PG</f>
        <v>60.3700876948428</v>
      </c>
      <c r="G29" s="6">
        <f>E29+U_PG</f>
        <v>79.6508510990023</v>
      </c>
    </row>
    <row r="30">
      <c r="B30" s="13">
        <v>25.0</v>
      </c>
      <c r="C30" s="5">
        <v>64.3424425064042</v>
      </c>
      <c r="D30" s="5">
        <v>72.32522964253965</v>
      </c>
      <c r="E30" s="5">
        <v>81.05519586228384</v>
      </c>
      <c r="F30" s="6">
        <f>D30-U_PG</f>
        <v>69.3252296425397</v>
      </c>
      <c r="G30" s="6">
        <f>E30+U_PG</f>
        <v>84.0551958622838</v>
      </c>
    </row>
    <row r="31">
      <c r="B31" s="13">
        <v>27.0</v>
      </c>
      <c r="C31" s="5">
        <v>67.36148578184648</v>
      </c>
      <c r="D31" s="5">
        <v>76.81792288028635</v>
      </c>
      <c r="E31" s="5">
        <v>82.15258190613625</v>
      </c>
      <c r="F31" s="6">
        <f>D31-U_PG</f>
        <v>73.8179228802864</v>
      </c>
      <c r="G31" s="6">
        <f>E31+U_PG</f>
        <v>85.1525819061363</v>
      </c>
    </row>
    <row r="32">
      <c r="B32" s="36" t="s">
        <v>577</v>
      </c>
    </row>
    <row r="34">
      <c r="B34" s="39" t="s">
        <v>578</v>
      </c>
    </row>
    <row r="35" ht="30" customHeight="1">
      <c r="B35" s="37" t="s">
        <v>579</v>
      </c>
      <c r="C35" s="12"/>
      <c r="D35" s="12" t="s">
        <v>580</v>
      </c>
      <c r="E35" s="12" t="s">
        <v>581</v>
      </c>
      <c r="F35" s="12" t="s">
        <v>582</v>
      </c>
      <c r="G35" s="12" t="s">
        <v>583</v>
      </c>
    </row>
    <row r="36" ht="30" customHeight="1">
      <c r="B36" s="33" t="s">
        <v>584</v>
      </c>
      <c r="D36" s="13" t="s">
        <v>585</v>
      </c>
      <c r="E36" s="13" t="s">
        <v>586</v>
      </c>
      <c r="F36" s="33" t="s">
        <v>587</v>
      </c>
      <c r="G36" s="33" t="s">
        <v>588</v>
      </c>
    </row>
    <row r="37" ht="30" customHeight="1">
      <c r="B37" s="33" t="s">
        <v>589</v>
      </c>
      <c r="D37" s="13" t="s">
        <v>590</v>
      </c>
      <c r="E37" s="13" t="s">
        <v>591</v>
      </c>
      <c r="F37" s="33" t="s">
        <v>592</v>
      </c>
      <c r="G37" s="33" t="s">
        <v>593</v>
      </c>
    </row>
    <row r="38" ht="30" customHeight="1">
      <c r="B38" s="33" t="s">
        <v>594</v>
      </c>
      <c r="D38" s="13" t="s">
        <v>595</v>
      </c>
      <c r="E38" s="13" t="s">
        <v>596</v>
      </c>
      <c r="F38" s="33" t="s">
        <v>597</v>
      </c>
      <c r="G38" s="33" t="s">
        <v>598</v>
      </c>
    </row>
    <row r="39" ht="30" customHeight="1">
      <c r="B39" s="33" t="s">
        <v>599</v>
      </c>
      <c r="D39" s="13" t="s">
        <v>600</v>
      </c>
      <c r="E39" s="13" t="s">
        <v>601</v>
      </c>
      <c r="F39" s="33" t="s">
        <v>602</v>
      </c>
      <c r="G39" s="33" t="s">
        <v>603</v>
      </c>
    </row>
    <row r="40" ht="30" customHeight="1">
      <c r="B40" s="33" t="s">
        <v>604</v>
      </c>
      <c r="D40" s="13" t="s">
        <v>605</v>
      </c>
      <c r="E40" s="13" t="s">
        <v>606</v>
      </c>
      <c r="F40" s="33" t="s">
        <v>607</v>
      </c>
      <c r="G40" s="33" t="s">
        <v>608</v>
      </c>
    </row>
    <row r="41" ht="30" customHeight="1">
      <c r="B41" s="33" t="s">
        <v>609</v>
      </c>
      <c r="D41" s="13" t="s">
        <v>610</v>
      </c>
      <c r="E41" s="13" t="s">
        <v>611</v>
      </c>
      <c r="F41" s="33" t="s">
        <v>612</v>
      </c>
      <c r="G41" s="33" t="s">
        <v>613</v>
      </c>
    </row>
    <row r="42" ht="30" customHeight="1">
      <c r="B42" s="33" t="s">
        <v>614</v>
      </c>
      <c r="D42" s="13" t="s">
        <v>615</v>
      </c>
      <c r="E42" s="13" t="s">
        <v>616</v>
      </c>
      <c r="F42" s="33" t="s">
        <v>617</v>
      </c>
      <c r="G42" s="33" t="s">
        <v>618</v>
      </c>
    </row>
    <row r="43" ht="30" customHeight="1">
      <c r="B43" s="33" t="s">
        <v>619</v>
      </c>
      <c r="D43" s="13" t="s">
        <v>620</v>
      </c>
      <c r="E43" s="13" t="s">
        <v>621</v>
      </c>
      <c r="F43" s="33" t="s">
        <v>622</v>
      </c>
      <c r="G43" s="33" t="s">
        <v>623</v>
      </c>
    </row>
    <row r="44" ht="30" customHeight="1">
      <c r="B44" s="33" t="s">
        <v>624</v>
      </c>
      <c r="D44" s="13" t="s">
        <v>625</v>
      </c>
      <c r="E44" s="13" t="s">
        <v>626</v>
      </c>
      <c r="F44" s="33" t="s">
        <v>627</v>
      </c>
      <c r="G44" s="33" t="s">
        <v>628</v>
      </c>
    </row>
    <row r="46">
      <c r="B46" s="39" t="s">
        <v>629</v>
      </c>
    </row>
    <row r="47" ht="30" customHeight="1">
      <c r="B47" s="37"/>
      <c r="C47" s="12"/>
      <c r="D47" s="12" t="s">
        <v>630</v>
      </c>
      <c r="E47" s="12" t="s">
        <v>631</v>
      </c>
      <c r="F47" s="12" t="s">
        <v>632</v>
      </c>
      <c r="G47" s="12"/>
    </row>
    <row r="48" ht="45" customHeight="1">
      <c r="B48" s="33" t="s">
        <v>633</v>
      </c>
      <c r="D48" s="13" t="s">
        <v>634</v>
      </c>
      <c r="E48" s="13" t="s">
        <v>635</v>
      </c>
      <c r="F48" s="33" t="s">
        <v>636</v>
      </c>
    </row>
    <row r="49" ht="45" customHeight="1">
      <c r="B49" s="33" t="s">
        <v>637</v>
      </c>
      <c r="D49" s="13" t="s">
        <v>638</v>
      </c>
      <c r="E49" s="13" t="s">
        <v>639</v>
      </c>
      <c r="F49" s="33" t="s">
        <v>640</v>
      </c>
    </row>
    <row r="50" ht="45" customHeight="1">
      <c r="B50" s="33" t="s">
        <v>641</v>
      </c>
      <c r="D50" s="13" t="s">
        <v>642</v>
      </c>
      <c r="E50" s="13" t="s">
        <v>643</v>
      </c>
      <c r="F50" s="33" t="s">
        <v>644</v>
      </c>
    </row>
    <row r="51" ht="45" customHeight="1">
      <c r="B51" s="33" t="s">
        <v>645</v>
      </c>
      <c r="D51" s="13" t="s">
        <v>646</v>
      </c>
      <c r="E51" s="13" t="s">
        <v>647</v>
      </c>
      <c r="F51" s="33" t="s">
        <v>648</v>
      </c>
    </row>
    <row r="52" ht="45" customHeight="1">
      <c r="B52" s="33" t="s">
        <v>649</v>
      </c>
      <c r="D52" s="13" t="s">
        <v>650</v>
      </c>
      <c r="E52" s="13" t="s">
        <v>651</v>
      </c>
      <c r="F52" s="33" t="s">
        <v>652</v>
      </c>
    </row>
    <row r="53" ht="45" customHeight="1">
      <c r="B53" s="33" t="s">
        <v>653</v>
      </c>
      <c r="D53" s="13" t="s">
        <v>654</v>
      </c>
      <c r="E53" s="13" t="s">
        <v>655</v>
      </c>
      <c r="F53" s="33" t="s">
        <v>656</v>
      </c>
    </row>
    <row r="54" ht="45" customHeight="1">
      <c r="B54" s="33" t="s">
        <v>657</v>
      </c>
      <c r="D54" s="13" t="s">
        <v>658</v>
      </c>
      <c r="E54" s="13" t="s">
        <v>659</v>
      </c>
      <c r="F54" s="33" t="s">
        <v>660</v>
      </c>
    </row>
  </sheetData>
  <mergeCells count="12">
    <mergeCell ref="B6:J6"/>
    <mergeCell ref="B32:J32"/>
    <mergeCell ref="F14:G14"/>
    <mergeCell ref="F47:J47"/>
    <mergeCell ref="F48:J48"/>
    <mergeCell ref="F49:J49"/>
    <mergeCell ref="F50:J50"/>
    <mergeCell ref="F51:J51"/>
    <mergeCell ref="F52:J52"/>
    <mergeCell ref="F53:J53"/>
    <mergeCell ref="F54:J54"/>
    <mergeCell ref="F55:J55"/>
  </mergeCells>
  <hyperlinks>
    <hyperlink ref="B3" location="'Übersicht'!A1" display="← zur Übersicht"/>
  </hyperlinks>
  <pageMargins left="0.5" right="0.5" top="0.6" bottom="0.6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92</vt:i4>
      </vt:variant>
    </vt:vector>
  </HeadingPairs>
  <TitlesOfParts>
    <vt:vector size="101" baseType="lpstr">
      <vt:lpstr>Übersicht</vt:lpstr>
      <vt:lpstr>Gemisch &amp; Grenzen</vt:lpstr>
      <vt:lpstr>Kaverne &amp; Gassäule</vt:lpstr>
      <vt:lpstr>Medienvergleich</vt:lpstr>
      <vt:lpstr>Einspeicherung S1</vt:lpstr>
      <vt:lpstr>Einspeicherung S2</vt:lpstr>
      <vt:lpstr>Phasendiagramm</vt:lpstr>
      <vt:lpstr>Quellen</vt:lpstr>
      <vt:lpstr>Diagrammdaten</vt:lpstr>
      <vt:lpstr>Diagramm_dT</vt:lpstr>
      <vt:lpstr>Diagramm_Tmin</vt:lpstr>
      <vt:lpstr>Dv_h1a</vt:lpstr>
      <vt:lpstr>Dv_h1s</vt:lpstr>
      <vt:lpstr>Dv_h2a</vt:lpstr>
      <vt:lpstr>Dv_h2s</vt:lpstr>
      <vt:lpstr>Dv_hN</vt:lpstr>
      <vt:lpstr>Dv_hZK1</vt:lpstr>
      <vt:lpstr>Dv_p1</vt:lpstr>
      <vt:lpstr>Dv_Pmax</vt:lpstr>
      <vt:lpstr>Dv_q_ges</vt:lpstr>
      <vt:lpstr>Dv_qN</vt:lpstr>
      <vt:lpstr>Dv_qZK1</vt:lpstr>
      <vt:lpstr>Dv_T1a</vt:lpstr>
      <vt:lpstr>Dv_T2a</vt:lpstr>
      <vt:lpstr>Dv_w_ges</vt:lpstr>
      <vt:lpstr>Dv_w1</vt:lpstr>
      <vt:lpstr>Dv_w2</vt:lpstr>
      <vt:lpstr>eta</vt:lpstr>
      <vt:lpstr>eta_V1</vt:lpstr>
      <vt:lpstr>eta_V2</vt:lpstr>
      <vt:lpstr>grad_V1</vt:lpstr>
      <vt:lpstr>Kopf_grenz</vt:lpstr>
      <vt:lpstr>Kopf_leer</vt:lpstr>
      <vt:lpstr>Kopf_voll</vt:lpstr>
      <vt:lpstr>MV_Kopf_CH4</vt:lpstr>
      <vt:lpstr>MV_Kopf_CO2</vt:lpstr>
      <vt:lpstr>MV_Kopf_H2</vt:lpstr>
      <vt:lpstr>p_grenz</vt:lpstr>
      <vt:lpstr>p_lith_V1</vt:lpstr>
      <vt:lpstr>p_S1</vt:lpstr>
      <vt:lpstr>p_S2</vt:lpstr>
      <vt:lpstr>p_verfl</vt:lpstr>
      <vt:lpstr>p_zw</vt:lpstr>
      <vt:lpstr>pmax_V1</vt:lpstr>
      <vt:lpstr>pmin_V1</vt:lpstr>
      <vt:lpstr>rho_n</vt:lpstr>
      <vt:lpstr>rhoSalz_V1</vt:lpstr>
      <vt:lpstr>Stand_ok</vt:lpstr>
      <vt:lpstr>Szen1_eta</vt:lpstr>
      <vt:lpstr>Szen1_h1</vt:lpstr>
      <vt:lpstr>Szen1_h2</vt:lpstr>
      <vt:lpstr>Szen1_h2s</vt:lpstr>
      <vt:lpstr>Szen1_mmax</vt:lpstr>
      <vt:lpstr>Szen1_mmin</vt:lpstr>
      <vt:lpstr>Szen1_p1</vt:lpstr>
      <vt:lpstr>Szen1_p2</vt:lpstr>
      <vt:lpstr>Szen1_Pmax</vt:lpstr>
      <vt:lpstr>Szen1_Pmin</vt:lpstr>
      <vt:lpstr>Szen1_s1</vt:lpstr>
      <vt:lpstr>Szen1_T1</vt:lpstr>
      <vt:lpstr>Szen1_T2</vt:lpstr>
      <vt:lpstr>Szen1_w</vt:lpstr>
      <vt:lpstr>Szen2_h1</vt:lpstr>
      <vt:lpstr>Szen2_h1a</vt:lpstr>
      <vt:lpstr>Szen2_h1s</vt:lpstr>
      <vt:lpstr>Szen2_hPa</vt:lpstr>
      <vt:lpstr>Szen2_hPs</vt:lpstr>
      <vt:lpstr>Szen2_hV</vt:lpstr>
      <vt:lpstr>Szen2_Pmax</vt:lpstr>
      <vt:lpstr>Szen2_Pmin</vt:lpstr>
      <vt:lpstr>Szen2_psatK</vt:lpstr>
      <vt:lpstr>Szen2_Qmax</vt:lpstr>
      <vt:lpstr>Szen2_qV</vt:lpstr>
      <vt:lpstr>Szen2_T1a</vt:lpstr>
      <vt:lpstr>Szen2_TPa</vt:lpstr>
      <vt:lpstr>Szen2_w_ges</vt:lpstr>
      <vt:lpstr>Szen2_w1</vt:lpstr>
      <vt:lpstr>Szen2_wP</vt:lpstr>
      <vt:lpstr>Szen2v_h1a</vt:lpstr>
      <vt:lpstr>Szen2v_h1s</vt:lpstr>
      <vt:lpstr>Szen2v_h2a</vt:lpstr>
      <vt:lpstr>Szen2v_h2s</vt:lpstr>
      <vt:lpstr>Szen2v_hZK</vt:lpstr>
      <vt:lpstr>Szen2v_Pmax</vt:lpstr>
      <vt:lpstr>Szen2v_pzw</vt:lpstr>
      <vt:lpstr>Szen2v_qV</vt:lpstr>
      <vt:lpstr>Szen2v_qZK</vt:lpstr>
      <vt:lpstr>Szen2v_T1a</vt:lpstr>
      <vt:lpstr>Szen2v_T2a</vt:lpstr>
      <vt:lpstr>Szen2v_w_ges</vt:lpstr>
      <vt:lpstr>Szen2v_w1</vt:lpstr>
      <vt:lpstr>Szen2v_w2</vt:lpstr>
      <vt:lpstr>T_K</vt:lpstr>
      <vt:lpstr>T_Kav_V1</vt:lpstr>
      <vt:lpstr>T_maxV</vt:lpstr>
      <vt:lpstr>T_S1</vt:lpstr>
      <vt:lpstr>T_S2</vt:lpstr>
      <vt:lpstr>Tober_V1</vt:lpstr>
      <vt:lpstr>V_max</vt:lpstr>
      <vt:lpstr>V_min</vt:lpstr>
      <vt:lpstr>z_V1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CO2-Zwischenspeicherung – Rechenübersicht Einspeicherung</dc:title>
  <dc:creator>Sarah Maxara</dc:creator>
  <dc:description>Stoffdaten CoolProp 8.0.0</dc:description>
  <cp:lastModifiedBy>Sarah Maxara (smaxara)</cp:lastModifiedBy>
  <dcterms:created xsi:type="dcterms:W3CDTF">2026-09-28T06:28:12Z</dcterms:created>
  <dcterms:modified xsi:type="dcterms:W3CDTF">2026-09-28T07:46:04Z</dcterms:modified>
</cp:coreProperties>
</file>